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Gaurav sawant\Desktop\job doc\excel project\"/>
    </mc:Choice>
  </mc:AlternateContent>
  <xr:revisionPtr revIDLastSave="0" documentId="13_ncr:1_{7451989C-2B5B-4594-AE70-55B8872A27DD}" xr6:coauthVersionLast="47" xr6:coauthVersionMax="47" xr10:uidLastSave="{00000000-0000-0000-0000-000000000000}"/>
  <bookViews>
    <workbookView xWindow="-110" yWindow="-110" windowWidth="19420" windowHeight="10300" activeTab="1" xr2:uid="{9D2855CB-5DBA-4AD2-BC22-D08565EA31D6}"/>
  </bookViews>
  <sheets>
    <sheet name="Analysis" sheetId="3" r:id="rId1"/>
    <sheet name="Dashboard" sheetId="4" r:id="rId2"/>
    <sheet name="train" sheetId="2" r:id="rId3"/>
    <sheet name="Sheet1" sheetId="1" r:id="rId4"/>
  </sheets>
  <definedNames>
    <definedName name="_xlnm._FilterDatabase" localSheetId="0" hidden="1">Analysis!#REF!</definedName>
    <definedName name="ExternalData_1" localSheetId="2" hidden="1">train!$A$1:$R$1863</definedName>
    <definedName name="NativeTimeline_Order_Date">#N/A</definedName>
    <definedName name="Slicer_Category">#N/A</definedName>
    <definedName name="Slicer_order_year">#N/A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3" i="2" l="1"/>
  <c r="D11" i="4"/>
  <c r="Y3" i="2" l="1"/>
  <c r="N11" i="4" s="1"/>
  <c r="S1863" i="2"/>
  <c r="T1863" i="2"/>
  <c r="B2" i="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G11" i="4"/>
  <c r="R11" i="4" l="1"/>
  <c r="K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8F7711-F841-4430-A1FC-EAB654953BF0}"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<sst xmlns="http://schemas.openxmlformats.org/spreadsheetml/2006/main" count="27642" uniqueCount="6836">
  <si>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</si>
  <si>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</si>
  <si>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</si>
  <si>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</si>
  <si>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</si>
  <si>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</si>
  <si>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</si>
  <si>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</si>
  <si>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</si>
  <si>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</si>
  <si>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</si>
  <si>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</si>
  <si>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</si>
  <si>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</si>
  <si>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</si>
  <si>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</si>
  <si>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</si>
  <si>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</si>
  <si>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</si>
  <si>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</si>
  <si>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</si>
  <si>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</si>
  <si>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</si>
  <si>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</si>
  <si>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</si>
  <si>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</si>
  <si>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</si>
  <si>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</si>
  <si>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</si>
  <si>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</si>
  <si>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</si>
  <si>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</si>
  <si>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</si>
  <si>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</si>
  <si>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</si>
  <si>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</si>
  <si>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</si>
  <si>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</si>
  <si>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</si>
  <si>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</si>
  <si>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</si>
  <si>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</si>
  <si>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</si>
  <si>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</si>
  <si>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</si>
  <si>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</si>
  <si>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</si>
  <si>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</si>
  <si>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</si>
  <si>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</si>
  <si>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</si>
  <si>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</si>
  <si>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</si>
  <si>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</si>
  <si>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</si>
  <si>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</si>
  <si>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</si>
  <si>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</si>
  <si>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</si>
  <si>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</si>
  <si>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</si>
  <si>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</si>
  <si>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</si>
  <si>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</si>
  <si>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</si>
  <si>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</si>
  <si>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</si>
  <si>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</si>
  <si>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</si>
  <si>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</si>
  <si>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</si>
  <si>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</si>
  <si>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</si>
  <si>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</si>
  <si>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</si>
  <si>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</si>
  <si>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</si>
  <si>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</si>
  <si>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</si>
  <si>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</si>
  <si>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</si>
  <si>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</si>
  <si>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</si>
  <si>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</si>
  <si>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</si>
  <si>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</si>
  <si>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</si>
  <si>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</si>
  <si>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</si>
  <si>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</si>
  <si>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</si>
  <si>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</si>
  <si>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</si>
  <si>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</si>
  <si>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</si>
  <si>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</si>
  <si>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</si>
  <si>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</si>
  <si>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</si>
  <si>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</si>
  <si>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</si>
  <si>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</si>
  <si>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</si>
  <si>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</si>
  <si>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</si>
  <si>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</si>
  <si>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</si>
  <si>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</si>
  <si>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</si>
  <si>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</si>
  <si>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</si>
  <si>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</si>
  <si>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</si>
  <si>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</si>
  <si>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</si>
  <si>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</si>
  <si>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</si>
  <si>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</si>
  <si>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</si>
  <si>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</si>
  <si>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</si>
  <si>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</si>
  <si>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</si>
  <si>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</si>
  <si>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</si>
  <si>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</si>
  <si>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</si>
  <si>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</si>
  <si>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</si>
  <si>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</si>
  <si>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</si>
  <si>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</si>
  <si>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</si>
  <si>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</si>
  <si>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</si>
  <si>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</si>
  <si>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</si>
  <si>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</si>
  <si>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</si>
  <si>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</si>
  <si>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</si>
  <si>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</si>
  <si>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</si>
  <si>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</si>
  <si>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</si>
  <si>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</si>
  <si>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</si>
  <si>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</si>
  <si>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</si>
  <si>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</si>
  <si>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</si>
  <si>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</si>
  <si>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</si>
  <si>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</si>
  <si>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</si>
  <si>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</si>
  <si>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</si>
  <si>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</si>
  <si>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</si>
  <si>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</si>
  <si>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</si>
  <si>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</si>
  <si>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</si>
  <si>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</si>
  <si>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</si>
  <si>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</si>
  <si>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</si>
  <si>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</si>
  <si>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</si>
  <si>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</si>
  <si>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</si>
  <si>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</si>
  <si>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</si>
  <si>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</si>
  <si>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</si>
  <si>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</si>
  <si>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</si>
  <si>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</si>
  <si>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</si>
  <si>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</si>
  <si>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</si>
  <si>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</si>
  <si>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</si>
  <si>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</si>
  <si>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</si>
  <si>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</si>
  <si>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</si>
  <si>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</si>
  <si>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</si>
  <si>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</si>
  <si>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</si>
  <si>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</si>
  <si>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</si>
  <si>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</si>
  <si>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</si>
  <si>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</si>
  <si>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</si>
  <si>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</si>
  <si>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</si>
  <si>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</si>
  <si>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</si>
  <si>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</si>
  <si>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</si>
  <si>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</si>
  <si>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</si>
  <si>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</si>
  <si>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</si>
  <si>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</si>
  <si>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</si>
  <si>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</si>
  <si>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</si>
  <si>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</si>
  <si>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</si>
  <si>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</si>
  <si>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</si>
  <si>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</si>
  <si>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</si>
  <si>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</si>
  <si>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</si>
  <si>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</si>
  <si>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</si>
  <si>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</si>
  <si>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</si>
  <si>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</si>
  <si>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</si>
  <si>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</si>
  <si>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</si>
  <si>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</si>
  <si>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</si>
  <si>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</si>
  <si>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</si>
  <si>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</si>
  <si>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</si>
  <si>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</si>
  <si>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</si>
  <si>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</si>
  <si>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</si>
  <si>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</si>
  <si>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</si>
  <si>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</si>
  <si>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</si>
  <si>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</si>
  <si>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</si>
  <si>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</si>
  <si>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</si>
  <si>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</si>
  <si>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</si>
  <si>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</si>
  <si>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</si>
  <si>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</si>
  <si>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</si>
  <si>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</si>
  <si>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</si>
  <si>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</si>
  <si>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</si>
  <si>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</si>
  <si>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</si>
  <si>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</si>
  <si>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</si>
  <si>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</si>
  <si>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</si>
  <si>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</si>
  <si>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</si>
  <si>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</si>
  <si>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</si>
  <si>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</si>
  <si>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</si>
  <si>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</si>
  <si>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</si>
  <si>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</si>
  <si>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</si>
  <si>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</si>
  <si>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</si>
  <si>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</si>
  <si>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</si>
  <si>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</si>
  <si>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</si>
  <si>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</si>
  <si>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</si>
  <si>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</si>
  <si>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</si>
  <si>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</si>
  <si>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</si>
  <si>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</si>
  <si>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</si>
  <si>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</si>
  <si>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</si>
  <si>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</si>
  <si>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</si>
  <si>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</si>
  <si>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</si>
  <si>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</si>
  <si>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</si>
  <si>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</si>
  <si>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</si>
  <si>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</si>
  <si>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</si>
  <si>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</si>
  <si>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</si>
  <si>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</si>
  <si>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</si>
  <si>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</si>
  <si>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</si>
  <si>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</si>
  <si>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</si>
  <si>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</si>
  <si>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</si>
  <si>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</si>
  <si>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</si>
  <si>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</si>
  <si>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</si>
  <si>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</si>
  <si>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</si>
  <si>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</si>
  <si>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</si>
  <si>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</si>
  <si>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</si>
  <si>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</si>
  <si>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</si>
  <si>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</si>
  <si>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</si>
  <si>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</si>
  <si>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</si>
  <si>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</si>
  <si>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</si>
  <si>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</si>
  <si>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</si>
  <si>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</si>
  <si>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</si>
  <si>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</si>
  <si>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</si>
  <si>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</si>
  <si>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</si>
  <si>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</si>
  <si>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</si>
  <si>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</si>
  <si>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</si>
  <si>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</si>
  <si>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</si>
  <si>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</si>
  <si>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</si>
  <si>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</si>
  <si>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</si>
  <si>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</si>
  <si>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</si>
  <si>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</si>
  <si>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</si>
  <si>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</si>
  <si>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</si>
  <si>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</si>
  <si>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</si>
  <si>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</si>
  <si>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</si>
  <si>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</si>
  <si>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</si>
  <si>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</si>
  <si>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</si>
  <si>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</si>
  <si>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</si>
  <si>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</si>
  <si>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</si>
  <si>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</si>
  <si>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</si>
  <si>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</si>
  <si>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</si>
  <si>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</si>
  <si>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</si>
  <si>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</si>
  <si>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</si>
  <si>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</si>
  <si>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</si>
  <si>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</si>
  <si>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</si>
  <si>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</si>
  <si>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</si>
  <si>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</si>
  <si>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</si>
  <si>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</si>
  <si>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</si>
  <si>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</si>
  <si>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</si>
  <si>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</si>
  <si>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</si>
  <si>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</si>
  <si>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</si>
  <si>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</si>
  <si>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</si>
  <si>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</si>
  <si>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</si>
  <si>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</si>
  <si>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</si>
  <si>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</si>
  <si>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</si>
  <si>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</si>
  <si>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</si>
  <si>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</si>
  <si>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</si>
  <si>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</si>
  <si>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</si>
  <si>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</si>
  <si>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</si>
  <si>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</si>
  <si>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</si>
  <si>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</si>
  <si>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</si>
  <si>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</si>
  <si>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</si>
  <si>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</si>
  <si>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</si>
  <si>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</si>
  <si>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</si>
  <si>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</si>
  <si>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</si>
  <si>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</si>
  <si>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</si>
  <si>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</si>
  <si>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</si>
  <si>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</si>
  <si>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</si>
  <si>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</si>
  <si>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</si>
  <si>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</si>
  <si>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</si>
  <si>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</si>
  <si>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</si>
  <si>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</si>
  <si>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</si>
  <si>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</si>
  <si>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</si>
  <si>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</si>
  <si>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</si>
  <si>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</si>
  <si>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</si>
  <si>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</si>
  <si>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</si>
  <si>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</si>
  <si>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</si>
  <si>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</si>
  <si>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</si>
  <si>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</si>
  <si>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</si>
  <si>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</si>
  <si>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</si>
  <si>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</si>
  <si>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</si>
  <si>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</si>
  <si>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</si>
  <si>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</si>
  <si>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</si>
  <si>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</si>
  <si>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</si>
  <si>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</si>
  <si>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</si>
  <si>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</si>
  <si>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</si>
  <si>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</si>
  <si>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</si>
  <si>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</si>
  <si>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</si>
  <si>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</si>
  <si>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</si>
  <si>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</si>
  <si>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</si>
  <si>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</si>
  <si>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</si>
  <si>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</si>
  <si>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</si>
  <si>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</si>
  <si>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</si>
  <si>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</si>
  <si>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</si>
  <si>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</si>
  <si>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</si>
  <si>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</si>
  <si>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</si>
  <si>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</si>
  <si>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</si>
  <si>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</si>
  <si>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</si>
  <si>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</si>
  <si>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</si>
  <si>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</si>
  <si>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</si>
  <si>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</si>
  <si>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</si>
  <si>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</si>
  <si>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</si>
  <si>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</si>
  <si>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</si>
  <si>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</si>
  <si>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</si>
  <si>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</si>
  <si>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</si>
  <si>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</si>
  <si>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</si>
  <si>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</si>
  <si>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</si>
  <si>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</si>
  <si>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</si>
  <si>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</si>
  <si>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</si>
  <si>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</si>
  <si>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</si>
  <si>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</si>
  <si>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</si>
  <si>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</si>
  <si>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</si>
  <si>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</si>
  <si>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</si>
  <si>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</si>
  <si>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</si>
  <si>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</si>
  <si>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</si>
  <si>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</si>
  <si>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</si>
  <si>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</si>
  <si>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</si>
  <si>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</si>
  <si>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</si>
  <si>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</si>
  <si>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</si>
  <si>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</si>
  <si>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</si>
  <si>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</si>
  <si>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</si>
  <si>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</si>
  <si>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</si>
  <si>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</si>
  <si>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</si>
  <si>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</si>
  <si>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</si>
  <si>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</si>
  <si>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</si>
  <si>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</si>
  <si>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</si>
  <si>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</si>
  <si>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</si>
  <si>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</si>
  <si>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</si>
  <si>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</si>
  <si>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</si>
  <si>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</si>
  <si>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</si>
  <si>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</si>
  <si>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</si>
  <si>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</si>
  <si>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</si>
  <si>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</si>
  <si>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</si>
  <si>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</si>
  <si>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</si>
  <si>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</si>
  <si>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</si>
  <si>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</si>
  <si>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</si>
  <si>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</si>
  <si>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</si>
  <si>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</si>
  <si>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</si>
  <si>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</si>
  <si>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</si>
  <si>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</si>
  <si>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</si>
  <si>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</si>
  <si>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</si>
  <si>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</si>
  <si>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</si>
  <si>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</si>
  <si>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</si>
  <si>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</si>
  <si>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</si>
  <si>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</si>
  <si>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</si>
  <si>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</si>
  <si>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</si>
  <si>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</si>
  <si>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</si>
  <si>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</si>
  <si>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</si>
  <si>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</si>
  <si>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</si>
  <si>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</si>
  <si>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</si>
  <si>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</si>
  <si>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</si>
  <si>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</si>
  <si>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</si>
  <si>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</si>
  <si>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</si>
  <si>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</si>
  <si>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</si>
  <si>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</si>
  <si>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</si>
  <si>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</si>
  <si>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</si>
  <si>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</si>
  <si>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</si>
  <si>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</si>
  <si>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</si>
  <si>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</si>
  <si>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</si>
  <si>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</si>
  <si>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</si>
  <si>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</si>
  <si>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</si>
  <si>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</si>
  <si>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</si>
  <si>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</si>
  <si>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</si>
  <si>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</si>
  <si>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</si>
  <si>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</si>
  <si>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</si>
  <si>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</si>
  <si>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</si>
  <si>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</si>
  <si>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</si>
  <si>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</si>
  <si>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</si>
  <si>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</si>
  <si>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</si>
  <si>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</si>
  <si>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</si>
  <si>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</si>
  <si>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</si>
  <si>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</si>
  <si>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</si>
  <si>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</si>
  <si>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</si>
  <si>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</si>
  <si>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</si>
  <si>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</si>
  <si>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</si>
  <si>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</si>
  <si>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</si>
  <si>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</si>
  <si>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</si>
  <si>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</si>
  <si>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</si>
  <si>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</si>
  <si>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</si>
  <si>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</si>
  <si>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</si>
  <si>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</si>
  <si>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</si>
  <si>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</si>
  <si>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</si>
  <si>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</si>
  <si>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</si>
  <si>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</si>
  <si>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</si>
  <si>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</si>
  <si>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</si>
  <si>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</si>
  <si>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</si>
  <si>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</si>
  <si>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</si>
  <si>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</si>
  <si>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</si>
  <si>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</si>
  <si>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</si>
  <si>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</si>
  <si>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</si>
  <si>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</si>
  <si>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</si>
  <si>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</si>
  <si>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</si>
  <si>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</si>
  <si>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</si>
  <si>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</si>
  <si>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</si>
  <si>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</si>
  <si>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</si>
  <si>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</si>
  <si>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</si>
  <si>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</si>
  <si>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</si>
  <si>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</si>
  <si>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</si>
  <si>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</si>
  <si>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</si>
  <si>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</si>
  <si>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</si>
  <si>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</si>
  <si>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</si>
  <si>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</si>
  <si>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</si>
  <si>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</si>
  <si>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</si>
  <si>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</si>
  <si>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</si>
  <si>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</si>
  <si>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</si>
  <si>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</si>
  <si>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</si>
  <si>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</si>
  <si>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</si>
  <si>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</si>
  <si>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</si>
  <si>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</si>
  <si>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</si>
  <si>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</si>
  <si>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</si>
  <si>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</si>
  <si>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</si>
  <si>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</si>
  <si>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</si>
  <si>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</si>
  <si>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</si>
  <si>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</si>
  <si>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</si>
  <si>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</si>
  <si>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</si>
  <si>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</si>
  <si>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</si>
  <si>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</si>
  <si>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</si>
  <si>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</si>
  <si>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</si>
  <si>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</si>
  <si>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</si>
  <si>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</si>
  <si>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</si>
  <si>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</si>
  <si>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</si>
  <si>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</si>
  <si>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</si>
  <si>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</si>
  <si>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</si>
  <si>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</si>
  <si>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</si>
  <si>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</si>
  <si>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</si>
  <si>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</si>
  <si>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</si>
  <si>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</si>
  <si>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</si>
  <si>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</si>
  <si>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</si>
  <si>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</si>
  <si>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</si>
  <si>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</si>
  <si>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</si>
  <si>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</si>
  <si>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</si>
  <si>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</si>
  <si>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</si>
  <si>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</si>
  <si>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</si>
  <si>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</si>
  <si>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</si>
  <si>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</si>
  <si>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</si>
  <si>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</si>
  <si>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</si>
  <si>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</si>
  <si>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</si>
  <si>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</si>
  <si>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</si>
  <si>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</si>
  <si>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</si>
  <si>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</si>
  <si>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</si>
  <si>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</si>
  <si>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</si>
  <si>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</si>
  <si>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</si>
  <si>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</si>
  <si>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</si>
  <si>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</si>
  <si>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</si>
  <si>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</si>
  <si>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</si>
  <si>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</si>
  <si>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</si>
  <si>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</si>
  <si>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</si>
  <si>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</si>
  <si>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</si>
  <si>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</si>
  <si>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</si>
  <si>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</si>
  <si>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</si>
  <si>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</si>
  <si>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</si>
  <si>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</si>
  <si>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</si>
  <si>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</si>
  <si>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</si>
  <si>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</si>
  <si>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</si>
  <si>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</si>
  <si>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</si>
  <si>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</si>
  <si>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</si>
  <si>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</si>
  <si>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</si>
  <si>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</si>
  <si>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</si>
  <si>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</si>
  <si>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</si>
  <si>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</si>
  <si>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</si>
  <si>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</si>
  <si>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</si>
  <si>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</si>
  <si>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</si>
  <si>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</si>
  <si>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</si>
  <si>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</si>
  <si>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</si>
  <si>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</si>
  <si>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</si>
  <si>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</si>
  <si>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</si>
  <si>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</si>
  <si>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</si>
  <si>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</si>
  <si>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</si>
  <si>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</si>
  <si>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</si>
  <si>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</si>
  <si>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</si>
  <si>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</si>
  <si>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</si>
  <si>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</si>
  <si>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</si>
  <si>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</si>
  <si>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</si>
  <si>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</si>
  <si>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</si>
  <si>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</si>
  <si>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</si>
  <si>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</si>
  <si>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</si>
  <si>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</si>
  <si>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</si>
  <si>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</si>
  <si>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</si>
  <si>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</si>
  <si>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</si>
  <si>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</si>
  <si>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</si>
  <si>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</si>
  <si>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</si>
  <si>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</si>
  <si>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</si>
  <si>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</si>
  <si>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</si>
  <si>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</si>
  <si>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</si>
  <si>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</si>
  <si>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</si>
  <si>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</si>
  <si>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</si>
  <si>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</si>
  <si>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</si>
  <si>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</si>
  <si>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</si>
  <si>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</si>
  <si>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</si>
  <si>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</si>
  <si>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</si>
  <si>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</si>
  <si>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</si>
  <si>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</si>
  <si>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</si>
  <si>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</si>
  <si>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</si>
  <si>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</si>
  <si>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</si>
  <si>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</si>
  <si>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</si>
  <si>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</si>
  <si>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</si>
  <si>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</si>
  <si>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</si>
  <si>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</si>
  <si>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</si>
  <si>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</si>
  <si>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</si>
  <si>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</si>
  <si>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</si>
  <si>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</si>
  <si>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</si>
  <si>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</si>
  <si>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</si>
  <si>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</si>
  <si>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</si>
  <si>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</si>
  <si>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</si>
  <si>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</si>
  <si>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</si>
  <si>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</si>
  <si>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</si>
  <si>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</si>
  <si>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</si>
  <si>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</si>
  <si>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</si>
  <si>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</si>
  <si>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</si>
  <si>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</si>
  <si>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</si>
  <si>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</si>
  <si>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</si>
  <si>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</si>
  <si>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</si>
  <si>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</si>
  <si>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</si>
  <si>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</si>
  <si>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</si>
  <si>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</si>
  <si>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</si>
  <si>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</si>
  <si>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</si>
  <si>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</si>
  <si>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</si>
  <si>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</si>
  <si>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</si>
  <si>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</si>
  <si>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</si>
  <si>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</si>
  <si>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</si>
  <si>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</si>
  <si>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</si>
  <si>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</si>
  <si>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</si>
  <si>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</si>
  <si>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</si>
  <si>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</si>
  <si>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</si>
  <si>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</si>
  <si>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</si>
  <si>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</si>
  <si>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</si>
  <si>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</si>
  <si>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</si>
  <si>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</si>
  <si>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</si>
  <si>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</si>
  <si>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</si>
  <si>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</si>
  <si>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</si>
  <si>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</si>
  <si>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</si>
  <si>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</si>
  <si>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</si>
  <si>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</si>
  <si>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</si>
  <si>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</si>
  <si>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</si>
  <si>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</si>
  <si>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</si>
  <si>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</si>
  <si>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</si>
  <si>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</si>
  <si>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</si>
  <si>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</si>
  <si>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</si>
  <si>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</si>
  <si>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</si>
  <si>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</si>
  <si>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</si>
  <si>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</si>
  <si>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</si>
  <si>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</si>
  <si>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</si>
  <si>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</si>
  <si>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</si>
  <si>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</si>
  <si>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</si>
  <si>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</si>
  <si>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</si>
  <si>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</si>
  <si>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</si>
  <si>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</si>
  <si>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</si>
  <si>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</si>
  <si>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</si>
  <si>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</si>
  <si>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</si>
  <si>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</si>
  <si>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</si>
  <si>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</si>
  <si>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</si>
  <si>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</si>
  <si>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</si>
  <si>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</si>
  <si>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</si>
  <si>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</si>
  <si>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</si>
  <si>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</si>
  <si>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</si>
  <si>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</si>
  <si>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</si>
  <si>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</si>
  <si>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</si>
  <si>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</si>
  <si>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</si>
  <si>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</si>
  <si>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</si>
  <si>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</si>
  <si>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</si>
  <si>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</si>
  <si>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</si>
  <si>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</si>
  <si>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</si>
  <si>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</si>
  <si>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</si>
  <si>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</si>
  <si>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</si>
  <si>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</si>
  <si>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</si>
  <si>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</si>
  <si>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</si>
  <si>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</si>
  <si>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</si>
  <si>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</si>
  <si>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</si>
  <si>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</si>
  <si>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</si>
  <si>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</si>
  <si>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</si>
  <si>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</si>
  <si>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</si>
  <si>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</si>
  <si>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</si>
  <si>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</si>
  <si>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</si>
  <si>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</si>
  <si>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</si>
  <si>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</si>
  <si>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</si>
  <si>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</si>
  <si>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</si>
  <si>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</si>
  <si>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</si>
  <si>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</si>
  <si>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</si>
  <si>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</si>
  <si>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</si>
  <si>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</si>
  <si>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</si>
  <si>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</si>
  <si>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</si>
  <si>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</si>
  <si>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</si>
  <si>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</si>
  <si>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</si>
  <si>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</si>
  <si>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</si>
  <si>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</si>
  <si>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</si>
  <si>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</si>
  <si>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</si>
  <si>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</si>
  <si>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</si>
  <si>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</si>
  <si>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</si>
  <si>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</si>
  <si>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</si>
  <si>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</si>
  <si>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</si>
  <si>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</si>
  <si>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</si>
  <si>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</si>
  <si>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</si>
  <si>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</si>
  <si>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</si>
  <si>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</si>
  <si>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</si>
  <si>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</si>
  <si>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</si>
  <si>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</si>
  <si>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</si>
  <si>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</si>
  <si>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</si>
  <si>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</si>
  <si>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</si>
  <si>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</si>
  <si>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</si>
  <si>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</si>
  <si>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</si>
  <si>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</si>
  <si>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</si>
  <si>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</si>
  <si>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</si>
  <si>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</si>
  <si>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</si>
  <si>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</si>
  <si>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</si>
  <si>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</si>
  <si>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</si>
  <si>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</si>
  <si>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</si>
  <si>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</si>
  <si>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</si>
  <si>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</si>
  <si>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</si>
  <si>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</si>
  <si>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</si>
  <si>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</si>
  <si>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</si>
  <si>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</si>
  <si>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</si>
  <si>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</si>
  <si>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</si>
  <si>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</si>
  <si>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</si>
  <si>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</si>
  <si>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</si>
  <si>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</si>
  <si>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</si>
  <si>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</si>
  <si>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</si>
  <si>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</si>
  <si>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</si>
  <si>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</si>
  <si>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</si>
  <si>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</si>
  <si>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</si>
  <si>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</si>
  <si>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</si>
  <si>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</si>
  <si>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</si>
  <si>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</si>
  <si>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</si>
  <si>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</si>
  <si>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</si>
  <si>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</si>
  <si>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</si>
  <si>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</si>
  <si>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</si>
  <si>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</si>
  <si>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</si>
  <si>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</si>
  <si>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</si>
  <si>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</si>
  <si>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</si>
  <si>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</si>
  <si>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</si>
  <si>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</si>
  <si>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</si>
  <si>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</si>
  <si>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</si>
  <si>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</si>
  <si>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</si>
  <si>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</si>
  <si>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</si>
  <si>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</si>
  <si>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</si>
  <si>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</si>
  <si>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</si>
  <si>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</si>
  <si>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</si>
  <si>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</si>
  <si>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</si>
  <si>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</si>
  <si>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</si>
  <si>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</si>
  <si>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</si>
  <si>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</si>
  <si>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</si>
  <si>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</si>
  <si>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</si>
  <si>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</si>
  <si>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</si>
  <si>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</si>
  <si>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</si>
  <si>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</si>
  <si>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</si>
  <si>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</si>
  <si>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</si>
  <si>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</si>
  <si>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</si>
  <si>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</si>
  <si>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</si>
  <si>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</si>
  <si>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</si>
  <si>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</si>
  <si>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</si>
  <si>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</si>
  <si>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</si>
  <si>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</si>
  <si>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</si>
  <si>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</si>
  <si>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</si>
  <si>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</si>
  <si>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</si>
  <si>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</si>
  <si>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</si>
  <si>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</si>
  <si>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</si>
  <si>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</si>
  <si>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</si>
  <si>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</si>
  <si>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</si>
  <si>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</si>
  <si>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</si>
  <si>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</si>
  <si>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</si>
  <si>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</si>
  <si>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</si>
  <si>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</si>
  <si>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</si>
  <si>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</si>
  <si>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</si>
  <si>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</si>
  <si>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</si>
  <si>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</si>
  <si>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</si>
  <si>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</si>
  <si>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</si>
  <si>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</si>
  <si>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</si>
  <si>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</si>
  <si>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</si>
  <si>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</si>
  <si>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</si>
  <si>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</si>
  <si>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</si>
  <si>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</si>
  <si>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</si>
  <si>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</si>
  <si>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</si>
  <si>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</si>
  <si>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</si>
  <si>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</si>
  <si>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</si>
  <si>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Austin</t>
  </si>
  <si>
    <t>CC-12550</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</si>
  <si>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</si>
  <si>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</si>
  <si>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</si>
  <si>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</si>
  <si>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</si>
  <si>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</si>
  <si>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</si>
  <si>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</si>
  <si>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</si>
  <si>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</si>
  <si>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</si>
  <si>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</si>
  <si>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</si>
  <si>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</si>
  <si>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</si>
  <si>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</si>
  <si>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</si>
  <si>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</si>
  <si>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</si>
  <si>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</si>
  <si>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</si>
  <si>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</si>
  <si>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</si>
  <si>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</si>
  <si>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</si>
  <si>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</si>
  <si>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</si>
  <si>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</si>
  <si>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</si>
  <si>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</si>
  <si>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</si>
  <si>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</si>
  <si>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</si>
  <si>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</si>
  <si>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</si>
  <si>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</si>
  <si>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</si>
  <si>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</si>
  <si>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</si>
  <si>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</si>
  <si>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</si>
  <si>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</si>
  <si>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</si>
  <si>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</si>
  <si>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JD-16060</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</si>
  <si>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</si>
  <si>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</si>
  <si>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</si>
  <si>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</si>
  <si>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</si>
  <si>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</si>
  <si>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</si>
  <si>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</si>
  <si>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</si>
  <si>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</si>
  <si>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</si>
  <si>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</si>
  <si>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</si>
  <si>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</si>
  <si>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</si>
  <si>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</si>
  <si>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</si>
  <si>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</si>
  <si>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</si>
  <si>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</si>
  <si>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</si>
  <si>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</si>
  <si>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</si>
  <si>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</si>
  <si>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</si>
  <si>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</si>
  <si>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</si>
  <si>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</si>
  <si>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</si>
  <si>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</si>
  <si>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</si>
  <si>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</si>
  <si>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</si>
  <si>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</si>
  <si>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</si>
  <si>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</si>
  <si>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</si>
  <si>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</si>
  <si>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</si>
  <si>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</si>
  <si>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</si>
  <si>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</si>
  <si>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</si>
  <si>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</si>
  <si>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</si>
  <si>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</si>
  <si>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</si>
  <si>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</si>
  <si>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</si>
  <si>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</si>
  <si>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</si>
  <si>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</si>
  <si>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</si>
  <si>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</si>
  <si>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</si>
  <si>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</si>
  <si>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</si>
  <si>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</si>
  <si>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</si>
  <si>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</si>
  <si>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</si>
  <si>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</si>
  <si>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</si>
  <si>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</si>
  <si>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</si>
  <si>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</si>
  <si>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</si>
  <si>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</si>
  <si>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</si>
  <si>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</si>
  <si>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</si>
  <si>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</si>
  <si>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</si>
  <si>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</si>
  <si>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</si>
  <si>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</si>
  <si>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</si>
  <si>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</si>
  <si>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</si>
  <si>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</si>
  <si>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</si>
  <si>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</si>
  <si>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</si>
  <si>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</si>
  <si>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</si>
  <si>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</si>
  <si>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</si>
  <si>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</si>
  <si>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</si>
  <si>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</si>
  <si>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</si>
  <si>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</si>
  <si>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</si>
  <si>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</si>
  <si>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</si>
  <si>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</si>
  <si>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</si>
  <si>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</si>
  <si>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</si>
  <si>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</si>
  <si>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</si>
  <si>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</si>
  <si>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</si>
  <si>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</si>
  <si>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</si>
  <si>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</si>
  <si>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</si>
  <si>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</si>
  <si>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</si>
  <si>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</si>
  <si>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</si>
  <si>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</si>
  <si>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</si>
  <si>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</si>
  <si>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</si>
  <si>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</si>
  <si>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</si>
  <si>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</si>
  <si>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</si>
  <si>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</si>
  <si>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</si>
  <si>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</si>
  <si>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</si>
  <si>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</si>
  <si>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</si>
  <si>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</si>
  <si>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</si>
  <si>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</si>
  <si>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</si>
  <si>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</si>
  <si>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</si>
  <si>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</si>
  <si>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</si>
  <si>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</si>
  <si>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</si>
  <si>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</si>
  <si>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</si>
  <si>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</si>
  <si>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</si>
  <si>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</si>
  <si>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</si>
  <si>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</si>
  <si>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</si>
  <si>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</si>
  <si>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</si>
  <si>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</si>
  <si>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</si>
  <si>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</si>
  <si>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</si>
  <si>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</si>
  <si>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</si>
  <si>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</si>
  <si>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</si>
  <si>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</si>
  <si>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</si>
  <si>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</si>
  <si>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</si>
  <si>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</si>
  <si>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</si>
  <si>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</si>
  <si>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</si>
  <si>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</si>
  <si>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</si>
  <si>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</si>
  <si>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</si>
  <si>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</si>
  <si>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</si>
  <si>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</si>
  <si>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</si>
  <si>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</si>
  <si>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</si>
  <si>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</si>
  <si>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</si>
  <si>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</si>
  <si>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</si>
  <si>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</si>
  <si>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</si>
  <si>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</si>
  <si>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</si>
  <si>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</si>
  <si>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</si>
  <si>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</si>
  <si>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</si>
  <si>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</si>
  <si>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</si>
  <si>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</si>
  <si>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</si>
  <si>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</si>
  <si>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</si>
  <si>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</si>
  <si>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</si>
  <si>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</si>
  <si>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</si>
  <si>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</si>
  <si>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</si>
  <si>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</si>
  <si>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</si>
  <si>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</si>
  <si>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</si>
  <si>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</si>
  <si>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</si>
  <si>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</si>
  <si>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</si>
  <si>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</si>
  <si>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</si>
  <si>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</si>
  <si>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</si>
  <si>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</si>
  <si>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</si>
  <si>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</si>
  <si>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</si>
  <si>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</si>
  <si>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</si>
  <si>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</si>
  <si>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</si>
  <si>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</si>
  <si>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</si>
  <si>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</si>
  <si>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</si>
  <si>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</si>
  <si>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</si>
  <si>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</si>
  <si>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</si>
  <si>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</si>
  <si>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</si>
  <si>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</si>
  <si>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</si>
  <si>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</si>
  <si>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</si>
  <si>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</si>
  <si>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</si>
  <si>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</si>
  <si>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</si>
  <si>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</si>
  <si>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</si>
  <si>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</si>
  <si>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</si>
  <si>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</si>
  <si>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</si>
  <si>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</si>
  <si>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</si>
  <si>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</si>
  <si>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</si>
  <si>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</si>
  <si>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</si>
  <si>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</si>
  <si>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</si>
  <si>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</si>
  <si>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</si>
  <si>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</si>
  <si>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</si>
  <si>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</si>
  <si>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</si>
  <si>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</si>
  <si>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</si>
  <si>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</si>
  <si>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</si>
  <si>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</si>
  <si>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</si>
  <si>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</si>
  <si>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</si>
  <si>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</si>
  <si>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</si>
  <si>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</si>
  <si>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</si>
  <si>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</si>
  <si>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</si>
  <si>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</si>
  <si>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</si>
  <si>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</si>
  <si>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</si>
  <si>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</si>
  <si>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</si>
  <si>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</si>
  <si>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</si>
  <si>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</si>
  <si>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</si>
  <si>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</si>
  <si>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</si>
  <si>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</si>
  <si>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</si>
  <si>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</si>
  <si>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</si>
  <si>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</si>
  <si>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</si>
  <si>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</si>
  <si>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</si>
  <si>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</si>
  <si>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</si>
  <si>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</si>
  <si>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</si>
  <si>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</si>
  <si>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</si>
  <si>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</si>
  <si>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</si>
  <si>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</si>
  <si>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</si>
  <si>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</si>
  <si>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</si>
  <si>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</si>
  <si>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</si>
  <si>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</si>
  <si>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</si>
  <si>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</si>
  <si>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</si>
  <si>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</si>
  <si>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</si>
  <si>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</si>
  <si>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</si>
  <si>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</si>
  <si>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</si>
  <si>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</si>
  <si>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</si>
  <si>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</si>
  <si>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</si>
  <si>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</si>
  <si>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</si>
  <si>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</si>
  <si>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</si>
  <si>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</si>
  <si>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</si>
  <si>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</si>
  <si>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</si>
  <si>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</si>
  <si>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</si>
  <si>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</si>
  <si>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</si>
  <si>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</si>
  <si>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</si>
  <si>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</si>
  <si>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</si>
  <si>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</si>
  <si>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</si>
  <si>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</si>
  <si>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</si>
  <si>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</si>
  <si>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</si>
  <si>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</si>
  <si>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</si>
  <si>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</si>
  <si>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</si>
  <si>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</si>
  <si>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</si>
  <si>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</si>
  <si>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</si>
  <si>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</si>
  <si>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</si>
  <si>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</si>
  <si>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</si>
  <si>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</si>
  <si>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</si>
  <si>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</si>
  <si>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</si>
  <si>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</si>
  <si>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</si>
  <si>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</si>
  <si>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</si>
  <si>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</si>
  <si>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</si>
  <si>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</si>
  <si>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</si>
  <si>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</si>
  <si>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</si>
  <si>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</si>
  <si>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</si>
  <si>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</si>
  <si>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</si>
  <si>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</si>
  <si>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</si>
  <si>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</si>
  <si>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</si>
  <si>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</si>
  <si>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</si>
  <si>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</si>
  <si>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</si>
  <si>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</si>
  <si>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</si>
  <si>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</si>
  <si>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</si>
  <si>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</si>
  <si>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</si>
  <si>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</si>
  <si>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</si>
  <si>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</si>
  <si>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</si>
  <si>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</si>
  <si>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</si>
  <si>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</si>
  <si>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</si>
  <si>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</si>
  <si>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</si>
  <si>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</si>
  <si>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</si>
  <si>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</si>
  <si>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</si>
  <si>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</si>
  <si>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</si>
  <si>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</si>
  <si>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</si>
  <si>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</si>
  <si>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</si>
  <si>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</si>
  <si>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</si>
  <si>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</si>
  <si>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</si>
  <si>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</si>
  <si>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</si>
  <si>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</si>
  <si>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</si>
  <si>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</si>
  <si>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</si>
  <si>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</si>
  <si>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</si>
  <si>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</si>
  <si>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</si>
  <si>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</si>
  <si>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</si>
  <si>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</si>
  <si>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</si>
  <si>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</si>
  <si>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</si>
  <si>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</si>
  <si>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</si>
  <si>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</si>
  <si>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</si>
  <si>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</si>
  <si>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</si>
  <si>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</si>
  <si>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</si>
  <si>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</si>
  <si>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</si>
  <si>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</si>
  <si>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</si>
  <si>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</si>
  <si>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</si>
  <si>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</si>
  <si>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</si>
  <si>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</si>
  <si>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</si>
  <si>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</si>
  <si>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</si>
  <si>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CA-2016-145352</t>
  </si>
  <si>
    <t>CM-12385</t>
  </si>
  <si>
    <t>Christopher Martinez</t>
  </si>
  <si>
    <t>Atlanta</t>
  </si>
  <si>
    <t>OFF-AR-10001662</t>
  </si>
  <si>
    <t>Rogers Handheld Barrel Pencil Sharpener</t>
  </si>
  <si>
    <t>OFF-AR-10003856</t>
  </si>
  <si>
    <t>Newell 344</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</si>
  <si>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</si>
  <si>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</si>
  <si>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</si>
  <si>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</si>
  <si>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</si>
  <si>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</si>
  <si>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</si>
  <si>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</si>
  <si>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</si>
  <si>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</si>
  <si>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</si>
  <si>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</si>
  <si>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</si>
  <si>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</si>
  <si>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</si>
  <si>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</si>
  <si>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</si>
  <si>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</si>
  <si>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</si>
  <si>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</si>
  <si>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</si>
  <si>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</si>
  <si>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</si>
  <si>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</si>
  <si>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</si>
  <si>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</si>
  <si>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</si>
  <si>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</si>
  <si>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</si>
  <si>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</si>
  <si>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</si>
  <si>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</si>
  <si>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</si>
  <si>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</si>
  <si>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</si>
  <si>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MC-17605</t>
  </si>
  <si>
    <t>US-2017-139486</t>
  </si>
  <si>
    <t>TEC-PH-10003555</t>
  </si>
  <si>
    <t>Motorola HK250 Universal Bluetooth Headset</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</si>
  <si>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</si>
  <si>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</si>
  <si>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</si>
  <si>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</si>
  <si>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</si>
  <si>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</si>
  <si>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</si>
  <si>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</si>
  <si>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</si>
  <si>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</si>
  <si>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</si>
  <si>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</si>
  <si>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</si>
  <si>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</si>
  <si>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</si>
  <si>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</si>
  <si>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</si>
  <si>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</si>
  <si>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</si>
  <si>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</si>
  <si>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</si>
  <si>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</si>
  <si>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</si>
  <si>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</si>
  <si>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</si>
  <si>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</si>
  <si>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</si>
  <si>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</si>
  <si>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</si>
  <si>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</si>
  <si>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</si>
  <si>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</si>
  <si>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</si>
  <si>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</si>
  <si>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</si>
  <si>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</si>
  <si>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</si>
  <si>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</si>
  <si>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</si>
  <si>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</si>
  <si>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</si>
  <si>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</si>
  <si>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</si>
  <si>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</si>
  <si>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</si>
  <si>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</si>
  <si>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</si>
  <si>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</si>
  <si>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</si>
  <si>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</si>
  <si>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</si>
  <si>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</si>
  <si>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</si>
  <si>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</si>
  <si>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</si>
  <si>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</si>
  <si>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</si>
  <si>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</si>
  <si>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</si>
  <si>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</si>
  <si>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</si>
  <si>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</si>
  <si>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</si>
  <si>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</si>
  <si>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</si>
  <si>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LM-17065</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</si>
  <si>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</si>
  <si>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</si>
  <si>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</si>
  <si>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</si>
  <si>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</si>
  <si>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</si>
  <si>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</si>
  <si>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</si>
  <si>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</si>
  <si>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</si>
  <si>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</si>
  <si>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</si>
  <si>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</si>
  <si>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</si>
  <si>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</si>
  <si>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</si>
  <si>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</si>
  <si>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</si>
  <si>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</si>
  <si>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</si>
  <si>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</si>
  <si>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</si>
  <si>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</si>
  <si>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</si>
  <si>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</si>
  <si>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</si>
  <si>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</si>
  <si>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</si>
  <si>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</si>
  <si>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</si>
  <si>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</si>
  <si>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</si>
  <si>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</si>
  <si>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</si>
  <si>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</si>
  <si>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</si>
  <si>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</si>
  <si>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</si>
  <si>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</si>
  <si>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</si>
  <si>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</si>
  <si>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</si>
  <si>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</si>
  <si>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</si>
  <si>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</si>
  <si>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</si>
  <si>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</si>
  <si>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</si>
  <si>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</si>
  <si>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</si>
  <si>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</si>
  <si>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</si>
  <si>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</si>
  <si>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</si>
  <si>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</si>
  <si>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</si>
  <si>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</si>
  <si>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</si>
  <si>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</si>
  <si>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</si>
  <si>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</si>
  <si>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</si>
  <si>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</si>
  <si>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</si>
  <si>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</si>
  <si>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</si>
  <si>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</si>
  <si>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</si>
  <si>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</si>
  <si>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</si>
  <si>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</si>
  <si>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</si>
  <si>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</si>
  <si>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</si>
  <si>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</si>
  <si>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</si>
  <si>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</si>
  <si>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</si>
  <si>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</si>
  <si>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</si>
  <si>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</si>
  <si>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</si>
  <si>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</si>
  <si>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</si>
  <si>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</si>
  <si>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</si>
  <si>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</si>
  <si>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</si>
  <si>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</si>
  <si>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</si>
  <si>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</si>
  <si>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</si>
  <si>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</si>
  <si>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</si>
  <si>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</si>
  <si>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</si>
  <si>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</si>
  <si>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</si>
  <si>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</si>
  <si>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</si>
  <si>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</si>
  <si>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</si>
  <si>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</si>
  <si>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</si>
  <si>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</si>
  <si>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</si>
  <si>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</si>
  <si>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</si>
  <si>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</si>
  <si>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</si>
  <si>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</si>
  <si>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</si>
  <si>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</si>
  <si>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</si>
  <si>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</si>
  <si>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</si>
  <si>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</si>
  <si>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</si>
  <si>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</si>
  <si>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</si>
  <si>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</si>
  <si>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</si>
  <si>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</si>
  <si>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</si>
  <si>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</si>
  <si>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</si>
  <si>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</si>
  <si>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</si>
  <si>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</si>
  <si>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</si>
  <si>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</si>
  <si>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</si>
  <si>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</si>
  <si>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</si>
  <si>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</si>
  <si>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</si>
  <si>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</si>
  <si>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</si>
  <si>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</si>
  <si>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</si>
  <si>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</si>
  <si>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</si>
  <si>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</si>
  <si>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</si>
  <si>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</si>
  <si>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</si>
  <si>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</si>
  <si>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</si>
  <si>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</si>
  <si>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</si>
  <si>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</si>
  <si>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</si>
  <si>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</si>
  <si>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</si>
  <si>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</si>
  <si>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</si>
  <si>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</si>
  <si>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</si>
  <si>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</si>
  <si>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</si>
  <si>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</si>
  <si>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</si>
  <si>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</si>
  <si>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</si>
  <si>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</si>
  <si>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</si>
  <si>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</si>
  <si>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</si>
  <si>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</si>
  <si>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</si>
  <si>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</si>
  <si>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</si>
  <si>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</si>
  <si>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</si>
  <si>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</si>
  <si>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</si>
  <si>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</si>
  <si>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</si>
  <si>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</si>
  <si>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</si>
  <si>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</si>
  <si>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</si>
  <si>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</si>
  <si>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</si>
  <si>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</si>
  <si>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</si>
  <si>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</si>
  <si>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</si>
  <si>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</si>
  <si>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</si>
  <si>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</si>
  <si>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</si>
  <si>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</si>
  <si>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</si>
  <si>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</si>
  <si>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</si>
  <si>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</si>
  <si>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</si>
  <si>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</si>
  <si>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</si>
  <si>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</si>
  <si>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</si>
  <si>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</si>
  <si>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</si>
  <si>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</si>
  <si>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</si>
  <si>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</si>
  <si>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</si>
  <si>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</si>
  <si>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</si>
  <si>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</si>
  <si>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</si>
  <si>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</si>
  <si>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</si>
  <si>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</si>
  <si>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</si>
  <si>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</si>
  <si>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</si>
  <si>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</si>
  <si>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</si>
  <si>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</si>
  <si>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</si>
  <si>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</si>
  <si>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</si>
  <si>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</si>
  <si>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</si>
  <si>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</si>
  <si>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</si>
  <si>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</si>
  <si>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</si>
  <si>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</si>
  <si>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</si>
  <si>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</si>
  <si>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</si>
  <si>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</si>
  <si>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</si>
  <si>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</si>
  <si>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</si>
  <si>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</si>
  <si>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</si>
  <si>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</si>
  <si>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</si>
  <si>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</si>
  <si>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</si>
  <si>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</si>
  <si>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</si>
  <si>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</si>
  <si>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</si>
  <si>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</si>
  <si>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</si>
  <si>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</si>
  <si>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</si>
  <si>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</si>
  <si>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</si>
  <si>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</si>
  <si>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</si>
  <si>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</si>
  <si>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</si>
  <si>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</si>
  <si>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</si>
  <si>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</si>
  <si>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</si>
  <si>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</si>
  <si>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</si>
  <si>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</si>
  <si>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</si>
  <si>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</si>
  <si>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</si>
  <si>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SC-20305</t>
  </si>
  <si>
    <t>Sean Christensen</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</si>
  <si>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</si>
  <si>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</si>
  <si>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</si>
  <si>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</si>
  <si>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</si>
  <si>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</si>
  <si>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</si>
  <si>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</si>
  <si>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</si>
  <si>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</si>
  <si>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</si>
  <si>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</si>
  <si>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</si>
  <si>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</si>
  <si>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</si>
  <si>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</si>
  <si>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</si>
  <si>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</si>
  <si>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</si>
  <si>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</si>
  <si>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</si>
  <si>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</si>
  <si>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</si>
  <si>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</si>
  <si>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</si>
  <si>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</si>
  <si>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</si>
  <si>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</si>
  <si>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</si>
  <si>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</si>
  <si>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</si>
  <si>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</si>
  <si>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</si>
  <si>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</si>
  <si>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EH-14125</t>
  </si>
  <si>
    <t>Eugene Hildebrand</t>
  </si>
  <si>
    <t>CA-2016-146563</t>
  </si>
  <si>
    <t>OFF-ST-10001511</t>
  </si>
  <si>
    <t>Space Solutions Commercial Steel Shelving</t>
  </si>
  <si>
    <t>SP-20545</t>
  </si>
  <si>
    <t>Sibella Parks</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</si>
  <si>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</si>
  <si>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</si>
  <si>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</si>
  <si>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</si>
  <si>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</si>
  <si>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</si>
  <si>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</si>
  <si>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</si>
  <si>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</si>
  <si>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</si>
  <si>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</si>
  <si>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</si>
  <si>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</si>
  <si>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</si>
  <si>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</si>
  <si>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</si>
  <si>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</si>
  <si>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</si>
  <si>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</si>
  <si>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</si>
  <si>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</si>
  <si>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</si>
  <si>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</si>
  <si>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</si>
  <si>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</si>
  <si>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</si>
  <si>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</si>
  <si>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</si>
  <si>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</si>
  <si>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</si>
  <si>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</si>
  <si>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</si>
  <si>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</si>
  <si>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</si>
  <si>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</si>
  <si>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</si>
  <si>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</si>
  <si>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</si>
  <si>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</si>
  <si>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</si>
  <si>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</si>
  <si>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</si>
  <si>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</si>
  <si>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</si>
  <si>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</si>
  <si>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</si>
  <si>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</si>
  <si>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</si>
  <si>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</si>
  <si>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</si>
  <si>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</si>
  <si>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</si>
  <si>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</si>
  <si>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</si>
  <si>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</si>
  <si>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</si>
  <si>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</si>
  <si>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</si>
  <si>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</si>
  <si>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</si>
  <si>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</si>
  <si>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</si>
  <si>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</si>
  <si>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</si>
  <si>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</si>
  <si>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</si>
  <si>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</si>
  <si>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</si>
  <si>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</si>
  <si>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</si>
  <si>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</si>
  <si>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</si>
  <si>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</si>
  <si>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</si>
  <si>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</si>
  <si>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</si>
  <si>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</si>
  <si>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</si>
  <si>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</si>
  <si>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</si>
  <si>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</si>
  <si>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</si>
  <si>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</si>
  <si>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</si>
  <si>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</si>
  <si>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</si>
  <si>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</si>
  <si>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</si>
  <si>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</si>
  <si>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</si>
  <si>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</si>
  <si>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</si>
  <si>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</si>
  <si>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</si>
  <si>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</si>
  <si>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</si>
  <si>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</si>
  <si>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</si>
  <si>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</si>
  <si>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</si>
  <si>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</si>
  <si>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</si>
  <si>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</si>
  <si>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</si>
  <si>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</si>
  <si>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</si>
  <si>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</si>
  <si>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</si>
  <si>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</si>
  <si>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</si>
  <si>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</si>
  <si>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</si>
  <si>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</si>
  <si>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</si>
  <si>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</si>
  <si>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</si>
  <si>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</si>
  <si>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</si>
  <si>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</si>
  <si>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</si>
  <si>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</si>
  <si>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</si>
  <si>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</si>
  <si>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</si>
  <si>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</si>
  <si>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</si>
  <si>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</si>
  <si>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</si>
  <si>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</si>
  <si>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</si>
  <si>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SV-20365</t>
  </si>
  <si>
    <t>Seth Vernon</t>
  </si>
  <si>
    <t>CA-2018-108910</t>
  </si>
  <si>
    <t>FUR-FU-10002253</t>
  </si>
  <si>
    <t>Howard Miller 13" Diameter Pewter Finish Round Wall Clock</t>
  </si>
  <si>
    <t>CK-12325</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</si>
  <si>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</si>
  <si>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</si>
  <si>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</si>
  <si>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</si>
  <si>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</si>
  <si>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</si>
  <si>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</si>
  <si>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</si>
  <si>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</si>
  <si>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</si>
  <si>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</si>
  <si>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</si>
  <si>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</si>
  <si>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</si>
  <si>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</si>
  <si>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</si>
  <si>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</si>
  <si>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</si>
  <si>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</si>
  <si>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</si>
  <si>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</si>
  <si>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</si>
  <si>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</si>
  <si>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</si>
  <si>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</si>
  <si>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</si>
  <si>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</si>
  <si>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</si>
  <si>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</si>
  <si>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</si>
  <si>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</si>
  <si>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</si>
  <si>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</si>
  <si>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</si>
  <si>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</si>
  <si>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</si>
  <si>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</si>
  <si>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</si>
  <si>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</si>
  <si>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</si>
  <si>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</si>
  <si>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</si>
  <si>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</si>
  <si>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</si>
  <si>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</si>
  <si>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</si>
  <si>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</si>
  <si>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</si>
  <si>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</si>
  <si>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</si>
  <si>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</si>
  <si>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</si>
  <si>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</si>
  <si>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</si>
  <si>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</si>
  <si>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</si>
  <si>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</si>
  <si>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</si>
  <si>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</si>
  <si>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</si>
  <si>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</si>
  <si>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</si>
  <si>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</si>
  <si>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</si>
  <si>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</si>
  <si>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</si>
  <si>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</si>
  <si>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</si>
  <si>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</si>
  <si>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</si>
  <si>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</si>
  <si>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</si>
  <si>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</si>
  <si>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</si>
  <si>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</si>
  <si>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</si>
  <si>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</si>
  <si>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</si>
  <si>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</si>
  <si>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</si>
  <si>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</si>
  <si>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</si>
  <si>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</si>
  <si>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</si>
  <si>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</si>
  <si>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CA-2017-140928</t>
  </si>
  <si>
    <t>FUR-TA-10001095</t>
  </si>
  <si>
    <t>Chromcraft Round Conference Tables</t>
  </si>
  <si>
    <t>DC-13285</t>
  </si>
  <si>
    <t>Debra Catini</t>
  </si>
  <si>
    <t>CP-12340</t>
  </si>
  <si>
    <t>Christine Phan</t>
  </si>
  <si>
    <t>BF-11020</t>
  </si>
  <si>
    <t>Barry Französisch</t>
  </si>
  <si>
    <t>CA-2018-126046</t>
  </si>
  <si>
    <t>OFF-LA-10004484</t>
  </si>
  <si>
    <t>Avery 476</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</si>
  <si>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</si>
  <si>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</si>
  <si>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</si>
  <si>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</si>
  <si>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</si>
  <si>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</si>
  <si>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</si>
  <si>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</si>
  <si>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</si>
  <si>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</si>
  <si>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</si>
  <si>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</si>
  <si>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</si>
  <si>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</si>
  <si>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</si>
  <si>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</si>
  <si>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</si>
  <si>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</si>
  <si>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</si>
  <si>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</si>
  <si>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</si>
  <si>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</si>
  <si>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</si>
  <si>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</si>
  <si>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</si>
  <si>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</si>
  <si>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</si>
  <si>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</si>
  <si>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</si>
  <si>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</si>
  <si>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</si>
  <si>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</si>
  <si>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</si>
  <si>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</si>
  <si>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</si>
  <si>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</si>
  <si>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</si>
  <si>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</si>
  <si>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</si>
  <si>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</si>
  <si>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</si>
  <si>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</si>
  <si>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</si>
  <si>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</si>
  <si>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</si>
  <si>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</si>
  <si>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</si>
  <si>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</si>
  <si>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</si>
  <si>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</si>
  <si>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</si>
  <si>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</si>
  <si>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</si>
  <si>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</si>
  <si>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</si>
  <si>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</si>
  <si>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</si>
  <si>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</si>
  <si>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</si>
  <si>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</si>
  <si>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</si>
  <si>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</si>
  <si>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</si>
  <si>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</si>
  <si>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</si>
  <si>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</si>
  <si>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</si>
  <si>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</si>
  <si>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</si>
  <si>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</si>
  <si>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</si>
  <si>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</si>
  <si>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</si>
  <si>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</si>
  <si>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</si>
  <si>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</si>
  <si>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</si>
  <si>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</si>
  <si>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RH-19495</t>
  </si>
  <si>
    <t>Rick Hansen</t>
  </si>
  <si>
    <t>CA-2016-124653</t>
  </si>
  <si>
    <t>OFF-PA-10000176</t>
  </si>
  <si>
    <t>Xerox 1887</t>
  </si>
  <si>
    <t>OFF-LA-10002271</t>
  </si>
  <si>
    <t>Smead Alpha-Z Color-Coded Second Alphabetical Labels and Starter Set</t>
  </si>
  <si>
    <t>CD-11920</t>
  </si>
  <si>
    <t>Carlos Daly</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</si>
  <si>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</si>
  <si>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</si>
  <si>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</si>
  <si>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</si>
  <si>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</si>
  <si>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</si>
  <si>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</si>
  <si>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</si>
  <si>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</si>
  <si>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</si>
  <si>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</si>
  <si>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</si>
  <si>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</si>
  <si>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</si>
  <si>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</si>
  <si>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</si>
  <si>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</si>
  <si>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</si>
  <si>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</si>
  <si>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</si>
  <si>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</si>
  <si>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</si>
  <si>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</si>
  <si>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</si>
  <si>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</si>
  <si>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</si>
  <si>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</si>
  <si>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</si>
  <si>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</si>
  <si>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</si>
  <si>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</si>
  <si>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</si>
  <si>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</si>
  <si>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</si>
  <si>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</si>
  <si>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</si>
  <si>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</si>
  <si>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</si>
  <si>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</si>
  <si>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</si>
  <si>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</si>
  <si>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</si>
  <si>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</si>
  <si>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</si>
  <si>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</si>
  <si>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</si>
  <si>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</si>
  <si>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</si>
  <si>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</si>
  <si>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</si>
  <si>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</si>
  <si>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</si>
  <si>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</si>
  <si>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</si>
  <si>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</si>
  <si>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</si>
  <si>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</si>
  <si>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</si>
  <si>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</si>
  <si>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</si>
  <si>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</si>
  <si>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</si>
  <si>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</si>
  <si>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</si>
  <si>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</si>
  <si>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</si>
  <si>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</si>
  <si>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</si>
  <si>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</si>
  <si>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</si>
  <si>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</si>
  <si>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</si>
  <si>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</si>
  <si>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</si>
  <si>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</si>
  <si>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</si>
  <si>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</si>
  <si>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</si>
  <si>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</si>
  <si>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</si>
  <si>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</si>
  <si>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</si>
  <si>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</si>
  <si>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</si>
  <si>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</si>
  <si>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</si>
  <si>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</si>
  <si>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</si>
  <si>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</si>
  <si>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</si>
  <si>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</si>
  <si>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</si>
  <si>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</si>
  <si>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</si>
  <si>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</si>
  <si>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</si>
  <si>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</si>
  <si>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</si>
  <si>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</si>
  <si>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</si>
  <si>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</si>
  <si>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</si>
  <si>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</si>
  <si>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</si>
  <si>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</si>
  <si>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</si>
  <si>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</si>
  <si>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</si>
  <si>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</si>
  <si>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</si>
  <si>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</si>
  <si>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</si>
  <si>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</si>
  <si>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</si>
  <si>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</si>
  <si>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</si>
  <si>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</si>
  <si>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</si>
  <si>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</si>
  <si>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</si>
  <si>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</si>
  <si>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</si>
  <si>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</si>
  <si>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</si>
  <si>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</si>
  <si>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</si>
  <si>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</si>
  <si>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</si>
  <si>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</si>
  <si>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</si>
  <si>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</si>
  <si>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</si>
  <si>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</si>
  <si>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</si>
  <si>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</si>
  <si>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CA-2015-125612</t>
  </si>
  <si>
    <t>BK-11260</t>
  </si>
  <si>
    <t>Berenike Kampe</t>
  </si>
  <si>
    <t>OFF-PA-10001019</t>
  </si>
  <si>
    <t>Xerox 1884</t>
  </si>
  <si>
    <t>OFF-SU-10002537</t>
  </si>
  <si>
    <t>Acme Box Cutter Scissors</t>
  </si>
  <si>
    <t>OFF-ST-10003221</t>
  </si>
  <si>
    <t>Staple magnet</t>
  </si>
  <si>
    <t>SJ-20125</t>
  </si>
  <si>
    <t>Sanjit Jacobs</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</si>
  <si>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</si>
  <si>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</si>
  <si>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</si>
  <si>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</si>
  <si>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</si>
  <si>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</si>
  <si>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</si>
  <si>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</si>
  <si>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</si>
  <si>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</si>
  <si>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</si>
  <si>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</si>
  <si>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</si>
  <si>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</si>
  <si>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</si>
  <si>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</si>
  <si>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</si>
  <si>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</si>
  <si>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</si>
  <si>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</si>
  <si>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</si>
  <si>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</si>
  <si>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</si>
  <si>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</si>
  <si>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</si>
  <si>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</si>
  <si>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</si>
  <si>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</si>
  <si>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</si>
  <si>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</si>
  <si>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</si>
  <si>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</si>
  <si>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</si>
  <si>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</si>
  <si>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</si>
  <si>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</si>
  <si>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</si>
  <si>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</si>
  <si>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SM-20005</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</si>
  <si>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</si>
  <si>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</si>
  <si>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</si>
  <si>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</si>
  <si>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</si>
  <si>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</si>
  <si>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</si>
  <si>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</si>
  <si>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</si>
  <si>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</si>
  <si>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</si>
  <si>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</si>
  <si>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</si>
  <si>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</si>
  <si>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PM-19135</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</si>
  <si>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</si>
  <si>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</si>
  <si>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</si>
  <si>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</si>
  <si>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</si>
  <si>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</si>
  <si>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</si>
  <si>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</si>
  <si>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</si>
  <si>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</si>
  <si>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</si>
  <si>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</si>
  <si>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</si>
  <si>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EL-13735</t>
  </si>
  <si>
    <t>Ed Ludwig</t>
  </si>
  <si>
    <t>Maryland</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</si>
  <si>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</si>
  <si>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</si>
  <si>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</si>
  <si>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</si>
  <si>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</si>
  <si>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</si>
  <si>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</si>
  <si>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</si>
  <si>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</si>
  <si>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</si>
  <si>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</si>
  <si>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</si>
  <si>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</si>
  <si>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</si>
  <si>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</si>
  <si>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</si>
  <si>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</si>
  <si>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</si>
  <si>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</si>
  <si>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</si>
  <si>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</si>
  <si>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</si>
  <si>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</si>
  <si>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</si>
  <si>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</si>
  <si>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</si>
  <si>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</si>
  <si>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</si>
  <si>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</si>
  <si>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</si>
  <si>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</si>
  <si>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</si>
  <si>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</si>
  <si>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</si>
  <si>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</si>
  <si>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</si>
  <si>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</si>
  <si>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</si>
  <si>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</si>
  <si>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</si>
  <si>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</si>
  <si>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</si>
  <si>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</si>
  <si>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</si>
  <si>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</si>
  <si>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</si>
  <si>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</si>
  <si>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</si>
  <si>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</si>
  <si>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</si>
  <si>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</si>
  <si>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</si>
  <si>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</si>
  <si>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</si>
  <si>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</si>
  <si>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</si>
  <si>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</si>
  <si>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</si>
  <si>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SC-20050</t>
  </si>
  <si>
    <t>Sample Company A</t>
  </si>
  <si>
    <t>US-2015-141215</t>
  </si>
  <si>
    <t>FUR-TA-10001520</t>
  </si>
  <si>
    <t>Lesro Sheffield Collection Coffee Table, End Table, Center Table, Corner Table</t>
  </si>
  <si>
    <t>CA-2017-165218</t>
  </si>
  <si>
    <t>RW-19630</t>
  </si>
  <si>
    <t>Rob Williams</t>
  </si>
  <si>
    <t>OFF-ST-10001558</t>
  </si>
  <si>
    <t>Acco Perma 4000 Stacking Storage Drawers</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</si>
  <si>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</si>
  <si>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</si>
  <si>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</si>
  <si>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</si>
  <si>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</si>
  <si>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</si>
  <si>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</si>
  <si>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</si>
  <si>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</si>
  <si>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</si>
  <si>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</si>
  <si>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</si>
  <si>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CA-2015-132962</t>
  </si>
  <si>
    <t>JM-15535</t>
  </si>
  <si>
    <t>Jessica Myrick</t>
  </si>
  <si>
    <t>OFF-PA-10003543</t>
  </si>
  <si>
    <t>Xerox 1985</t>
  </si>
  <si>
    <t>TEC-AC-10004353</t>
  </si>
  <si>
    <t>Hypercom P1300 Pinpad</t>
  </si>
  <si>
    <t>JJ-15760</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</si>
  <si>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</si>
  <si>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</si>
  <si>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</si>
  <si>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</si>
  <si>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</si>
  <si>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</si>
  <si>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</si>
  <si>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</si>
  <si>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</si>
  <si>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</si>
  <si>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</si>
  <si>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</si>
  <si>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</si>
  <si>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</si>
  <si>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</si>
  <si>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</si>
  <si>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</si>
  <si>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</si>
  <si>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</si>
  <si>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</si>
  <si>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</si>
  <si>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</si>
  <si>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</si>
  <si>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</si>
  <si>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</si>
  <si>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</si>
  <si>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</si>
  <si>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</si>
  <si>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</si>
  <si>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</si>
  <si>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</si>
  <si>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</si>
  <si>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</si>
  <si>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</si>
  <si>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</si>
  <si>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</si>
  <si>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</si>
  <si>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</si>
  <si>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</si>
  <si>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</si>
  <si>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</si>
  <si>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</si>
  <si>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</si>
  <si>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</si>
  <si>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</si>
  <si>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</si>
  <si>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</si>
  <si>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</si>
  <si>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</si>
  <si>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</si>
  <si>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</si>
  <si>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</si>
  <si>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GH-14665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</si>
  <si>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</si>
  <si>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</si>
  <si>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</si>
  <si>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</si>
  <si>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</si>
  <si>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</si>
  <si>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</si>
  <si>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</si>
  <si>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</si>
  <si>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</si>
  <si>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</si>
  <si>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</si>
  <si>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</si>
  <si>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</si>
  <si>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LW-16990</t>
  </si>
  <si>
    <t>Lindsay Williams</t>
  </si>
  <si>
    <t>CA-2016-160059</t>
  </si>
  <si>
    <t>TB-21190</t>
  </si>
  <si>
    <t>Thomas Brumley</t>
  </si>
  <si>
    <t>OFF-BI-10000145</t>
  </si>
  <si>
    <t>Zipper Ring Binder Pockets</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</si>
  <si>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</si>
  <si>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</si>
  <si>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</si>
  <si>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</si>
  <si>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</si>
  <si>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</si>
  <si>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</si>
  <si>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</si>
  <si>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</si>
  <si>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</si>
  <si>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</si>
  <si>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</si>
  <si>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</si>
  <si>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</si>
  <si>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</si>
  <si>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</si>
  <si>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</si>
  <si>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</si>
  <si>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US-2018-100209</t>
  </si>
  <si>
    <t>OFF-BI-10002012</t>
  </si>
  <si>
    <t>Wilson Jones Easy Flow II Sheet Lifters</t>
  </si>
  <si>
    <t>RW-19690</t>
  </si>
  <si>
    <t>Robert Waldorf</t>
  </si>
  <si>
    <t>CA-2016-157035</t>
  </si>
  <si>
    <t>OFF-PA-10004156</t>
  </si>
  <si>
    <t>Xerox 188</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</si>
  <si>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</si>
  <si>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</si>
  <si>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</si>
  <si>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</si>
  <si>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</si>
  <si>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</si>
  <si>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</si>
  <si>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</si>
  <si>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</si>
  <si>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</si>
  <si>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</si>
  <si>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</si>
  <si>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</si>
  <si>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</si>
  <si>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</si>
  <si>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</si>
  <si>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</si>
  <si>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</si>
  <si>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</si>
  <si>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</si>
  <si>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</si>
  <si>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</si>
  <si>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SL-20155</t>
  </si>
  <si>
    <t>Sara Luxemburg</t>
  </si>
  <si>
    <t>CA-2017-105585</t>
  </si>
  <si>
    <t>OFF-PA-10003625</t>
  </si>
  <si>
    <t>Xerox 1979</t>
  </si>
  <si>
    <t>CA-2015-117639</t>
  </si>
  <si>
    <t>MW-18235</t>
  </si>
  <si>
    <t>Mitch Willingham</t>
  </si>
  <si>
    <t>Virginia Beach</t>
  </si>
  <si>
    <t>OFF-BI-10003925</t>
  </si>
  <si>
    <t>Fellowes PB300 Plastic Comb Binding Machine</t>
  </si>
  <si>
    <t>CA-2016-162537</t>
  </si>
  <si>
    <t>RD-19585</t>
  </si>
  <si>
    <t>Rob Dowd</t>
  </si>
  <si>
    <t>OFF-EN-10003862</t>
  </si>
  <si>
    <t>Laser &amp; Ink Jet Business Envelopes</t>
  </si>
  <si>
    <t>OFF-ST-10004258</t>
  </si>
  <si>
    <t>Portable Personal File Box</t>
  </si>
  <si>
    <t>FUR-FU-10002885</t>
  </si>
  <si>
    <t>Magna Visual Magnetic Picture Hangers</t>
  </si>
  <si>
    <t>CA-2016-124891</t>
  </si>
  <si>
    <t>TEC-AC-10003033</t>
  </si>
  <si>
    <t>Plantronics CS510 - Over-the-Head monaural Wireless Headset System</t>
  </si>
  <si>
    <t>CA-2016-126445</t>
  </si>
  <si>
    <t>RA-19945</t>
  </si>
  <si>
    <t>Ryan Akin</t>
  </si>
  <si>
    <t>Murrieta</t>
  </si>
  <si>
    <t>OFF-ST-10000046</t>
  </si>
  <si>
    <t>Fellowes Super Stor/Drawer Files</t>
  </si>
  <si>
    <t>CA-2016-105312</t>
  </si>
  <si>
    <t>MT-17815</t>
  </si>
  <si>
    <t>Meg Tillman</t>
  </si>
  <si>
    <t>OFF-BI-10002049</t>
  </si>
  <si>
    <t>UniKeep View Case Binders</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</si>
  <si>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</si>
  <si>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</si>
  <si>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</si>
  <si>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</si>
  <si>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</si>
  <si>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</si>
  <si>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</si>
  <si>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</si>
  <si>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</si>
  <si>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</si>
  <si>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</si>
  <si>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</si>
  <si>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</si>
  <si>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</si>
  <si>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</si>
  <si>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</si>
  <si>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</si>
  <si>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</si>
  <si>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</si>
  <si>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</si>
  <si>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</si>
  <si>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</si>
  <si>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</si>
  <si>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</si>
  <si>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</si>
  <si>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</si>
  <si>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</si>
  <si>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</si>
  <si>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</si>
  <si>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</si>
  <si>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</si>
  <si>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</si>
  <si>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</si>
  <si>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</si>
  <si>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</si>
  <si>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</si>
  <si>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</si>
  <si>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</si>
  <si>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</si>
  <si>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</si>
  <si>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</si>
  <si>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</si>
  <si>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</si>
  <si>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</si>
  <si>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</si>
  <si>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</si>
  <si>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</si>
  <si>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</si>
  <si>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</si>
  <si>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</si>
  <si>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</si>
  <si>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</si>
  <si>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</si>
  <si>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</si>
  <si>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</si>
  <si>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</si>
  <si>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</si>
  <si>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</si>
  <si>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</si>
  <si>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</si>
  <si>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</si>
  <si>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</si>
  <si>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</si>
  <si>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</si>
  <si>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</si>
  <si>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</si>
  <si>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</si>
  <si>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</si>
  <si>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</si>
  <si>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</si>
  <si>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</si>
  <si>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</si>
  <si>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</si>
  <si>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RD-19660</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</si>
  <si>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</si>
  <si>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</si>
  <si>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</si>
  <si>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</si>
  <si>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</si>
  <si>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</si>
  <si>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</si>
  <si>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</si>
  <si>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</si>
  <si>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</si>
  <si>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</si>
  <si>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</si>
  <si>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</si>
  <si>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</si>
  <si>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</si>
  <si>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</si>
  <si>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</si>
  <si>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</si>
  <si>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</si>
  <si>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</si>
  <si>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</si>
  <si>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</si>
  <si>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</si>
  <si>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</si>
  <si>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</si>
  <si>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</si>
  <si>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</si>
  <si>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</si>
  <si>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</si>
  <si>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</si>
  <si>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</si>
  <si>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</si>
  <si>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</si>
  <si>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</si>
  <si>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</si>
  <si>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</si>
  <si>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</si>
  <si>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</si>
  <si>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</si>
  <si>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</si>
  <si>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</si>
  <si>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</si>
  <si>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</si>
  <si>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</si>
  <si>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</si>
  <si>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</si>
  <si>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</si>
  <si>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</si>
  <si>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</si>
  <si>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</si>
  <si>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</si>
  <si>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</si>
  <si>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</si>
  <si>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</si>
  <si>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</si>
  <si>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</si>
  <si>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</si>
  <si>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</si>
  <si>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</si>
  <si>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</si>
  <si>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SN-20560</t>
  </si>
  <si>
    <t>Skye Norling</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</si>
  <si>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</si>
  <si>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</si>
  <si>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</si>
  <si>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</si>
  <si>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</si>
  <si>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</si>
  <si>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</si>
  <si>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</si>
  <si>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</si>
  <si>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</si>
  <si>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</si>
  <si>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</si>
  <si>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</si>
  <si>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</si>
  <si>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</si>
  <si>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</si>
  <si>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</si>
  <si>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</si>
  <si>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</si>
  <si>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</si>
  <si>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</si>
  <si>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</si>
  <si>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</si>
  <si>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</si>
  <si>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</si>
  <si>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</si>
  <si>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</si>
  <si>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</si>
  <si>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</si>
  <si>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</si>
  <si>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</si>
  <si>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</si>
  <si>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</si>
  <si>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</si>
  <si>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</si>
  <si>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</si>
  <si>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</si>
  <si>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</si>
  <si>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</si>
  <si>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</si>
  <si>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</si>
  <si>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</si>
  <si>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</si>
  <si>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</si>
  <si>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</si>
  <si>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</si>
  <si>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</si>
  <si>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</si>
  <si>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</si>
  <si>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</si>
  <si>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</si>
  <si>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</si>
  <si>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</si>
  <si>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</si>
  <si>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</si>
  <si>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</si>
  <si>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</si>
  <si>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</si>
  <si>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</si>
  <si>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</si>
  <si>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</si>
  <si>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</si>
  <si>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</si>
  <si>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</si>
  <si>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</si>
  <si>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</si>
  <si>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</si>
  <si>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</si>
  <si>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</si>
  <si>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</si>
  <si>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</si>
  <si>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</si>
  <si>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</si>
  <si>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</si>
  <si>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</si>
  <si>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</si>
  <si>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</si>
  <si>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</si>
  <si>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</si>
  <si>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</si>
  <si>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</si>
  <si>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</si>
  <si>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</si>
  <si>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</si>
  <si>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</si>
  <si>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</si>
  <si>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</si>
  <si>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</si>
  <si>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</si>
  <si>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</si>
  <si>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</si>
  <si>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</si>
  <si>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</si>
  <si>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</si>
  <si>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</si>
  <si>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</si>
  <si>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</si>
  <si>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</si>
  <si>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</si>
  <si>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</si>
  <si>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</si>
  <si>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</si>
  <si>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</si>
  <si>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</si>
  <si>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</si>
  <si>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</si>
  <si>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</si>
  <si>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</si>
  <si>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</si>
  <si>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</si>
  <si>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</si>
  <si>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CA-2017-112102</t>
  </si>
  <si>
    <t>FUR-TA-10004086</t>
  </si>
  <si>
    <t>KI Adjustable-Height Table</t>
  </si>
  <si>
    <t>OFF-PA-10000100</t>
  </si>
  <si>
    <t>Xerox 1945</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</si>
  <si>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</si>
  <si>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</si>
  <si>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</si>
  <si>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</si>
  <si>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</si>
  <si>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</si>
  <si>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</si>
  <si>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</si>
  <si>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</si>
  <si>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</si>
  <si>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</si>
  <si>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</si>
  <si>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</si>
  <si>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</si>
  <si>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</si>
  <si>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</si>
  <si>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</si>
  <si>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</si>
  <si>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</si>
  <si>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</si>
  <si>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</si>
  <si>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</si>
  <si>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</si>
  <si>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</si>
  <si>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</si>
  <si>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</si>
  <si>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</si>
  <si>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</si>
  <si>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</si>
  <si>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</si>
  <si>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</si>
  <si>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</si>
  <si>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</si>
  <si>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</si>
  <si>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</si>
  <si>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</si>
  <si>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</si>
  <si>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</si>
  <si>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</si>
  <si>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</si>
  <si>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</si>
  <si>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</si>
  <si>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</si>
  <si>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</si>
  <si>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</si>
  <si>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</si>
  <si>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</si>
  <si>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</si>
  <si>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</si>
  <si>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</si>
  <si>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</si>
  <si>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</si>
  <si>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AA-10315</t>
  </si>
  <si>
    <t>Alex Avila</t>
  </si>
  <si>
    <t>LT-16765</t>
  </si>
  <si>
    <t>CA-2015-127964</t>
  </si>
  <si>
    <t>AP-10720</t>
  </si>
  <si>
    <t>Anne Pryor</t>
  </si>
  <si>
    <t>TEC-PH-10004700</t>
  </si>
  <si>
    <t>PowerGen Dual USB Car Charger</t>
  </si>
  <si>
    <t>OFF-BI-10003429</t>
  </si>
  <si>
    <t>Cardinal HOLDit! Binder Insert Strips,Extra Strips</t>
  </si>
  <si>
    <t>PM-18940</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</si>
  <si>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</si>
  <si>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</si>
  <si>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</si>
  <si>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</si>
  <si>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</si>
  <si>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</si>
  <si>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</si>
  <si>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</si>
  <si>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</si>
  <si>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</si>
  <si>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</si>
  <si>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</si>
  <si>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</si>
  <si>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</si>
  <si>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CA-2016-132080</t>
  </si>
  <si>
    <t>OFF-BI-10003694</t>
  </si>
  <si>
    <t>Avery 3 1/2" Diskette Storage Pages, 10/Pack</t>
  </si>
  <si>
    <t>CA-2015-120243</t>
  </si>
  <si>
    <t>AT-10435</t>
  </si>
  <si>
    <t>Alyssa Tate</t>
  </si>
  <si>
    <t>OFF-LA-10004425</t>
  </si>
  <si>
    <t>Staple-on labels</t>
  </si>
  <si>
    <t>CA-2017-113621</t>
  </si>
  <si>
    <t>Rockville</t>
  </si>
  <si>
    <t>FUR-CH-10001270</t>
  </si>
  <si>
    <t>Harbour Creations Steel Folding Chair</t>
  </si>
  <si>
    <t>CA-12055</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</si>
  <si>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</si>
  <si>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</si>
  <si>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</si>
  <si>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</si>
  <si>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</si>
  <si>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</si>
  <si>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</si>
  <si>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</si>
  <si>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</si>
  <si>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</si>
  <si>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</si>
  <si>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</si>
  <si>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</si>
  <si>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</si>
  <si>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</si>
  <si>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</si>
  <si>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</si>
  <si>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</si>
  <si>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</si>
  <si>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</si>
  <si>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</si>
  <si>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</si>
  <si>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</si>
  <si>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</si>
  <si>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</si>
  <si>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</si>
  <si>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</si>
  <si>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</si>
  <si>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</si>
  <si>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</si>
  <si>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</si>
  <si>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</si>
  <si>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</si>
  <si>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</si>
  <si>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</si>
  <si>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</si>
  <si>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LH-16750</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</si>
  <si>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</si>
  <si>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</si>
  <si>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</si>
  <si>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</si>
  <si>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</si>
  <si>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</si>
  <si>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</si>
  <si>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</si>
  <si>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</si>
  <si>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</si>
  <si>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</si>
  <si>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</si>
  <si>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</si>
  <si>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</si>
  <si>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</si>
  <si>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</si>
  <si>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</si>
  <si>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</si>
  <si>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</si>
  <si>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</si>
  <si>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</si>
  <si>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</si>
  <si>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</si>
  <si>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</si>
  <si>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</si>
  <si>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</si>
  <si>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</si>
  <si>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</si>
  <si>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</si>
  <si>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</si>
  <si>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</si>
  <si>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</si>
  <si>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</si>
  <si>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</si>
  <si>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</si>
  <si>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</si>
  <si>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</si>
  <si>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</si>
  <si>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</si>
  <si>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</si>
  <si>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</si>
  <si>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</si>
  <si>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</si>
  <si>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</si>
  <si>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</si>
  <si>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</si>
  <si>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</si>
  <si>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</si>
  <si>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</si>
  <si>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</si>
  <si>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</si>
  <si>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</si>
  <si>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</si>
  <si>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</si>
  <si>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</si>
  <si>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</si>
  <si>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</si>
  <si>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</si>
  <si>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</si>
  <si>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</si>
  <si>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</si>
  <si>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</si>
  <si>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</si>
  <si>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</si>
  <si>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</si>
  <si>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</si>
  <si>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</si>
  <si>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</si>
  <si>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</si>
  <si>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</si>
  <si>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</si>
  <si>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</si>
  <si>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</si>
  <si>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</si>
  <si>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</si>
  <si>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</si>
  <si>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</si>
  <si>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</si>
  <si>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</si>
  <si>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</si>
  <si>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</si>
  <si>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</si>
  <si>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</si>
  <si>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</si>
  <si>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</si>
  <si>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</si>
  <si>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</si>
  <si>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</si>
  <si>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</si>
  <si>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</si>
  <si>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</si>
  <si>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</si>
  <si>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</si>
  <si>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</si>
  <si>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</si>
  <si>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</si>
  <si>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</si>
  <si>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</si>
  <si>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</si>
  <si>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</si>
  <si>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</si>
  <si>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</si>
  <si>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</si>
  <si>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</si>
  <si>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CC-12220</t>
  </si>
  <si>
    <t>Chris Cortes</t>
  </si>
  <si>
    <t>CA-2018-110380</t>
  </si>
  <si>
    <t>PF-19225</t>
  </si>
  <si>
    <t>Phillip Flathmann</t>
  </si>
  <si>
    <t>OFF-AR-10000422</t>
  </si>
  <si>
    <t>Pencil and Crayon Sharpener</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</si>
  <si>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</si>
  <si>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</si>
  <si>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</si>
  <si>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</si>
  <si>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</si>
  <si>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</si>
  <si>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</si>
  <si>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</si>
  <si>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</si>
  <si>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</si>
  <si>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</si>
  <si>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</si>
  <si>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</si>
  <si>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</si>
  <si>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</si>
  <si>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</si>
  <si>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</si>
  <si>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</si>
  <si>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</si>
  <si>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</si>
  <si>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</si>
  <si>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</si>
  <si>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</si>
  <si>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</si>
  <si>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</si>
  <si>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</si>
  <si>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</si>
  <si>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</si>
  <si>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</si>
  <si>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</si>
  <si>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</si>
  <si>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</si>
  <si>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</si>
  <si>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</si>
  <si>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</si>
  <si>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</si>
  <si>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</si>
  <si>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</si>
  <si>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</si>
  <si>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</si>
  <si>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</si>
  <si>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</si>
  <si>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</si>
  <si>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</si>
  <si>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</si>
  <si>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</si>
  <si>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</si>
  <si>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</si>
  <si>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</si>
  <si>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</si>
  <si>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</si>
  <si>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</si>
  <si>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</si>
  <si>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</si>
  <si>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</si>
  <si>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</si>
  <si>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</si>
  <si>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JH-16180</t>
  </si>
  <si>
    <t>Pueblo</t>
  </si>
  <si>
    <t>EB-13975</t>
  </si>
  <si>
    <t>QJ-19255</t>
  </si>
  <si>
    <t>Quincy Jones</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</si>
  <si>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</si>
  <si>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</si>
  <si>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</si>
  <si>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</si>
  <si>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</si>
  <si>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</si>
  <si>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</si>
  <si>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</si>
  <si>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</si>
  <si>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</si>
  <si>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</si>
  <si>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</si>
  <si>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</si>
  <si>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</si>
  <si>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</si>
  <si>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</si>
  <si>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</si>
  <si>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</si>
  <si>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</si>
  <si>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</si>
  <si>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</si>
  <si>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</si>
  <si>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</si>
  <si>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</si>
  <si>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</si>
  <si>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</si>
  <si>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</si>
  <si>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</si>
  <si>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</si>
  <si>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</si>
  <si>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</si>
  <si>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</si>
  <si>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</si>
  <si>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LW-16825</t>
  </si>
  <si>
    <t>Deltona</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</si>
  <si>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</si>
  <si>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</si>
  <si>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</si>
  <si>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</si>
  <si>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</si>
  <si>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</si>
  <si>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</si>
  <si>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</si>
  <si>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</si>
  <si>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</si>
  <si>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</si>
  <si>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</si>
  <si>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</si>
  <si>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GZ-14545</t>
  </si>
  <si>
    <t>US-2015-117058</t>
  </si>
  <si>
    <t>OFF-BI-10004139</t>
  </si>
  <si>
    <t>Fellowes Presentation Covers for Comb Binding Machines</t>
  </si>
  <si>
    <t>CP-12085</t>
  </si>
  <si>
    <t>Cathy Prescott</t>
  </si>
  <si>
    <t>CA-2018-106033</t>
  </si>
  <si>
    <t>FG-14260</t>
  </si>
  <si>
    <t>Frank Gastineau</t>
  </si>
  <si>
    <t>OFF-AR-10002818</t>
  </si>
  <si>
    <t>Panasonic KP-310 Heavy-Duty Electric Pencil Sharpener</t>
  </si>
  <si>
    <t>LD-17005</t>
  </si>
  <si>
    <t>AB-10255</t>
  </si>
  <si>
    <t>Alejandro Ballentine</t>
  </si>
  <si>
    <t>CA-2015-122567</t>
  </si>
  <si>
    <t>MN-17935</t>
  </si>
  <si>
    <t>Michael Nguyen</t>
  </si>
  <si>
    <t>OFF-AP-10001303</t>
  </si>
  <si>
    <t>Holmes Cool Mist Humidifier for the Whole House with 8-Gallon Output per Day, Extended Life Filter</t>
  </si>
  <si>
    <t>CA-2017-122133</t>
  </si>
  <si>
    <t>JR-15670</t>
  </si>
  <si>
    <t>Jim Radford</t>
  </si>
  <si>
    <t>Middletown</t>
  </si>
  <si>
    <t>OFF-ST-10002574</t>
  </si>
  <si>
    <t>SAFCO Commercial Wire Shelving, Black</t>
  </si>
  <si>
    <t>JF-15190</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</si>
  <si>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</si>
  <si>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</si>
  <si>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</si>
  <si>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</si>
  <si>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</si>
  <si>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</si>
  <si>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</si>
  <si>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</si>
  <si>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</si>
  <si>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</si>
  <si>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</si>
  <si>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</si>
  <si>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</si>
  <si>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</si>
  <si>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</si>
  <si>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</si>
  <si>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</si>
  <si>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</si>
  <si>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</si>
  <si>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</si>
  <si>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</si>
  <si>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</si>
  <si>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</si>
  <si>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</si>
  <si>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</si>
  <si>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</si>
  <si>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</si>
  <si>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</si>
  <si>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</si>
  <si>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</si>
  <si>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CA-2017-162901</t>
  </si>
  <si>
    <t>OFF-ST-10000649</t>
  </si>
  <si>
    <t>Hanging Personal Folder File</t>
  </si>
  <si>
    <t>CA-2017-145247</t>
  </si>
  <si>
    <t>ND-18370</t>
  </si>
  <si>
    <t>Natalie DeCherney</t>
  </si>
  <si>
    <t>OFF-PA-10003641</t>
  </si>
  <si>
    <t>Xerox 1909</t>
  </si>
  <si>
    <t>LB-16735</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</si>
  <si>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</si>
  <si>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</si>
  <si>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</si>
  <si>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</si>
  <si>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</si>
  <si>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</si>
  <si>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</si>
  <si>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</si>
  <si>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</si>
  <si>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</si>
  <si>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</si>
  <si>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</si>
  <si>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</si>
  <si>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</si>
  <si>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</si>
  <si>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</si>
  <si>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</si>
  <si>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</si>
  <si>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</si>
  <si>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SZ-20035</t>
  </si>
  <si>
    <t>Sam Zeldin</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</si>
  <si>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</si>
  <si>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</si>
  <si>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</si>
  <si>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</si>
  <si>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</si>
  <si>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</si>
  <si>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</si>
  <si>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</si>
  <si>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</si>
  <si>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</si>
  <si>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</si>
  <si>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</si>
  <si>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</si>
  <si>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</si>
  <si>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</si>
  <si>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</si>
  <si>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</si>
  <si>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</si>
  <si>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</si>
  <si>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</si>
  <si>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</si>
  <si>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</si>
  <si>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</si>
  <si>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</si>
  <si>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</si>
  <si>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</si>
  <si>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US-2017-108504</t>
  </si>
  <si>
    <t>PP-18955</t>
  </si>
  <si>
    <t>Paul Prost</t>
  </si>
  <si>
    <t>Smyrna</t>
  </si>
  <si>
    <t>OFF-PA-10001289</t>
  </si>
  <si>
    <t>White Computer Printout Paper by Universal</t>
  </si>
  <si>
    <t>OFF-FA-10000053</t>
  </si>
  <si>
    <t>Revere Boxed Rubber Bands by Revere</t>
  </si>
  <si>
    <t>OFF-EN-10003001</t>
  </si>
  <si>
    <t>Ames Color-File Green Diamond Border X-ray Mailers</t>
  </si>
  <si>
    <t>YS-21880</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</si>
  <si>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</si>
  <si>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</si>
  <si>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</si>
  <si>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</si>
  <si>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</si>
  <si>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</si>
  <si>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</si>
  <si>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</si>
  <si>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</si>
  <si>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</si>
  <si>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KM-16375</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</si>
  <si>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</si>
  <si>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</si>
  <si>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</si>
  <si>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</si>
  <si>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</si>
  <si>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</si>
  <si>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</si>
  <si>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</si>
  <si>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</si>
  <si>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</si>
  <si>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AB-10105</t>
  </si>
  <si>
    <t>Adrian Barton</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</si>
  <si>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</si>
  <si>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</si>
  <si>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</si>
  <si>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</si>
  <si>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</si>
  <si>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</si>
  <si>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</si>
  <si>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</si>
  <si>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</si>
  <si>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</si>
  <si>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</si>
  <si>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</si>
  <si>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</si>
  <si>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</si>
  <si>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</si>
  <si>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</si>
  <si>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</si>
  <si>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</si>
  <si>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</si>
  <si>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</si>
  <si>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</si>
  <si>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</si>
  <si>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</si>
  <si>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</si>
  <si>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</si>
  <si>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</si>
  <si>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</si>
  <si>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</si>
  <si>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</si>
  <si>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</si>
  <si>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</si>
  <si>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</si>
  <si>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</si>
  <si>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</si>
  <si>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</si>
  <si>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</si>
  <si>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</si>
  <si>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</si>
  <si>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</si>
  <si>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</si>
  <si>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</si>
  <si>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</si>
  <si>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</si>
  <si>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</si>
  <si>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</si>
  <si>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</si>
  <si>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</si>
  <si>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</si>
  <si>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MM-17920</t>
  </si>
  <si>
    <t>Michael Moore</t>
  </si>
  <si>
    <t>PW-19030</t>
  </si>
  <si>
    <t>SC-20440</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</si>
  <si>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</si>
  <si>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</si>
  <si>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</si>
  <si>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</si>
  <si>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</si>
  <si>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</si>
  <si>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</si>
  <si>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</si>
  <si>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</si>
  <si>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</si>
  <si>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</si>
  <si>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</si>
  <si>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</si>
  <si>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</si>
  <si>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</si>
  <si>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</si>
  <si>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</si>
  <si>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</si>
  <si>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</si>
  <si>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</si>
  <si>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</si>
  <si>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</si>
  <si>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</si>
  <si>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</si>
  <si>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</si>
  <si>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</si>
  <si>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</si>
  <si>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</si>
  <si>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</si>
  <si>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</si>
  <si>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</si>
  <si>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NH-18610</t>
  </si>
  <si>
    <t>CA-2015-155271</t>
  </si>
  <si>
    <t>FUR-FU-10001473</t>
  </si>
  <si>
    <t>DAX Wood Document Frame</t>
  </si>
  <si>
    <t>CA-2016-119907</t>
  </si>
  <si>
    <t>OFF-BI-10001765</t>
  </si>
  <si>
    <t>Wilson Jones Heavy-Duty Casebound Ring Binders with Metal Hinges</t>
  </si>
  <si>
    <t>MB-18085</t>
  </si>
  <si>
    <t>KD-16495</t>
  </si>
  <si>
    <t>Keith Dawkins</t>
  </si>
  <si>
    <t>Glendale</t>
  </si>
  <si>
    <t>CA-2018-139199</t>
  </si>
  <si>
    <t>FUR-CH-10000847</t>
  </si>
  <si>
    <t>Global Executive Mid-Back Manager's Chair</t>
  </si>
  <si>
    <t>OFF-PA-10001293</t>
  </si>
  <si>
    <t>Xerox 1946</t>
  </si>
  <si>
    <t>US-2016-161466</t>
  </si>
  <si>
    <t>OFF-AR-10000634</t>
  </si>
  <si>
    <t>Newell 320</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</si>
  <si>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</si>
  <si>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</si>
  <si>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</si>
  <si>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</si>
  <si>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</si>
  <si>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</si>
  <si>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</si>
  <si>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</si>
  <si>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</si>
  <si>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</si>
  <si>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</si>
  <si>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</si>
  <si>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</si>
  <si>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</si>
  <si>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CS-12505</t>
  </si>
  <si>
    <t>Cindy Stewart</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</si>
  <si>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</si>
  <si>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</si>
  <si>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</si>
  <si>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</si>
  <si>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</si>
  <si>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</si>
  <si>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</si>
  <si>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</si>
  <si>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</si>
  <si>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</si>
  <si>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</si>
  <si>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</si>
  <si>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</si>
  <si>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</si>
  <si>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</si>
  <si>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</si>
  <si>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</si>
  <si>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</si>
  <si>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</si>
  <si>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</si>
  <si>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</si>
  <si>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</si>
  <si>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</si>
  <si>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</si>
  <si>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</si>
  <si>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Co-12640</t>
  </si>
  <si>
    <t>CA-2018-166436</t>
  </si>
  <si>
    <t>TS-21370</t>
  </si>
  <si>
    <t>Todd Sumrall</t>
  </si>
  <si>
    <t>OFF-PA-10001838</t>
  </si>
  <si>
    <t>Adams Telephone Message Book W/Dividers/Space For Phone Numbers, 5 1/4"X8 1/2", 300/Messages</t>
  </si>
  <si>
    <t>JW-15220</t>
  </si>
  <si>
    <t>CA-2018-152485</t>
  </si>
  <si>
    <t>JD-15790</t>
  </si>
  <si>
    <t>John Dryer</t>
  </si>
  <si>
    <t>Coppell</t>
  </si>
  <si>
    <t>OFF-ST-10004950</t>
  </si>
  <si>
    <t>Acco Perma 3000 Stacking Storage Drawers</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</si>
  <si>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</si>
  <si>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</si>
  <si>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</si>
  <si>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</si>
  <si>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</si>
  <si>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</si>
  <si>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</si>
  <si>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</si>
  <si>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</si>
  <si>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</si>
  <si>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</si>
  <si>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AR-10540</t>
  </si>
  <si>
    <t>Andy Reiter</t>
  </si>
  <si>
    <t>CA-2017-134208</t>
  </si>
  <si>
    <t>TEC-MA-10004458</t>
  </si>
  <si>
    <t>Lexmark X 9575 Professional All-in-One Color Printer</t>
  </si>
  <si>
    <t>CA-2018-108294</t>
  </si>
  <si>
    <t>OFF-BI-10004965</t>
  </si>
  <si>
    <t>Ibico Covers for Plastic or Wire Binding Elements</t>
  </si>
  <si>
    <t>Pomona</t>
  </si>
  <si>
    <t>AI-10855</t>
  </si>
  <si>
    <t>Arianne Irving</t>
  </si>
  <si>
    <t>North Las Vegas</t>
  </si>
  <si>
    <t>TB-21400</t>
  </si>
  <si>
    <t>Tom Boeckenhauer</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</si>
  <si>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</si>
  <si>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</si>
  <si>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</si>
  <si>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</si>
  <si>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</si>
  <si>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</si>
  <si>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</si>
  <si>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</si>
  <si>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</si>
  <si>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</si>
  <si>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</si>
  <si>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</si>
  <si>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</si>
  <si>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</si>
  <si>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</si>
  <si>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</si>
  <si>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</si>
  <si>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</si>
  <si>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</si>
  <si>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</si>
  <si>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</si>
  <si>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</si>
  <si>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</si>
  <si>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</si>
  <si>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</si>
  <si>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</si>
  <si>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</si>
  <si>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</si>
  <si>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</si>
  <si>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</si>
  <si>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</si>
  <si>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MP-18175</t>
  </si>
  <si>
    <t>Mike Pelletier</t>
  </si>
  <si>
    <t>CA-2017-112389</t>
  </si>
  <si>
    <t>JM-15655</t>
  </si>
  <si>
    <t>Jim Mitchum</t>
  </si>
  <si>
    <t>Bridgeton</t>
  </si>
  <si>
    <t>OFF-ST-10000419</t>
  </si>
  <si>
    <t>Rogers Jumbo File, Granite</t>
  </si>
  <si>
    <t>OFF-AP-10001626</t>
  </si>
  <si>
    <t>Commercial WindTunnel Clean Air Upright Vacuum, Replacement Belts, Filtration Bags</t>
  </si>
  <si>
    <t>CL-11890</t>
  </si>
  <si>
    <t>Everett</t>
  </si>
  <si>
    <t>CA-2015-166884</t>
  </si>
  <si>
    <t>FUR-FU-10003981</t>
  </si>
  <si>
    <t>DB-13270</t>
  </si>
  <si>
    <t>Deborah Brumfield</t>
  </si>
  <si>
    <t>Watertown</t>
  </si>
  <si>
    <t>CA-2016-111395</t>
  </si>
  <si>
    <t>OFF-ST-10001291</t>
  </si>
  <si>
    <t>Tenex Personal Self-Stacking Standard File Box, Black/Gray</t>
  </si>
  <si>
    <t>US-2018-124926</t>
  </si>
  <si>
    <t>OFF-AP-10004868</t>
  </si>
  <si>
    <t>Hoover Commercial Soft Guard Upright Vacuum And Disposable Filtration Bags</t>
  </si>
  <si>
    <t>IG-15085</t>
  </si>
  <si>
    <t>CA-2015-130274</t>
  </si>
  <si>
    <t>Appleton</t>
  </si>
  <si>
    <t>OFF-LA-10002195</t>
  </si>
  <si>
    <t>Avery 481</t>
  </si>
  <si>
    <t>BO-11425</t>
  </si>
  <si>
    <t>CA-2016-111507</t>
  </si>
  <si>
    <t>Bellevue</t>
  </si>
  <si>
    <t>OFF-AR-10001315</t>
  </si>
  <si>
    <t>Newell 310</t>
  </si>
  <si>
    <t>AB-10150</t>
  </si>
  <si>
    <t>Aimee Bixby</t>
  </si>
  <si>
    <t>CA-2017-109176</t>
  </si>
  <si>
    <t>JW-16075</t>
  </si>
  <si>
    <t>Julia West</t>
  </si>
  <si>
    <t>OFF-EN-10003134</t>
  </si>
  <si>
    <t>OFF-AR-10001955</t>
  </si>
  <si>
    <t>Newell 319</t>
  </si>
  <si>
    <t>EB-13750</t>
  </si>
  <si>
    <t>Edward Becker</t>
  </si>
  <si>
    <t>CA-2015-105172</t>
  </si>
  <si>
    <t>OFF-LA-10001641</t>
  </si>
  <si>
    <t>Avery 518</t>
  </si>
  <si>
    <t>SG-20470</t>
  </si>
  <si>
    <t>CM-12190</t>
  </si>
  <si>
    <t>Charlotte Melton</t>
  </si>
  <si>
    <t>CA-2015-116239</t>
  </si>
  <si>
    <t>OFF-ST-10001370</t>
  </si>
  <si>
    <t>Sensible Storage WireTech Storage Systems</t>
  </si>
  <si>
    <t>CA-2016-129112</t>
  </si>
  <si>
    <t>AW-10840</t>
  </si>
  <si>
    <t>Anthony Witt</t>
  </si>
  <si>
    <t>Allen</t>
  </si>
  <si>
    <t>TEC-AC-10003038</t>
  </si>
  <si>
    <t>Kingston Digital DataTraveler 16GB USB 2.0</t>
  </si>
  <si>
    <t>OFF-BI-10000088</t>
  </si>
  <si>
    <t>GBC Imprintable Covers</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</si>
  <si>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</si>
  <si>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</si>
  <si>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</si>
  <si>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</si>
  <si>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</si>
  <si>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</si>
  <si>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</si>
  <si>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</si>
  <si>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</si>
  <si>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</si>
  <si>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</si>
  <si>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</si>
  <si>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</si>
  <si>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</si>
  <si>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</si>
  <si>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</si>
  <si>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</si>
  <si>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</si>
  <si>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</si>
  <si>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</si>
  <si>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</si>
  <si>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</si>
  <si>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</si>
  <si>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</si>
  <si>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</si>
  <si>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</si>
  <si>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</si>
  <si>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</si>
  <si>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</si>
  <si>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</si>
  <si>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</si>
  <si>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</si>
  <si>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</si>
  <si>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</si>
  <si>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</si>
  <si>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</si>
  <si>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</si>
  <si>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</si>
  <si>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</si>
  <si>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</si>
  <si>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</si>
  <si>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</si>
  <si>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</si>
  <si>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</si>
  <si>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</si>
  <si>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</si>
  <si>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</si>
  <si>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</si>
  <si>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</si>
  <si>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</si>
  <si>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</si>
  <si>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</si>
  <si>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</si>
  <si>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</si>
  <si>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</si>
  <si>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</si>
  <si>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</si>
  <si>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</si>
  <si>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</si>
  <si>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</si>
  <si>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</si>
  <si>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</si>
  <si>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</si>
  <si>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</si>
  <si>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</si>
  <si>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</si>
  <si>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</si>
  <si>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</si>
  <si>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</si>
  <si>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</si>
  <si>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</si>
  <si>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</si>
  <si>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</si>
  <si>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</si>
  <si>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</si>
  <si>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</si>
  <si>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</si>
  <si>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</si>
  <si>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</si>
  <si>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</si>
  <si>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</si>
  <si>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</si>
  <si>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</si>
  <si>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</si>
  <si>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</si>
  <si>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</si>
  <si>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</si>
  <si>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</si>
  <si>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</si>
  <si>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</si>
  <si>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</si>
  <si>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</si>
  <si>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</si>
  <si>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</si>
  <si>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JG-15160</t>
  </si>
  <si>
    <t>MC-17275</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</si>
  <si>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</si>
  <si>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</si>
  <si>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</si>
  <si>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</si>
  <si>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</si>
  <si>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</si>
  <si>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</si>
  <si>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</si>
  <si>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</si>
  <si>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</si>
  <si>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</si>
  <si>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</si>
  <si>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</si>
  <si>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</si>
  <si>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</si>
  <si>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</si>
  <si>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</si>
  <si>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</si>
  <si>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BS-11380</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</si>
  <si>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</si>
  <si>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</si>
  <si>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</si>
  <si>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</si>
  <si>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</si>
  <si>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</si>
  <si>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</si>
  <si>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</si>
  <si>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</si>
  <si>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</si>
  <si>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</si>
  <si>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</si>
  <si>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</si>
  <si>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</si>
  <si>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</si>
  <si>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</si>
  <si>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</si>
  <si>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</si>
  <si>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</si>
  <si>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</si>
  <si>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</si>
  <si>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</si>
  <si>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</si>
  <si>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</si>
  <si>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</si>
  <si>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</si>
  <si>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</si>
  <si>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CA-2018-161809</t>
  </si>
  <si>
    <t>TH-21100</t>
  </si>
  <si>
    <t>Thea Hendricks</t>
  </si>
  <si>
    <t>TEC-PH-10004922</t>
  </si>
  <si>
    <t>RCA Visys Integrated PBX 8-Line Router</t>
  </si>
  <si>
    <t>MM-18055</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</si>
  <si>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</si>
  <si>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</si>
  <si>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</si>
  <si>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</si>
  <si>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</si>
  <si>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</si>
  <si>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</si>
  <si>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</si>
  <si>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</si>
  <si>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</si>
  <si>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</si>
  <si>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</si>
  <si>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CA-2018-159457</t>
  </si>
  <si>
    <t>TEC-PH-10002185</t>
  </si>
  <si>
    <t>QVS USB Car Charger 2-Port 2.1Amp for iPod/iPhone/iPad/iPad 2/iPad 3</t>
  </si>
  <si>
    <t>RB-19645</t>
  </si>
  <si>
    <t>Robert Barroso</t>
  </si>
  <si>
    <t>Plano</t>
  </si>
  <si>
    <t>SW-20455</t>
  </si>
  <si>
    <t>Shaun Weien</t>
  </si>
  <si>
    <t>Suffolk</t>
  </si>
  <si>
    <t>EB-13930</t>
  </si>
  <si>
    <t>Eric Barreto</t>
  </si>
  <si>
    <t>CA-2015-122882</t>
  </si>
  <si>
    <t>FUR-FU-10000758</t>
  </si>
  <si>
    <t>DAX Natural Wood-Tone Poster Frame</t>
  </si>
  <si>
    <t>TEC-MA-10004679</t>
  </si>
  <si>
    <t>StarTech.com 10/100 VDSL2 Ethernet Extender Kit</t>
  </si>
  <si>
    <t>PS-18760</t>
  </si>
  <si>
    <t>Pamela Stobb</t>
  </si>
  <si>
    <t>CA-2018-149489</t>
  </si>
  <si>
    <t>OFF-AP-10002495</t>
  </si>
  <si>
    <t>Acco Smartsocket Table Surge Protector, 6 Color-Coded Adapter Outlets</t>
  </si>
  <si>
    <t>OFF-BI-10002414</t>
  </si>
  <si>
    <t>GBC ProClick Spines for 32-Hole Punch</t>
  </si>
  <si>
    <t>HF-14995</t>
  </si>
  <si>
    <t>Herbert Flentye</t>
  </si>
  <si>
    <t>Indianapolis</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</si>
  <si>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</si>
  <si>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</si>
  <si>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</si>
  <si>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</si>
  <si>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</si>
  <si>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</si>
  <si>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</si>
  <si>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</si>
  <si>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</si>
  <si>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</si>
  <si>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</si>
  <si>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</si>
  <si>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CA-2015-139857</t>
  </si>
  <si>
    <t>CD-12790</t>
  </si>
  <si>
    <t>Cynthia Delaney</t>
  </si>
  <si>
    <t>OFF-FA-10001843</t>
  </si>
  <si>
    <t>CA-2018-123491</t>
  </si>
  <si>
    <t>JK-15205</t>
  </si>
  <si>
    <t>Jamie Kunitz</t>
  </si>
  <si>
    <t>OFF-LA-10003077</t>
  </si>
  <si>
    <t>Avery 500</t>
  </si>
  <si>
    <t>OFF-PA-10003424</t>
  </si>
  <si>
    <t>"While you Were Out" Message Book, One Form per Page</t>
  </si>
  <si>
    <t>CA-2016-145401</t>
  </si>
  <si>
    <t>OFF-PA-10004405</t>
  </si>
  <si>
    <t>Rediform Voice Mail Log Books</t>
  </si>
  <si>
    <t>CA-2018-104003</t>
  </si>
  <si>
    <t>FUR-BO-10003965</t>
  </si>
  <si>
    <t>O'Sullivan Manor Hill 2-Door Library in Brianna Oak</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</si>
  <si>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</si>
  <si>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</si>
  <si>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</si>
  <si>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</si>
  <si>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</si>
  <si>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</si>
  <si>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</si>
  <si>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</si>
  <si>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</si>
  <si>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</si>
  <si>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</si>
  <si>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</si>
  <si>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</si>
  <si>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</si>
  <si>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</si>
  <si>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</si>
  <si>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</si>
  <si>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</si>
  <si>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</si>
  <si>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</si>
  <si>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CA-2015-125136</t>
  </si>
  <si>
    <t>OFF-PA-10001457</t>
  </si>
  <si>
    <t>White GlueTop Scratch Pads</t>
  </si>
  <si>
    <t>CA-2018-101483</t>
  </si>
  <si>
    <t>OFF-AP-10002082</t>
  </si>
  <si>
    <t>Holmes HEPA Air Purifier</t>
  </si>
  <si>
    <t>CA-2016-130204</t>
  </si>
  <si>
    <t>TEC-AC-10003590</t>
  </si>
  <si>
    <t>TRENDnet 56K USB 2.0 Phone, Internet and Fax Modem</t>
  </si>
  <si>
    <t>ED-13885</t>
  </si>
  <si>
    <t>CA-2018-152807</t>
  </si>
  <si>
    <t>OFF-PA-10004355</t>
  </si>
  <si>
    <t>Xerox 231</t>
  </si>
  <si>
    <t>CA-2017-155670</t>
  </si>
  <si>
    <t>OFF-PA-10004947</t>
  </si>
  <si>
    <t>DA-13450</t>
  </si>
  <si>
    <t>Dianna Arnett</t>
  </si>
  <si>
    <t>CA-2016-139094</t>
  </si>
  <si>
    <t>FUR-TA-10004607</t>
  </si>
  <si>
    <t>Hon 2111 Invitation Series Straight Table</t>
  </si>
  <si>
    <t>JW-15955</t>
  </si>
  <si>
    <t>Joni Wasserman</t>
  </si>
  <si>
    <t>CA-2018-116715</t>
  </si>
  <si>
    <t>OFF-PA-10003893</t>
  </si>
  <si>
    <t>Xerox 1962</t>
  </si>
  <si>
    <t>CA-2016-135622</t>
  </si>
  <si>
    <t>TEC-PH-10001817</t>
  </si>
  <si>
    <t>Wilson Electronics DB Pro Signal Booster</t>
  </si>
  <si>
    <t>RM-19375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</si>
  <si>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</si>
  <si>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</si>
  <si>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</si>
  <si>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</si>
  <si>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</si>
  <si>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</si>
  <si>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</si>
  <si>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</si>
  <si>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</si>
  <si>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</si>
  <si>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</si>
  <si>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</si>
  <si>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</si>
  <si>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</si>
  <si>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CC-12685</t>
  </si>
  <si>
    <t>Greensboro</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</si>
  <si>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</si>
  <si>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</si>
  <si>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</si>
  <si>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</si>
  <si>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</si>
  <si>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</si>
  <si>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</si>
  <si>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</si>
  <si>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</si>
  <si>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</si>
  <si>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</si>
  <si>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</si>
  <si>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</si>
  <si>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</si>
  <si>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</si>
  <si>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</si>
  <si>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</si>
  <si>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</si>
  <si>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</si>
  <si>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</si>
  <si>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</si>
  <si>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</si>
  <si>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</si>
  <si>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</si>
  <si>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</si>
  <si>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CA-2015-120474</t>
  </si>
  <si>
    <t>FUR-CH-10001854</t>
  </si>
  <si>
    <t>Office Star - Professional Matrix Back Chair with 2-to-1 Synchro Tilt and Mesh Fabric Seat</t>
  </si>
  <si>
    <t>OFF-AR-10000475</t>
  </si>
  <si>
    <t>Hunt BOSTON Vista Battery-Operated Pencil Sharpener, Black</t>
  </si>
  <si>
    <t>TB-21175</t>
  </si>
  <si>
    <t>BE-11455</t>
  </si>
  <si>
    <t>Brad Eason</t>
  </si>
  <si>
    <t>Kansas</t>
  </si>
  <si>
    <t>US-2018-139465</t>
  </si>
  <si>
    <t>TEC-PH-10000455</t>
  </si>
  <si>
    <t>GE 30522EE2</t>
  </si>
  <si>
    <t>CA-2017-121034</t>
  </si>
  <si>
    <t>JF-15565</t>
  </si>
  <si>
    <t>Jill Fjeld</t>
  </si>
  <si>
    <t>OFF-PA-10001994</t>
  </si>
  <si>
    <t>Ink Jet Note and Greeting Cards, 8-1/2" x 5-1/2" Card Size</t>
  </si>
  <si>
    <t>CA-2018-158379</t>
  </si>
  <si>
    <t>TEC-AC-10002926</t>
  </si>
  <si>
    <t>Logitech Wireless Marathon Mouse M705</t>
  </si>
  <si>
    <t>CA-2017-164938</t>
  </si>
  <si>
    <t>PB-19210</t>
  </si>
  <si>
    <t>Phillip Breyer</t>
  </si>
  <si>
    <t>Tulsa</t>
  </si>
  <si>
    <t>TEC-PH-10004897</t>
  </si>
  <si>
    <t>Mediabridge Sport Armband iPhone 5s</t>
  </si>
  <si>
    <t>CA-2017-165484</t>
  </si>
  <si>
    <t>FUR-FU-10001196</t>
  </si>
  <si>
    <t>DAX Cubicle Frames - 8x10</t>
  </si>
  <si>
    <t>OFF-PA-10000595</t>
  </si>
  <si>
    <t>Xerox 1929</t>
  </si>
  <si>
    <t>BT-11680</t>
  </si>
  <si>
    <t>Brian Thompson</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</si>
  <si>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</si>
  <si>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</si>
  <si>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</si>
  <si>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</si>
  <si>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</si>
  <si>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</si>
  <si>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</si>
  <si>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</si>
  <si>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</si>
  <si>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</si>
  <si>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</si>
  <si>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</si>
  <si>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</si>
  <si>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</si>
  <si>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</si>
  <si>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</si>
  <si>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</si>
  <si>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</si>
  <si>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</si>
  <si>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</si>
  <si>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</si>
  <si>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</si>
  <si>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</si>
  <si>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</si>
  <si>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</si>
  <si>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</si>
  <si>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</si>
  <si>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</si>
  <si>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</si>
  <si>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</si>
  <si>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ND-18460</t>
  </si>
  <si>
    <t>Neil Ducich</t>
  </si>
  <si>
    <t>CA-2015-103373</t>
  </si>
  <si>
    <t>TEC-PH-10002885</t>
  </si>
  <si>
    <t>Apple iPhone 5</t>
  </si>
  <si>
    <t>CA-2018-145884</t>
  </si>
  <si>
    <t>Muskogee</t>
  </si>
  <si>
    <t>TEC-PH-10000895</t>
  </si>
  <si>
    <t>Polycom VVX 310 VoIP phone</t>
  </si>
  <si>
    <t>CA-2018-162691</t>
  </si>
  <si>
    <t>TEC-MA-10000488</t>
  </si>
  <si>
    <t>Bady BDG101FRU Card Printer</t>
  </si>
  <si>
    <t>OFF-PA-10003729</t>
  </si>
  <si>
    <t>Xerox 1998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</si>
  <si>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</si>
  <si>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</si>
  <si>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</si>
  <si>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</si>
  <si>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</si>
  <si>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</si>
  <si>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</si>
  <si>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</si>
  <si>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</si>
  <si>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</si>
  <si>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</si>
  <si>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</si>
  <si>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</si>
  <si>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</si>
  <si>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GW-14605</t>
  </si>
  <si>
    <t>US-2018-158512</t>
  </si>
  <si>
    <t>FUR-FU-10004973</t>
  </si>
  <si>
    <t>Flat Face Poster Frame</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</si>
  <si>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</si>
  <si>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</si>
  <si>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</si>
  <si>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</si>
  <si>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</si>
  <si>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</si>
  <si>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</si>
  <si>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</si>
  <si>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</si>
  <si>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</si>
  <si>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</si>
  <si>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</si>
  <si>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</si>
  <si>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</si>
  <si>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</si>
  <si>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</si>
  <si>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</si>
  <si>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</si>
  <si>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</si>
  <si>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US-2017-100839</t>
  </si>
  <si>
    <t>NC-18625</t>
  </si>
  <si>
    <t>Noah Childs</t>
  </si>
  <si>
    <t>FUR-FU-10001617</t>
  </si>
  <si>
    <t>Executive Impressions 8-1/2" Career Panel/Partition Cubicle Clock</t>
  </si>
  <si>
    <t>US-2018-116659</t>
  </si>
  <si>
    <t>TEC-PH-10002824</t>
  </si>
  <si>
    <t>Jabra SPEAK 410 Multidevice Speakerphone</t>
  </si>
  <si>
    <t>CA-2016-127110</t>
  </si>
  <si>
    <t>OFF-PA-10003309</t>
  </si>
  <si>
    <t>Xerox 211</t>
  </si>
  <si>
    <t>OFF-ST-10002554</t>
  </si>
  <si>
    <t>Tennsco Industrial Shelving</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</si>
  <si>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</si>
  <si>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</si>
  <si>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</si>
  <si>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</si>
  <si>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</si>
  <si>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</si>
  <si>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</si>
  <si>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</si>
  <si>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</si>
  <si>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</si>
  <si>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</si>
  <si>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</si>
  <si>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</si>
  <si>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JC-15775</t>
  </si>
  <si>
    <t>John Castell</t>
  </si>
  <si>
    <t>CA-2016-109512</t>
  </si>
  <si>
    <t>OFF-EN-10002621</t>
  </si>
  <si>
    <t>CA-2018-154718</t>
  </si>
  <si>
    <t>Keller</t>
  </si>
  <si>
    <t>OFF-LA-10003714</t>
  </si>
  <si>
    <t>Avery 510</t>
  </si>
  <si>
    <t>CA-2017-147578</t>
  </si>
  <si>
    <t>FUR-FU-10001889</t>
  </si>
  <si>
    <t>Ultra Door Pull Handle</t>
  </si>
  <si>
    <t>CA-2015-157623</t>
  </si>
  <si>
    <t>OFF-AR-10003723</t>
  </si>
  <si>
    <t>Avery Hi-Liter Fluorescent Desk Style Markers</t>
  </si>
  <si>
    <t>CA-2017-100083</t>
  </si>
  <si>
    <t>Medford</t>
  </si>
  <si>
    <t>OFF-PA-10000241</t>
  </si>
  <si>
    <t>IBM Multi-Purpose Copy Paper, 8 1/2 x 11", Case</t>
  </si>
  <si>
    <t>US-2018-108063</t>
  </si>
  <si>
    <t>AS-10090</t>
  </si>
  <si>
    <t>Adam Shillingsburg</t>
  </si>
  <si>
    <t>Charlottesville</t>
  </si>
  <si>
    <t>OFF-AR-10001446</t>
  </si>
  <si>
    <t>Newell 309</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</si>
  <si>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</si>
  <si>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</si>
  <si>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</si>
  <si>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</si>
  <si>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</si>
  <si>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</si>
  <si>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</si>
  <si>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</si>
  <si>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</si>
  <si>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</si>
  <si>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CA-2017-151141</t>
  </si>
  <si>
    <t>TEC-PH-10004924</t>
  </si>
  <si>
    <t>SKILCRAFT Telephone Shoulder Rest, 2" x 6.5" x 2.5", Black</t>
  </si>
  <si>
    <t>CA-2018-167094</t>
  </si>
  <si>
    <t>FUR-CH-10000155</t>
  </si>
  <si>
    <t>Global Comet Stacking Armless Chair</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</si>
  <si>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</si>
  <si>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</si>
  <si>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</si>
  <si>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</si>
  <si>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</si>
  <si>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</si>
  <si>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</si>
  <si>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</si>
  <si>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</si>
  <si>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</si>
  <si>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</si>
  <si>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</si>
  <si>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</si>
  <si>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</si>
  <si>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CA-2018-121503</t>
  </si>
  <si>
    <t>OFF-PA-10001878</t>
  </si>
  <si>
    <t>Xerox 1891</t>
  </si>
  <si>
    <t>TEC-MA-10003674</t>
  </si>
  <si>
    <t>Hewlett-Packard Deskjet 5550 Printer</t>
  </si>
  <si>
    <t>EH-13990</t>
  </si>
  <si>
    <t>Erica Hackney</t>
  </si>
  <si>
    <t>CA-2018-124597</t>
  </si>
  <si>
    <t>OFF-LA-10003190</t>
  </si>
  <si>
    <t>Avery 474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</si>
  <si>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</si>
  <si>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</si>
  <si>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</si>
  <si>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</si>
  <si>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</si>
  <si>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</si>
  <si>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</si>
  <si>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</si>
  <si>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</si>
  <si>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</si>
  <si>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</si>
  <si>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</si>
  <si>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</si>
  <si>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</si>
  <si>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</si>
  <si>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</si>
  <si>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</si>
  <si>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</si>
  <si>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US-2017-139710</t>
  </si>
  <si>
    <t>TEC-PH-10001198</t>
  </si>
  <si>
    <t>Avaya 4621SW VoIP phone</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</si>
  <si>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</si>
  <si>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</si>
  <si>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</si>
  <si>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</si>
  <si>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</si>
  <si>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</si>
  <si>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</si>
  <si>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</si>
  <si>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</si>
  <si>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</si>
  <si>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</si>
  <si>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</si>
  <si>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CA-2017-112109</t>
  </si>
  <si>
    <t>JE-15715</t>
  </si>
  <si>
    <t>Joe Elijah</t>
  </si>
  <si>
    <t>Broomfield</t>
  </si>
  <si>
    <t>OFF-BI-10002082</t>
  </si>
  <si>
    <t>GBC Twin Loop Wire Binding Elements</t>
  </si>
  <si>
    <t>OFF-ST-10001505</t>
  </si>
  <si>
    <t>Perma STOR-ALL Hanging File Box, 13 1/8"W x 12 1/4"D x 10 1/2"H</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</si>
  <si>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</si>
  <si>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</si>
  <si>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</si>
  <si>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</si>
  <si>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</si>
  <si>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</si>
  <si>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</si>
  <si>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</si>
  <si>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</si>
  <si>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</si>
  <si>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</si>
  <si>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</si>
  <si>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</si>
  <si>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</si>
  <si>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</si>
  <si>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</si>
  <si>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</si>
  <si>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</si>
  <si>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</si>
  <si>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</si>
  <si>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</si>
  <si>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</si>
  <si>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</si>
  <si>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</si>
  <si>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</si>
  <si>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</si>
  <si>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</si>
  <si>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</si>
  <si>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</si>
  <si>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</si>
  <si>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</si>
  <si>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</si>
  <si>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</si>
  <si>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</si>
  <si>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</si>
  <si>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CA-2015-122749</t>
  </si>
  <si>
    <t>Oklahoma City</t>
  </si>
  <si>
    <t>TEC-PH-10003811</t>
  </si>
  <si>
    <t>Jabra Supreme Plus Driver Edition Headset</t>
  </si>
  <si>
    <t>CB-12415</t>
  </si>
  <si>
    <t>Christy Brittain</t>
  </si>
  <si>
    <t>CA-2016-127509</t>
  </si>
  <si>
    <t>OFF-BI-10002393</t>
  </si>
  <si>
    <t>Binder Posts</t>
  </si>
  <si>
    <t>FUR-TA-10002855</t>
  </si>
  <si>
    <t>Bevis Round Conference Table Top &amp; Single Column Base</t>
  </si>
  <si>
    <t>OFF-EN-10000781</t>
  </si>
  <si>
    <t>OFF-PA-10002160</t>
  </si>
  <si>
    <t>Xerox 1978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</si>
  <si>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</si>
  <si>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</si>
  <si>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</si>
  <si>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</si>
  <si>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</si>
  <si>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</si>
  <si>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</si>
  <si>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</si>
  <si>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</si>
  <si>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</si>
  <si>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Chesapeake</t>
  </si>
  <si>
    <t>LW-17215</t>
  </si>
  <si>
    <t>CA-2018-165386</t>
  </si>
  <si>
    <t>FUR-BO-10003034</t>
  </si>
  <si>
    <t>O'Sullivan Elevations Bookcase, Cherry Finish</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</si>
  <si>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</si>
  <si>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</si>
  <si>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</si>
  <si>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</si>
  <si>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</si>
  <si>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</si>
  <si>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</si>
  <si>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</si>
  <si>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</si>
  <si>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</si>
  <si>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RH-19510</t>
  </si>
  <si>
    <t>Rick Huthwaite</t>
  </si>
  <si>
    <t>CA-2016-117961</t>
  </si>
  <si>
    <t>Leominster</t>
  </si>
  <si>
    <t>OFF-ST-10001172</t>
  </si>
  <si>
    <t>Tennsco Lockers, Sand</t>
  </si>
  <si>
    <t>CT-11995</t>
  </si>
  <si>
    <t>Carol Triggs</t>
  </si>
  <si>
    <t>CA-2016-122287</t>
  </si>
  <si>
    <t>OFF-PA-10001661</t>
  </si>
  <si>
    <t>Xerox 1922</t>
  </si>
  <si>
    <t>CA-2016-104493</t>
  </si>
  <si>
    <t>OFF-BI-10004817</t>
  </si>
  <si>
    <t>GBC Personal VeloBind Strips</t>
  </si>
  <si>
    <t>MC-17590</t>
  </si>
  <si>
    <t>Matt Collister</t>
  </si>
  <si>
    <t>CA-2016-142237</t>
  </si>
  <si>
    <t>FUR-CH-10003833</t>
  </si>
  <si>
    <t>Novimex Fabric Task Chair</t>
  </si>
  <si>
    <t>FUR-FU-10003142</t>
  </si>
  <si>
    <t>Master Big Foot Doorstop, Beige</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</si>
  <si>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</si>
  <si>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</si>
  <si>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</si>
  <si>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</si>
  <si>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</si>
  <si>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</si>
  <si>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</si>
  <si>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</si>
  <si>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</si>
  <si>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</si>
  <si>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</si>
  <si>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</si>
  <si>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</si>
  <si>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</si>
  <si>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</si>
  <si>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</si>
  <si>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</si>
  <si>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</si>
  <si>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CC-12610</t>
  </si>
  <si>
    <t>Corey Catlett</t>
  </si>
  <si>
    <t>KA-16525</t>
  </si>
  <si>
    <t>TC-20980</t>
  </si>
  <si>
    <t>Tamara Chand</t>
  </si>
  <si>
    <t>CA-2018-122504</t>
  </si>
  <si>
    <t>TEC-AC-10003289</t>
  </si>
  <si>
    <t>Anker Ultra-Slim Mini Bluetooth 3.0 Wireless Keyboard</t>
  </si>
  <si>
    <t>TEC-PH-10002468</t>
  </si>
  <si>
    <t>Plantronics CS 50-USB - headset - Convertible, Monaural</t>
  </si>
  <si>
    <t>BF-11080</t>
  </si>
  <si>
    <t>CA-2016-120103</t>
  </si>
  <si>
    <t>OFF-PA-10001295</t>
  </si>
  <si>
    <t>Computer Printout Paper with Letter-Trim Perforations</t>
  </si>
  <si>
    <t>CA-2017-140501</t>
  </si>
  <si>
    <t>OFF-LA-10000248</t>
  </si>
  <si>
    <t>Avery 52</t>
  </si>
  <si>
    <t>OFF-FA-10004076</t>
  </si>
  <si>
    <t>Translucent Push Pins by OIC</t>
  </si>
  <si>
    <t>CA-2016-139290</t>
  </si>
  <si>
    <t>Rancho Cucamonga</t>
  </si>
  <si>
    <t>OFF-LA-10004008</t>
  </si>
  <si>
    <t>Avery 507</t>
  </si>
  <si>
    <t>MM-17260</t>
  </si>
  <si>
    <t>Magdelene Morse</t>
  </si>
  <si>
    <t>US-2016-164357</t>
  </si>
  <si>
    <t>OFF-AR-10001177</t>
  </si>
  <si>
    <t>Newell 349</t>
  </si>
  <si>
    <t>US-2017-146570</t>
  </si>
  <si>
    <t>OFF-BI-10001718</t>
  </si>
  <si>
    <t>GBC DocuBind P50 Personal Binding Machine</t>
  </si>
  <si>
    <t>OFF-AR-10004602</t>
  </si>
  <si>
    <t>Boston KS Multi-Size Manual Pencil Sharpener</t>
  </si>
  <si>
    <t>US-2015-140116</t>
  </si>
  <si>
    <t>OFF-ST-10000078</t>
  </si>
  <si>
    <t>Tennsco 6- and 18-Compartment Lockers</t>
  </si>
  <si>
    <t>AH-10120</t>
  </si>
  <si>
    <t>BW-11200</t>
  </si>
  <si>
    <t>CA-2016-164882</t>
  </si>
  <si>
    <t>OFF-AR-10004272</t>
  </si>
  <si>
    <t>Newell 308</t>
  </si>
  <si>
    <t>TEC-PH-10001578</t>
  </si>
  <si>
    <t>Polycom SoundStation2 EX Conference phone</t>
  </si>
  <si>
    <t>OFF-ST-10003638</t>
  </si>
  <si>
    <t>Mobile Personal File Cube</t>
  </si>
  <si>
    <t>FUR-BO-10002213</t>
  </si>
  <si>
    <t>DMI Eclipse Executive Suite Bookcases</t>
  </si>
  <si>
    <t>SW-20245</t>
  </si>
  <si>
    <t>CA-2018-144862</t>
  </si>
  <si>
    <t>OFF-EN-10003040</t>
  </si>
  <si>
    <t>Quality Park Security Envelopes</t>
  </si>
  <si>
    <t>TEC-PH-10000923</t>
  </si>
  <si>
    <t>Belkin SportFit Armband For iPhone 5s/5c, Fuchsia</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</si>
  <si>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</si>
  <si>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</si>
  <si>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</si>
  <si>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</si>
  <si>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</si>
  <si>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</si>
  <si>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</si>
  <si>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</si>
  <si>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</si>
  <si>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</si>
  <si>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</si>
  <si>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</si>
  <si>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</si>
  <si>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</si>
  <si>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</si>
  <si>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</si>
  <si>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</si>
  <si>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</si>
  <si>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</si>
  <si>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</si>
  <si>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</si>
  <si>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</si>
  <si>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</si>
  <si>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</si>
  <si>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</si>
  <si>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CA-2015-159520</t>
  </si>
  <si>
    <t>OFF-SU-10001664</t>
  </si>
  <si>
    <t>Acme Office Executive Series Stainless Steel Trimmers</t>
  </si>
  <si>
    <t>FUR-TA-10003238</t>
  </si>
  <si>
    <t>Chromcraft Bull-Nose Wood 48" x 96" Rectangular Conference Tables</t>
  </si>
  <si>
    <t>CA-2018-102771</t>
  </si>
  <si>
    <t>TEC-PH-10001536</t>
  </si>
  <si>
    <t>Spigen Samsung Galaxy S5 Case Wallet</t>
  </si>
  <si>
    <t>AF-10870</t>
  </si>
  <si>
    <t>Art Ferguson</t>
  </si>
  <si>
    <t>College Station</t>
  </si>
  <si>
    <t>RB-19435</t>
  </si>
  <si>
    <t>Richard Bierner</t>
  </si>
  <si>
    <t>CA-2018-148166</t>
  </si>
  <si>
    <t>OFF-AR-10004956</t>
  </si>
  <si>
    <t>Newell 33</t>
  </si>
  <si>
    <t>CA-2017-101938</t>
  </si>
  <si>
    <t>OFF-AR-10003696</t>
  </si>
  <si>
    <t>Panasonic KP-350BK Electric Pencil Sharpener with Auto Stop</t>
  </si>
  <si>
    <t>KF-16285</t>
  </si>
  <si>
    <t>Karen Ferguson</t>
  </si>
  <si>
    <t>CA-2017-154018</t>
  </si>
  <si>
    <t>OFF-PA-10000551</t>
  </si>
  <si>
    <t>Array Memo Cubes</t>
  </si>
  <si>
    <t>JH-15820</t>
  </si>
  <si>
    <t>John Huston</t>
  </si>
  <si>
    <t>CA-2015-152296</t>
  </si>
  <si>
    <t>IL-15100</t>
  </si>
  <si>
    <t>Ivan Liston</t>
  </si>
  <si>
    <t>OFF-BI-10004506</t>
  </si>
  <si>
    <t>Wilson Jones data.warehouse D-Ring Binders with DublLock</t>
  </si>
  <si>
    <t>CA-2017-125738</t>
  </si>
  <si>
    <t>PB-18805</t>
  </si>
  <si>
    <t>Patrick Bzostek</t>
  </si>
  <si>
    <t>Salt Lake City</t>
  </si>
  <si>
    <t>OFF-PA-10000740</t>
  </si>
  <si>
    <t>Xerox 1982</t>
  </si>
  <si>
    <t>CA-2017-128818</t>
  </si>
  <si>
    <t>FUR-CH-10002084</t>
  </si>
  <si>
    <t>Hon Mobius Operator's Chair</t>
  </si>
  <si>
    <t>RH-19600</t>
  </si>
  <si>
    <t>CA-2017-118913</t>
  </si>
  <si>
    <t>OFF-AP-10000692</t>
  </si>
  <si>
    <t>Fellowes Mighty 8 Compact Surge Protector</t>
  </si>
  <si>
    <t>CA-2017-128412</t>
  </si>
  <si>
    <t>OFF-AP-10000252</t>
  </si>
  <si>
    <t>Harmony HEPA Quiet Air Purifiers</t>
  </si>
  <si>
    <t>Little Rock</t>
  </si>
  <si>
    <t>CA-2016-138002</t>
  </si>
  <si>
    <t>FUR-FU-10004748</t>
  </si>
  <si>
    <t>Howard Miller 16" Diameter Gallery Wall Clock</t>
  </si>
  <si>
    <t>CA-2017-164350</t>
  </si>
  <si>
    <t>OFF-AR-10000538</t>
  </si>
  <si>
    <t>Boston Model 1800 Electric Pencil Sharpener, Gray</t>
  </si>
  <si>
    <t>AW-10930</t>
  </si>
  <si>
    <t>Arthur Wiediger</t>
  </si>
  <si>
    <t>CA-2015-125556</t>
  </si>
  <si>
    <t>ML-17410</t>
  </si>
  <si>
    <t>Maris LaWare</t>
  </si>
  <si>
    <t>TEC-PH-10001079</t>
  </si>
  <si>
    <t>Polycom SoundPoint Pro SE-225 Corded phone</t>
  </si>
  <si>
    <t>CA-2017-162313</t>
  </si>
  <si>
    <t>Lincoln Park</t>
  </si>
  <si>
    <t>OFF-AP-10003842</t>
  </si>
  <si>
    <t>Euro-Pro Shark Turbo Vacuum</t>
  </si>
  <si>
    <t>CA-2018-129378</t>
  </si>
  <si>
    <t>FUR-CH-10000553</t>
  </si>
  <si>
    <t>Metal Folding Chairs, Beige, 4/Carton</t>
  </si>
  <si>
    <t>CA-2015-151953</t>
  </si>
  <si>
    <t>DB-13555</t>
  </si>
  <si>
    <t>Dorothy Badders</t>
  </si>
  <si>
    <t>OFF-AR-10003469</t>
  </si>
  <si>
    <t>Nontoxic Chalk</t>
  </si>
  <si>
    <t>MH-17620</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</si>
  <si>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</si>
  <si>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</si>
  <si>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</si>
  <si>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</si>
  <si>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</si>
  <si>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</si>
  <si>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</si>
  <si>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</si>
  <si>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</si>
  <si>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</si>
  <si>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</si>
  <si>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</si>
  <si>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CA-2015-128055</t>
  </si>
  <si>
    <t>OFF-AP-10002765</t>
  </si>
  <si>
    <t>Fellowes Advanced Computer Series Surge Protectors</t>
  </si>
  <si>
    <t>DB-13405</t>
  </si>
  <si>
    <t>Denny Blanton</t>
  </si>
  <si>
    <t>CA-2018-132122</t>
  </si>
  <si>
    <t>OFF-ST-10003692</t>
  </si>
  <si>
    <t>Recycled Steel Personal File for Hanging File Folders</t>
  </si>
  <si>
    <t>CA-2016-123232</t>
  </si>
  <si>
    <t>TEC-PH-10001051</t>
  </si>
  <si>
    <t>HTC One</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</si>
  <si>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</si>
  <si>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</si>
  <si>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</si>
  <si>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</si>
  <si>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</si>
  <si>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</si>
  <si>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</si>
  <si>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</si>
  <si>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</si>
  <si>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</si>
  <si>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</si>
  <si>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</si>
  <si>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</si>
  <si>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</si>
  <si>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</si>
  <si>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BF-11005</t>
  </si>
  <si>
    <t>CA-2016-116092</t>
  </si>
  <si>
    <t>JM-16195</t>
  </si>
  <si>
    <t>Justin MacKendrick</t>
  </si>
  <si>
    <t>OFF-PA-10004285</t>
  </si>
  <si>
    <t>Xerox 1959</t>
  </si>
  <si>
    <t>OFF-AP-10001391</t>
  </si>
  <si>
    <t>Kensington 6 Outlet MasterPiece HOMEOFFICE Power Control Center</t>
  </si>
  <si>
    <t>CA-2017-164091</t>
  </si>
  <si>
    <t>Bangor</t>
  </si>
  <si>
    <t>Maine</t>
  </si>
  <si>
    <t>TEC-PH-10001944</t>
  </si>
  <si>
    <t>Wi-Ex zBoost YX540 Cellular Phone Signal Booster</t>
  </si>
  <si>
    <t>CA-2018-105214</t>
  </si>
  <si>
    <t>OFF-PA-10001776</t>
  </si>
  <si>
    <t>Wirebound Message Books, Four 2 3/4" x 5" Forms per Page, 600 Sets per Book</t>
  </si>
  <si>
    <t>MZ-17335</t>
  </si>
  <si>
    <t>Maria Zettner</t>
  </si>
  <si>
    <t>MW-18220</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</si>
  <si>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</si>
  <si>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</si>
  <si>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</si>
  <si>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</si>
  <si>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</si>
  <si>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</si>
  <si>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</si>
  <si>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</si>
  <si>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</si>
  <si>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</si>
  <si>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</si>
  <si>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</si>
  <si>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</si>
  <si>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</si>
  <si>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</si>
  <si>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</si>
  <si>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</si>
  <si>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</si>
  <si>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</si>
  <si>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</si>
  <si>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</si>
  <si>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</si>
  <si>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</si>
  <si>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</si>
  <si>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</si>
  <si>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</si>
  <si>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</si>
  <si>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</si>
  <si>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</si>
  <si>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JK-15625</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</si>
  <si>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</si>
  <si>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</si>
  <si>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</si>
  <si>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</si>
  <si>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</si>
  <si>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</si>
  <si>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</si>
  <si>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</si>
  <si>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</si>
  <si>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</si>
  <si>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</si>
  <si>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</si>
  <si>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</si>
  <si>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</si>
  <si>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CA-2018-115154</t>
  </si>
  <si>
    <t>RS-19420</t>
  </si>
  <si>
    <t>Ricardo Sperren</t>
  </si>
  <si>
    <t>FUR-TA-10001950</t>
  </si>
  <si>
    <t>Balt Solid Wood Round Tables</t>
  </si>
  <si>
    <t>CA-2016-113145</t>
  </si>
  <si>
    <t>TEC-PH-10001527</t>
  </si>
  <si>
    <t>Plantronics MX500i Earset</t>
  </si>
  <si>
    <t>SV-20935</t>
  </si>
  <si>
    <t>Susan Vittorini</t>
  </si>
  <si>
    <t>BC-11125</t>
  </si>
  <si>
    <t>CA-2018-122035</t>
  </si>
  <si>
    <t>EM-13825</t>
  </si>
  <si>
    <t>Elizabeth Moffitt</t>
  </si>
  <si>
    <t>Sioux Falls</t>
  </si>
  <si>
    <t>South Dakota</t>
  </si>
  <si>
    <t>TEC-AC-10003095</t>
  </si>
  <si>
    <t>Logitech G35 7.1-Channel Surround Sound Headset</t>
  </si>
  <si>
    <t>CA-2018-165491</t>
  </si>
  <si>
    <t>TEC-AC-10000358</t>
  </si>
  <si>
    <t>Imation Secure Drive + Hardware Encrypted USB flash drive - 16 GB</t>
  </si>
  <si>
    <t>BM-11575</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</si>
  <si>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</si>
  <si>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</si>
  <si>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</si>
  <si>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</si>
  <si>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</si>
  <si>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</si>
  <si>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</si>
  <si>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</si>
  <si>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</si>
  <si>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</si>
  <si>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</si>
  <si>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</si>
  <si>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KW-16570</t>
  </si>
  <si>
    <t>CA-2018-152695</t>
  </si>
  <si>
    <t>OFF-AP-10000026</t>
  </si>
  <si>
    <t>Tripp Lite Isotel 6 Outlet Surge Protector with Fax/Modem Protection</t>
  </si>
  <si>
    <t>CA-2015-110639</t>
  </si>
  <si>
    <t>OFF-PA-10003936</t>
  </si>
  <si>
    <t>Xerox 1994</t>
  </si>
  <si>
    <t>US-2015-143231</t>
  </si>
  <si>
    <t>FUR-FU-10002501</t>
  </si>
  <si>
    <t>Nu-Dell Executive Frame</t>
  </si>
  <si>
    <t>CA-2017-119025</t>
  </si>
  <si>
    <t>OFF-AP-10001205</t>
  </si>
  <si>
    <t>Belkin 5 Outlet SurgeMaster Power Centers</t>
  </si>
  <si>
    <t>CA-2017-159373</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</si>
  <si>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</si>
  <si>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</si>
  <si>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</si>
  <si>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</si>
  <si>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</si>
  <si>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</si>
  <si>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</si>
  <si>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</si>
  <si>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</si>
  <si>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</si>
  <si>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</si>
  <si>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</si>
  <si>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</si>
  <si>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</si>
  <si>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</si>
  <si>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</si>
  <si>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</si>
  <si>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</si>
  <si>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</si>
  <si>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</si>
  <si>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</si>
  <si>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</si>
  <si>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</si>
  <si>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</si>
  <si>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</si>
  <si>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</si>
  <si>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</si>
  <si>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US-2017-129469</t>
  </si>
  <si>
    <t>FUR-FU-10002298</t>
  </si>
  <si>
    <t>Rubbermaid ClusterMat Chairmats, Mat Size- 66" x 60", Lip 20" x 11" -90 Degree Angle</t>
  </si>
  <si>
    <t>OFF-AR-10000315</t>
  </si>
  <si>
    <t>Dixon Ticonderoga Maple Cedar Pencil, #2</t>
  </si>
  <si>
    <t>CA-2017-159940</t>
  </si>
  <si>
    <t>OFF-FA-10000936</t>
  </si>
  <si>
    <t>Acco Hot Clips Clips to Go</t>
  </si>
  <si>
    <t>US-2015-164616</t>
  </si>
  <si>
    <t>OFF-SU-10004768</t>
  </si>
  <si>
    <t>Acme Kleencut Forged Steel Scissors</t>
  </si>
  <si>
    <t>CA-2017-118052</t>
  </si>
  <si>
    <t>OFF-PA-10002581</t>
  </si>
  <si>
    <t>Xerox 1951</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</si>
  <si>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</si>
  <si>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</si>
  <si>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</si>
  <si>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</si>
  <si>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</si>
  <si>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</si>
  <si>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</si>
  <si>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</si>
  <si>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</si>
  <si>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</si>
  <si>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</si>
  <si>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</si>
  <si>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</si>
  <si>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</si>
  <si>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</si>
  <si>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</si>
  <si>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</si>
  <si>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</si>
  <si>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</si>
  <si>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</si>
  <si>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</si>
  <si>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</si>
  <si>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</si>
  <si>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Malden</t>
  </si>
  <si>
    <t>US-2017-110170</t>
  </si>
  <si>
    <t>FUR-BO-10000780</t>
  </si>
  <si>
    <t>O'Sullivan Plantations 2-Door Library in Landvery Oak</t>
  </si>
  <si>
    <t>CA-2018-144589</t>
  </si>
  <si>
    <t>TM-21010</t>
  </si>
  <si>
    <t>Tamara Manning</t>
  </si>
  <si>
    <t>TEC-PH-10003072</t>
  </si>
  <si>
    <t>Panasonic KX-TG9541B DECT 6.0 Digital 2-Line Expandable Cordless Phone With Digital Answering System</t>
  </si>
  <si>
    <t>EM-13810</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</si>
  <si>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</si>
  <si>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</si>
  <si>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</si>
  <si>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</si>
  <si>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</si>
  <si>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</si>
  <si>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</si>
  <si>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</si>
  <si>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</si>
  <si>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</si>
  <si>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</si>
  <si>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CR-12580</t>
  </si>
  <si>
    <t>US-2018-147669</t>
  </si>
  <si>
    <t>FUR-TA-10002645</t>
  </si>
  <si>
    <t>Hon Rectangular Conference Tables</t>
  </si>
  <si>
    <t>CA-2017-169922</t>
  </si>
  <si>
    <t>OFF-BI-10003784</t>
  </si>
  <si>
    <t>Computer Printout Index Tabs</t>
  </si>
  <si>
    <t>OFF-BI-10001617</t>
  </si>
  <si>
    <t>GBC Wire Binding Combs</t>
  </si>
  <si>
    <t>CA-2015-148586</t>
  </si>
  <si>
    <t>AZ-10750</t>
  </si>
  <si>
    <t>Annie Zypern</t>
  </si>
  <si>
    <t>FUR-CH-10002439</t>
  </si>
  <si>
    <t>Iceberg Nesting Folding Chair, 19w x 6d x 43h</t>
  </si>
  <si>
    <t>CA-2016-154746</t>
  </si>
  <si>
    <t>OFF-AP-10003057</t>
  </si>
  <si>
    <t>Honeywell Enviracaire Portable HEPA Air Cleaner for 16' x 20' Room</t>
  </si>
  <si>
    <t>CA-2015-164210</t>
  </si>
  <si>
    <t>PW-19240</t>
  </si>
  <si>
    <t>Pierre Wener</t>
  </si>
  <si>
    <t>FUR-TA-10000849</t>
  </si>
  <si>
    <t>Bevis Rectangular Conference Tables</t>
  </si>
  <si>
    <t>CA-2017-146934</t>
  </si>
  <si>
    <t>Passaic</t>
  </si>
  <si>
    <t>OFF-EN-10002973</t>
  </si>
  <si>
    <t>Ampad #10 Peel &amp; Seel Holiday Envelopes</t>
  </si>
  <si>
    <t>CA-2017-140207</t>
  </si>
  <si>
    <t>OFF-BI-10003963</t>
  </si>
  <si>
    <t>Cardinal Holdit Data Disk Pockets</t>
  </si>
  <si>
    <t>CA-2018-140949</t>
  </si>
  <si>
    <t>OFF-LA-10000081</t>
  </si>
  <si>
    <t>Avery 496</t>
  </si>
  <si>
    <t>SC-20380</t>
  </si>
  <si>
    <t>Shahid Collister</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</si>
  <si>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</si>
  <si>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</si>
  <si>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</si>
  <si>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</si>
  <si>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</si>
  <si>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</si>
  <si>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</si>
  <si>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</si>
  <si>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</si>
  <si>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</si>
  <si>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</si>
  <si>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CA-2017-114972</t>
  </si>
  <si>
    <t>FUR-CH-10001190</t>
  </si>
  <si>
    <t>Global Deluxe High-Back Office Chair in Storm</t>
  </si>
  <si>
    <t>TEC-AC-10000682</t>
  </si>
  <si>
    <t>Kensington K72356US Mouse-in-a-Box USB Desktop Mouse</t>
  </si>
  <si>
    <t>OFF-LA-10004545</t>
  </si>
  <si>
    <t>Avery 50</t>
  </si>
  <si>
    <t>GM-14695</t>
  </si>
  <si>
    <t>CA-2018-141992</t>
  </si>
  <si>
    <t>OFF-SU-10002557</t>
  </si>
  <si>
    <t>Fiskars Spring-Action Scissors</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</si>
  <si>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</si>
  <si>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</si>
  <si>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</si>
  <si>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</si>
  <si>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</si>
  <si>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</si>
  <si>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</si>
  <si>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</si>
  <si>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</si>
  <si>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</si>
  <si>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</si>
  <si>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</si>
  <si>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</si>
  <si>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</si>
  <si>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</si>
  <si>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JM-15865</t>
  </si>
  <si>
    <t>SC-20575</t>
  </si>
  <si>
    <t>Mishawaka</t>
  </si>
  <si>
    <t>US-2018-133781</t>
  </si>
  <si>
    <t>OFF-EN-10004483</t>
  </si>
  <si>
    <t>#10 White Business Envelopes,4 1/8 x 9 1/2</t>
  </si>
  <si>
    <t>LS-17200</t>
  </si>
  <si>
    <t>RR-19315</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</si>
  <si>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</si>
  <si>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</si>
  <si>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</si>
  <si>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</si>
  <si>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</si>
  <si>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</si>
  <si>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</si>
  <si>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</si>
  <si>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</si>
  <si>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</si>
  <si>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</si>
  <si>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</si>
  <si>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DB-12910</t>
  </si>
  <si>
    <t>Daniel Byrd</t>
  </si>
  <si>
    <t>CA-2017-124352</t>
  </si>
  <si>
    <t>OFF-LA-10004559</t>
  </si>
  <si>
    <t>Avery 49</t>
  </si>
  <si>
    <t>OFF-AP-10002651</t>
  </si>
  <si>
    <t>Hoover Upright Vacuum With Dirt Cup</t>
  </si>
  <si>
    <t>CA-2016-124541</t>
  </si>
  <si>
    <t>TT-21220</t>
  </si>
  <si>
    <t>Thomas Thornton</t>
  </si>
  <si>
    <t>TEC-AC-10002550</t>
  </si>
  <si>
    <t>Maxell 4.7GB DVD-RW 3/Pack</t>
  </si>
  <si>
    <t>CA-2015-111500</t>
  </si>
  <si>
    <t>OFF-BI-10000829</t>
  </si>
  <si>
    <t>LO-17170</t>
  </si>
  <si>
    <t>CA-2016-168746</t>
  </si>
  <si>
    <t>TEC-PH-10002555</t>
  </si>
  <si>
    <t>Nortel Meridian M5316 Digital phone</t>
  </si>
  <si>
    <t>KD-16615</t>
  </si>
  <si>
    <t>NB-18580</t>
  </si>
  <si>
    <t>US-2017-114174</t>
  </si>
  <si>
    <t>FUR-BO-10003450</t>
  </si>
  <si>
    <t>Bush Westfield Collection Bookcases, Dark Cherry Finish</t>
  </si>
  <si>
    <t>CA-2018-101042</t>
  </si>
  <si>
    <t>FUR-FU-10004665</t>
  </si>
  <si>
    <t>3M Polarizing Task Lamp with Clamp Arm, Light Gray</t>
  </si>
  <si>
    <t>CA-2017-118626</t>
  </si>
  <si>
    <t>Tallahassee</t>
  </si>
  <si>
    <t>TEC-PH-10000369</t>
  </si>
  <si>
    <t>HTC One Mini</t>
  </si>
  <si>
    <t>CA-2016-111458</t>
  </si>
  <si>
    <t>TEC-AC-10001590</t>
  </si>
  <si>
    <t>Dell Slim USB Multimedia Keyboard</t>
  </si>
  <si>
    <t>US-2017-126844</t>
  </si>
  <si>
    <t>FUR-FU-10004909</t>
  </si>
  <si>
    <t>Contemporary Wood/Metal Frame</t>
  </si>
  <si>
    <t>CA-2016-147788</t>
  </si>
  <si>
    <t>FUR-BO-10004357</t>
  </si>
  <si>
    <t>O'Sullivan Living Dimensions 3-Shelf Bookcases</t>
  </si>
  <si>
    <t>Nashville</t>
  </si>
  <si>
    <t>CA-2016-110632</t>
  </si>
  <si>
    <t>TEC-AC-10000387</t>
  </si>
  <si>
    <t>KeyTronic KT800P2 - Keyboard - Black</t>
  </si>
  <si>
    <t>BD-11635</t>
  </si>
  <si>
    <t>CA-2018-123967</t>
  </si>
  <si>
    <t>Bellingham</t>
  </si>
  <si>
    <t>OFF-BI-10001308</t>
  </si>
  <si>
    <t>GBC Standard Plastic Binding Systems' Combs</t>
  </si>
  <si>
    <t>CM-12235</t>
  </si>
  <si>
    <t>Chris McAfee</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</si>
  <si>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</si>
  <si>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</si>
  <si>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</si>
  <si>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</si>
  <si>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</si>
  <si>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</si>
  <si>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</si>
  <si>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</si>
  <si>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</si>
  <si>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</si>
  <si>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CA-2018-131695</t>
  </si>
  <si>
    <t>FUR-FU-10002045</t>
  </si>
  <si>
    <t>Executive Impressions 14"</t>
  </si>
  <si>
    <t>US-2017-115455</t>
  </si>
  <si>
    <t>Wheeling</t>
  </si>
  <si>
    <t>FUR-FU-10004671</t>
  </si>
  <si>
    <t>Executive Impressions 12" Wall Clock</t>
  </si>
  <si>
    <t>FUR-TA-10003569</t>
  </si>
  <si>
    <t>Bretford CR8500 Series Meeting Room Furniture</t>
  </si>
  <si>
    <t>CA-2018-149048</t>
  </si>
  <si>
    <t>OFF-PA-10001752</t>
  </si>
  <si>
    <t>Hammermill CopyPlus Copy Paper (20Lb. and 84 Bright)</t>
  </si>
  <si>
    <t>CA-2017-165848</t>
  </si>
  <si>
    <t>EN-13780</t>
  </si>
  <si>
    <t>Edward Nazzal</t>
  </si>
  <si>
    <t>TEC-MA-10003356</t>
  </si>
  <si>
    <t>Panasonic KX MC6040 Color Laser Multifunction Printer</t>
  </si>
  <si>
    <t>KN-16450</t>
  </si>
  <si>
    <t>CA-2017-154053</t>
  </si>
  <si>
    <t>OFF-AR-10003727</t>
  </si>
  <si>
    <t>Berol Giant Pencil Sharpener</t>
  </si>
  <si>
    <t>CA-2015-127446</t>
  </si>
  <si>
    <t>TEC-AC-10001635</t>
  </si>
  <si>
    <t>KeyTronic KT400U2 - Keyboard - Black</t>
  </si>
  <si>
    <t>BO-11350</t>
  </si>
  <si>
    <t>Bill Overfelt</t>
  </si>
  <si>
    <t>AG-10300</t>
  </si>
  <si>
    <t>Aleksandra Gannaway</t>
  </si>
  <si>
    <t>CA-2018-147942</t>
  </si>
  <si>
    <t>OFF-LA-10003663</t>
  </si>
  <si>
    <t>Avery 498</t>
  </si>
  <si>
    <t>MC-17635</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</si>
  <si>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</si>
  <si>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</si>
  <si>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</si>
  <si>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</si>
  <si>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</si>
  <si>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</si>
  <si>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</si>
  <si>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</si>
  <si>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</si>
  <si>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</si>
  <si>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US-2018-110604</t>
  </si>
  <si>
    <t>JF-15295</t>
  </si>
  <si>
    <t>Jason Fortune-</t>
  </si>
  <si>
    <t>FUR-CH-10002017</t>
  </si>
  <si>
    <t>SAFCO Optional Arm Kit for Workspace Cribbage Stacking Chair</t>
  </si>
  <si>
    <t>CA-2016-116750</t>
  </si>
  <si>
    <t>FUR-FU-10003829</t>
  </si>
  <si>
    <t>Stackable Trays</t>
  </si>
  <si>
    <t>TT-21265</t>
  </si>
  <si>
    <t>CA-2018-108441</t>
  </si>
  <si>
    <t>SB-20170</t>
  </si>
  <si>
    <t>Sarah Bern</t>
  </si>
  <si>
    <t>OFF-PA-10000697</t>
  </si>
  <si>
    <t>TOPS Voice Message Log Book, Flash Format</t>
  </si>
  <si>
    <t>OFF-AR-10004691</t>
  </si>
  <si>
    <t>Boston 1730 StandUp Electric Pencil Sharpener</t>
  </si>
  <si>
    <t>CA-2015-131002</t>
  </si>
  <si>
    <t>OFF-BI-10000948</t>
  </si>
  <si>
    <t>GBC Laser Imprintable Binding System Covers, Desert Sand</t>
  </si>
  <si>
    <t>OFF-PA-10000223</t>
  </si>
  <si>
    <t>Xerox 2000</t>
  </si>
  <si>
    <t>CA-2018-112515</t>
  </si>
  <si>
    <t>OFF-PA-10000062</t>
  </si>
  <si>
    <t>Green Bar Computer Printout Paper</t>
  </si>
  <si>
    <t>FUR-BO-10003404</t>
  </si>
  <si>
    <t>Global Adaptabilites Bookcase, Cherry/Storm Gray Finish</t>
  </si>
  <si>
    <t>OFF-BI-10004233</t>
  </si>
  <si>
    <t>GBC Pre-Punched Binding Paper, Plastic, White, 8-1/2" x 11"</t>
  </si>
  <si>
    <t>CA-2018-123372</t>
  </si>
  <si>
    <t>TEC-PH-10002834</t>
  </si>
  <si>
    <t>Google Nexus 5</t>
  </si>
  <si>
    <t>CL-12700</t>
  </si>
  <si>
    <t>HG-15025</t>
  </si>
  <si>
    <t>NL-18310</t>
  </si>
  <si>
    <t>Nancy Lomonaco</t>
  </si>
  <si>
    <t>CA-2015-126403</t>
  </si>
  <si>
    <t>RR-19525</t>
  </si>
  <si>
    <t>Rick Reed</t>
  </si>
  <si>
    <t>FUR-CH-10003761</t>
  </si>
  <si>
    <t>Global Italian Leather Office Chair</t>
  </si>
  <si>
    <t>OFF-PA-10004665</t>
  </si>
  <si>
    <t>Advantus Motivational Note Cards</t>
  </si>
  <si>
    <t>TC-21295</t>
  </si>
  <si>
    <t>Toby Carlisle</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</si>
  <si>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</si>
  <si>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</si>
  <si>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</si>
  <si>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</si>
  <si>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</si>
  <si>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</si>
  <si>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</si>
  <si>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</si>
  <si>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</si>
  <si>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US-2017-128195</t>
  </si>
  <si>
    <t>OFF-BI-10002003</t>
  </si>
  <si>
    <t>Ibico Presentation Index for Binding Systems</t>
  </si>
  <si>
    <t>CA-2016-153220</t>
  </si>
  <si>
    <t>OFF-PA-10003016</t>
  </si>
  <si>
    <t>Adams "While You Were Out" Message Pads</t>
  </si>
  <si>
    <t>US-2017-144211</t>
  </si>
  <si>
    <t>Englewood</t>
  </si>
  <si>
    <t>OFF-PA-10002246</t>
  </si>
  <si>
    <t>Wirebound Four 2-3/4 x 5 Forms per Page, 400 Sets per Book</t>
  </si>
  <si>
    <t>TEC-PH-10002890</t>
  </si>
  <si>
    <t>AT&amp;T 17929 Lendline Telephone</t>
  </si>
  <si>
    <t>BE-11410</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</si>
  <si>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</si>
  <si>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</si>
  <si>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</si>
  <si>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</si>
  <si>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</si>
  <si>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</si>
  <si>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</si>
  <si>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</si>
  <si>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</si>
  <si>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</si>
  <si>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CA-2018-155873</t>
  </si>
  <si>
    <t>OFF-PA-10001246</t>
  </si>
  <si>
    <t>Xerox 215</t>
  </si>
  <si>
    <t>OFF-PA-10001815</t>
  </si>
  <si>
    <t>Xerox 1885</t>
  </si>
  <si>
    <t>CA-2016-121797</t>
  </si>
  <si>
    <t>FUR-FU-10001876</t>
  </si>
  <si>
    <t>Computer Room Manger, 14"</t>
  </si>
  <si>
    <t>CA-2015-127187</t>
  </si>
  <si>
    <t>TEC-PH-10000673</t>
  </si>
  <si>
    <t>Plantronics Voyager Pro HD - Bluetooth Headset</t>
  </si>
  <si>
    <t>SC-20680</t>
  </si>
  <si>
    <t>CA-2015-100006</t>
  </si>
  <si>
    <t>TEC-PH-10002075</t>
  </si>
  <si>
    <t>AT&amp;T EL51110 DECT</t>
  </si>
  <si>
    <t>DF-13135</t>
  </si>
  <si>
    <t>David Flashing</t>
  </si>
  <si>
    <t>FH-14350</t>
  </si>
  <si>
    <t>Fred Harton</t>
  </si>
  <si>
    <t>CA-2016-115798</t>
  </si>
  <si>
    <t>TEC-PH-10003691</t>
  </si>
  <si>
    <t>BlackBerry Q10</t>
  </si>
  <si>
    <t>CA-2018-122707</t>
  </si>
  <si>
    <t>Hoover</t>
  </si>
  <si>
    <t>OFF-SU-10000157</t>
  </si>
  <si>
    <t>Compact Automatic Electric Letter Opener</t>
  </si>
  <si>
    <t>TEC-AC-10004227</t>
  </si>
  <si>
    <t>SanDisk Ultra 16 GB MicroSDHC Class 10 Memory Card</t>
  </si>
  <si>
    <t>MS-17530</t>
  </si>
  <si>
    <t>MaryBeth Skach</t>
  </si>
  <si>
    <t>US-2016-165449</t>
  </si>
  <si>
    <t>Frisco</t>
  </si>
  <si>
    <t>TEC-AC-10004127</t>
  </si>
  <si>
    <t>SanDisk Cruzer 8 GB USB Flash Drive</t>
  </si>
  <si>
    <t>RH-19555</t>
  </si>
  <si>
    <t>US-2015-141257</t>
  </si>
  <si>
    <t>FUR-CH-10002758</t>
  </si>
  <si>
    <t>Hon Deluxe Fabric Upholstered Stacking Chairs, Squared Back</t>
  </si>
  <si>
    <t>CA-2015-154669</t>
  </si>
  <si>
    <t>Vacaville</t>
  </si>
  <si>
    <t>OFF-ST-10000532</t>
  </si>
  <si>
    <t>Advantus Rolling Drawer Organizers</t>
  </si>
  <si>
    <t>GA-14515</t>
  </si>
  <si>
    <t>George Ashbrook</t>
  </si>
  <si>
    <t>JP-16135</t>
  </si>
  <si>
    <t>Julie Prescott</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</si>
  <si>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</si>
  <si>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</si>
  <si>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</si>
  <si>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</si>
  <si>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</si>
  <si>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</si>
  <si>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</si>
  <si>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</si>
  <si>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</si>
  <si>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</si>
  <si>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</si>
  <si>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</si>
  <si>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</si>
  <si>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</si>
  <si>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</si>
  <si>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</si>
  <si>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</si>
  <si>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</si>
  <si>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CA-2018-108322</t>
  </si>
  <si>
    <t>Pompano Beach</t>
  </si>
  <si>
    <t>TEC-AC-10003433</t>
  </si>
  <si>
    <t>Maxell 4.7GB DVD+R 5/Pack</t>
  </si>
  <si>
    <t>US-2017-106677</t>
  </si>
  <si>
    <t>TEC-PH-10003187</t>
  </si>
  <si>
    <t>Anker Astro Mini 3000mAh Ultra-Compact Portable Charger</t>
  </si>
  <si>
    <t>CA-2016-149972</t>
  </si>
  <si>
    <t>OFF-FA-10002763</t>
  </si>
  <si>
    <t>Advantus Map Pennant Flags and Round Head Tacks</t>
  </si>
  <si>
    <t>DL-13330</t>
  </si>
  <si>
    <t>Denise Leinenbach</t>
  </si>
  <si>
    <t>CA-2016-159380</t>
  </si>
  <si>
    <t>OFF-PA-10004239</t>
  </si>
  <si>
    <t>Xerox 1953</t>
  </si>
  <si>
    <t>CA-2016-148635</t>
  </si>
  <si>
    <t>MH-18025</t>
  </si>
  <si>
    <t>Michelle Huthwaite</t>
  </si>
  <si>
    <t>OFF-PA-10004782</t>
  </si>
  <si>
    <t>Xerox 228</t>
  </si>
  <si>
    <t>CA-2016-135685</t>
  </si>
  <si>
    <t>FUR-FU-10001185</t>
  </si>
  <si>
    <t>Advantus Employee of the Month Certificate Frame, 11 x 13-1/2</t>
  </si>
  <si>
    <t>DR-12940</t>
  </si>
  <si>
    <t>Daniel Raglin</t>
  </si>
  <si>
    <t>DM-13015</t>
  </si>
  <si>
    <t>Darrin Martin</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</si>
  <si>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</si>
  <si>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</si>
  <si>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</si>
  <si>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</si>
  <si>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</si>
  <si>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</si>
  <si>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</si>
  <si>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</si>
  <si>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</si>
  <si>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</si>
  <si>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</si>
  <si>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CA-11965</t>
  </si>
  <si>
    <t>CA-2018-110842</t>
  </si>
  <si>
    <t>OFF-PA-10000520</t>
  </si>
  <si>
    <t>Xerox 201</t>
  </si>
  <si>
    <t>AC-10660</t>
  </si>
  <si>
    <t>CA-2018-157854</t>
  </si>
  <si>
    <t>DM-13345</t>
  </si>
  <si>
    <t>Denise Monton</t>
  </si>
  <si>
    <t>FUR-FU-10003832</t>
  </si>
  <si>
    <t>Eldon Expressions Punched Metal &amp; Wood Desk Accessories, Black &amp; Cherry</t>
  </si>
  <si>
    <t>VF-21715</t>
  </si>
  <si>
    <t>Vicky Freymann</t>
  </si>
  <si>
    <t>CA-2017-136371</t>
  </si>
  <si>
    <t>FUR-FU-10000409</t>
  </si>
  <si>
    <t>GE 4 Foot Flourescent Tube, 40 Watt</t>
  </si>
  <si>
    <t>CC-12370</t>
  </si>
  <si>
    <t>Christopher Conant</t>
  </si>
  <si>
    <t>CA-2018-138975</t>
  </si>
  <si>
    <t>TEC-PH-10004389</t>
  </si>
  <si>
    <t>Nokia Lumia 925</t>
  </si>
  <si>
    <t>US-2018-103828</t>
  </si>
  <si>
    <t>OFF-SU-10000946</t>
  </si>
  <si>
    <t>CA-2018-143861</t>
  </si>
  <si>
    <t>FUR-FU-10001546</t>
  </si>
  <si>
    <t>Dana Swing-Arm Lamps</t>
  </si>
  <si>
    <t>BF-11275</t>
  </si>
  <si>
    <t>CA-2018-164049</t>
  </si>
  <si>
    <t>OFF-PA-10000791</t>
  </si>
  <si>
    <t>Wirebound Message Books, Four 2 3/4 x 5 Forms per Page, 200 Sets per Book</t>
  </si>
  <si>
    <t>HG-14845</t>
  </si>
  <si>
    <t>Harry Greene</t>
  </si>
  <si>
    <t>CA-2018-139913</t>
  </si>
  <si>
    <t>OFF-PA-10003739</t>
  </si>
  <si>
    <t>Xerox 1969</t>
  </si>
  <si>
    <t>FUR-FU-10000771</t>
  </si>
  <si>
    <t>Eldon 200 Class Desk Accessories, Smoke</t>
  </si>
  <si>
    <t>Highland Park</t>
  </si>
  <si>
    <t>CA-2015-127586</t>
  </si>
  <si>
    <t>OFF-ST-10002615</t>
  </si>
  <si>
    <t>Dual Level, Single-Width Filing Carts</t>
  </si>
  <si>
    <t>CA-2018-121615</t>
  </si>
  <si>
    <t>OFF-PA-10000327</t>
  </si>
  <si>
    <t>Xerox 1971</t>
  </si>
  <si>
    <t>CA-2015-113929</t>
  </si>
  <si>
    <t>Hempstead</t>
  </si>
  <si>
    <t>OFF-EN-10003286</t>
  </si>
  <si>
    <t>OFF-AR-10003772</t>
  </si>
  <si>
    <t>Boston 16750 Black Compact Battery Pencil Sharpener</t>
  </si>
  <si>
    <t>CA-2018-155047</t>
  </si>
  <si>
    <t>OFF-AR-10003338</t>
  </si>
  <si>
    <t>Eberhard Faber 3 1/2" Golf Pencils</t>
  </si>
  <si>
    <t>CA-2015-157721</t>
  </si>
  <si>
    <t>FUR-FU-10002116</t>
  </si>
  <si>
    <t>Tenex Carpeted, Granite-Look or Clear Contemporary Contour Shape Chair Mats</t>
  </si>
  <si>
    <t>BP-11155</t>
  </si>
  <si>
    <t>Becky Pak</t>
  </si>
  <si>
    <t>Apple Valley</t>
  </si>
  <si>
    <t>CA-2018-155880</t>
  </si>
  <si>
    <t>FUR-CH-10000422</t>
  </si>
  <si>
    <t>Global Highback Leather Tilter in Burgundy</t>
  </si>
  <si>
    <t>CA-2018-126242</t>
  </si>
  <si>
    <t>FUR-FU-10002685</t>
  </si>
  <si>
    <t>Executive Impressions 13-1/2" Indoor/Outdoor Wall Clock</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</si>
  <si>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</si>
  <si>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</si>
  <si>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</si>
  <si>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</si>
  <si>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</si>
  <si>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</si>
  <si>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</si>
  <si>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</si>
  <si>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</si>
  <si>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</si>
  <si>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</si>
  <si>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</si>
  <si>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</si>
  <si>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</si>
  <si>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</si>
  <si>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</si>
  <si>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CA-2018-137428</t>
  </si>
  <si>
    <t>AY-10555</t>
  </si>
  <si>
    <t>Andy Yotov</t>
  </si>
  <si>
    <t>FUR-FU-10002445</t>
  </si>
  <si>
    <t>DAX Two-Tone Rosewood/Black Document Frame, Desktop, 5 x 7</t>
  </si>
  <si>
    <t>CA-2016-137512</t>
  </si>
  <si>
    <t>OFF-PA-10000213</t>
  </si>
  <si>
    <t>Xerox 198</t>
  </si>
  <si>
    <t>CA-2018-139773</t>
  </si>
  <si>
    <t>FUR-CH-10001797</t>
  </si>
  <si>
    <t>Safco Chair Connectors, 6/Carton</t>
  </si>
  <si>
    <t>Mount Pleasant</t>
  </si>
  <si>
    <t>CA-2016-139850</t>
  </si>
  <si>
    <t>GB-14575</t>
  </si>
  <si>
    <t>Giulietta Baptist</t>
  </si>
  <si>
    <t>OFF-PA-10003848</t>
  </si>
  <si>
    <t>Xerox 1997</t>
  </si>
  <si>
    <t>CA-2017-139269</t>
  </si>
  <si>
    <t>JB-16045</t>
  </si>
  <si>
    <t>Julia Barnett</t>
  </si>
  <si>
    <t>FUR-FU-10000755</t>
  </si>
  <si>
    <t>Eldon Expressions Mahogany Wood Desk Collection</t>
  </si>
  <si>
    <t>CA-2015-138317</t>
  </si>
  <si>
    <t>FUR-FU-10000550</t>
  </si>
  <si>
    <t>Stacking Trays by OIC</t>
  </si>
  <si>
    <t>TEC-MA-10004521</t>
  </si>
  <si>
    <t>Epson Perfection V600 Photo Scanner</t>
  </si>
  <si>
    <t>CA-2016-130610</t>
  </si>
  <si>
    <t>Sterling Heights</t>
  </si>
  <si>
    <t>OFF-BI-10003655</t>
  </si>
  <si>
    <t>Durable Pressboard Binders</t>
  </si>
  <si>
    <t>CA-2017-131499</t>
  </si>
  <si>
    <t>MG-17875</t>
  </si>
  <si>
    <t>Michael Grace</t>
  </si>
  <si>
    <t>OFF-AP-10003779</t>
  </si>
  <si>
    <t>Kensington 7 Outlet MasterPiece Power Center with Fax/Phone Line Protection</t>
  </si>
  <si>
    <t>SR-20425</t>
  </si>
  <si>
    <t>CA-2016-123568</t>
  </si>
  <si>
    <t>OFF-FA-10002701</t>
  </si>
  <si>
    <t>Alliance Rubber Bands</t>
  </si>
  <si>
    <t>JB-16000</t>
  </si>
  <si>
    <t>CA-2015-106719</t>
  </si>
  <si>
    <t>Billings</t>
  </si>
  <si>
    <t>OFF-BI-10002799</t>
  </si>
  <si>
    <t>SlimView Poly Binder, 3/8"</t>
  </si>
  <si>
    <t>DM-12955</t>
  </si>
  <si>
    <t>US-2016-123960</t>
  </si>
  <si>
    <t>OFF-AR-10003582</t>
  </si>
  <si>
    <t>Boston Electric Pencil Sharpener, Model 1818, Charcoal Black</t>
  </si>
  <si>
    <t>FUR-FU-10004666</t>
  </si>
  <si>
    <t>DAX Clear Channel Poster Frame</t>
  </si>
  <si>
    <t>Chattanooga</t>
  </si>
  <si>
    <t>CA-2018-149559</t>
  </si>
  <si>
    <t>OFF-EN-10002312</t>
  </si>
  <si>
    <t>#10 Self-Seal White Envelopes</t>
  </si>
  <si>
    <t>FUR-CH-10002320</t>
  </si>
  <si>
    <t>Hon Pagoda Stacking Chairs</t>
  </si>
  <si>
    <t>CA-2018-125290</t>
  </si>
  <si>
    <t>OFF-AR-10001216</t>
  </si>
  <si>
    <t>Newell 339</t>
  </si>
  <si>
    <t>TC-21475</t>
  </si>
  <si>
    <t>US-2018-148054</t>
  </si>
  <si>
    <t>Meridian</t>
  </si>
  <si>
    <t>Idaho</t>
  </si>
  <si>
    <t>FUR-FU-10003247</t>
  </si>
  <si>
    <t>36X48 HARDFLOOR CHAIRMAT</t>
  </si>
  <si>
    <t>SW-20350</t>
  </si>
  <si>
    <t>Sean Wendt</t>
  </si>
  <si>
    <t>CA-2018-131492</t>
  </si>
  <si>
    <t>FUR-TA-10003837</t>
  </si>
  <si>
    <t>Anderson Hickey Conga Table Tops &amp; Accessories</t>
  </si>
  <si>
    <t>RE-19450</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</si>
  <si>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</si>
  <si>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</si>
  <si>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</si>
  <si>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</si>
  <si>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</si>
  <si>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</si>
  <si>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</si>
  <si>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</si>
  <si>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</si>
  <si>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</si>
  <si>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</si>
  <si>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</si>
  <si>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CA-2015-119375</t>
  </si>
  <si>
    <t>FUR-FU-10002379</t>
  </si>
  <si>
    <t>Eldon Econocleat Chair Mats for Low Pile Carpets</t>
  </si>
  <si>
    <t>KB-16405</t>
  </si>
  <si>
    <t>US-2018-159205</t>
  </si>
  <si>
    <t>TEC-PH-10000526</t>
  </si>
  <si>
    <t>Vtech CS6719</t>
  </si>
  <si>
    <t>CA-2017-112123</t>
  </si>
  <si>
    <t>OFF-PA-10001977</t>
  </si>
  <si>
    <t>Xerox 194</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</si>
  <si>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</si>
  <si>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</si>
  <si>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</si>
  <si>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</si>
  <si>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</si>
  <si>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</si>
  <si>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</si>
  <si>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</si>
  <si>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</si>
  <si>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</si>
  <si>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</si>
  <si>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</si>
  <si>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</si>
  <si>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CA-2017-121671</t>
  </si>
  <si>
    <t>OFF-PA-10001471</t>
  </si>
  <si>
    <t>Strathmore Photo Frame Cards</t>
  </si>
  <si>
    <t>CA-2017-150350</t>
  </si>
  <si>
    <t>TEC-MA-10001972</t>
  </si>
  <si>
    <t>Okidata C331dn Printer</t>
  </si>
  <si>
    <t>CA-2016-121720</t>
  </si>
  <si>
    <t>FUR-FU-10003464</t>
  </si>
  <si>
    <t>Seth Thomas 8 1/2" Cubicle Clock</t>
  </si>
  <si>
    <t>EB-14110</t>
  </si>
  <si>
    <t>Eugene Barchas</t>
  </si>
  <si>
    <t>CA-2018-147564</t>
  </si>
  <si>
    <t>OFF-PA-10004438</t>
  </si>
  <si>
    <t>Xerox 1907</t>
  </si>
  <si>
    <t>CA-2015-107916</t>
  </si>
  <si>
    <t>JP-15460</t>
  </si>
  <si>
    <t>Jennifer Patt</t>
  </si>
  <si>
    <t>FUR-FU-10004586</t>
  </si>
  <si>
    <t>G.E. Longer-Life Indoor Recessed Floodlight Bulbs</t>
  </si>
  <si>
    <t>CA-2018-164168</t>
  </si>
  <si>
    <t>TEC-PH-10004908</t>
  </si>
  <si>
    <t>Panasonic KX TS3282W Corded phone</t>
  </si>
  <si>
    <t>CA-2018-131828</t>
  </si>
  <si>
    <t>CS-11845</t>
  </si>
  <si>
    <t>Cari Sayre</t>
  </si>
  <si>
    <t>FUR-CH-10004495</t>
  </si>
  <si>
    <t>Global Leather and Oak Executive Chair, Black</t>
  </si>
  <si>
    <t>CA-2016-147830</t>
  </si>
  <si>
    <t>TEC-MA-10000418</t>
  </si>
  <si>
    <t>Cubify CubeX 3D Printer Double Head Print</t>
  </si>
  <si>
    <t>CA-2018-150497</t>
  </si>
  <si>
    <t>Maple Grove</t>
  </si>
  <si>
    <t>OFF-BI-10004600</t>
  </si>
  <si>
    <t>Ibico Ibimaster 300 Manual Binding System</t>
  </si>
  <si>
    <t>GH-14410</t>
  </si>
  <si>
    <t>Gary Hansen</t>
  </si>
  <si>
    <t>US-2015-150924</t>
  </si>
  <si>
    <t>PT-19090</t>
  </si>
  <si>
    <t>Pete Takahito</t>
  </si>
  <si>
    <t>OFF-BI-10004040</t>
  </si>
  <si>
    <t>Wilson Jones Impact Binders</t>
  </si>
  <si>
    <t>CA-2015-153969</t>
  </si>
  <si>
    <t>OFF-AR-10001615</t>
  </si>
  <si>
    <t>Newell 34</t>
  </si>
  <si>
    <t>TEC-PH-10001299</t>
  </si>
  <si>
    <t>Polycom CX300 Desktop Phone USB VoIP phone</t>
  </si>
  <si>
    <t>CA-2018-157483</t>
  </si>
  <si>
    <t>OFF-AR-10004260</t>
  </si>
  <si>
    <t>Boston 1799 Powerhouse Electric Pencil Sharpener</t>
  </si>
  <si>
    <t>CA-2015-123498</t>
  </si>
  <si>
    <t>OFF-EN-10004773</t>
  </si>
  <si>
    <t>US-2018-146416</t>
  </si>
  <si>
    <t>Woodland</t>
  </si>
  <si>
    <t>OFF-BI-10001787</t>
  </si>
  <si>
    <t>Wilson Jones Four-Pocket Poly Binders</t>
  </si>
  <si>
    <t>US-2016-163783</t>
  </si>
  <si>
    <t>OFF-ST-10002957</t>
  </si>
  <si>
    <t>Sterilite Show Offs Storage Containers</t>
  </si>
  <si>
    <t>JL-15130</t>
  </si>
  <si>
    <t>CA-2017-169026</t>
  </si>
  <si>
    <t>OFF-FA-10001883</t>
  </si>
  <si>
    <t>Alliance Super-Size Bands, Assorted Sizes</t>
  </si>
  <si>
    <t>CA-2015-131527</t>
  </si>
  <si>
    <t>TEC-PH-10001644</t>
  </si>
  <si>
    <t>BlueLounge Milo Smartphone Stand, White/Metallic</t>
  </si>
  <si>
    <t>AH-10030</t>
  </si>
  <si>
    <t>Aaron Hawkins</t>
  </si>
  <si>
    <t>CA-2015-158372</t>
  </si>
  <si>
    <t>OFF-LA-10000407</t>
  </si>
  <si>
    <t>Avery White Multi-Purpose Labels</t>
  </si>
  <si>
    <t>CA-2017-108882</t>
  </si>
  <si>
    <t>TEC-AC-10000420</t>
  </si>
  <si>
    <t>Logitech G500s Laser Gaming Mouse with Adjustable Weight Tuning</t>
  </si>
  <si>
    <t>Pearland</t>
  </si>
  <si>
    <t>CA-2015-108189</t>
  </si>
  <si>
    <t>OFF-EN-10004846</t>
  </si>
  <si>
    <t>Letter or Legal Size Expandable Poly String Tie Envelopes</t>
  </si>
  <si>
    <t>OFF-SU-10003567</t>
  </si>
  <si>
    <t>Stiletto Hand Letter Openers</t>
  </si>
  <si>
    <t>US-2018-156356</t>
  </si>
  <si>
    <t>OFF-ST-10002301</t>
  </si>
  <si>
    <t>Tennsco Commercial Shelving</t>
  </si>
  <si>
    <t>CC-12475</t>
  </si>
  <si>
    <t>Cindy Chapman</t>
  </si>
  <si>
    <t>US-2017-127971</t>
  </si>
  <si>
    <t>DW-13195</t>
  </si>
  <si>
    <t>David Wiener</t>
  </si>
  <si>
    <t>TEC-PH-10003095</t>
  </si>
  <si>
    <t>Samsung HM1900 Bluetooth Headset</t>
  </si>
  <si>
    <t>CA-2018-113355</t>
  </si>
  <si>
    <t>SJ-20215</t>
  </si>
  <si>
    <t>Sarah Jordon</t>
  </si>
  <si>
    <t>TEC-PH-10004912</t>
  </si>
  <si>
    <t>Cisco SPA112 2 Port Phone Adapter</t>
  </si>
  <si>
    <t>US-2018-140907</t>
  </si>
  <si>
    <t>OFF-AR-10000799</t>
  </si>
  <si>
    <t>Col-Erase Pencils with Erasers</t>
  </si>
  <si>
    <t>BG-11740</t>
  </si>
  <si>
    <t>LB-16795</t>
  </si>
  <si>
    <t>Laurel Beltran</t>
  </si>
  <si>
    <t>CA-2015-151554</t>
  </si>
  <si>
    <t>CM-11815</t>
  </si>
  <si>
    <t>Candace McMahon</t>
  </si>
  <si>
    <t>OFF-PA-10004609</t>
  </si>
  <si>
    <t>Xerox 221</t>
  </si>
  <si>
    <t>CA-2015-143840</t>
  </si>
  <si>
    <t>EH-14185</t>
  </si>
  <si>
    <t>Evan Henry</t>
  </si>
  <si>
    <t>TEC-PH-10003171</t>
  </si>
  <si>
    <t>Plantronics Encore H101 Dual Earpieces Headset</t>
  </si>
  <si>
    <t>CA-2018-150525</t>
  </si>
  <si>
    <t>OFF-AP-10000595</t>
  </si>
  <si>
    <t>Disposable Triple-Filter Dust Bags</t>
  </si>
  <si>
    <t>CA-2016-157770</t>
  </si>
  <si>
    <t>Temecula</t>
  </si>
  <si>
    <t>TEC-AC-10003399</t>
  </si>
  <si>
    <t>Memorex Mini Travel Drive 64 GB USB 2.0 Flash Drive</t>
  </si>
  <si>
    <t>CA-2018-113418</t>
  </si>
  <si>
    <t>TEC-MA-10002428</t>
  </si>
  <si>
    <t>Fellowes Powershred HS-440 4-Sheet High Security Shredder</t>
  </si>
  <si>
    <t>US-2015-159926</t>
  </si>
  <si>
    <t>TEC-PH-10001128</t>
  </si>
  <si>
    <t>Motorola Droid Maxx</t>
  </si>
  <si>
    <t>TS-21505</t>
  </si>
  <si>
    <t>Tony Sayre</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</si>
  <si>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</si>
  <si>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</si>
  <si>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</si>
  <si>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</si>
  <si>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</si>
  <si>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</si>
  <si>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</si>
  <si>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</si>
  <si>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</si>
  <si>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</si>
  <si>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</si>
  <si>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</si>
  <si>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</si>
  <si>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</si>
  <si>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</si>
  <si>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</si>
  <si>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</si>
  <si>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US-2015-134733</t>
  </si>
  <si>
    <t>FUR-BO-10002916</t>
  </si>
  <si>
    <t>Rush Hierlooms Collection 1" Thick Stackable Bookcases</t>
  </si>
  <si>
    <t>US-2015-150434</t>
  </si>
  <si>
    <t>FUR-TA-10004152</t>
  </si>
  <si>
    <t>Barricks 18" x 48" Non-Folding Utility Table with Bottom Storage Shelf</t>
  </si>
  <si>
    <t>US-2016-142020</t>
  </si>
  <si>
    <t>FUR-FU-10000672</t>
  </si>
  <si>
    <t>Executive Impressions 10" Spectator Wall Clock</t>
  </si>
  <si>
    <t>LC-17050</t>
  </si>
  <si>
    <t>CA-2016-115511</t>
  </si>
  <si>
    <t>FUR-BO-10002598</t>
  </si>
  <si>
    <t>Hon Metal Bookcases, Putty</t>
  </si>
  <si>
    <t>CS-12490</t>
  </si>
  <si>
    <t>CA-2018-142867</t>
  </si>
  <si>
    <t>OFF-PA-10004610</t>
  </si>
  <si>
    <t>Xerox 1900</t>
  </si>
  <si>
    <t>CA-2018-103156</t>
  </si>
  <si>
    <t>FUR-FU-10000320</t>
  </si>
  <si>
    <t>OIC Stacking Trays</t>
  </si>
  <si>
    <t>CA-2016-130659</t>
  </si>
  <si>
    <t>FUR-CH-10003535</t>
  </si>
  <si>
    <t>Global Armless Task Chair, Royal Blue</t>
  </si>
  <si>
    <t>DH-13075</t>
  </si>
  <si>
    <t>CA-2018-168739</t>
  </si>
  <si>
    <t>FUR-FU-10003919</t>
  </si>
  <si>
    <t>Eldon Executive Woodline II Cherry Finish Desk Accessories</t>
  </si>
  <si>
    <t>US-2018-111024</t>
  </si>
  <si>
    <t>OFF-PA-10000174</t>
  </si>
  <si>
    <t>Message Book, Wirebound, Four 5 1/2" X 4" Forms/Pg., 200 Dupl. Sets/Book</t>
  </si>
  <si>
    <t>CA-2018-148264</t>
  </si>
  <si>
    <t>FUR-FU-10002703</t>
  </si>
  <si>
    <t>Tenex Traditional Chairmats for Hard Floors, Average Lip, 36" x 48"</t>
  </si>
  <si>
    <t>JO-15145</t>
  </si>
  <si>
    <t>Jack O'Briant</t>
  </si>
  <si>
    <t>AH-10690</t>
  </si>
  <si>
    <t>Anna Häberlin</t>
  </si>
  <si>
    <t>CA-2015-157609</t>
  </si>
  <si>
    <t>TEC-PH-10002415</t>
  </si>
  <si>
    <t>Polycom VoiceStation 500 Conference phone</t>
  </si>
  <si>
    <t>CA-2016-153626</t>
  </si>
  <si>
    <t>OFF-AR-10000657</t>
  </si>
  <si>
    <t>Binney &amp; Smith inkTank Desk Highlighter, Chisel Tip, Yellow, 12/Box</t>
  </si>
  <si>
    <t>CA-2017-166485</t>
  </si>
  <si>
    <t>OFF-PA-10004996</t>
  </si>
  <si>
    <t>Speediset Carbonless Redi-Letter 7" x 8 1/2"</t>
  </si>
  <si>
    <t>HJ-14875</t>
  </si>
  <si>
    <t>MH-17455</t>
  </si>
  <si>
    <t>CA-2017-131289</t>
  </si>
  <si>
    <t>OFF-PA-10003363</t>
  </si>
  <si>
    <t>Xerox 204</t>
  </si>
  <si>
    <t>CA-2018-142034</t>
  </si>
  <si>
    <t>Saint Cloud</t>
  </si>
  <si>
    <t>TEC-AC-10002305</t>
  </si>
  <si>
    <t>KeyTronic E03601U1 - Keyboard - Beige</t>
  </si>
  <si>
    <t>TEC-AC-10000990</t>
  </si>
  <si>
    <t>Imation Bio 2GB USB Flash Drive Imation Corp</t>
  </si>
  <si>
    <t>RD-19930</t>
  </si>
  <si>
    <t>Russell D'Ascenzo</t>
  </si>
  <si>
    <t>CA-2015-166863</t>
  </si>
  <si>
    <t>SC-20020</t>
  </si>
  <si>
    <t>Sam Craven</t>
  </si>
  <si>
    <t>FUR-BO-10001608</t>
  </si>
  <si>
    <t>Hon Metal Bookcases, Black</t>
  </si>
  <si>
    <t>CA-2018-140326</t>
  </si>
  <si>
    <t>FUR-BO-10000112</t>
  </si>
  <si>
    <t>Bush Birmingham Collection Bookcase, Dark Cherry</t>
  </si>
  <si>
    <t>CA-2017-132731</t>
  </si>
  <si>
    <t>TEC-PH-10004120</t>
  </si>
  <si>
    <t>AT&amp;T 1080 Phone</t>
  </si>
  <si>
    <t>CA-2018-148922</t>
  </si>
  <si>
    <t>SU-20665</t>
  </si>
  <si>
    <t>Stephanie Ulpright</t>
  </si>
  <si>
    <t>OFF-BI-10003476</t>
  </si>
  <si>
    <t>Avery Metallic Poly Binders</t>
  </si>
  <si>
    <t>CA-2015-110849</t>
  </si>
  <si>
    <t>TEC-MA-10002859</t>
  </si>
  <si>
    <t>Ativa MDM8000 8-Sheet Micro-Cut Shredder</t>
  </si>
  <si>
    <t>CA-2018-121216</t>
  </si>
  <si>
    <t>OFF-AP-10001947</t>
  </si>
  <si>
    <t>Acco 6 Outlet Guardian Premium Plus Surge Suppressor</t>
  </si>
  <si>
    <t>CA-2018-155292</t>
  </si>
  <si>
    <t>OFF-LA-10001982</t>
  </si>
  <si>
    <t>Smead Alpha-Z Color-Coded Name Labels First Letter Starter Set</t>
  </si>
  <si>
    <t>CA-2015-120838</t>
  </si>
  <si>
    <t>TEC-PH-10003484</t>
  </si>
  <si>
    <t>Ooma Telo VoIP Home Phone System</t>
  </si>
  <si>
    <t>CA-2018-109757</t>
  </si>
  <si>
    <t>OFF-PA-10000007</t>
  </si>
  <si>
    <t>Telephone Message Books with Fax/Mobile Section, 4 1/4" x 6"</t>
  </si>
  <si>
    <t>CA-2017-130029</t>
  </si>
  <si>
    <t>OFF-PA-10000552</t>
  </si>
  <si>
    <t>Xerox 200</t>
  </si>
  <si>
    <t>FC-14335</t>
  </si>
  <si>
    <t>CA-2018-117023</t>
  </si>
  <si>
    <t>OFF-AR-10004062</t>
  </si>
  <si>
    <t>North Miami</t>
  </si>
  <si>
    <t>CA-2017-104157</t>
  </si>
  <si>
    <t>OFF-ST-10000321</t>
  </si>
  <si>
    <t>Akro Stacking Bins</t>
  </si>
  <si>
    <t>CA-2015-102869</t>
  </si>
  <si>
    <t>TEC-AC-10002134</t>
  </si>
  <si>
    <t>Rosewill 107 Normal Keys USB Wired Standard Keyboard</t>
  </si>
  <si>
    <t>RB-19330</t>
  </si>
  <si>
    <t>NC-18535</t>
  </si>
  <si>
    <t>Nick Crebassa</t>
  </si>
  <si>
    <t>CA-2017-109743</t>
  </si>
  <si>
    <t>TEC-PH-10004071</t>
  </si>
  <si>
    <t>PayAnywhere Card Reader</t>
  </si>
  <si>
    <t>DB-12970</t>
  </si>
  <si>
    <t>CA-2017-145177</t>
  </si>
  <si>
    <t>OFF-PA-10004039</t>
  </si>
  <si>
    <t>Xerox 1882</t>
  </si>
  <si>
    <t>CA-2015-156594</t>
  </si>
  <si>
    <t>OFF-AR-10001725</t>
  </si>
  <si>
    <t>Boston Home &amp; Office Model 2000 Electric Pencil Sharpeners</t>
  </si>
  <si>
    <t>OFF-AR-10004269</t>
  </si>
  <si>
    <t>Newell 31</t>
  </si>
  <si>
    <t>OFF-BI-10003007</t>
  </si>
  <si>
    <t>Premium Transparent Presentation Covers, No Pattern/Clear, 8 1/2" x 11"</t>
  </si>
  <si>
    <t>CA-2015-146528</t>
  </si>
  <si>
    <t>OFF-SU-10002522</t>
  </si>
  <si>
    <t>Acme Kleen Earth Office Shears</t>
  </si>
  <si>
    <t>CA-2018-109960</t>
  </si>
  <si>
    <t>TEC-AC-10004859</t>
  </si>
  <si>
    <t>Maxell Pro 80 Minute CD-R, 10/Pack</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</si>
  <si>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</si>
  <si>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</si>
  <si>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</si>
  <si>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</si>
  <si>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</si>
  <si>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</si>
  <si>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</si>
  <si>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</si>
  <si>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</si>
  <si>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</si>
  <si>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CA-2015-129364</t>
  </si>
  <si>
    <t>OFF-SU-10000432</t>
  </si>
  <si>
    <t>Acco Side-Punched Conventional Columnar Pads</t>
  </si>
  <si>
    <t>OFF-LA-10004409</t>
  </si>
  <si>
    <t>Avery 492</t>
  </si>
  <si>
    <t>OFF-ST-10001031</t>
  </si>
  <si>
    <t>Adjustable Personal File Tote</t>
  </si>
  <si>
    <t>CA-2016-132626</t>
  </si>
  <si>
    <t>OFF-LA-10000476</t>
  </si>
  <si>
    <t>Avery 05222 Permanent Self-Adhesive File Folder Labels for Typewriters, on Rolls, White, 250/Roll</t>
  </si>
  <si>
    <t>OFF-AR-10002987</t>
  </si>
  <si>
    <t>Prismacolor Color Pencil Set</t>
  </si>
  <si>
    <t>US-2016-131359</t>
  </si>
  <si>
    <t>TEC-CO-10001571</t>
  </si>
  <si>
    <t>Sharp 1540cs Digital Laser Copier</t>
  </si>
  <si>
    <t>FUR-FU-10003026</t>
  </si>
  <si>
    <t>Eldon Regeneration Recycled Desk Accessories, Black</t>
  </si>
  <si>
    <t>CA-2015-140039</t>
  </si>
  <si>
    <t>OFF-ST-10001034</t>
  </si>
  <si>
    <t>Eldon File Chest Portable File</t>
  </si>
  <si>
    <t>MF-17665</t>
  </si>
  <si>
    <t>CA-2018-166198</t>
  </si>
  <si>
    <t>TEC-AC-10000521</t>
  </si>
  <si>
    <t>Verbatim Slim CD and DVD Storage Cases, 50/Pack</t>
  </si>
  <si>
    <t>CA-2017-142370</t>
  </si>
  <si>
    <t>OFF-SU-10003002</t>
  </si>
  <si>
    <t>Letter Slitter</t>
  </si>
  <si>
    <t>CA-2016-109575</t>
  </si>
  <si>
    <t>TEC-PH-10000730</t>
  </si>
  <si>
    <t>Samsung Galaxy S4 Active</t>
  </si>
  <si>
    <t>RM-19750</t>
  </si>
  <si>
    <t>VM-21835</t>
  </si>
  <si>
    <t>CA-2017-116799</t>
  </si>
  <si>
    <t>Odessa</t>
  </si>
  <si>
    <t>FUR-CH-10004983</t>
  </si>
  <si>
    <t>Office Star - Mid Back Dual function Ergonomic High Back Chair with 2-Way Adjustable Arms</t>
  </si>
  <si>
    <t>US-2015-102715</t>
  </si>
  <si>
    <t>OFF-FA-10001332</t>
  </si>
  <si>
    <t>Acco Banker's Clasps, 5 3/4"-Long</t>
  </si>
  <si>
    <t>TEC-AC-10001874</t>
  </si>
  <si>
    <t>Logitech Wireless Anywhere Mouse MX for PC and Mac</t>
  </si>
  <si>
    <t>Chula Vista</t>
  </si>
  <si>
    <t>CA-2018-112487</t>
  </si>
  <si>
    <t>OFF-BI-10000494</t>
  </si>
  <si>
    <t>Acco Economy Flexible Poly Round Ring Binder</t>
  </si>
  <si>
    <t>US-2015-117163</t>
  </si>
  <si>
    <t>EJ-13720</t>
  </si>
  <si>
    <t>Ed Jacobs</t>
  </si>
  <si>
    <t>FUR-TA-10003469</t>
  </si>
  <si>
    <t>Balt Split Level Computer Training Table</t>
  </si>
  <si>
    <t>OFF-AR-10003179</t>
  </si>
  <si>
    <t>Dixon Ticonderoga Core-Lock Colored Pencils</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</si>
  <si>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</si>
  <si>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</si>
  <si>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</si>
  <si>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</si>
  <si>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</si>
  <si>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</si>
  <si>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</si>
  <si>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</si>
  <si>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</si>
  <si>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</si>
  <si>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</si>
  <si>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CA-2018-141873</t>
  </si>
  <si>
    <t>OFF-PA-10000069</t>
  </si>
  <si>
    <t>TOPS 4 x 6 Fluorescent Color Memo Sheets, 500 Sheets per Pack</t>
  </si>
  <si>
    <t>LS-17230</t>
  </si>
  <si>
    <t>Lycoris Saunders</t>
  </si>
  <si>
    <t>CA-2015-100363</t>
  </si>
  <si>
    <t>OFF-PA-10004733</t>
  </si>
  <si>
    <t>Things To Do Today Spiral Book</t>
  </si>
  <si>
    <t>CA-2015-126760</t>
  </si>
  <si>
    <t>TEC-AC-10004814</t>
  </si>
  <si>
    <t>Logitech Illuminated Ultrathin Keyboard with Backlighting</t>
  </si>
  <si>
    <t>KE-16420</t>
  </si>
  <si>
    <t>Katrina Edelman</t>
  </si>
  <si>
    <t>CA-2015-101931</t>
  </si>
  <si>
    <t>OFF-SU-10002301</t>
  </si>
  <si>
    <t>Serrated Blade or Curved Handle Hand Letter Openers</t>
  </si>
  <si>
    <t>CA-2018-161053</t>
  </si>
  <si>
    <t>OFF-BI-10004318</t>
  </si>
  <si>
    <t>Ibico EB-19 Dual Function Manual Binding System</t>
  </si>
  <si>
    <t>DH-13675</t>
  </si>
  <si>
    <t>US-2018-131849</t>
  </si>
  <si>
    <t>FUR-FU-10004164</t>
  </si>
  <si>
    <t>Eldon 300 Class Desk Accessories, Black</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</si>
  <si>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</si>
  <si>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</si>
  <si>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</si>
  <si>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</si>
  <si>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</si>
  <si>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</si>
  <si>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</si>
  <si>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</si>
  <si>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</si>
  <si>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</si>
  <si>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</si>
  <si>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</si>
  <si>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</si>
  <si>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</si>
  <si>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</si>
  <si>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</si>
  <si>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</si>
  <si>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CA-2016-129896</t>
  </si>
  <si>
    <t>PF-19120</t>
  </si>
  <si>
    <t>Peter Fuller</t>
  </si>
  <si>
    <t>FUR-FU-10002396</t>
  </si>
  <si>
    <t>DAX Copper Panel Document Frame, 5 x 7 Size</t>
  </si>
  <si>
    <t>CA-2018-110212</t>
  </si>
  <si>
    <t>Texarkana</t>
  </si>
  <si>
    <t>TEC-AC-10002331</t>
  </si>
  <si>
    <t>Maxell 74 Minute CDR, 10/Pack</t>
  </si>
  <si>
    <t>CA-2016-151043</t>
  </si>
  <si>
    <t>TEC-AC-10001090</t>
  </si>
  <si>
    <t>Micro Innovations Wireless Classic Keyboard with Mouse</t>
  </si>
  <si>
    <t>CA-2016-167010</t>
  </si>
  <si>
    <t>VT-21700</t>
  </si>
  <si>
    <t>Valerie Takahito</t>
  </si>
  <si>
    <t>FUR-BO-10004218</t>
  </si>
  <si>
    <t>Bush Heritage Pine Collection 5-Shelf Bookcase, Albany Pine Finish, *Special Order</t>
  </si>
  <si>
    <t>CA-2018-126788</t>
  </si>
  <si>
    <t>TEC-PH-10001619</t>
  </si>
  <si>
    <t>LG G3</t>
  </si>
  <si>
    <t>US-2018-142573</t>
  </si>
  <si>
    <t>OFF-PA-10000246</t>
  </si>
  <si>
    <t>Riverleaf Stik-Withit Designer Note Cubes</t>
  </si>
  <si>
    <t>CA-2018-146920</t>
  </si>
  <si>
    <t>OFF-PA-10001461</t>
  </si>
  <si>
    <t>HP Office Paper (20Lb. and 87 Bright)</t>
  </si>
  <si>
    <t>CA-2017-132094</t>
  </si>
  <si>
    <t>OFF-AR-10004165</t>
  </si>
  <si>
    <t>Binney &amp; Smith inkTank Erasable Pocket Highlighter, Chisel Tip, Yellow</t>
  </si>
  <si>
    <t>CA-2016-118955</t>
  </si>
  <si>
    <t>OFF-EN-10001028</t>
  </si>
  <si>
    <t>MG-17695</t>
  </si>
  <si>
    <t>US-2017-151862</t>
  </si>
  <si>
    <t>TEC-PH-10003535</t>
  </si>
  <si>
    <t>RCA ViSYS 25423RE1 Corded phone</t>
  </si>
  <si>
    <t>CA-2017-156573</t>
  </si>
  <si>
    <t>FUR-FU-10001085</t>
  </si>
  <si>
    <t>3M Polarizing Light Filter Sleeves</t>
  </si>
  <si>
    <t>CA-2017-120257</t>
  </si>
  <si>
    <t>OFF-AR-10003481</t>
  </si>
  <si>
    <t>Newell 348</t>
  </si>
  <si>
    <t>US-2016-163685</t>
  </si>
  <si>
    <t>OFF-PA-10002606</t>
  </si>
  <si>
    <t>Xerox 1928</t>
  </si>
  <si>
    <t>SP-20920</t>
  </si>
  <si>
    <t>US-2017-116400</t>
  </si>
  <si>
    <t>FUR-FU-10003731</t>
  </si>
  <si>
    <t>Eldon Expressions Wood and Plastic Desk Accessories, Oak</t>
  </si>
  <si>
    <t>CA-2018-112333</t>
  </si>
  <si>
    <t>OFF-AP-10001962</t>
  </si>
  <si>
    <t>Black &amp; Decker Filter for Double Action Dustbuster Cordless Vac BLDV7210</t>
  </si>
  <si>
    <t>US-2017-159415</t>
  </si>
  <si>
    <t>CS-12175</t>
  </si>
  <si>
    <t>Charles Sheldon</t>
  </si>
  <si>
    <t>FUR-FU-10003798</t>
  </si>
  <si>
    <t>Ultra Door Kickplate, 8"H x 34"W</t>
  </si>
  <si>
    <t>CA-2016-105627</t>
  </si>
  <si>
    <t>DK-12895</t>
  </si>
  <si>
    <t>Dana Kaydos</t>
  </si>
  <si>
    <t>OFF-AR-10002704</t>
  </si>
  <si>
    <t>Boston 1900 Electric Pencil Sharpener</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</si>
  <si>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</si>
  <si>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</si>
  <si>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</si>
  <si>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</si>
  <si>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</si>
  <si>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</si>
  <si>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</si>
  <si>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</si>
  <si>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</si>
  <si>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</si>
  <si>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</si>
  <si>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CA-2018-144463</t>
  </si>
  <si>
    <t>FUR-FU-10001215</t>
  </si>
  <si>
    <t>Howard Miller 11-1/2" Diameter Brentwood Wall Clock</t>
  </si>
  <si>
    <t>CA-2016-165624</t>
  </si>
  <si>
    <t>OFF-PA-10002499</t>
  </si>
  <si>
    <t>Xerox 1890</t>
  </si>
  <si>
    <t>AA-10645</t>
  </si>
  <si>
    <t>Anna Andreadi</t>
  </si>
  <si>
    <t>CA-2018-130764</t>
  </si>
  <si>
    <t>TEC-PH-10003215</t>
  </si>
  <si>
    <t>Jackery Bar Premium Fast-charging Portable Charger</t>
  </si>
  <si>
    <t>CA-2015-122931</t>
  </si>
  <si>
    <t>OFF-LA-10002945</t>
  </si>
  <si>
    <t>Permanent Self-Adhesive File Folder Labels for Typewriters, 1 1/8 x 3 1/2, White</t>
  </si>
  <si>
    <t>US-2015-130358</t>
  </si>
  <si>
    <t>OFF-AR-10002766</t>
  </si>
  <si>
    <t>CA-2015-102673</t>
  </si>
  <si>
    <t>TEC-PH-10004434</t>
  </si>
  <si>
    <t>Cisco IP Phone 7961G VoIP phone - Dark gray</t>
  </si>
  <si>
    <t>US-2015-156559</t>
  </si>
  <si>
    <t>FUR-BO-10000711</t>
  </si>
  <si>
    <t>Hon Metal Bookcases, Gray</t>
  </si>
  <si>
    <t>CA-2015-116904</t>
  </si>
  <si>
    <t>OFF-BI-10001120</t>
  </si>
  <si>
    <t>Ibico EPK-21 Electric Binding System</t>
  </si>
  <si>
    <t>US-2018-102288</t>
  </si>
  <si>
    <t>OFF-AP-10004655</t>
  </si>
  <si>
    <t>Holmes Visible Mist Ultrasonic Humidifier with 2.3-Gallon Output per Day, Replacement Filter</t>
  </si>
  <si>
    <t>DD-13570</t>
  </si>
  <si>
    <t>Dorothy Dickinson</t>
  </si>
  <si>
    <t>CA-2016-153717</t>
  </si>
  <si>
    <t>FUR-BO-10004360</t>
  </si>
  <si>
    <t>Rush Hierlooms Collection Rich Wood Bookcases</t>
  </si>
  <si>
    <t>CA-2018-117394</t>
  </si>
  <si>
    <t>TEC-AC-10000199</t>
  </si>
  <si>
    <t>Kingston Digital DataTraveler 8GB USB 2.0</t>
  </si>
  <si>
    <t>CA-2015-127299</t>
  </si>
  <si>
    <t>TEC-MA-10001127</t>
  </si>
  <si>
    <t>HP Designjet T520 Inkjet Large Format Printer - 24" Color</t>
  </si>
  <si>
    <t>Hollywood</t>
  </si>
  <si>
    <t>CA-2018-112725</t>
  </si>
  <si>
    <t>OFF-AR-10001227</t>
  </si>
  <si>
    <t>Newell 338</t>
  </si>
  <si>
    <t>AH-10465</t>
  </si>
  <si>
    <t>TP-21565</t>
  </si>
  <si>
    <t>CA-2015-157924</t>
  </si>
  <si>
    <t>FUR-CH-10000229</t>
  </si>
  <si>
    <t>Global Enterprise Series Seating High-Back Swivel/Tilt Chairs</t>
  </si>
  <si>
    <t>EK-13795</t>
  </si>
  <si>
    <t>CR-12820</t>
  </si>
  <si>
    <t>Cyra Reiten</t>
  </si>
  <si>
    <t>CA-2017-143749</t>
  </si>
  <si>
    <t>FUR-BO-10002853</t>
  </si>
  <si>
    <t>O'Sullivan 5-Shelf Heavy-Duty Bookcases</t>
  </si>
  <si>
    <t>SG-20890</t>
  </si>
  <si>
    <t>CA-2017-157714</t>
  </si>
  <si>
    <t>Iowa City</t>
  </si>
  <si>
    <t>OFF-PA-10004022</t>
  </si>
  <si>
    <t>Hammermill Color Copier Paper (28Lb. and 96 Bright)</t>
  </si>
  <si>
    <t>CA-2016-129392</t>
  </si>
  <si>
    <t>OFF-PA-10004248</t>
  </si>
  <si>
    <t>Xerox 1990</t>
  </si>
  <si>
    <t>AH-10585</t>
  </si>
  <si>
    <t>CA-2015-166457</t>
  </si>
  <si>
    <t>OFF-PA-10001363</t>
  </si>
  <si>
    <t>Xerox 1933</t>
  </si>
  <si>
    <t>CA-2017-164637</t>
  </si>
  <si>
    <t>OFF-BI-10003876</t>
  </si>
  <si>
    <t>Green Canvas Binder for 8-1/2" x 14" Sheets</t>
  </si>
  <si>
    <t>CA-2015-103590</t>
  </si>
  <si>
    <t>OFF-EN-10004007</t>
  </si>
  <si>
    <t>Park Ridge Embossed Executive Business Envelopes</t>
  </si>
  <si>
    <t>CA-2018-149881</t>
  </si>
  <si>
    <t>FUR-BO-10003894</t>
  </si>
  <si>
    <t>Safco Value Mate Steel Bookcase, Baked Enamel Finish on Steel, Black</t>
  </si>
  <si>
    <t>CA-2018-134565</t>
  </si>
  <si>
    <t>TEC-MA-10001570</t>
  </si>
  <si>
    <t>Cisco Desktop Collaboration Experience DX650 IP Video Phone</t>
  </si>
  <si>
    <t>US-2015-102631</t>
  </si>
  <si>
    <t>FUR-FU-10003930</t>
  </si>
  <si>
    <t>Howard Miller 12-3/4 Diameter Accuwave DS  Wall Clock</t>
  </si>
  <si>
    <t>CA-2018-100223</t>
  </si>
  <si>
    <t>OFF-PA-10000232</t>
  </si>
  <si>
    <t>Xerox 1975</t>
  </si>
  <si>
    <t>NF-18475</t>
  </si>
  <si>
    <t>CA-2018-104024</t>
  </si>
  <si>
    <t>OFF-AR-10001972</t>
  </si>
  <si>
    <t>Newell 323</t>
  </si>
  <si>
    <t>CA-2018-147144</t>
  </si>
  <si>
    <t>OFF-AR-10004587</t>
  </si>
  <si>
    <t>Boston 1827 Commercial Additional Cutter, Drive Gear &amp; Gear Rack for 1606</t>
  </si>
  <si>
    <t>CA-2015-133704</t>
  </si>
  <si>
    <t>OFF-AP-10001366</t>
  </si>
  <si>
    <t>BS-11365</t>
  </si>
  <si>
    <t>Bill Shonely</t>
  </si>
  <si>
    <t>CA-2018-110429</t>
  </si>
  <si>
    <t>OFF-BI-10000216</t>
  </si>
  <si>
    <t>Mead 1st Gear 2" Zipper Binder, Asst. Colors</t>
  </si>
  <si>
    <t>SH-20635</t>
  </si>
  <si>
    <t>US-2017-107440</t>
  </si>
  <si>
    <t>TEC-MA-10001047</t>
  </si>
  <si>
    <t>3D Systems Cube Printer, 2nd Generation, Magenta</t>
  </si>
  <si>
    <t>CA-2015-103100</t>
  </si>
  <si>
    <t>OFF-LA-10003720</t>
  </si>
  <si>
    <t>Avery 487</t>
  </si>
  <si>
    <t>CA-2015-125829</t>
  </si>
  <si>
    <t>TEC-MA-10003246</t>
  </si>
  <si>
    <t>Hewlett-Packard Deskjet D4360 Printer</t>
  </si>
  <si>
    <t>US-2018-136189</t>
  </si>
  <si>
    <t>FUR-FU-10000175</t>
  </si>
  <si>
    <t>DAX Wood Document Frame.</t>
  </si>
  <si>
    <t>CA-2018-149853</t>
  </si>
  <si>
    <t>OFF-PA-10000556</t>
  </si>
  <si>
    <t>Xerox 208</t>
  </si>
  <si>
    <t>CA-2016-112375</t>
  </si>
  <si>
    <t>RD-19720</t>
  </si>
  <si>
    <t>Roger Demir</t>
  </si>
  <si>
    <t>Daytona Beach</t>
  </si>
  <si>
    <t>TEC-AC-10003237</t>
  </si>
  <si>
    <t>Memorex Micro Travel Drive 4 GB</t>
  </si>
  <si>
    <t>CA-2016-154795</t>
  </si>
  <si>
    <t>Bullhead City</t>
  </si>
  <si>
    <t>OFF-EN-10003068</t>
  </si>
  <si>
    <t>#6 3/4 Gummed Flap White Envelopes</t>
  </si>
  <si>
    <t>CA-2017-120355</t>
  </si>
  <si>
    <t>FUR-FU-10004053</t>
  </si>
  <si>
    <t>DAX Two-Tone Silver Metal Document Frame</t>
  </si>
  <si>
    <t>AG-10330</t>
  </si>
  <si>
    <t>Alex Grayson</t>
  </si>
  <si>
    <t>CA-2017-127642</t>
  </si>
  <si>
    <t>OFF-PA-10000565</t>
  </si>
  <si>
    <t>Fargo</t>
  </si>
  <si>
    <t>North Dakota</t>
  </si>
  <si>
    <t>US-2017-165078</t>
  </si>
  <si>
    <t>OFF-LA-10000414</t>
  </si>
  <si>
    <t>Avery 503</t>
  </si>
  <si>
    <t>CA-2017-158575</t>
  </si>
  <si>
    <t>OFF-AP-10002998</t>
  </si>
  <si>
    <t>Holmes 99% HEPA Air Purifier</t>
  </si>
  <si>
    <t>US-2016-122784</t>
  </si>
  <si>
    <t>FUR-BO-10004690</t>
  </si>
  <si>
    <t>O'Sullivan Cherrywood Estates Traditional Barrister Bookcase</t>
  </si>
  <si>
    <t>CA-2017-114538</t>
  </si>
  <si>
    <t>OFF-AR-10002445</t>
  </si>
  <si>
    <t>SANFORD Major Accent Highlighters</t>
  </si>
  <si>
    <t>CA-2018-159464</t>
  </si>
  <si>
    <t>Sandy Springs</t>
  </si>
  <si>
    <t>FUR-BO-10003546</t>
  </si>
  <si>
    <t>Hon 4-Shelf Metal Bookcases</t>
  </si>
  <si>
    <t>CA-2017-168893</t>
  </si>
  <si>
    <t>FUR-TA-10003392</t>
  </si>
  <si>
    <t>Global Adaptabilities Conference Tables</t>
  </si>
  <si>
    <t>CA-2017-163398</t>
  </si>
  <si>
    <t>OFF-AR-10003217</t>
  </si>
  <si>
    <t>Newell 316</t>
  </si>
  <si>
    <t>US-2017-111290</t>
  </si>
  <si>
    <t>OFF-ST-10001932</t>
  </si>
  <si>
    <t>Fellowes Staxonsteel Drawer Files</t>
  </si>
  <si>
    <t>OFF-AR-10001761</t>
  </si>
  <si>
    <t>Avery Hi-Liter Smear-Safe Highlighters</t>
  </si>
  <si>
    <t>CA-2017-147137</t>
  </si>
  <si>
    <t>OFF-EN-10003567</t>
  </si>
  <si>
    <t>Inter-Office Recycled Envelopes, Brown Kraft, Button-String,10" x 13" , 100/Box</t>
  </si>
  <si>
    <t>US-2018-125717</t>
  </si>
  <si>
    <t>OFF-PA-10003022</t>
  </si>
  <si>
    <t>Xerox 1992</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</si>
  <si>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</si>
  <si>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</si>
  <si>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</si>
  <si>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</si>
  <si>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</si>
  <si>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</si>
  <si>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</si>
  <si>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</si>
  <si>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</si>
  <si>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</si>
  <si>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</si>
  <si>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</si>
  <si>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</si>
  <si>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</si>
  <si>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GR-14560</t>
  </si>
  <si>
    <t>US-2015-138247</t>
  </si>
  <si>
    <t>TEC-PH-10000213</t>
  </si>
  <si>
    <t>Seidio BD2-HK3IPH5-BK DILEX Case and Holster Combo for Apple iPhone 5/5s - Black</t>
  </si>
  <si>
    <t>VS-21820</t>
  </si>
  <si>
    <t>US-2017-128678</t>
  </si>
  <si>
    <t>OFF-PA-10000807</t>
  </si>
  <si>
    <t>TOPS "Important Message" Pads, Canary, 4-1/4 x 5-1/2, 50 Sheets per Pad</t>
  </si>
  <si>
    <t>CA-2018-107167</t>
  </si>
  <si>
    <t>OFF-ST-10003805</t>
  </si>
  <si>
    <t>24 Capacity Maxi Data Binder Racks, Pearl</t>
  </si>
  <si>
    <t>US-2018-105046</t>
  </si>
  <si>
    <t>Rome</t>
  </si>
  <si>
    <t>OFF-PA-10004353</t>
  </si>
  <si>
    <t>Southworth 25% Cotton Premium Laser Paper and Envelopes</t>
  </si>
  <si>
    <t>CA-2018-113474</t>
  </si>
  <si>
    <t>TM-21490</t>
  </si>
  <si>
    <t>Tony Molinari</t>
  </si>
  <si>
    <t>OFF-EN-10004206</t>
  </si>
  <si>
    <t>Multimedia Mailers</t>
  </si>
  <si>
    <t>US-2018-107636</t>
  </si>
  <si>
    <t>OFF-LA-10003388</t>
  </si>
  <si>
    <t>Avery 5</t>
  </si>
  <si>
    <t>CA-2016-118871</t>
  </si>
  <si>
    <t>TEC-PH-10000193</t>
  </si>
  <si>
    <t>Jensen SMPS-640 - speaker phone</t>
  </si>
  <si>
    <t>FUR-FU-10002111</t>
  </si>
  <si>
    <t>Master Caster Door Stop, Large Brown</t>
  </si>
  <si>
    <t>CA-2017-139395</t>
  </si>
  <si>
    <t>OFF-ST-10000885</t>
  </si>
  <si>
    <t>Fellowes Desktop Hanging File Manager</t>
  </si>
  <si>
    <t>US-2015-150126</t>
  </si>
  <si>
    <t>OFF-PA-10002709</t>
  </si>
  <si>
    <t>Xerox 1956</t>
  </si>
  <si>
    <t>CA-2017-120250</t>
  </si>
  <si>
    <t>FUR-FU-10003424</t>
  </si>
  <si>
    <t>Nu-Dell Oak Frame</t>
  </si>
  <si>
    <t>TS-21430</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</si>
  <si>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</si>
  <si>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</si>
  <si>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</si>
  <si>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</si>
  <si>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</si>
  <si>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</si>
  <si>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</si>
  <si>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</si>
  <si>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</si>
  <si>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US-2016-113327</t>
  </si>
  <si>
    <t>OFF-PA-10003134</t>
  </si>
  <si>
    <t>Xerox 1937</t>
  </si>
  <si>
    <t>US-2016-126235</t>
  </si>
  <si>
    <t>FUR-FU-10000719</t>
  </si>
  <si>
    <t>DAX Cubicle Frames, 8-1/2 x 11</t>
  </si>
  <si>
    <t>CA-2016-130456</t>
  </si>
  <si>
    <t>FUR-BO-10003893</t>
  </si>
  <si>
    <t>Sauder Camden County Collection Library</t>
  </si>
  <si>
    <t>CA-2017-102162</t>
  </si>
  <si>
    <t>TEC-CO-10001943</t>
  </si>
  <si>
    <t>Canon PC-428 Personal Copier</t>
  </si>
  <si>
    <t>CA-2018-130141</t>
  </si>
  <si>
    <t>FUR-CH-10000749</t>
  </si>
  <si>
    <t>Office Star - Ergonomic Mid Back Chair with 2-Way Adjustable Arms</t>
  </si>
  <si>
    <t>DB-13360</t>
  </si>
  <si>
    <t>CA-2018-129357</t>
  </si>
  <si>
    <t>OFF-PA-10003228</t>
  </si>
  <si>
    <t>Xerox 1917</t>
  </si>
  <si>
    <t>CA-2016-112130</t>
  </si>
  <si>
    <t>TEC-AC-10001542</t>
  </si>
  <si>
    <t>SanDisk Cruzer 16 GB USB Flash Drive</t>
  </si>
  <si>
    <t>CA-2015-114510</t>
  </si>
  <si>
    <t>Logan</t>
  </si>
  <si>
    <t>TEC-AC-10004877</t>
  </si>
  <si>
    <t>Imation 30456 USB Flash Drive 8GB</t>
  </si>
  <si>
    <t>CA-2017-101987</t>
  </si>
  <si>
    <t>TEC-PH-10001305</t>
  </si>
  <si>
    <t>Panasonic KX TS208W Corded phone</t>
  </si>
  <si>
    <t>CA-2016-142601</t>
  </si>
  <si>
    <t>OFF-PA-10000483</t>
  </si>
  <si>
    <t>Xerox 19</t>
  </si>
  <si>
    <t>NR-18550</t>
  </si>
  <si>
    <t>Nick Radford</t>
  </si>
  <si>
    <t>CA-2017-124681</t>
  </si>
  <si>
    <t>TEC-AC-10000487</t>
  </si>
  <si>
    <t>SanDisk Cruzer 4 GB USB Flash Drive</t>
  </si>
  <si>
    <t>US-2016-167220</t>
  </si>
  <si>
    <t>TEC-AC-10002018</t>
  </si>
  <si>
    <t>AmazonBasics 3-Button USB Wired Mouse</t>
  </si>
  <si>
    <t>CA-2018-126354</t>
  </si>
  <si>
    <t>OFF-PA-10004381</t>
  </si>
  <si>
    <t>14-7/8 x 11 Blue Bar Computer Printout Paper</t>
  </si>
  <si>
    <t>CA-2015-112851</t>
  </si>
  <si>
    <t>OFF-EN-10001453</t>
  </si>
  <si>
    <t>Tyvek Interoffice Envelopes, 9 1/2" x 12 1/2", 100/Box</t>
  </si>
  <si>
    <t>CS-11860</t>
  </si>
  <si>
    <t>US-2017-114888</t>
  </si>
  <si>
    <t>OFF-SU-10001212</t>
  </si>
  <si>
    <t>Kleencut Forged Office Shears by Acme United Corporation</t>
  </si>
  <si>
    <t>CA-2015-159310</t>
  </si>
  <si>
    <t>OFF-BI-10000201</t>
  </si>
  <si>
    <t>Avery Triangle Shaped Sheet Lifters, Black, 2/Pack</t>
  </si>
  <si>
    <t>CA-2016-104346</t>
  </si>
  <si>
    <t>TEC-AC-10004396</t>
  </si>
  <si>
    <t>Logitech Keyboard K120</t>
  </si>
  <si>
    <t>MF-18250</t>
  </si>
  <si>
    <t>US-2017-148901</t>
  </si>
  <si>
    <t>OFF-AR-10002467</t>
  </si>
  <si>
    <t>Dixon Ticonderoga Pencils</t>
  </si>
  <si>
    <t>CA-2017-121370</t>
  </si>
  <si>
    <t>FUR-FU-10002813</t>
  </si>
  <si>
    <t>DAX Contemporary Wood Frame with Silver Metal Mat, Desktop, 11 x 14 Size</t>
  </si>
  <si>
    <t>LW-17125</t>
  </si>
  <si>
    <t>CA-2017-140018</t>
  </si>
  <si>
    <t>TEC-MA-10000752</t>
  </si>
  <si>
    <t>Texas Instrument TI-15 Fraction Calculator</t>
  </si>
  <si>
    <t>CA-2016-137526</t>
  </si>
  <si>
    <t>FUR-FU-10004845</t>
  </si>
  <si>
    <t>Deflect-o EconoMat Nonstudded, No Bevel Mat</t>
  </si>
  <si>
    <t>CA-2018-164042</t>
  </si>
  <si>
    <t>OFF-FA-10000840</t>
  </si>
  <si>
    <t>OIC Thumb-Tacks</t>
  </si>
  <si>
    <t>CA-2017-135776</t>
  </si>
  <si>
    <t>OFF-AR-10001231</t>
  </si>
  <si>
    <t>Sanford EarthWrite Recycled Pencils, Medium Soft, #2</t>
  </si>
  <si>
    <t>CA-2015-133809</t>
  </si>
  <si>
    <t>TEC-PH-10004875</t>
  </si>
  <si>
    <t>PNY Rapid USB Car Charger - Black</t>
  </si>
  <si>
    <t>CA-2018-163125</t>
  </si>
  <si>
    <t>League City</t>
  </si>
  <si>
    <t>FUR-CH-10001802</t>
  </si>
  <si>
    <t>Hon Every-Day Chair Series Swivel Task Chairs</t>
  </si>
  <si>
    <t>AR-10345</t>
  </si>
  <si>
    <t>CA-2016-155124</t>
  </si>
  <si>
    <t>KS-16300</t>
  </si>
  <si>
    <t>Karen Seio</t>
  </si>
  <si>
    <t>Lehi</t>
  </si>
  <si>
    <t>TEC-PH-10003356</t>
  </si>
  <si>
    <t>SmartStand Mobile Device Holder, Assorted Colors</t>
  </si>
  <si>
    <t>CA-2018-117926</t>
  </si>
  <si>
    <t>OFF-AP-10002670</t>
  </si>
  <si>
    <t>Belkin 8-Outlet Premiere SurgeMaster II Surge Protectors</t>
  </si>
  <si>
    <t>CA-2016-127607</t>
  </si>
  <si>
    <t>OFF-FA-10003485</t>
  </si>
  <si>
    <t>AB-10015</t>
  </si>
  <si>
    <t>CA-2018-155824</t>
  </si>
  <si>
    <t>OFF-AP-10000390</t>
  </si>
  <si>
    <t>Euro Pro Shark Stick Mini Vacuum</t>
  </si>
  <si>
    <t>CA-2017-129238</t>
  </si>
  <si>
    <t>OFF-PA-10002764</t>
  </si>
  <si>
    <t>CA-2017-155033</t>
  </si>
  <si>
    <t>OFF-PA-10000143</t>
  </si>
  <si>
    <t>Astroparche Fine Business Paper</t>
  </si>
  <si>
    <t>CA-2016-169796</t>
  </si>
  <si>
    <t>TEC-MA-10000045</t>
  </si>
  <si>
    <t>Zebra ZM400 Thermal Label Printer</t>
  </si>
  <si>
    <t>LR-17035</t>
  </si>
  <si>
    <t>Lisa Ryan</t>
  </si>
  <si>
    <t>US-2018-160465</t>
  </si>
  <si>
    <t>OFF-ST-10000136</t>
  </si>
  <si>
    <t>Letter Size File</t>
  </si>
  <si>
    <t>TEC-PH-10004522</t>
  </si>
  <si>
    <t>Dexim XPower Skin Super-Thin Power Case for iPhone 5 - Black</t>
  </si>
  <si>
    <t>CA-2015-153850</t>
  </si>
  <si>
    <t>TEC-PH-10002584</t>
  </si>
  <si>
    <t>Samsung Galaxy S4</t>
  </si>
  <si>
    <t>SS-20410</t>
  </si>
  <si>
    <t>US-2018-130953</t>
  </si>
  <si>
    <t>FUR-CH-10004626</t>
  </si>
  <si>
    <t>Office Star Flex Back Scooter Chair with Aluminum Finish Frame</t>
  </si>
  <si>
    <t>JM-15580</t>
  </si>
  <si>
    <t>Jill Matthias</t>
  </si>
  <si>
    <t>CA-2016-109001</t>
  </si>
  <si>
    <t>TEC-PH-10000562</t>
  </si>
  <si>
    <t>Samsung Convoy 3</t>
  </si>
  <si>
    <t>CA-2016-153073</t>
  </si>
  <si>
    <t>FUR-FU-10001025</t>
  </si>
  <si>
    <t>Eldon Imàge Series Desk Accessories, Clear</t>
  </si>
  <si>
    <t>CA-2018-125640</t>
  </si>
  <si>
    <t>OFF-LA-10004178</t>
  </si>
  <si>
    <t>Avery 491</t>
  </si>
  <si>
    <t>CA-2015-149538</t>
  </si>
  <si>
    <t>OFF-PA-10003797</t>
  </si>
  <si>
    <t>Xerox 209</t>
  </si>
  <si>
    <t>US-2018-141943</t>
  </si>
  <si>
    <t>OFF-EN-10003448</t>
  </si>
  <si>
    <t>Peel &amp; Seel Recycled Catalog Envelopes, Brown</t>
  </si>
  <si>
    <t>CA-2018-117401</t>
  </si>
  <si>
    <t>OFF-AP-10000938</t>
  </si>
  <si>
    <t>Avanti 1.7 Cu. Ft. Refrigerator</t>
  </si>
  <si>
    <t>CA-2017-110730</t>
  </si>
  <si>
    <t>OFF-SU-10004737</t>
  </si>
  <si>
    <t>Acme Design Stainless Steel Bent Scissors</t>
  </si>
  <si>
    <t>CA-2017-156265</t>
  </si>
  <si>
    <t>FUR-TA-10001691</t>
  </si>
  <si>
    <t>Barricks Non-Folding Utility Table with Steel Legs, Laminate Tops</t>
  </si>
  <si>
    <t>US-2018-114657</t>
  </si>
  <si>
    <t>TEC-MA-10003173</t>
  </si>
  <si>
    <t>Hewlett-Packard 300S Scientific Calculator</t>
  </si>
  <si>
    <t>CA-2018-144883</t>
  </si>
  <si>
    <t>OFF-LA-10000305</t>
  </si>
  <si>
    <t>Avery 495</t>
  </si>
  <si>
    <t>US-2017-168410</t>
  </si>
  <si>
    <t>TEC-PH-10002583</t>
  </si>
  <si>
    <t>iOttie HLCRIO102 Car Mount</t>
  </si>
  <si>
    <t>CA-2018-131254</t>
  </si>
  <si>
    <t>OFF-AR-10003876</t>
  </si>
  <si>
    <t>Avery Hi-Liter GlideStik Fluorescent Highlighter, Yellow Ink</t>
  </si>
  <si>
    <t>JK-15325</t>
  </si>
  <si>
    <t>CA-2015-113768</t>
  </si>
  <si>
    <t>OFF-PA-10003063</t>
  </si>
  <si>
    <t>EcoTones Memo Sheets</t>
  </si>
  <si>
    <t>CA-2018-147403</t>
  </si>
  <si>
    <t>OFF-PA-10003302</t>
  </si>
  <si>
    <t>Xerox 1906</t>
  </si>
  <si>
    <t>CA-2017-136021</t>
  </si>
  <si>
    <t>TEC-MA-10000423</t>
  </si>
  <si>
    <t>Texas Instruments TI-34 Scientific Calculator</t>
  </si>
  <si>
    <t>DM-13525</t>
  </si>
  <si>
    <t>Don Miller</t>
  </si>
  <si>
    <t>ML-18265</t>
  </si>
  <si>
    <t>CA-2018-166856</t>
  </si>
  <si>
    <t>Clovis</t>
  </si>
  <si>
    <t>TEC-AC-10004992</t>
  </si>
  <si>
    <t>Kingston Digital DataTraveler 64GB USB 2.0</t>
  </si>
  <si>
    <t>CA-2015-132542</t>
  </si>
  <si>
    <t>OFF-BI-10004099</t>
  </si>
  <si>
    <t>GBC VeloBinder Strips</t>
  </si>
  <si>
    <t>CA-2018-103009</t>
  </si>
  <si>
    <t>OFF-PA-10001215</t>
  </si>
  <si>
    <t>Xerox 1963</t>
  </si>
  <si>
    <t>CA-2017-153598</t>
  </si>
  <si>
    <t>TEC-AC-10003870</t>
  </si>
  <si>
    <t>Logitech Z-906 Speaker sys - home theater - 5.1-CH</t>
  </si>
  <si>
    <t>MH-17290</t>
  </si>
  <si>
    <t>FC-14245</t>
  </si>
  <si>
    <t>CA-2016-160171</t>
  </si>
  <si>
    <t>OFF-AP-10000275</t>
  </si>
  <si>
    <t>Sanyo Counter Height Refrigerator with Crisper, 3.6 Cubic Foot, Stainless Steel/Black</t>
  </si>
  <si>
    <t>CA-2015-103317</t>
  </si>
  <si>
    <t>FUR-FU-10003192</t>
  </si>
  <si>
    <t>Luxo Adjustable Task Clamp Lamp</t>
  </si>
  <si>
    <t>CA-2018-155929</t>
  </si>
  <si>
    <t>OFF-PA-10000859</t>
  </si>
  <si>
    <t>Unpadded Memo Slips</t>
  </si>
  <si>
    <t>CA-2016-148712</t>
  </si>
  <si>
    <t>OFF-AR-10000614</t>
  </si>
  <si>
    <t>Barrel Sharpener</t>
  </si>
  <si>
    <t>CA-2018-130631</t>
  </si>
  <si>
    <t>OFF-FA-10000089</t>
  </si>
  <si>
    <t>Acco Glide Clips</t>
  </si>
  <si>
    <t>CA-2018-116680</t>
  </si>
  <si>
    <t>FUR-TA-10001771</t>
  </si>
  <si>
    <t>Bush Cubix Conference Tables, Fully Assembled</t>
  </si>
  <si>
    <t>CA-2018-148999</t>
  </si>
  <si>
    <t>FUR-CH-10002044</t>
  </si>
  <si>
    <t>Office Star - Contemporary Task Swivel chair with 2-way adjustable arms, Plum</t>
  </si>
  <si>
    <t>TH-21115</t>
  </si>
  <si>
    <t>JK-16090</t>
  </si>
  <si>
    <t>CA-2017-134936</t>
  </si>
  <si>
    <t>FUR-TA-10001086</t>
  </si>
  <si>
    <t>SAFCO PlanMaster Boards, 60w x 37-1/2d, White Melamine</t>
  </si>
  <si>
    <t>US-2016-114741</t>
  </si>
  <si>
    <t>OFF-PA-10000048</t>
  </si>
  <si>
    <t>Xerox 20</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</si>
  <si>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</si>
  <si>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</si>
  <si>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</si>
  <si>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</si>
  <si>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</si>
  <si>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</si>
  <si>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</si>
  <si>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</si>
  <si>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CA-2018-105333</t>
  </si>
  <si>
    <t>OFF-ST-10002182</t>
  </si>
  <si>
    <t>Iris 3-Drawer Stacking Bin, Black</t>
  </si>
  <si>
    <t>TEC-PH-10001468</t>
  </si>
  <si>
    <t>Panasonic Business Telephones KX-T7736</t>
  </si>
  <si>
    <t>SB-20185</t>
  </si>
  <si>
    <t>CA-2015-108903</t>
  </si>
  <si>
    <t>OFF-AR-10004010</t>
  </si>
  <si>
    <t>Hunt Boston Vacuum Mount KS Pencil Sharpener</t>
  </si>
  <si>
    <t>CA-2017-117919</t>
  </si>
  <si>
    <t>OFF-ST-10003572</t>
  </si>
  <si>
    <t>Portfile Personal File Boxes</t>
  </si>
  <si>
    <t>BG-11035</t>
  </si>
  <si>
    <t>CA-2017-147431</t>
  </si>
  <si>
    <t>OFF-ST-10003994</t>
  </si>
  <si>
    <t>Belkin 19" Center-Weighted Shelf, Gray</t>
  </si>
  <si>
    <t>CA-2018-148810</t>
  </si>
  <si>
    <t>FUR-CH-10001545</t>
  </si>
  <si>
    <t>Hon Comfortask Task/Swivel Chairs</t>
  </si>
  <si>
    <t>CA-2018-113208</t>
  </si>
  <si>
    <t>FUR-FU-10004245</t>
  </si>
  <si>
    <t>Career Cubicle Clock, 8 1/4", Black</t>
  </si>
  <si>
    <t>CA-2018-142342</t>
  </si>
  <si>
    <t>OFF-EN-10002592</t>
  </si>
  <si>
    <t>CA-2017-141957</t>
  </si>
  <si>
    <t>OFF-AR-10000914</t>
  </si>
  <si>
    <t>Boston 16765 Mini Stand Up Battery Pencil Sharpener</t>
  </si>
  <si>
    <t>CA-2017-125850</t>
  </si>
  <si>
    <t>OFF-LA-10003498</t>
  </si>
  <si>
    <t>Avery 475</t>
  </si>
  <si>
    <t>BW-11065</t>
  </si>
  <si>
    <t>US-2016-159513</t>
  </si>
  <si>
    <t>TEC-MA-10003329</t>
  </si>
  <si>
    <t>Vtech AT&amp;T CL2940 Corded Speakerphone, Black</t>
  </si>
  <si>
    <t>MG-18205</t>
  </si>
  <si>
    <t>US-2016-163279</t>
  </si>
  <si>
    <t>FUR-FU-10000747</t>
  </si>
  <si>
    <t>Tenex B1-RE Series Chair Mats for Low Pile Carpets</t>
  </si>
  <si>
    <t>CA-2018-133207</t>
  </si>
  <si>
    <t>DO-13645</t>
  </si>
  <si>
    <t>Doug O'Connell</t>
  </si>
  <si>
    <t>TEC-PH-10004100</t>
  </si>
  <si>
    <t>Griffin GC17055 Auxiliary Audio Cable</t>
  </si>
  <si>
    <t>CA-2016-132948</t>
  </si>
  <si>
    <t>OFF-ST-10000636</t>
  </si>
  <si>
    <t>Rogers Profile Extra Capacity Storage Tub</t>
  </si>
  <si>
    <t>CA-2016-126725</t>
  </si>
  <si>
    <t>TEC-PH-10003174</t>
  </si>
  <si>
    <t>RCA ViSYS 25825 Wireless digital phone</t>
  </si>
  <si>
    <t>CA-2017-101525</t>
  </si>
  <si>
    <t>OFF-PA-10001497</t>
  </si>
  <si>
    <t>Xerox 1914</t>
  </si>
  <si>
    <t>BP-11050</t>
  </si>
  <si>
    <t>Barry Pond</t>
  </si>
  <si>
    <t>CA-2016-147879</t>
  </si>
  <si>
    <t>Owensboro</t>
  </si>
  <si>
    <t>OFF-PA-10001952</t>
  </si>
  <si>
    <t>Xerox 1902</t>
  </si>
  <si>
    <t>CA-2015-120432</t>
  </si>
  <si>
    <t>OFF-SU-10004661</t>
  </si>
  <si>
    <t>Acme Titanium Bonded Scissors</t>
  </si>
  <si>
    <t>US-2018-141698</t>
  </si>
  <si>
    <t>OFF-PA-10001826</t>
  </si>
  <si>
    <t>Xerox 207</t>
  </si>
  <si>
    <t>CA-2018-122364</t>
  </si>
  <si>
    <t>TEC-MA-10001031</t>
  </si>
  <si>
    <t>Socket Bluetooth Cordless Hand Scanner (CHS)</t>
  </si>
  <si>
    <t>TS-21655</t>
  </si>
  <si>
    <t>CA-2018-166695</t>
  </si>
  <si>
    <t>TEC-MA-10003176</t>
  </si>
  <si>
    <t>Okidata B400 Printer</t>
  </si>
  <si>
    <t>CA-2018-100111</t>
  </si>
  <si>
    <t>TEC-AC-10002647</t>
  </si>
  <si>
    <t>Logitech Wireless Boombox Speaker - portable - wireless, wired</t>
  </si>
  <si>
    <t>US-2017-113677</t>
  </si>
  <si>
    <t>TEC-PH-10002114</t>
  </si>
  <si>
    <t>Xiaomi Mi3</t>
  </si>
  <si>
    <t>CA-2018-145772</t>
  </si>
  <si>
    <t>OFF-PA-10001593</t>
  </si>
  <si>
    <t>Xerox 1947</t>
  </si>
  <si>
    <t>EM-14200</t>
  </si>
  <si>
    <t>AO-10810</t>
  </si>
  <si>
    <t>CA-2017-104150</t>
  </si>
  <si>
    <t>TEC-AC-10004803</t>
  </si>
  <si>
    <t>Sony Micro Vault Click 4 GB USB 2.0 Flash Drive</t>
  </si>
  <si>
    <t>MH-17440</t>
  </si>
  <si>
    <t>CA-2016-158421</t>
  </si>
  <si>
    <t>OFF-PA-10001801</t>
  </si>
  <si>
    <t>Xerox 193</t>
  </si>
  <si>
    <t>US-2018-142188</t>
  </si>
  <si>
    <t>TEC-PH-10000127</t>
  </si>
  <si>
    <t>iOttie XL Car Mount</t>
  </si>
  <si>
    <t>CA-2018-121580</t>
  </si>
  <si>
    <t>OFF-AP-10001564</t>
  </si>
  <si>
    <t>Hoover Commercial Lightweight Upright Vacuum with E-Z Empty Dirt Cup</t>
  </si>
  <si>
    <t>Cambridge</t>
  </si>
  <si>
    <t>US-2017-139087</t>
  </si>
  <si>
    <t>TEC-AC-10004595</t>
  </si>
  <si>
    <t>First Data TMFD35 PIN Pad</t>
  </si>
  <si>
    <t>CA-2016-116484</t>
  </si>
  <si>
    <t>FUR-FU-10002874</t>
  </si>
  <si>
    <t>Ultra Commercial Grade Dual Valve Door Closer</t>
  </si>
  <si>
    <t>CA-2018-107314</t>
  </si>
  <si>
    <t>FUR-FU-10003489</t>
  </si>
  <si>
    <t>Contemporary Borderless Frame</t>
  </si>
  <si>
    <t>CA-2018-110443</t>
  </si>
  <si>
    <t>Renton</t>
  </si>
  <si>
    <t>TEC-MA-10002073</t>
  </si>
  <si>
    <t>3D Systems Cube Printer, 2nd Generation, White</t>
  </si>
  <si>
    <t>CA-2018-144848</t>
  </si>
  <si>
    <t>TEC-PH-10004006</t>
  </si>
  <si>
    <t>Panasonic KX - TS880B Telephone</t>
  </si>
  <si>
    <t>CA-2017-129126</t>
  </si>
  <si>
    <t>OFF-BI-10000279</t>
  </si>
  <si>
    <t>Acco Recycled 2" Capacity Laser Printer Hanging Data Binders</t>
  </si>
  <si>
    <t>CA-2018-161774</t>
  </si>
  <si>
    <t>OFF-PA-10000300</t>
  </si>
  <si>
    <t>Xerox 1936</t>
  </si>
  <si>
    <t>CA-2017-143714</t>
  </si>
  <si>
    <t>OFF-BI-10004308</t>
  </si>
  <si>
    <t>Avery Legal 4-Ring Binder</t>
  </si>
  <si>
    <t>TEC-PH-10004080</t>
  </si>
  <si>
    <t>Avaya 5410 Digital phone</t>
  </si>
  <si>
    <t>SS-20515</t>
  </si>
  <si>
    <t>LD-16855</t>
  </si>
  <si>
    <t>CA-2018-138289</t>
  </si>
  <si>
    <t>OFF-PA-10001260</t>
  </si>
  <si>
    <t>TOPS Money Receipt Book, Consecutively Numbered in Red,</t>
  </si>
  <si>
    <t>CA-2015-146864</t>
  </si>
  <si>
    <t>OFF-ST-10004946</t>
  </si>
  <si>
    <t>Desktop 3-Pocket Hot File</t>
  </si>
  <si>
    <t>CA-2015-137092</t>
  </si>
  <si>
    <t>OFF-PA-10002109</t>
  </si>
  <si>
    <t>Wirebound Voice Message Log Book</t>
  </si>
  <si>
    <t>CA-2017-160535</t>
  </si>
  <si>
    <t>TEC-MA-10004255</t>
  </si>
  <si>
    <t>Konica Minolta magicolor 1690MF Multifunction Printer</t>
  </si>
  <si>
    <t>CA-2017-169887</t>
  </si>
  <si>
    <t>FUR-FU-10003095</t>
  </si>
  <si>
    <t>Linden 12" Wall Clock With Oak Frame</t>
  </si>
  <si>
    <t>VP-21760</t>
  </si>
  <si>
    <t>CA-2016-135510</t>
  </si>
  <si>
    <t>FUR-FU-10000820</t>
  </si>
  <si>
    <t>Tensor Brushed Steel Torchiere Floor Lamp</t>
  </si>
  <si>
    <t>CA-2016-109337</t>
  </si>
  <si>
    <t>TEC-MA-10002930</t>
  </si>
  <si>
    <t>Ricoh - Ink Collector Unit for GX3000 Series Printers</t>
  </si>
  <si>
    <t>CA-2018-145429</t>
  </si>
  <si>
    <t>OFF-PA-10003205</t>
  </si>
  <si>
    <t>Wirebound Message Forms, Four 2 3/4 x 5 Forms per Page, Pink Paper</t>
  </si>
  <si>
    <t>CA-2015-167724</t>
  </si>
  <si>
    <t>OFF-LA-10002368</t>
  </si>
  <si>
    <t>Avery 479</t>
  </si>
  <si>
    <t>TC-21145</t>
  </si>
  <si>
    <t>CA-2017-144764</t>
  </si>
  <si>
    <t>TEC-MA-10003230</t>
  </si>
  <si>
    <t>Okidata C610n Printer</t>
  </si>
  <si>
    <t>CA-2017-119018</t>
  </si>
  <si>
    <t>OFF-PA-10000295</t>
  </si>
  <si>
    <t>Xerox 229</t>
  </si>
  <si>
    <t>CA-2018-121293</t>
  </si>
  <si>
    <t>OFF-SU-10004884</t>
  </si>
  <si>
    <t>Acme Galleria Hot Forged Steel Scissors with Colored Handles</t>
  </si>
  <si>
    <t>IM-15055</t>
  </si>
  <si>
    <t>CA-2016-168809</t>
  </si>
  <si>
    <t>FUR-FU-10002240</t>
  </si>
  <si>
    <t>Nu-Dell EZ-Mount Plastic Wall Frames</t>
  </si>
  <si>
    <t>CA-2018-156237</t>
  </si>
  <si>
    <t>FUR-FU-10001057</t>
  </si>
  <si>
    <t>Tensor Track Tree Floor Lamp</t>
  </si>
  <si>
    <t>CA-2017-123946</t>
  </si>
  <si>
    <t>FUR-CH-10002073</t>
  </si>
  <si>
    <t>Hon Olson Stacker Chairs</t>
  </si>
  <si>
    <t>CA-2018-111220</t>
  </si>
  <si>
    <t>OFF-AP-10003278</t>
  </si>
  <si>
    <t>Belkin 7-Outlet SurgeMaster Home Series</t>
  </si>
  <si>
    <t>CA-2015-164182</t>
  </si>
  <si>
    <t>TEC-PH-10002070</t>
  </si>
  <si>
    <t>Griffin GC36547 PowerJolt SE Lightning Charger</t>
  </si>
  <si>
    <t>CA-2017-129847</t>
  </si>
  <si>
    <t>FUR-FU-10000277</t>
  </si>
  <si>
    <t>Deflect-o DuraMat Antistatic Studded Beveled Mat for Medium Pile Carpeting</t>
  </si>
  <si>
    <t>CA-2017-125094</t>
  </si>
  <si>
    <t>TEC-AC-10004420</t>
  </si>
  <si>
    <t>Cherry 142-key Programmable Keyboard</t>
  </si>
  <si>
    <t>CA-2016-139248</t>
  </si>
  <si>
    <t>TEC-PH-10004094</t>
  </si>
  <si>
    <t>Motorola L703CM</t>
  </si>
  <si>
    <t>CA-2016-161767</t>
  </si>
  <si>
    <t>TEC-MA-10002790</t>
  </si>
  <si>
    <t>NeatDesk Desktop Scanner &amp; Digital Filing System</t>
  </si>
  <si>
    <t>AR-10570</t>
  </si>
  <si>
    <t>CA-2018-165099</t>
  </si>
  <si>
    <t>Abilene</t>
  </si>
  <si>
    <t>OFF-AP-10001634</t>
  </si>
  <si>
    <t>Hoover Commercial Lightweight Upright Vacuum</t>
  </si>
  <si>
    <t>CA-2015-124737</t>
  </si>
  <si>
    <t>OFF-PA-10001837</t>
  </si>
  <si>
    <t>Xerox 1976</t>
  </si>
  <si>
    <t>CA-2018-161970</t>
  </si>
  <si>
    <t>OFF-AR-10003896</t>
  </si>
  <si>
    <t>Stride Job 150 Highlighters, Chisel Tip, Assorted Colors</t>
  </si>
  <si>
    <t>CA-2017-165330</t>
  </si>
  <si>
    <t>OFF-BI-10002897</t>
  </si>
  <si>
    <t>Black Avery Memo-Size 3-Ring Binder, 5 1/2" x 8 1/2"</t>
  </si>
  <si>
    <t>CA-2017-131380</t>
  </si>
  <si>
    <t>OFF-PA-10001243</t>
  </si>
  <si>
    <t>Xerox 1983</t>
  </si>
  <si>
    <t>CA-2017-120369</t>
  </si>
  <si>
    <t>FUR-FU-10003806</t>
  </si>
  <si>
    <t>Tenex Chairmat w/ Average Lip, 45" x 53"</t>
  </si>
  <si>
    <t>CA-2017-164924</t>
  </si>
  <si>
    <t>TEC-MA-10000904</t>
  </si>
  <si>
    <t>Brother MFC-9340CDW LED All-In-One Printer, Copier Scanner</t>
  </si>
  <si>
    <t>CA-2017-116764</t>
  </si>
  <si>
    <t>OFF-LA-10002473</t>
  </si>
  <si>
    <t>Avery 484</t>
  </si>
  <si>
    <t>CA-2017-133368</t>
  </si>
  <si>
    <t>FUR-FU-10003374</t>
  </si>
  <si>
    <t>Electrix Fluorescent Magnifier Lamps &amp; Weighted Base</t>
  </si>
  <si>
    <t>CA-2018-109183</t>
  </si>
  <si>
    <t>TEC-MA-10001856</t>
  </si>
  <si>
    <t>US-2017-114013</t>
  </si>
  <si>
    <t>OFF-ST-10003641</t>
  </si>
  <si>
    <t>Space Solutions Industrial Galvanized Steel Shelving.</t>
  </si>
  <si>
    <t>CA-2018-135111</t>
  </si>
  <si>
    <t>OFF-AR-10004707</t>
  </si>
  <si>
    <t>CM-12715</t>
  </si>
  <si>
    <t>CA-2015-131947</t>
  </si>
  <si>
    <t>TEC-MA-10004086</t>
  </si>
  <si>
    <t>Plantronics Single Ear Headset</t>
  </si>
  <si>
    <t>US-2017-157490</t>
  </si>
  <si>
    <t>TEC-MA-10001695</t>
  </si>
  <si>
    <t>Zebra GK420t Direct Thermal/Thermal Transfer Printer</t>
  </si>
  <si>
    <t>FW-14395</t>
  </si>
  <si>
    <t>CA-2016-130974</t>
  </si>
  <si>
    <t>FUR-FU-10002506</t>
  </si>
  <si>
    <t>Tensor "Hersey Kiss" Styled Floor Lamp</t>
  </si>
  <si>
    <t>CA-2017-169838</t>
  </si>
  <si>
    <t>TEC-AC-10004518</t>
  </si>
  <si>
    <t>Memorex Mini Travel Drive 32 GB USB 2.0 Flash Drive</t>
  </si>
  <si>
    <t>US-2018-138086</t>
  </si>
  <si>
    <t>OFF-AP-10000027</t>
  </si>
  <si>
    <t>Hoover Commercial SteamVac</t>
  </si>
  <si>
    <t>CA-2018-100902</t>
  </si>
  <si>
    <t>OFF-PA-10002558</t>
  </si>
  <si>
    <t>Xerox 1938</t>
  </si>
  <si>
    <t>CA-2017-108196</t>
  </si>
  <si>
    <t>TEC-AC-10000926</t>
  </si>
  <si>
    <t>NETGEAR RangeMax WNR1000 Wireless Router</t>
  </si>
  <si>
    <t>CA-2016-143364</t>
  </si>
  <si>
    <t>OFF-PA-10001846</t>
  </si>
  <si>
    <t>Xerox 1899</t>
  </si>
  <si>
    <t>CA-2018-165323</t>
  </si>
  <si>
    <t>TEC-MA-10003673</t>
  </si>
  <si>
    <t>Hewlett-Packard Desktjet 6988DT Refurbished Printer</t>
  </si>
  <si>
    <t>CA-2017-157707</t>
  </si>
  <si>
    <t>FUR-BO-10001567</t>
  </si>
  <si>
    <t>Bush Westfield Collection Bookcases, Dark Cherry Finish, Fully Assembled</t>
  </si>
  <si>
    <t>US-2018-133081</t>
  </si>
  <si>
    <t>FUR-FU-10001379</t>
  </si>
  <si>
    <t>Executive Impressions 16-1/2" Circular Wall Clock</t>
  </si>
  <si>
    <t>LC-16960</t>
  </si>
  <si>
    <t>CA-2017-169663</t>
  </si>
  <si>
    <t>TEC-MA-10000984</t>
  </si>
  <si>
    <t>Okidata MB760 Printer</t>
  </si>
  <si>
    <t>CA-2018-159149</t>
  </si>
  <si>
    <t>OFF-AR-10000937</t>
  </si>
  <si>
    <t>Dixon Ticonderoga Core-Lock Colored Pencils, 48-Color Set</t>
  </si>
  <si>
    <t>HE-14800</t>
  </si>
  <si>
    <t>CA-2017-116337</t>
  </si>
  <si>
    <t>FUR-FU-10002030</t>
  </si>
  <si>
    <t>Executive Impressions 14" Contract Wall Clock with Quartz Movement</t>
  </si>
  <si>
    <t>CA-2015-120775</t>
  </si>
  <si>
    <t>OFF-FA-10000254</t>
  </si>
  <si>
    <t>Sterling Rubber Bands by Alliance</t>
  </si>
  <si>
    <t>CA-2015-131800</t>
  </si>
  <si>
    <t>OFF-AP-10004136</t>
  </si>
  <si>
    <t>Kensington 6 Outlet SmartSocket Surge Protector</t>
  </si>
  <si>
    <t>CA-2018-113572</t>
  </si>
  <si>
    <t>TEC-AC-10002370</t>
  </si>
  <si>
    <t>Maxell CD-R Discs</t>
  </si>
  <si>
    <t>CA-2017-101469</t>
  </si>
  <si>
    <t>OFF-AR-10003986</t>
  </si>
  <si>
    <t>Avery Hi-Liter Pen Style Six-Color Fluorescent Set</t>
  </si>
  <si>
    <t>CA-2015-109918</t>
  </si>
  <si>
    <t>OFF-SU-10004290</t>
  </si>
  <si>
    <t>Acme Design Line 8" Stainless Steel Bent Scissors w/Champagne Handles, 3-1/8" Cut</t>
  </si>
  <si>
    <t>CA-2016-145758</t>
  </si>
  <si>
    <t>TEC-MA-10004552</t>
  </si>
  <si>
    <t>Star Micronics TSP100 TSP143LAN Receipt Printer</t>
  </si>
  <si>
    <t>BD-11560</t>
  </si>
  <si>
    <t>HD-14785</t>
  </si>
  <si>
    <t>CJ-11875</t>
  </si>
  <si>
    <t>CA-2018-119284</t>
  </si>
  <si>
    <t>OFF-PA-10000312</t>
  </si>
  <si>
    <t>Xerox 1955</t>
  </si>
  <si>
    <t>CA-2017-105662</t>
  </si>
  <si>
    <t>OFF-PA-10001001</t>
  </si>
  <si>
    <t>Snap-A-Way Black Print Carbonless Speed Message, No Reply Area, Duplicate</t>
  </si>
  <si>
    <t>CA-2016-144274</t>
  </si>
  <si>
    <t>OFF-PA-10001583</t>
  </si>
  <si>
    <t>1/4 Fold Party Design Invitations &amp; White Envelopes, 24 8-1/2" X 11" Cards, 25 Env./Pack</t>
  </si>
  <si>
    <t>US-2015-105137</t>
  </si>
  <si>
    <t>TEC-MA-10002694</t>
  </si>
  <si>
    <t>Hewlett-Packard Deskjet F4180 All-in-One Color Ink-jet - Printer / copier / scanner</t>
  </si>
  <si>
    <t>CA-2018-126928</t>
  </si>
  <si>
    <t>TEC-MA-10004626</t>
  </si>
  <si>
    <t>Lexmark 20R1285 X6650 Wireless All-in-One Printer</t>
  </si>
  <si>
    <t>CA-2017-168032</t>
  </si>
  <si>
    <t>TEC-PH-10004241</t>
  </si>
  <si>
    <t>Nokia Lumia 1020</t>
  </si>
  <si>
    <t>CA-2015-130918</t>
  </si>
  <si>
    <t>OFF-SU-10003936</t>
  </si>
  <si>
    <t>Acme Serrated Blade Letter Opener</t>
  </si>
  <si>
    <t>CA-2017-159023</t>
  </si>
  <si>
    <t>TEC-MA-10003337</t>
  </si>
  <si>
    <t>Okidata B401 Printer</t>
  </si>
  <si>
    <t>US-2017-155971</t>
  </si>
  <si>
    <t>OFF-PA-10000210</t>
  </si>
  <si>
    <t>Xerox Blank Computer Paper</t>
  </si>
  <si>
    <t>US-2017-165505</t>
  </si>
  <si>
    <t>OFF-AR-10003477</t>
  </si>
  <si>
    <t>4009 Highlighters</t>
  </si>
  <si>
    <t>CA-2018-156776</t>
  </si>
  <si>
    <t>FUR-CH-10002317</t>
  </si>
  <si>
    <t>Global Enterprise Series Seating Low-Back Swivel/Tilt Chairs</t>
  </si>
  <si>
    <t>RS-19870</t>
  </si>
  <si>
    <t>US-2018-120908</t>
  </si>
  <si>
    <t>OFF-LA-10004677</t>
  </si>
  <si>
    <t>Self-Adhesive Address Labels for Typewriters with Dispenser Box</t>
  </si>
  <si>
    <t>US-2018-108343</t>
  </si>
  <si>
    <t>FUR-CH-10002780</t>
  </si>
  <si>
    <t>Office Star - Task Chair with Contemporary Loop Arms</t>
  </si>
  <si>
    <t>CA-2017-117625</t>
  </si>
  <si>
    <t>OFF-EN-10001535</t>
  </si>
  <si>
    <t>Grip Seal Envelopes</t>
  </si>
  <si>
    <t>SC-20845</t>
  </si>
  <si>
    <t>RE-19405</t>
  </si>
  <si>
    <t>CA-2017-140977</t>
  </si>
  <si>
    <t>TEC-MA-10003493</t>
  </si>
  <si>
    <t>Penpower WorldCard Pro Card Scanner</t>
  </si>
  <si>
    <t>CA-2018-151855</t>
  </si>
  <si>
    <t>TEC-AC-10002380</t>
  </si>
  <si>
    <t>Sony 8GB Class 10 Micro SDHC R40 Memory Card</t>
  </si>
  <si>
    <t>CA-2015-169446</t>
  </si>
  <si>
    <t>TEC-PH-10002817</t>
  </si>
  <si>
    <t>RCA ViSYS 25425RE1 Corded phone</t>
  </si>
  <si>
    <t>CA-2017-129280</t>
  </si>
  <si>
    <t>SM-20905</t>
  </si>
  <si>
    <t>Susan MacKendrick</t>
  </si>
  <si>
    <t>TEC-MA-10003589</t>
  </si>
  <si>
    <t>Cisco 8961 IP Phone Charcoal</t>
  </si>
  <si>
    <t>CA-2016-138625</t>
  </si>
  <si>
    <t>OFF-AP-10003099</t>
  </si>
  <si>
    <t>Eureka Hand Vacuum, Bagless</t>
  </si>
  <si>
    <t>CA-2017-114867</t>
  </si>
  <si>
    <t>TEC-PH-10002645</t>
  </si>
  <si>
    <t>LG G2</t>
  </si>
  <si>
    <t>Month</t>
  </si>
  <si>
    <t>order year</t>
  </si>
  <si>
    <t>Grand Total</t>
  </si>
  <si>
    <t>Sum of Sales</t>
  </si>
  <si>
    <t xml:space="preserve">TOP 10 Product </t>
  </si>
  <si>
    <t>Jan</t>
  </si>
  <si>
    <t>Feb</t>
  </si>
  <si>
    <t>Mar</t>
  </si>
  <si>
    <t>Apr</t>
  </si>
  <si>
    <t>May</t>
  </si>
  <si>
    <t>Jun</t>
  </si>
  <si>
    <t>Jul</t>
  </si>
  <si>
    <t>Aug</t>
  </si>
  <si>
    <t>Sep</t>
  </si>
  <si>
    <t>Oct</t>
  </si>
  <si>
    <t>Nov</t>
  </si>
  <si>
    <t>Dec</t>
  </si>
  <si>
    <t>segment</t>
  </si>
  <si>
    <t>Sales Trend by Year and Month</t>
  </si>
  <si>
    <t>state</t>
  </si>
  <si>
    <t>sub-category</t>
  </si>
  <si>
    <t>Number of Unique Customers</t>
  </si>
  <si>
    <t>Count of Order ID</t>
  </si>
  <si>
    <t>Number of orders</t>
  </si>
  <si>
    <t xml:space="preserve">Unique Customer </t>
  </si>
  <si>
    <t>unique product</t>
  </si>
  <si>
    <t>2015</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</si>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</sst>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409]#,##0.00"/>
    <numFmt numFmtId="165" formatCode="_-[$$-409]* #,##0.00_ ;_-[$$-409]* \-#,##0.00\ ;_-[$$-409]* &quot;-&quot;??_ ;_-@_ "/>
    <numFmt numFmtId="166" formatCode="[$-F800]dddd\,\ mmmm\ dd\,\ yyyy"/>
  </numFmts>
  <fonts count="5" x14ac:knownFonts="1">
    <font>
      <sz val="11"/>
      <color theme="1"/>
      <name val="Calibri"/>
      <family val="2"/>
      <scheme val="minor"/>
    </font>
    <font>
      <b/>
      <sz val="11"/>
      <color theme="0"/>
      <name val="Calibri"/>
      <family val="2"/>
      <scheme val="minor"/>
    </font>
    <font>
      <sz val="11"/>
      <color theme="1"/>
      <name val="Calibri"/>
      <family val="2"/>
      <scheme val="minor"/>
    </font>
    <font>
      <sz val="14"/>
      <color theme="1"/>
      <name val="Calibri"/>
      <family val="2"/>
      <scheme val="minor"/>
    </font>
    <font>
      <sz val="14"/>
      <color theme="1"/>
      <name val="Arial"/>
      <family val="2"/>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59996337778862885"/>
        <bgColor indexed="64"/>
      </patternFill>
    </fill>
    <fill>
      <patternFill patternType="solid">
        <fgColor theme="6" tint="0.39994506668294322"/>
        <bgColor indexed="64"/>
      </patternFill>
    </fill>
    <fill>
      <patternFill patternType="solid">
        <fgColor theme="7" tint="0.59996337778862885"/>
        <bgColor indexed="64"/>
      </patternFill>
    </fill>
    <fill>
      <patternFill patternType="solid">
        <fgColor theme="9" tint="0.59996337778862885"/>
        <bgColor indexed="64"/>
      </patternFill>
    </fill>
    <fill>
      <patternFill patternType="solid">
        <fgColor theme="5" tint="0.59996337778862885"/>
        <bgColor indexed="64"/>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2" borderId="1" xfId="0" applyFont="1" applyFill="1" applyBorder="1"/>
    <xf numFmtId="0" fontId="0" fillId="0" borderId="1" xfId="0" applyBorder="1"/>
    <xf numFmtId="0" fontId="0" fillId="3" borderId="1" xfId="0" applyFill="1" applyBorder="1"/>
    <xf numFmtId="164" fontId="0" fillId="0" borderId="0" xfId="0" applyNumberFormat="1"/>
    <xf numFmtId="166" fontId="0" fillId="0" borderId="0" xfId="0" applyNumberFormat="1"/>
    <xf numFmtId="165" fontId="3" fillId="5" borderId="0" xfId="0" applyNumberFormat="1" applyFont="1" applyFill="1"/>
    <xf numFmtId="0" fontId="4" fillId="6" borderId="0" xfId="0" applyFont="1" applyFill="1"/>
    <xf numFmtId="0" fontId="4" fillId="7" borderId="0" xfId="0" applyFont="1" applyFill="1"/>
    <xf numFmtId="0" fontId="3" fillId="8" borderId="0" xfId="0" applyFont="1" applyFill="1"/>
    <xf numFmtId="165" fontId="3" fillId="4" borderId="0" xfId="1" applyNumberFormat="1" applyFont="1" applyFill="1"/>
    <xf numFmtId="0" fontId="0" fillId="0" borderId="0" xfId="0" applyNumberFormat="1"/>
  </cellXfs>
  <cellStyles count="2">
    <cellStyle name="Currency" xfId="1" builtinId="4"/>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BAB0AC"/>
      <color rgb="FF4E79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rgbClr val="00B050"/>
          </a:solidFill>
          <a:ln>
            <a:noFill/>
          </a:ln>
          <a:effectLst/>
        </c:spPr>
      </c:pivotFmt>
    </c:pivotFmts>
    <c:plotArea>
      <c:layout>
        <c:manualLayout>
          <c:layoutTarget val="inner"/>
          <c:xMode val="edge"/>
          <c:yMode val="edge"/>
          <c:x val="0.32467191538308249"/>
          <c:y val="0.23018676370175639"/>
          <c:w val="0.47223692111039711"/>
          <c:h val="0.62113025921287901"/>
        </c:manualLayout>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B6CE-4194-9B44-993100A3E89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0-B6CE-4194-9B44-993100A3E89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B6CE-4194-9B44-993100A3E895}"/>
              </c:ext>
            </c:extLst>
          </c:dPt>
          <c:cat>
            <c:strRef>
              <c:f>Analysis!$A$4:$A$7</c:f>
              <c:strCache>
                <c:ptCount val="3"/>
                <c:pt idx="0">
                  <c:v>Furniture</c:v>
                </c:pt>
                <c:pt idx="1">
                  <c:v>Office Supplies</c:v>
                </c:pt>
                <c:pt idx="2">
                  <c:v>Technology</c:v>
                </c:pt>
              </c:strCache>
            </c:strRef>
          </c:cat>
          <c:val>
            <c:numRef>
              <c:f>Analysis!$B$4:$B$7</c:f>
              <c:numCache>
                <c:formatCode>General</c:formatCode>
                <c:ptCount val="3"/>
                <c:pt idx="0">
                  <c:v>156477.88110000009</c:v>
                </c:pt>
                <c:pt idx="1">
                  <c:v>149512.81999999992</c:v>
                </c:pt>
                <c:pt idx="2">
                  <c:v>173865.5070000001</c:v>
                </c:pt>
              </c:numCache>
            </c:numRef>
          </c:val>
          <c:extLst>
            <c:ext xmlns:c16="http://schemas.microsoft.com/office/drawing/2014/chart" uri="{C3380CC4-5D6E-409C-BE32-E72D297353CC}">
              <c16:uniqueId val="{00000000-67DD-480B-BD84-0864A5F8EACB}"/>
            </c:ext>
          </c:extLst>
        </c:ser>
        <c:dLbls>
          <c:showLegendKey val="0"/>
          <c:showVal val="0"/>
          <c:showCatName val="0"/>
          <c:showSerName val="0"/>
          <c:showPercent val="0"/>
          <c:showBubbleSize val="0"/>
        </c:dLbls>
        <c:gapWidth val="182"/>
        <c:axId val="2108666992"/>
        <c:axId val="2108672752"/>
      </c:barChart>
      <c:catAx>
        <c:axId val="210866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672752"/>
        <c:crosses val="autoZero"/>
        <c:auto val="1"/>
        <c:lblAlgn val="ctr"/>
        <c:lblOffset val="100"/>
        <c:noMultiLvlLbl val="0"/>
      </c:catAx>
      <c:valAx>
        <c:axId val="2108672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66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Analysis!$C$9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33-4635-9492-32EA5F6FAD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33-4635-9492-32EA5F6FAD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33-4635-9492-32EA5F6FAD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33-4635-9492-32EA5F6FADEB}"/>
              </c:ext>
            </c:extLst>
          </c:dPt>
          <c:cat>
            <c:strRef>
              <c:f>Analysis!$B$10:$B$14</c:f>
              <c:strCache>
                <c:ptCount val="4"/>
                <c:pt idx="0">
                  <c:v>Central</c:v>
                </c:pt>
                <c:pt idx="1">
                  <c:v>East</c:v>
                </c:pt>
                <c:pt idx="2">
                  <c:v>South</c:v>
                </c:pt>
                <c:pt idx="3">
                  <c:v>West</c:v>
                </c:pt>
              </c:strCache>
            </c:strRef>
          </c:cat>
          <c:val>
            <c:numRef>
              <c:f>Analysis!$C$10:$C$14</c:f>
              <c:numCache>
                <c:formatCode>General</c:formatCode>
                <c:ptCount val="4"/>
                <c:pt idx="0">
                  <c:v>102920.52060000008</c:v>
                </c:pt>
                <c:pt idx="1">
                  <c:v>127652.81899999996</c:v>
                </c:pt>
                <c:pt idx="2">
                  <c:v>103374.90549999996</c:v>
                </c:pt>
                <c:pt idx="3">
                  <c:v>145907.96300000002</c:v>
                </c:pt>
              </c:numCache>
            </c:numRef>
          </c:val>
          <c:extLst>
            <c:ext xmlns:c16="http://schemas.microsoft.com/office/drawing/2014/chart" uri="{C3380CC4-5D6E-409C-BE32-E72D297353CC}">
              <c16:uniqueId val="{00000008-8733-4635-9492-32EA5F6FAD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project.xlsx]Analysis!PivotTable4</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a:t>
            </a:r>
            <a:r>
              <a:rPr lang="en-US" baseline="0"/>
              <a:t> 10 Product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Analysis!$F$3</c:f>
              <c:strCache>
                <c:ptCount val="1"/>
                <c:pt idx="0">
                  <c:v>Total</c:v>
                </c:pt>
              </c:strCache>
            </c:strRef>
          </c:tx>
          <c:spPr>
            <a:solidFill>
              <a:schemeClr val="accent2"/>
            </a:solidFill>
            <a:ln>
              <a:noFill/>
            </a:ln>
            <a:effectLst/>
          </c:spPr>
          <c:invertIfNegative val="0"/>
          <c:cat>
            <c:strRef>
              <c:f>Analysis!$E$4:$E$14</c:f>
              <c:strCache>
                <c:ptCount val="10"/>
                <c:pt idx="0">
                  <c:v>Apple iPhone 5</c:v>
                </c:pt>
                <c:pt idx="1">
                  <c:v>GBC DocuBind P400 Electric Binding System</c:v>
                </c:pt>
                <c:pt idx="2">
                  <c:v>Tennsco 6- and 18-Compartment Lockers</c:v>
                </c:pt>
                <c:pt idx="3">
                  <c:v>Global Deluxe High-Back Manager's Chair</c:v>
                </c:pt>
                <c:pt idx="4">
                  <c:v>GBC DocuBind TL300 Electric Binding System</c:v>
                </c:pt>
                <c:pt idx="5">
                  <c:v>High Speed Automatic Electric Letter Opener</c:v>
                </c:pt>
                <c:pt idx="6">
                  <c:v>Ibico EPK-21 Electric Binding System</c:v>
                </c:pt>
                <c:pt idx="7">
                  <c:v>HP Designjet T520 Inkjet Large Format Printer - 24" Color</c:v>
                </c:pt>
                <c:pt idx="8">
                  <c:v>Lexmark MX611dhe Monochrome Laser Printer</c:v>
                </c:pt>
                <c:pt idx="9">
                  <c:v>Cisco TelePresence System EX90 Videoconferencing Unit</c:v>
                </c:pt>
              </c:strCache>
            </c:strRef>
          </c:cat>
          <c:val>
            <c:numRef>
              <c:f>Analysis!$F$4:$F$14</c:f>
              <c:numCache>
                <c:formatCode>General</c:formatCode>
                <c:ptCount val="10"/>
                <c:pt idx="0">
                  <c:v>5328.6060000000007</c:v>
                </c:pt>
                <c:pt idx="1">
                  <c:v>5443.96</c:v>
                </c:pt>
                <c:pt idx="2">
                  <c:v>5568.5700000000006</c:v>
                </c:pt>
                <c:pt idx="3">
                  <c:v>5633.8060000000005</c:v>
                </c:pt>
                <c:pt idx="4">
                  <c:v>5740.7359999999999</c:v>
                </c:pt>
                <c:pt idx="5">
                  <c:v>8187.65</c:v>
                </c:pt>
                <c:pt idx="6">
                  <c:v>9449.9500000000007</c:v>
                </c:pt>
                <c:pt idx="7">
                  <c:v>9624.9449999999997</c:v>
                </c:pt>
                <c:pt idx="8">
                  <c:v>11219.934000000001</c:v>
                </c:pt>
                <c:pt idx="9">
                  <c:v>22638.48</c:v>
                </c:pt>
              </c:numCache>
            </c:numRef>
          </c:val>
          <c:extLst>
            <c:ext xmlns:c16="http://schemas.microsoft.com/office/drawing/2014/chart" uri="{C3380CC4-5D6E-409C-BE32-E72D297353CC}">
              <c16:uniqueId val="{00000000-DEB3-4E0F-85D3-37C329D18A25}"/>
            </c:ext>
          </c:extLst>
        </c:ser>
        <c:dLbls>
          <c:showLegendKey val="0"/>
          <c:showVal val="0"/>
          <c:showCatName val="0"/>
          <c:showSerName val="0"/>
          <c:showPercent val="0"/>
          <c:showBubbleSize val="0"/>
        </c:dLbls>
        <c:gapWidth val="326"/>
        <c:overlap val="-58"/>
        <c:axId val="2104097936"/>
        <c:axId val="2104096976"/>
      </c:barChart>
      <c:catAx>
        <c:axId val="210409793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096976"/>
        <c:crosses val="autoZero"/>
        <c:auto val="1"/>
        <c:lblAlgn val="ctr"/>
        <c:lblOffset val="100"/>
        <c:noMultiLvlLbl val="0"/>
      </c:catAx>
      <c:valAx>
        <c:axId val="210409697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097936"/>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lt1">
                <a:alpha val="50000"/>
              </a:schemeClr>
            </a:solidFill>
            <a:round/>
          </a:ln>
          <a:effectLst/>
        </c:spPr>
      </c:pivotFmt>
      <c:pivotFmt>
        <c:idx val="4"/>
        <c:spPr>
          <a:solidFill>
            <a:srgbClr val="00B050"/>
          </a:solidFill>
          <a:ln w="9525" cap="flat" cmpd="sng" algn="ctr">
            <a:solidFill>
              <a:schemeClr val="lt1">
                <a:alpha val="50000"/>
              </a:schemeClr>
            </a:solidFill>
            <a:round/>
          </a:ln>
          <a:effectLst/>
        </c:spPr>
      </c:pivotFmt>
      <c:pivotFmt>
        <c:idx val="5"/>
        <c:spPr>
          <a:solidFill>
            <a:schemeClr val="accent2"/>
          </a:solidFill>
          <a:ln w="9525" cap="flat" cmpd="sng" algn="ctr">
            <a:solidFill>
              <a:schemeClr val="lt1">
                <a:alpha val="50000"/>
              </a:schemeClr>
            </a:solidFill>
            <a:round/>
          </a:ln>
          <a:effectLst/>
        </c:spPr>
      </c:pivotFmt>
    </c:pivotFmts>
    <c:plotArea>
      <c:layout>
        <c:manualLayout>
          <c:layoutTarget val="inner"/>
          <c:xMode val="edge"/>
          <c:yMode val="edge"/>
          <c:x val="0.11880314960629922"/>
          <c:y val="0.21987277631962671"/>
          <c:w val="0.72312270341207352"/>
          <c:h val="0.53774387576552929"/>
        </c:manualLayout>
      </c:layout>
      <c:barChart>
        <c:barDir val="col"/>
        <c:grouping val="clustered"/>
        <c:varyColors val="0"/>
        <c:ser>
          <c:idx val="0"/>
          <c:order val="0"/>
          <c:tx>
            <c:strRef>
              <c:f>Analysis!$F$17</c:f>
              <c:strCache>
                <c:ptCount val="1"/>
                <c:pt idx="0">
                  <c:v>Total</c:v>
                </c:pt>
              </c:strCache>
            </c:strRef>
          </c:tx>
          <c:spPr>
            <a:solidFill>
              <a:schemeClr val="accent1"/>
            </a:solidFill>
            <a:ln w="9525" cap="flat" cmpd="sng" algn="ctr">
              <a:solidFill>
                <a:schemeClr val="lt1">
                  <a:alpha val="50000"/>
                </a:schemeClr>
              </a:solidFill>
              <a:round/>
            </a:ln>
            <a:effectLst/>
          </c:spPr>
          <c:invertIfNegative val="0"/>
          <c:dPt>
            <c:idx val="0"/>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0-0667-4956-BBF2-10F6F66CC3D5}"/>
              </c:ext>
            </c:extLst>
          </c:dPt>
          <c:dPt>
            <c:idx val="1"/>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4-AF6F-4CFF-9471-7E4D7B4F9DD2}"/>
              </c:ext>
            </c:extLst>
          </c:dPt>
          <c:dPt>
            <c:idx val="2"/>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1-0667-4956-BBF2-10F6F66CC3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Analysis!$E$18:$E$21</c:f>
              <c:strCache>
                <c:ptCount val="3"/>
                <c:pt idx="0">
                  <c:v>Consumer</c:v>
                </c:pt>
                <c:pt idx="1">
                  <c:v>Corporate</c:v>
                </c:pt>
                <c:pt idx="2">
                  <c:v>Home Office</c:v>
                </c:pt>
              </c:strCache>
            </c:strRef>
          </c:cat>
          <c:val>
            <c:numRef>
              <c:f>Analysis!$F$18:$F$21</c:f>
              <c:numCache>
                <c:formatCode>General</c:formatCode>
                <c:ptCount val="3"/>
                <c:pt idx="0">
                  <c:v>262956.80059999996</c:v>
                </c:pt>
                <c:pt idx="1">
                  <c:v>127797.49570000001</c:v>
                </c:pt>
                <c:pt idx="2">
                  <c:v>89101.911799999987</c:v>
                </c:pt>
              </c:numCache>
            </c:numRef>
          </c:val>
          <c:extLst>
            <c:ext xmlns:c16="http://schemas.microsoft.com/office/drawing/2014/chart" uri="{C3380CC4-5D6E-409C-BE32-E72D297353CC}">
              <c16:uniqueId val="{00000000-3228-4A51-8C0F-5E38096FB7F5}"/>
            </c:ext>
          </c:extLst>
        </c:ser>
        <c:dLbls>
          <c:dLblPos val="inEnd"/>
          <c:showLegendKey val="0"/>
          <c:showVal val="1"/>
          <c:showCatName val="0"/>
          <c:showSerName val="0"/>
          <c:showPercent val="0"/>
          <c:showBubbleSize val="0"/>
        </c:dLbls>
        <c:gapWidth val="65"/>
        <c:axId val="2076438704"/>
        <c:axId val="2076443024"/>
      </c:barChart>
      <c:catAx>
        <c:axId val="207643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6443024"/>
        <c:crosses val="autoZero"/>
        <c:auto val="1"/>
        <c:lblAlgn val="ctr"/>
        <c:lblOffset val="100"/>
        <c:noMultiLvlLbl val="0"/>
      </c:catAx>
      <c:valAx>
        <c:axId val="20764430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6438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project.xlsx]Analysis!PivotTable8</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State </a:t>
            </a:r>
          </a:p>
        </c:rich>
      </c:tx>
      <c:layout>
        <c:manualLayout>
          <c:xMode val="edge"/>
          <c:yMode val="edge"/>
          <c:x val="0.50537354844926996"/>
          <c:y val="4.666904373030295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75330346498837"/>
          <c:y val="0.1391726799225422"/>
          <c:w val="0.68055098355381227"/>
          <c:h val="0.78964683598663965"/>
        </c:manualLayout>
      </c:layout>
      <c:barChart>
        <c:barDir val="bar"/>
        <c:grouping val="clustered"/>
        <c:varyColors val="0"/>
        <c:ser>
          <c:idx val="0"/>
          <c:order val="0"/>
          <c:tx>
            <c:strRef>
              <c:f>Analysis!$F$24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Analysis!$E$25:$E$69</c:f>
              <c:strCache>
                <c:ptCount val="44"/>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Ohio</c:v>
                </c:pt>
                <c:pt idx="32">
                  <c:v>Oklahoma</c:v>
                </c:pt>
                <c:pt idx="33">
                  <c:v>Oregon</c:v>
                </c:pt>
                <c:pt idx="34">
                  <c:v>Pennsylvania</c:v>
                </c:pt>
                <c:pt idx="35">
                  <c:v>Rhode Island</c:v>
                </c:pt>
                <c:pt idx="36">
                  <c:v>South Carolina</c:v>
                </c:pt>
                <c:pt idx="37">
                  <c:v>South Dakota</c:v>
                </c:pt>
                <c:pt idx="38">
                  <c:v>Tennessee</c:v>
                </c:pt>
                <c:pt idx="39">
                  <c:v>Texas</c:v>
                </c:pt>
                <c:pt idx="40">
                  <c:v>Utah</c:v>
                </c:pt>
                <c:pt idx="41">
                  <c:v>Virginia</c:v>
                </c:pt>
                <c:pt idx="42">
                  <c:v>Washington</c:v>
                </c:pt>
                <c:pt idx="43">
                  <c:v>Wisconsin</c:v>
                </c:pt>
              </c:strCache>
            </c:strRef>
          </c:cat>
          <c:val>
            <c:numRef>
              <c:f>Analysis!$F$25:$F$69</c:f>
              <c:numCache>
                <c:formatCode>General</c:formatCode>
                <c:ptCount val="44"/>
                <c:pt idx="0">
                  <c:v>6139.09</c:v>
                </c:pt>
                <c:pt idx="1">
                  <c:v>8295.2349999999988</c:v>
                </c:pt>
                <c:pt idx="2">
                  <c:v>6302.6900000000005</c:v>
                </c:pt>
                <c:pt idx="3">
                  <c:v>89475.148999999961</c:v>
                </c:pt>
                <c:pt idx="4">
                  <c:v>6502.2939999999999</c:v>
                </c:pt>
                <c:pt idx="5">
                  <c:v>2794.02</c:v>
                </c:pt>
                <c:pt idx="6">
                  <c:v>4786.0300000000007</c:v>
                </c:pt>
                <c:pt idx="7">
                  <c:v>34223.012500000004</c:v>
                </c:pt>
                <c:pt idx="8">
                  <c:v>4209.7700000000004</c:v>
                </c:pt>
                <c:pt idx="9">
                  <c:v>465.21599999999995</c:v>
                </c:pt>
                <c:pt idx="10">
                  <c:v>15776.691000000004</c:v>
                </c:pt>
                <c:pt idx="11">
                  <c:v>2930.87</c:v>
                </c:pt>
                <c:pt idx="12">
                  <c:v>1190.8399999999999</c:v>
                </c:pt>
                <c:pt idx="13">
                  <c:v>1319.79</c:v>
                </c:pt>
                <c:pt idx="14">
                  <c:v>8165.1000000000013</c:v>
                </c:pt>
                <c:pt idx="15">
                  <c:v>2534.9200000000005</c:v>
                </c:pt>
                <c:pt idx="16">
                  <c:v>617.12</c:v>
                </c:pt>
                <c:pt idx="17">
                  <c:v>1701.25</c:v>
                </c:pt>
                <c:pt idx="18">
                  <c:v>9900.1059999999998</c:v>
                </c:pt>
                <c:pt idx="19">
                  <c:v>6172.2509999999993</c:v>
                </c:pt>
                <c:pt idx="20">
                  <c:v>15883.33</c:v>
                </c:pt>
                <c:pt idx="21">
                  <c:v>2055.16</c:v>
                </c:pt>
                <c:pt idx="22">
                  <c:v>1648.0300000000002</c:v>
                </c:pt>
                <c:pt idx="23">
                  <c:v>424.488</c:v>
                </c:pt>
                <c:pt idx="24">
                  <c:v>210.02</c:v>
                </c:pt>
                <c:pt idx="25">
                  <c:v>2561.21</c:v>
                </c:pt>
                <c:pt idx="26">
                  <c:v>504.48</c:v>
                </c:pt>
                <c:pt idx="27">
                  <c:v>4192.28</c:v>
                </c:pt>
                <c:pt idx="28">
                  <c:v>708.01199999999994</c:v>
                </c:pt>
                <c:pt idx="29">
                  <c:v>64346.066999999995</c:v>
                </c:pt>
                <c:pt idx="30">
                  <c:v>8620.7410000000018</c:v>
                </c:pt>
                <c:pt idx="31">
                  <c:v>13704.255999999996</c:v>
                </c:pt>
                <c:pt idx="32">
                  <c:v>2639.35</c:v>
                </c:pt>
                <c:pt idx="33">
                  <c:v>4661.0950000000003</c:v>
                </c:pt>
                <c:pt idx="34">
                  <c:v>20091.524000000016</c:v>
                </c:pt>
                <c:pt idx="35">
                  <c:v>5015.6860000000006</c:v>
                </c:pt>
                <c:pt idx="36">
                  <c:v>2270.86</c:v>
                </c:pt>
                <c:pt idx="37">
                  <c:v>162.15</c:v>
                </c:pt>
                <c:pt idx="38">
                  <c:v>3051.5120000000006</c:v>
                </c:pt>
                <c:pt idx="39">
                  <c:v>50139.488600000004</c:v>
                </c:pt>
                <c:pt idx="40">
                  <c:v>2943.6880000000006</c:v>
                </c:pt>
                <c:pt idx="41">
                  <c:v>25802.049999999988</c:v>
                </c:pt>
                <c:pt idx="42">
                  <c:v>29871.575999999997</c:v>
                </c:pt>
                <c:pt idx="43">
                  <c:v>4847.71</c:v>
                </c:pt>
              </c:numCache>
            </c:numRef>
          </c:val>
          <c:extLst>
            <c:ext xmlns:c16="http://schemas.microsoft.com/office/drawing/2014/chart" uri="{C3380CC4-5D6E-409C-BE32-E72D297353CC}">
              <c16:uniqueId val="{00000000-EA9E-45BD-A09F-257979240FBD}"/>
            </c:ext>
          </c:extLst>
        </c:ser>
        <c:dLbls>
          <c:showLegendKey val="0"/>
          <c:showVal val="0"/>
          <c:showCatName val="0"/>
          <c:showSerName val="0"/>
          <c:showPercent val="0"/>
          <c:showBubbleSize val="0"/>
        </c:dLbls>
        <c:gapWidth val="100"/>
        <c:axId val="2104102736"/>
        <c:axId val="2104104176"/>
      </c:barChart>
      <c:catAx>
        <c:axId val="210410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04104176"/>
        <c:crosses val="autoZero"/>
        <c:auto val="1"/>
        <c:lblAlgn val="ctr"/>
        <c:lblOffset val="100"/>
        <c:noMultiLvlLbl val="0"/>
      </c:catAx>
      <c:valAx>
        <c:axId val="210410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0410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Analysis!$J$3</c:f>
              <c:strCache>
                <c:ptCount val="1"/>
                <c:pt idx="0">
                  <c:v>Total</c:v>
                </c:pt>
              </c:strCache>
            </c:strRef>
          </c:tx>
          <c:spPr>
            <a:solidFill>
              <a:schemeClr val="accent1"/>
            </a:solidFill>
            <a:ln>
              <a:noFill/>
            </a:ln>
            <a:effectLst/>
            <a:sp3d/>
          </c:spPr>
          <c:invertIfNegative val="0"/>
          <c:cat>
            <c:strRef>
              <c:f>Analysis!$I$4:$I$21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Analysis!$J$4:$J$21</c:f>
              <c:numCache>
                <c:formatCode>General</c:formatCode>
                <c:ptCount val="17"/>
                <c:pt idx="0">
                  <c:v>23766.396000000004</c:v>
                </c:pt>
                <c:pt idx="1">
                  <c:v>15160.714999999998</c:v>
                </c:pt>
                <c:pt idx="2">
                  <c:v>5897.5340000000015</c:v>
                </c:pt>
                <c:pt idx="3">
                  <c:v>43263.266999999985</c:v>
                </c:pt>
                <c:pt idx="4">
                  <c:v>20036.677600000006</c:v>
                </c:pt>
                <c:pt idx="5">
                  <c:v>77046.440000000017</c:v>
                </c:pt>
                <c:pt idx="6">
                  <c:v>10849.782000000001</c:v>
                </c:pt>
                <c:pt idx="7">
                  <c:v>3844.5900000000011</c:v>
                </c:pt>
                <c:pt idx="8">
                  <c:v>655.38799999999992</c:v>
                </c:pt>
                <c:pt idx="9">
                  <c:v>13636.985999999995</c:v>
                </c:pt>
                <c:pt idx="10">
                  <c:v>2825.4579999999996</c:v>
                </c:pt>
                <c:pt idx="11">
                  <c:v>62023.373000000007</c:v>
                </c:pt>
                <c:pt idx="12">
                  <c:v>14332.722</c:v>
                </c:pt>
                <c:pt idx="13">
                  <c:v>77225.955999999962</c:v>
                </c:pt>
                <c:pt idx="14">
                  <c:v>49197.526000000013</c:v>
                </c:pt>
                <c:pt idx="15">
                  <c:v>14335.619999999997</c:v>
                </c:pt>
                <c:pt idx="16">
                  <c:v>45757.777499999997</c:v>
                </c:pt>
              </c:numCache>
            </c:numRef>
          </c:val>
          <c:extLst>
            <c:ext xmlns:c16="http://schemas.microsoft.com/office/drawing/2014/chart" uri="{C3380CC4-5D6E-409C-BE32-E72D297353CC}">
              <c16:uniqueId val="{00000000-920B-49E4-A1E6-6680A22CC3BD}"/>
            </c:ext>
          </c:extLst>
        </c:ser>
        <c:dLbls>
          <c:showLegendKey val="0"/>
          <c:showVal val="0"/>
          <c:showCatName val="0"/>
          <c:showSerName val="0"/>
          <c:showPercent val="0"/>
          <c:showBubbleSize val="0"/>
        </c:dLbls>
        <c:gapWidth val="150"/>
        <c:shape val="box"/>
        <c:axId val="2079565824"/>
        <c:axId val="2079566784"/>
        <c:axId val="0"/>
      </c:bar3DChart>
      <c:catAx>
        <c:axId val="207956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566784"/>
        <c:crosses val="autoZero"/>
        <c:auto val="1"/>
        <c:lblAlgn val="ctr"/>
        <c:lblOffset val="100"/>
        <c:noMultiLvlLbl val="0"/>
      </c:catAx>
      <c:valAx>
        <c:axId val="2079566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56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Analysis!$J$26</c:f>
              <c:strCache>
                <c:ptCount val="1"/>
                <c:pt idx="0">
                  <c:v>Total</c:v>
                </c:pt>
              </c:strCache>
            </c:strRef>
          </c:tx>
          <c:spPr>
            <a:ln w="28575" cap="rnd">
              <a:solidFill>
                <a:schemeClr val="accent1"/>
              </a:solidFill>
              <a:round/>
            </a:ln>
            <a:effectLst/>
          </c:spPr>
          <c:marker>
            <c:symbol val="none"/>
          </c:marker>
          <c:cat>
            <c:multiLvlStrRef>
              <c:f>Analysis!$I$27:$I$40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Analysis!$J$27:$J$40</c:f>
              <c:numCache>
                <c:formatCode>General</c:formatCode>
                <c:ptCount val="12"/>
                <c:pt idx="0">
                  <c:v>14205.706999999999</c:v>
                </c:pt>
                <c:pt idx="1">
                  <c:v>4519.8919999999998</c:v>
                </c:pt>
                <c:pt idx="2">
                  <c:v>55205.796999999999</c:v>
                </c:pt>
                <c:pt idx="3">
                  <c:v>27906.854999999996</c:v>
                </c:pt>
                <c:pt idx="4">
                  <c:v>23644.302999999989</c:v>
                </c:pt>
                <c:pt idx="5">
                  <c:v>34322.935600000004</c:v>
                </c:pt>
                <c:pt idx="6">
                  <c:v>33781.542999999998</c:v>
                </c:pt>
                <c:pt idx="7">
                  <c:v>27117.536499999991</c:v>
                </c:pt>
                <c:pt idx="8">
                  <c:v>81623.526800000021</c:v>
                </c:pt>
                <c:pt idx="9">
                  <c:v>31453.392999999993</c:v>
                </c:pt>
                <c:pt idx="10">
                  <c:v>77907.660699999935</c:v>
                </c:pt>
                <c:pt idx="11">
                  <c:v>68167.058499999956</c:v>
                </c:pt>
              </c:numCache>
            </c:numRef>
          </c:val>
          <c:smooth val="0"/>
          <c:extLst>
            <c:ext xmlns:c16="http://schemas.microsoft.com/office/drawing/2014/chart" uri="{C3380CC4-5D6E-409C-BE32-E72D297353CC}">
              <c16:uniqueId val="{00000000-41A3-4861-B319-B7DAAD17FA20}"/>
            </c:ext>
          </c:extLst>
        </c:ser>
        <c:dLbls>
          <c:showLegendKey val="0"/>
          <c:showVal val="0"/>
          <c:showCatName val="0"/>
          <c:showSerName val="0"/>
          <c:showPercent val="0"/>
          <c:showBubbleSize val="0"/>
        </c:dLbls>
        <c:smooth val="0"/>
        <c:axId val="207002271"/>
        <c:axId val="207003231"/>
      </c:lineChart>
      <c:catAx>
        <c:axId val="20700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3231"/>
        <c:crosses val="autoZero"/>
        <c:auto val="1"/>
        <c:lblAlgn val="ctr"/>
        <c:lblOffset val="100"/>
        <c:noMultiLvlLbl val="0"/>
      </c:catAx>
      <c:valAx>
        <c:axId val="20700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15765</xdr:colOff>
      <xdr:row>5</xdr:row>
      <xdr:rowOff>107026</xdr:rowOff>
    </xdr:from>
    <xdr:to>
      <xdr:col>5</xdr:col>
      <xdr:colOff>52686</xdr:colOff>
      <xdr:row>8</xdr:row>
      <xdr:rowOff>167514</xdr:rowOff>
    </xdr:to>
    <xdr:sp macro="" textlink="">
      <xdr:nvSpPr>
        <xdr:cNvPr id="10" name="Rectangle: Rounded Corners 9">
          <a:extLst>
            <a:ext uri="{FF2B5EF4-FFF2-40B4-BE49-F238E27FC236}">
              <a16:creationId xmlns:a16="http://schemas.microsoft.com/office/drawing/2014/main" id="{070DE53C-B9AC-D26F-743E-AF77CD5FA344}"/>
            </a:ext>
          </a:extLst>
        </xdr:cNvPr>
        <xdr:cNvSpPr/>
      </xdr:nvSpPr>
      <xdr:spPr>
        <a:xfrm>
          <a:off x="2138657" y="1040850"/>
          <a:ext cx="1418980" cy="62078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a:latin typeface="Arial" panose="020B0604020202020204" pitchFamily="34" charset="0"/>
              <a:cs typeface="Arial" panose="020B0604020202020204" pitchFamily="34" charset="0"/>
            </a:rPr>
            <a:t>Total Sales</a:t>
          </a:r>
        </a:p>
        <a:p>
          <a:pPr algn="ctr"/>
          <a:endParaRPr lang="en-IN" sz="1400">
            <a:latin typeface="Arial" panose="020B0604020202020204" pitchFamily="34" charset="0"/>
            <a:cs typeface="Arial" panose="020B0604020202020204" pitchFamily="34" charset="0"/>
          </a:endParaRPr>
        </a:p>
      </xdr:txBody>
    </xdr:sp>
    <xdr:clientData/>
  </xdr:twoCellAnchor>
  <xdr:twoCellAnchor>
    <xdr:from>
      <xdr:col>0</xdr:col>
      <xdr:colOff>0</xdr:colOff>
      <xdr:row>56</xdr:row>
      <xdr:rowOff>20844</xdr:rowOff>
    </xdr:from>
    <xdr:to>
      <xdr:col>7</xdr:col>
      <xdr:colOff>536222</xdr:colOff>
      <xdr:row>72</xdr:row>
      <xdr:rowOff>130101</xdr:rowOff>
    </xdr:to>
    <xdr:graphicFrame macro="">
      <xdr:nvGraphicFramePr>
        <xdr:cNvPr id="2" name="Chart 1">
          <a:extLst>
            <a:ext uri="{FF2B5EF4-FFF2-40B4-BE49-F238E27FC236}">
              <a16:creationId xmlns:a16="http://schemas.microsoft.com/office/drawing/2014/main" id="{9A8A6F78-EEA9-4CA4-B4B0-FFC54B96E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142344</xdr:rowOff>
    </xdr:from>
    <xdr:to>
      <xdr:col>7</xdr:col>
      <xdr:colOff>304349</xdr:colOff>
      <xdr:row>54</xdr:row>
      <xdr:rowOff>120188</xdr:rowOff>
    </xdr:to>
    <xdr:graphicFrame macro="">
      <xdr:nvGraphicFramePr>
        <xdr:cNvPr id="3" name="Chart 2">
          <a:extLst>
            <a:ext uri="{FF2B5EF4-FFF2-40B4-BE49-F238E27FC236}">
              <a16:creationId xmlns:a16="http://schemas.microsoft.com/office/drawing/2014/main" id="{4F9FBF27-BD7C-40FE-B6E1-24C4C30BB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242219</xdr:colOff>
      <xdr:row>12</xdr:row>
      <xdr:rowOff>104181</xdr:rowOff>
    </xdr:from>
    <xdr:to>
      <xdr:col>21</xdr:col>
      <xdr:colOff>309563</xdr:colOff>
      <xdr:row>35</xdr:row>
      <xdr:rowOff>121171</xdr:rowOff>
    </xdr:to>
    <xdr:graphicFrame macro="">
      <xdr:nvGraphicFramePr>
        <xdr:cNvPr id="4" name="Chart 3">
          <a:extLst>
            <a:ext uri="{FF2B5EF4-FFF2-40B4-BE49-F238E27FC236}">
              <a16:creationId xmlns:a16="http://schemas.microsoft.com/office/drawing/2014/main" id="{C9E9E251-BF6A-4510-BB8B-F457933F0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593467</xdr:colOff>
      <xdr:row>40</xdr:row>
      <xdr:rowOff>15496</xdr:rowOff>
    </xdr:from>
    <xdr:to>
      <xdr:col>15</xdr:col>
      <xdr:colOff>87491</xdr:colOff>
      <xdr:row>54</xdr:row>
      <xdr:rowOff>179012</xdr:rowOff>
    </xdr:to>
    <xdr:graphicFrame macro="">
      <xdr:nvGraphicFramePr>
        <xdr:cNvPr id="6" name="Chart 5">
          <a:extLst>
            <a:ext uri="{FF2B5EF4-FFF2-40B4-BE49-F238E27FC236}">
              <a16:creationId xmlns:a16="http://schemas.microsoft.com/office/drawing/2014/main" id="{5148DE28-2D03-42CD-8611-EDDFE599A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443058</xdr:colOff>
      <xdr:row>39</xdr:row>
      <xdr:rowOff>146619</xdr:rowOff>
    </xdr:from>
    <xdr:to>
      <xdr:col>21</xdr:col>
      <xdr:colOff>222250</xdr:colOff>
      <xdr:row>64</xdr:row>
      <xdr:rowOff>14431</xdr:rowOff>
    </xdr:to>
    <xdr:graphicFrame macro="">
      <xdr:nvGraphicFramePr>
        <xdr:cNvPr id="7" name="Chart 6">
          <a:extLst>
            <a:ext uri="{FF2B5EF4-FFF2-40B4-BE49-F238E27FC236}">
              <a16:creationId xmlns:a16="http://schemas.microsoft.com/office/drawing/2014/main" id="{CA206DAA-08E3-4D25-A51D-C3FCDEABF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157346</xdr:colOff>
      <xdr:row>56</xdr:row>
      <xdr:rowOff>12682</xdr:rowOff>
    </xdr:from>
    <xdr:to>
      <xdr:col>15</xdr:col>
      <xdr:colOff>219858</xdr:colOff>
      <xdr:row>72</xdr:row>
      <xdr:rowOff>35126</xdr:rowOff>
    </xdr:to>
    <xdr:graphicFrame macro="">
      <xdr:nvGraphicFramePr>
        <xdr:cNvPr id="8" name="sub category">
          <a:extLst>
            <a:ext uri="{FF2B5EF4-FFF2-40B4-BE49-F238E27FC236}">
              <a16:creationId xmlns:a16="http://schemas.microsoft.com/office/drawing/2014/main" id="{B77860D4-2C2C-43AA-9F26-35C59AAA4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378685</xdr:colOff>
      <xdr:row>5</xdr:row>
      <xdr:rowOff>102704</xdr:rowOff>
    </xdr:from>
    <xdr:to>
      <xdr:col>8</xdr:col>
      <xdr:colOff>159666</xdr:colOff>
      <xdr:row>8</xdr:row>
      <xdr:rowOff>177244</xdr:rowOff>
    </xdr:to>
    <xdr:sp macro="" textlink="">
      <xdr:nvSpPr>
        <xdr:cNvPr id="11" name="Rectangle: Rounded Corners 10">
          <a:extLst>
            <a:ext uri="{FF2B5EF4-FFF2-40B4-BE49-F238E27FC236}">
              <a16:creationId xmlns:a16="http://schemas.microsoft.com/office/drawing/2014/main" id="{B7D06764-7928-485E-94F0-580BFB008F6C}"/>
            </a:ext>
          </a:extLst>
        </xdr:cNvPr>
        <xdr:cNvSpPr/>
      </xdr:nvSpPr>
      <xdr:spPr>
        <a:xfrm>
          <a:off x="3883636" y="1036528"/>
          <a:ext cx="1623726" cy="634834"/>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400">
              <a:latin typeface="Arial" panose="020B0604020202020204" pitchFamily="34" charset="0"/>
              <a:cs typeface="Arial" panose="020B0604020202020204" pitchFamily="34" charset="0"/>
            </a:rPr>
            <a:t>Numbers</a:t>
          </a:r>
          <a:r>
            <a:rPr lang="en-IN" sz="1400" baseline="0">
              <a:latin typeface="Arial" panose="020B0604020202020204" pitchFamily="34" charset="0"/>
              <a:cs typeface="Arial" panose="020B0604020202020204" pitchFamily="34" charset="0"/>
            </a:rPr>
            <a:t> of Orders</a:t>
          </a:r>
          <a:endParaRPr lang="en-IN" sz="1400">
            <a:latin typeface="Arial" panose="020B0604020202020204" pitchFamily="34" charset="0"/>
            <a:cs typeface="Arial" panose="020B0604020202020204" pitchFamily="34" charset="0"/>
          </a:endParaRPr>
        </a:p>
      </xdr:txBody>
    </xdr:sp>
    <xdr:clientData/>
  </xdr:twoCellAnchor>
  <xdr:twoCellAnchor>
    <xdr:from>
      <xdr:col>9</xdr:col>
      <xdr:colOff>8422</xdr:colOff>
      <xdr:row>5</xdr:row>
      <xdr:rowOff>114520</xdr:rowOff>
    </xdr:from>
    <xdr:to>
      <xdr:col>11</xdr:col>
      <xdr:colOff>529167</xdr:colOff>
      <xdr:row>9</xdr:row>
      <xdr:rowOff>531</xdr:rowOff>
    </xdr:to>
    <xdr:sp macro="" textlink="">
      <xdr:nvSpPr>
        <xdr:cNvPr id="12" name="Rectangle: Rounded Corners 11">
          <a:extLst>
            <a:ext uri="{FF2B5EF4-FFF2-40B4-BE49-F238E27FC236}">
              <a16:creationId xmlns:a16="http://schemas.microsoft.com/office/drawing/2014/main" id="{DA7BEA63-A06B-41CE-8C84-DFB85B73C7CB}"/>
            </a:ext>
          </a:extLst>
        </xdr:cNvPr>
        <xdr:cNvSpPr/>
      </xdr:nvSpPr>
      <xdr:spPr>
        <a:xfrm>
          <a:off x="5966216" y="1048344"/>
          <a:ext cx="1958833" cy="63306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a:latin typeface="Arial" panose="020B0604020202020204" pitchFamily="34" charset="0"/>
              <a:cs typeface="Arial" panose="020B0604020202020204" pitchFamily="34" charset="0"/>
            </a:rPr>
            <a:t>Average order value (AOV)</a:t>
          </a:r>
        </a:p>
      </xdr:txBody>
    </xdr:sp>
    <xdr:clientData/>
  </xdr:twoCellAnchor>
  <xdr:twoCellAnchor>
    <xdr:from>
      <xdr:col>12</xdr:col>
      <xdr:colOff>255381</xdr:colOff>
      <xdr:row>5</xdr:row>
      <xdr:rowOff>111497</xdr:rowOff>
    </xdr:from>
    <xdr:to>
      <xdr:col>15</xdr:col>
      <xdr:colOff>213969</xdr:colOff>
      <xdr:row>8</xdr:row>
      <xdr:rowOff>171492</xdr:rowOff>
    </xdr:to>
    <xdr:sp macro="" textlink="">
      <xdr:nvSpPr>
        <xdr:cNvPr id="20" name="Rectangle: Rounded Corners 19">
          <a:extLst>
            <a:ext uri="{FF2B5EF4-FFF2-40B4-BE49-F238E27FC236}">
              <a16:creationId xmlns:a16="http://schemas.microsoft.com/office/drawing/2014/main" id="{13C9612C-6582-86B4-E8B6-8310F2D99779}"/>
            </a:ext>
          </a:extLst>
        </xdr:cNvPr>
        <xdr:cNvSpPr/>
      </xdr:nvSpPr>
      <xdr:spPr>
        <a:xfrm>
          <a:off x="8180669" y="1027362"/>
          <a:ext cx="1790319" cy="646149"/>
        </a:xfrm>
        <a:prstGeom prst="roundRect">
          <a:avLst>
            <a:gd name="adj" fmla="val 1100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400" b="0">
              <a:latin typeface="Arial" panose="020B0604020202020204" pitchFamily="34" charset="0"/>
              <a:cs typeface="Arial" panose="020B0604020202020204" pitchFamily="34" charset="0"/>
            </a:rPr>
            <a:t>Number of Unique Customer   </a:t>
          </a:r>
        </a:p>
      </xdr:txBody>
    </xdr:sp>
    <xdr:clientData/>
  </xdr:twoCellAnchor>
  <xdr:twoCellAnchor>
    <xdr:from>
      <xdr:col>16</xdr:col>
      <xdr:colOff>31127</xdr:colOff>
      <xdr:row>5</xdr:row>
      <xdr:rowOff>69552</xdr:rowOff>
    </xdr:from>
    <xdr:to>
      <xdr:col>18</xdr:col>
      <xdr:colOff>512353</xdr:colOff>
      <xdr:row>9</xdr:row>
      <xdr:rowOff>7432</xdr:rowOff>
    </xdr:to>
    <xdr:sp macro="" textlink="">
      <xdr:nvSpPr>
        <xdr:cNvPr id="21" name="Rectangle: Rounded Corners 20">
          <a:extLst>
            <a:ext uri="{FF2B5EF4-FFF2-40B4-BE49-F238E27FC236}">
              <a16:creationId xmlns:a16="http://schemas.microsoft.com/office/drawing/2014/main" id="{0849CB8F-8E33-A4FF-CEC8-8F9DB88BBA72}"/>
            </a:ext>
          </a:extLst>
        </xdr:cNvPr>
        <xdr:cNvSpPr/>
      </xdr:nvSpPr>
      <xdr:spPr>
        <a:xfrm>
          <a:off x="10782549" y="1003376"/>
          <a:ext cx="1888186" cy="684938"/>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400" b="0" i="0" u="none" strike="noStrike">
              <a:solidFill>
                <a:schemeClr val="dk1"/>
              </a:solidFill>
              <a:effectLst/>
              <a:latin typeface="Arial" panose="020B0604020202020204" pitchFamily="34" charset="0"/>
              <a:ea typeface="+mn-ea"/>
              <a:cs typeface="Arial" panose="020B0604020202020204" pitchFamily="34" charset="0"/>
            </a:rPr>
            <a:t>Number of Unique Product</a:t>
          </a:r>
          <a:r>
            <a:rPr lang="en-IN" sz="1400">
              <a:effectLst/>
              <a:latin typeface="Arial" panose="020B0604020202020204" pitchFamily="34" charset="0"/>
              <a:cs typeface="Arial" panose="020B0604020202020204" pitchFamily="34" charset="0"/>
            </a:rPr>
            <a:t> </a:t>
          </a:r>
          <a:endParaRPr lang="en-IN" sz="1400">
            <a:latin typeface="Arial" panose="020B0604020202020204" pitchFamily="34" charset="0"/>
            <a:cs typeface="Arial" panose="020B0604020202020204" pitchFamily="34" charset="0"/>
          </a:endParaRPr>
        </a:p>
      </xdr:txBody>
    </xdr:sp>
    <xdr:clientData/>
  </xdr:twoCellAnchor>
  <xdr:twoCellAnchor editAs="oneCell">
    <xdr:from>
      <xdr:col>0</xdr:col>
      <xdr:colOff>170042</xdr:colOff>
      <xdr:row>23</xdr:row>
      <xdr:rowOff>142913</xdr:rowOff>
    </xdr:from>
    <xdr:to>
      <xdr:col>2</xdr:col>
      <xdr:colOff>708533</xdr:colOff>
      <xdr:row>31</xdr:row>
      <xdr:rowOff>2812</xdr:rowOff>
    </xdr:to>
    <mc:AlternateContent xmlns:mc="http://schemas.openxmlformats.org/markup-compatibility/2006" xmlns:a14="http://schemas.microsoft.com/office/drawing/2010/main">
      <mc:Choice Requires="a14">
        <xdr:graphicFrame macro="">
          <xdr:nvGraphicFramePr>
            <xdr:cNvPr id="22" name="Segment">
              <a:extLst>
                <a:ext uri="{FF2B5EF4-FFF2-40B4-BE49-F238E27FC236}">
                  <a16:creationId xmlns:a16="http://schemas.microsoft.com/office/drawing/2014/main" id="{A48FCDEA-6B5C-B9DB-C122-3B69F90EBEC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0042" y="4336309"/>
              <a:ext cx="1856416" cy="1297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179944</xdr:colOff>
      <xdr:row>14</xdr:row>
      <xdr:rowOff>57845</xdr:rowOff>
    </xdr:from>
    <xdr:to>
      <xdr:col>2</xdr:col>
      <xdr:colOff>717290</xdr:colOff>
      <xdr:row>23</xdr:row>
      <xdr:rowOff>8981</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ECB876CF-6B81-09CB-FC59-3962C2B653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944" y="2633788"/>
              <a:ext cx="1855271" cy="156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68497</xdr:colOff>
      <xdr:row>32</xdr:row>
      <xdr:rowOff>51793</xdr:rowOff>
    </xdr:from>
    <xdr:to>
      <xdr:col>2</xdr:col>
      <xdr:colOff>581927</xdr:colOff>
      <xdr:row>39</xdr:row>
      <xdr:rowOff>43519</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8A64BEB7-A449-C6A2-DA59-101AA3D6537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497" y="5862642"/>
              <a:ext cx="1831355" cy="1249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192290</xdr:colOff>
      <xdr:row>5</xdr:row>
      <xdr:rowOff>84504</xdr:rowOff>
    </xdr:from>
    <xdr:to>
      <xdr:col>2</xdr:col>
      <xdr:colOff>705597</xdr:colOff>
      <xdr:row>14</xdr:row>
      <xdr:rowOff>37</xdr:rowOff>
    </xdr:to>
    <mc:AlternateContent xmlns:mc="http://schemas.openxmlformats.org/markup-compatibility/2006" xmlns:a14="http://schemas.microsoft.com/office/drawing/2010/main">
      <mc:Choice Requires="a14">
        <xdr:graphicFrame macro="">
          <xdr:nvGraphicFramePr>
            <xdr:cNvPr id="28" name="order year">
              <a:extLst>
                <a:ext uri="{FF2B5EF4-FFF2-40B4-BE49-F238E27FC236}">
                  <a16:creationId xmlns:a16="http://schemas.microsoft.com/office/drawing/2014/main" id="{DD07352E-76F9-45B1-13CB-BA665F8FA27B}"/>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92290" y="983089"/>
              <a:ext cx="1831232" cy="1592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357188</xdr:colOff>
      <xdr:row>21</xdr:row>
      <xdr:rowOff>23813</xdr:rowOff>
    </xdr:from>
    <xdr:to>
      <xdr:col>12</xdr:col>
      <xdr:colOff>571500</xdr:colOff>
      <xdr:row>38</xdr:row>
      <xdr:rowOff>31750</xdr:rowOff>
    </xdr:to>
    <xdr:graphicFrame macro="">
      <xdr:nvGraphicFramePr>
        <xdr:cNvPr id="30" name="Chart 29">
          <a:extLst>
            <a:ext uri="{FF2B5EF4-FFF2-40B4-BE49-F238E27FC236}">
              <a16:creationId xmlns:a16="http://schemas.microsoft.com/office/drawing/2014/main" id="{FB08A859-4AA4-4E46-BE33-972276E8B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550862</xdr:colOff>
      <xdr:row>12</xdr:row>
      <xdr:rowOff>76200</xdr:rowOff>
    </xdr:from>
    <xdr:to>
      <xdr:col>12</xdr:col>
      <xdr:colOff>290575</xdr:colOff>
      <xdr:row>20</xdr:row>
      <xdr:rowOff>530</xdr:rowOff>
    </xdr:to>
    <mc:AlternateContent xmlns:mc="http://schemas.openxmlformats.org/markup-compatibility/2006" xmlns:tsle="http://schemas.microsoft.com/office/drawing/2012/timeslicer">
      <mc:Choice Requires="tsle">
        <xdr:graphicFrame macro="">
          <xdr:nvGraphicFramePr>
            <xdr:cNvPr id="31" name="Order Date">
              <a:extLst>
                <a:ext uri="{FF2B5EF4-FFF2-40B4-BE49-F238E27FC236}">
                  <a16:creationId xmlns:a16="http://schemas.microsoft.com/office/drawing/2014/main" id="{E61ED642-F7F8-6AFE-EA03-02F4C5F61F9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671522" y="2292709"/>
              <a:ext cx="5814147" cy="13620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48845</xdr:rowOff>
    </xdr:from>
    <xdr:to>
      <xdr:col>21</xdr:col>
      <xdr:colOff>464038</xdr:colOff>
      <xdr:row>82</xdr:row>
      <xdr:rowOff>73268</xdr:rowOff>
    </xdr:to>
    <xdr:sp macro="" textlink="">
      <xdr:nvSpPr>
        <xdr:cNvPr id="34" name="Rectangle 33">
          <a:extLst>
            <a:ext uri="{FF2B5EF4-FFF2-40B4-BE49-F238E27FC236}">
              <a16:creationId xmlns:a16="http://schemas.microsoft.com/office/drawing/2014/main" id="{2446C2C3-7607-4FB5-A318-41E67AC08F0D}"/>
            </a:ext>
          </a:extLst>
        </xdr:cNvPr>
        <xdr:cNvSpPr/>
      </xdr:nvSpPr>
      <xdr:spPr>
        <a:xfrm>
          <a:off x="0" y="48845"/>
          <a:ext cx="14067692" cy="16094808"/>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0</xdr:col>
      <xdr:colOff>0</xdr:colOff>
      <xdr:row>0</xdr:row>
      <xdr:rowOff>113392</xdr:rowOff>
    </xdr:from>
    <xdr:to>
      <xdr:col>21</xdr:col>
      <xdr:colOff>391207</xdr:colOff>
      <xdr:row>4</xdr:row>
      <xdr:rowOff>85045</xdr:rowOff>
    </xdr:to>
    <xdr:sp macro="" textlink="">
      <xdr:nvSpPr>
        <xdr:cNvPr id="35" name="Rectangle: Rounded Corners 34">
          <a:extLst>
            <a:ext uri="{FF2B5EF4-FFF2-40B4-BE49-F238E27FC236}">
              <a16:creationId xmlns:a16="http://schemas.microsoft.com/office/drawing/2014/main" id="{EF64D87E-5808-916F-B543-DD511D82C6C2}"/>
            </a:ext>
          </a:extLst>
        </xdr:cNvPr>
        <xdr:cNvSpPr/>
      </xdr:nvSpPr>
      <xdr:spPr>
        <a:xfrm>
          <a:off x="0" y="113392"/>
          <a:ext cx="14021028" cy="69736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800">
              <a:latin typeface="Arial" panose="020B0604020202020204" pitchFamily="34" charset="0"/>
              <a:cs typeface="Arial" panose="020B0604020202020204" pitchFamily="34" charset="0"/>
            </a:rPr>
            <a:t>Interactive Sales Performance Dashboard</a:t>
          </a:r>
          <a:endParaRPr lang="en-IN" sz="2800" b="0"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awant" refreshedDate="45920.538421064812" createdVersion="8" refreshedVersion="8" minRefreshableVersion="3" recordCount="9800" xr:uid="{2458617F-B87B-48F1-B1E9-72185FE4CD60}">
  <cacheSource type="worksheet">
    <worksheetSource name="sales_data"/>
  </cacheSource>
  <cacheFields count="22">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 numFmtId="0">
      <sharedItems count="12">
        <s v="11"/>
        <s v="06"/>
        <s v="10"/>
        <s v="04"/>
        <s v="12"/>
        <s v="05"/>
        <s v="08"/>
        <s v="07"/>
        <s v="09"/>
        <s v="01"/>
        <s v="03"/>
        <s v="02"/>
      </sharedItems>
    </cacheField>
    <cacheField name="order year" numFmtId="0">
      <sharedItems containsSemiMixedTypes="0" containsString="0" containsNumber="1" containsInteger="1" minValue="2015" maxValue="2018" count="4">
        <n v="2017"/>
        <n v="2016"/>
        <n v="2015"/>
        <n v="2018"/>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2145770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s v="Second Class"/>
    <x v="0"/>
    <s v="Claire Gute"/>
    <x v="0"/>
    <s v="United States"/>
    <s v="Henderson"/>
    <x v="0"/>
    <n v="42420"/>
    <x v="0"/>
    <x v="0"/>
    <x v="0"/>
    <x v="0"/>
    <x v="0"/>
    <x v="0"/>
    <x v="0"/>
    <x v="0"/>
  </r>
  <r>
    <n v="2"/>
    <x v="0"/>
    <x v="0"/>
    <d v="2017-11-11T00:00:00"/>
    <s v="Second Class"/>
    <x v="0"/>
    <s v="Claire Gute"/>
    <x v="0"/>
    <s v="United States"/>
    <s v="Henderson"/>
    <x v="0"/>
    <n v="42420"/>
    <x v="0"/>
    <x v="1"/>
    <x v="0"/>
    <x v="1"/>
    <x v="1"/>
    <x v="1"/>
    <x v="0"/>
    <x v="0"/>
  </r>
  <r>
    <n v="3"/>
    <x v="1"/>
    <x v="1"/>
    <d v="2017-06-16T00:00:00"/>
    <s v="Second Class"/>
    <x v="1"/>
    <s v="Darrin Van Huff"/>
    <x v="1"/>
    <s v="United States"/>
    <s v="Los Angeles"/>
    <x v="1"/>
    <n v="90036"/>
    <x v="1"/>
    <x v="2"/>
    <x v="1"/>
    <x v="2"/>
    <x v="2"/>
    <x v="2"/>
    <x v="1"/>
    <x v="0"/>
  </r>
  <r>
    <n v="4"/>
    <x v="2"/>
    <x v="2"/>
    <d v="2016-10-18T00:00:00"/>
    <s v="Standard Class"/>
    <x v="2"/>
    <s v="Sean O'Donnell"/>
    <x v="0"/>
    <s v="United States"/>
    <s v="Fort Lauderdale"/>
    <x v="2"/>
    <n v="33311"/>
    <x v="0"/>
    <x v="3"/>
    <x v="0"/>
    <x v="3"/>
    <x v="3"/>
    <x v="3"/>
    <x v="2"/>
    <x v="1"/>
  </r>
  <r>
    <n v="5"/>
    <x v="2"/>
    <x v="2"/>
    <d v="2016-10-18T00:00:00"/>
    <s v="Standard Class"/>
    <x v="2"/>
    <s v="Sean O'Donnell"/>
    <x v="0"/>
    <s v="United States"/>
    <s v="Fort Lauderdale"/>
    <x v="2"/>
    <n v="33311"/>
    <x v="0"/>
    <x v="4"/>
    <x v="1"/>
    <x v="4"/>
    <x v="4"/>
    <x v="4"/>
    <x v="2"/>
    <x v="1"/>
  </r>
  <r>
    <n v="6"/>
    <x v="3"/>
    <x v="3"/>
    <d v="2015-06-14T00:00:00"/>
    <s v="Standard Class"/>
    <x v="3"/>
    <s v="Brosina Hoffman"/>
    <x v="0"/>
    <s v="United States"/>
    <s v="Los Angeles"/>
    <x v="1"/>
    <n v="90032"/>
    <x v="1"/>
    <x v="5"/>
    <x v="0"/>
    <x v="5"/>
    <x v="5"/>
    <x v="5"/>
    <x v="1"/>
    <x v="2"/>
  </r>
  <r>
    <n v="7"/>
    <x v="3"/>
    <x v="3"/>
    <d v="2015-06-14T00:00:00"/>
    <s v="Standard Class"/>
    <x v="3"/>
    <s v="Brosina Hoffman"/>
    <x v="0"/>
    <s v="United States"/>
    <s v="Los Angeles"/>
    <x v="1"/>
    <n v="90032"/>
    <x v="1"/>
    <x v="6"/>
    <x v="1"/>
    <x v="6"/>
    <x v="6"/>
    <x v="6"/>
    <x v="1"/>
    <x v="2"/>
  </r>
  <r>
    <n v="8"/>
    <x v="3"/>
    <x v="3"/>
    <d v="2015-06-14T00:00:00"/>
    <s v="Standard Class"/>
    <x v="3"/>
    <s v="Brosina Hoffman"/>
    <x v="0"/>
    <s v="United States"/>
    <s v="Los Angeles"/>
    <x v="1"/>
    <n v="90032"/>
    <x v="1"/>
    <x v="7"/>
    <x v="2"/>
    <x v="7"/>
    <x v="7"/>
    <x v="7"/>
    <x v="1"/>
    <x v="2"/>
  </r>
  <r>
    <n v="9"/>
    <x v="3"/>
    <x v="3"/>
    <d v="2015-06-14T00:00:00"/>
    <s v="Standard Class"/>
    <x v="3"/>
    <s v="Brosina Hoffman"/>
    <x v="0"/>
    <s v="United States"/>
    <s v="Los Angeles"/>
    <x v="1"/>
    <n v="90032"/>
    <x v="1"/>
    <x v="8"/>
    <x v="1"/>
    <x v="8"/>
    <x v="8"/>
    <x v="8"/>
    <x v="1"/>
    <x v="2"/>
  </r>
  <r>
    <n v="10"/>
    <x v="3"/>
    <x v="3"/>
    <d v="2015-06-14T00:00:00"/>
    <s v="Standard Class"/>
    <x v="3"/>
    <s v="Brosina Hoffman"/>
    <x v="0"/>
    <s v="United States"/>
    <s v="Los Angeles"/>
    <x v="1"/>
    <n v="90032"/>
    <x v="1"/>
    <x v="9"/>
    <x v="1"/>
    <x v="9"/>
    <x v="9"/>
    <x v="9"/>
    <x v="1"/>
    <x v="2"/>
  </r>
  <r>
    <n v="11"/>
    <x v="3"/>
    <x v="3"/>
    <d v="2015-06-14T00:00:00"/>
    <s v="Standard Class"/>
    <x v="3"/>
    <s v="Brosina Hoffman"/>
    <x v="0"/>
    <s v="United States"/>
    <s v="Los Angeles"/>
    <x v="1"/>
    <n v="90032"/>
    <x v="1"/>
    <x v="10"/>
    <x v="0"/>
    <x v="3"/>
    <x v="10"/>
    <x v="10"/>
    <x v="1"/>
    <x v="2"/>
  </r>
  <r>
    <n v="12"/>
    <x v="3"/>
    <x v="3"/>
    <d v="2015-06-14T00:00:00"/>
    <s v="Standard Class"/>
    <x v="3"/>
    <s v="Brosina Hoffman"/>
    <x v="0"/>
    <s v="United States"/>
    <s v="Los Angeles"/>
    <x v="1"/>
    <n v="90032"/>
    <x v="1"/>
    <x v="11"/>
    <x v="2"/>
    <x v="7"/>
    <x v="11"/>
    <x v="11"/>
    <x v="1"/>
    <x v="2"/>
  </r>
  <r>
    <n v="13"/>
    <x v="4"/>
    <x v="4"/>
    <d v="2018-04-20T00:00:00"/>
    <s v="Standard Class"/>
    <x v="4"/>
    <s v="Andrew Allen"/>
    <x v="0"/>
    <s v="United States"/>
    <s v="Concord"/>
    <x v="3"/>
    <n v="28027"/>
    <x v="0"/>
    <x v="12"/>
    <x v="1"/>
    <x v="10"/>
    <x v="12"/>
    <x v="12"/>
    <x v="3"/>
    <x v="3"/>
  </r>
  <r>
    <n v="14"/>
    <x v="5"/>
    <x v="5"/>
    <d v="2017-12-10T00:00:00"/>
    <s v="Standard Class"/>
    <x v="5"/>
    <s v="Irene Maddox"/>
    <x v="0"/>
    <s v="United States"/>
    <s v="Seattle"/>
    <x v="4"/>
    <n v="98103"/>
    <x v="1"/>
    <x v="13"/>
    <x v="1"/>
    <x v="8"/>
    <x v="13"/>
    <x v="13"/>
    <x v="4"/>
    <x v="0"/>
  </r>
  <r>
    <n v="15"/>
    <x v="6"/>
    <x v="6"/>
    <d v="2016-11-26T00:00:00"/>
    <s v="Standard Class"/>
    <x v="6"/>
    <s v="Harold Pawlan"/>
    <x v="2"/>
    <s v="United States"/>
    <s v="Fort Worth"/>
    <x v="5"/>
    <n v="76106"/>
    <x v="2"/>
    <x v="14"/>
    <x v="1"/>
    <x v="9"/>
    <x v="14"/>
    <x v="14"/>
    <x v="0"/>
    <x v="1"/>
  </r>
  <r>
    <n v="16"/>
    <x v="6"/>
    <x v="6"/>
    <d v="2016-11-26T00:00:00"/>
    <s v="Standard Class"/>
    <x v="6"/>
    <s v="Harold Pawlan"/>
    <x v="2"/>
    <s v="United States"/>
    <s v="Fort Worth"/>
    <x v="5"/>
    <n v="76106"/>
    <x v="2"/>
    <x v="15"/>
    <x v="1"/>
    <x v="8"/>
    <x v="15"/>
    <x v="15"/>
    <x v="0"/>
    <x v="1"/>
  </r>
  <r>
    <n v="17"/>
    <x v="7"/>
    <x v="7"/>
    <d v="2015-11-18T00:00:00"/>
    <s v="Standard Class"/>
    <x v="7"/>
    <s v="Pete Kriz"/>
    <x v="0"/>
    <s v="United States"/>
    <s v="Madison"/>
    <x v="6"/>
    <n v="53711"/>
    <x v="2"/>
    <x v="16"/>
    <x v="1"/>
    <x v="4"/>
    <x v="16"/>
    <x v="16"/>
    <x v="0"/>
    <x v="2"/>
  </r>
  <r>
    <n v="18"/>
    <x v="8"/>
    <x v="8"/>
    <d v="2015-05-15T00:00:00"/>
    <s v="Second Class"/>
    <x v="8"/>
    <s v="Alejandro Grove"/>
    <x v="0"/>
    <s v="United States"/>
    <s v="West Jordan"/>
    <x v="7"/>
    <n v="84084"/>
    <x v="1"/>
    <x v="17"/>
    <x v="1"/>
    <x v="4"/>
    <x v="17"/>
    <x v="17"/>
    <x v="5"/>
    <x v="2"/>
  </r>
  <r>
    <n v="19"/>
    <x v="9"/>
    <x v="9"/>
    <d v="2015-09-01T00:00:00"/>
    <s v="Second Class"/>
    <x v="9"/>
    <s v="Zuschuss Donatelli"/>
    <x v="0"/>
    <s v="United States"/>
    <s v="San Francisco"/>
    <x v="1"/>
    <n v="94109"/>
    <x v="1"/>
    <x v="18"/>
    <x v="1"/>
    <x v="6"/>
    <x v="18"/>
    <x v="18"/>
    <x v="6"/>
    <x v="2"/>
  </r>
  <r>
    <n v="20"/>
    <x v="9"/>
    <x v="9"/>
    <d v="2015-09-01T00:00:00"/>
    <s v="Second Class"/>
    <x v="9"/>
    <s v="Zuschuss Donatelli"/>
    <x v="0"/>
    <s v="United States"/>
    <s v="San Francisco"/>
    <x v="1"/>
    <n v="94109"/>
    <x v="1"/>
    <x v="19"/>
    <x v="2"/>
    <x v="7"/>
    <x v="19"/>
    <x v="19"/>
    <x v="6"/>
    <x v="2"/>
  </r>
  <r>
    <n v="21"/>
    <x v="9"/>
    <x v="9"/>
    <d v="2015-09-01T00:00:00"/>
    <s v="Second Class"/>
    <x v="9"/>
    <s v="Zuschuss Donatelli"/>
    <x v="0"/>
    <s v="United States"/>
    <s v="San Francisco"/>
    <x v="1"/>
    <n v="94109"/>
    <x v="1"/>
    <x v="20"/>
    <x v="1"/>
    <x v="8"/>
    <x v="20"/>
    <x v="20"/>
    <x v="6"/>
    <x v="2"/>
  </r>
  <r>
    <n v="22"/>
    <x v="10"/>
    <x v="10"/>
    <d v="2017-12-13T00:00:00"/>
    <s v="Standard Class"/>
    <x v="10"/>
    <s v="Ken Black"/>
    <x v="1"/>
    <s v="United States"/>
    <s v="Fremont"/>
    <x v="8"/>
    <n v="68025"/>
    <x v="2"/>
    <x v="21"/>
    <x v="1"/>
    <x v="6"/>
    <x v="21"/>
    <x v="21"/>
    <x v="4"/>
    <x v="0"/>
  </r>
  <r>
    <n v="23"/>
    <x v="10"/>
    <x v="10"/>
    <d v="2017-12-13T00:00:00"/>
    <s v="Standard Class"/>
    <x v="10"/>
    <s v="Ken Black"/>
    <x v="1"/>
    <s v="United States"/>
    <s v="Fremont"/>
    <x v="8"/>
    <n v="68025"/>
    <x v="2"/>
    <x v="22"/>
    <x v="1"/>
    <x v="9"/>
    <x v="22"/>
    <x v="22"/>
    <x v="4"/>
    <x v="0"/>
  </r>
  <r>
    <n v="24"/>
    <x v="11"/>
    <x v="11"/>
    <d v="2018-07-18T00:00:00"/>
    <s v="Second Class"/>
    <x v="11"/>
    <s v="Sandra Flanagan"/>
    <x v="0"/>
    <s v="United States"/>
    <s v="Philadelphia"/>
    <x v="9"/>
    <n v="19140"/>
    <x v="3"/>
    <x v="23"/>
    <x v="0"/>
    <x v="1"/>
    <x v="23"/>
    <x v="23"/>
    <x v="7"/>
    <x v="3"/>
  </r>
  <r>
    <n v="25"/>
    <x v="12"/>
    <x v="12"/>
    <d v="2016-09-30T00:00:00"/>
    <s v="Standard Class"/>
    <x v="12"/>
    <s v="Emily Burns"/>
    <x v="0"/>
    <s v="United States"/>
    <s v="Orem"/>
    <x v="7"/>
    <n v="84057"/>
    <x v="1"/>
    <x v="3"/>
    <x v="0"/>
    <x v="3"/>
    <x v="3"/>
    <x v="24"/>
    <x v="8"/>
    <x v="1"/>
  </r>
  <r>
    <n v="26"/>
    <x v="13"/>
    <x v="13"/>
    <d v="2017-01-20T00:00:00"/>
    <s v="Second Class"/>
    <x v="13"/>
    <s v="Eric Hoffmann"/>
    <x v="0"/>
    <s v="United States"/>
    <s v="Los Angeles"/>
    <x v="1"/>
    <n v="90049"/>
    <x v="1"/>
    <x v="24"/>
    <x v="1"/>
    <x v="8"/>
    <x v="24"/>
    <x v="25"/>
    <x v="9"/>
    <x v="0"/>
  </r>
  <r>
    <n v="27"/>
    <x v="13"/>
    <x v="13"/>
    <d v="2017-01-20T00:00:00"/>
    <s v="Second Class"/>
    <x v="13"/>
    <s v="Eric Hoffmann"/>
    <x v="0"/>
    <s v="United States"/>
    <s v="Los Angeles"/>
    <x v="1"/>
    <n v="90049"/>
    <x v="1"/>
    <x v="25"/>
    <x v="2"/>
    <x v="11"/>
    <x v="25"/>
    <x v="26"/>
    <x v="9"/>
    <x v="0"/>
  </r>
  <r>
    <n v="28"/>
    <x v="14"/>
    <x v="14"/>
    <d v="2016-09-21T00:00:00"/>
    <s v="Standard Class"/>
    <x v="14"/>
    <s v="Tracy Blumstein"/>
    <x v="0"/>
    <s v="United States"/>
    <s v="Philadelphia"/>
    <x v="9"/>
    <n v="19140"/>
    <x v="3"/>
    <x v="26"/>
    <x v="0"/>
    <x v="0"/>
    <x v="26"/>
    <x v="27"/>
    <x v="8"/>
    <x v="1"/>
  </r>
  <r>
    <n v="29"/>
    <x v="14"/>
    <x v="14"/>
    <d v="2016-09-21T00:00:00"/>
    <s v="Standard Class"/>
    <x v="14"/>
    <s v="Tracy Blumstein"/>
    <x v="0"/>
    <s v="United States"/>
    <s v="Philadelphia"/>
    <x v="9"/>
    <n v="19140"/>
    <x v="3"/>
    <x v="27"/>
    <x v="1"/>
    <x v="8"/>
    <x v="27"/>
    <x v="28"/>
    <x v="8"/>
    <x v="1"/>
  </r>
  <r>
    <n v="30"/>
    <x v="14"/>
    <x v="14"/>
    <d v="2016-09-21T00:00:00"/>
    <s v="Standard Class"/>
    <x v="14"/>
    <s v="Tracy Blumstein"/>
    <x v="0"/>
    <s v="United States"/>
    <s v="Philadelphia"/>
    <x v="9"/>
    <n v="19140"/>
    <x v="3"/>
    <x v="28"/>
    <x v="0"/>
    <x v="5"/>
    <x v="28"/>
    <x v="29"/>
    <x v="8"/>
    <x v="1"/>
  </r>
  <r>
    <n v="31"/>
    <x v="14"/>
    <x v="14"/>
    <d v="2016-09-21T00:00:00"/>
    <s v="Standard Class"/>
    <x v="14"/>
    <s v="Tracy Blumstein"/>
    <x v="0"/>
    <s v="United States"/>
    <s v="Philadelphia"/>
    <x v="9"/>
    <n v="19140"/>
    <x v="3"/>
    <x v="29"/>
    <x v="1"/>
    <x v="12"/>
    <x v="29"/>
    <x v="30"/>
    <x v="8"/>
    <x v="1"/>
  </r>
  <r>
    <n v="32"/>
    <x v="14"/>
    <x v="14"/>
    <d v="2016-09-21T00:00:00"/>
    <s v="Standard Class"/>
    <x v="14"/>
    <s v="Tracy Blumstein"/>
    <x v="0"/>
    <s v="United States"/>
    <s v="Philadelphia"/>
    <x v="9"/>
    <n v="19140"/>
    <x v="3"/>
    <x v="30"/>
    <x v="1"/>
    <x v="6"/>
    <x v="30"/>
    <x v="31"/>
    <x v="8"/>
    <x v="1"/>
  </r>
  <r>
    <n v="33"/>
    <x v="14"/>
    <x v="14"/>
    <d v="2016-09-21T00:00:00"/>
    <s v="Standard Class"/>
    <x v="14"/>
    <s v="Tracy Blumstein"/>
    <x v="0"/>
    <s v="United States"/>
    <s v="Philadelphia"/>
    <x v="9"/>
    <n v="19140"/>
    <x v="3"/>
    <x v="31"/>
    <x v="1"/>
    <x v="8"/>
    <x v="31"/>
    <x v="32"/>
    <x v="8"/>
    <x v="1"/>
  </r>
  <r>
    <n v="34"/>
    <x v="14"/>
    <x v="14"/>
    <d v="2016-09-21T00:00:00"/>
    <s v="Standard Class"/>
    <x v="14"/>
    <s v="Tracy Blumstein"/>
    <x v="0"/>
    <s v="United States"/>
    <s v="Philadelphia"/>
    <x v="9"/>
    <n v="19140"/>
    <x v="3"/>
    <x v="32"/>
    <x v="1"/>
    <x v="6"/>
    <x v="32"/>
    <x v="33"/>
    <x v="8"/>
    <x v="1"/>
  </r>
  <r>
    <n v="35"/>
    <x v="15"/>
    <x v="15"/>
    <d v="2018-10-23T00:00:00"/>
    <s v="Second Class"/>
    <x v="15"/>
    <s v="Matt Abelman"/>
    <x v="2"/>
    <s v="United States"/>
    <s v="Houston"/>
    <x v="5"/>
    <n v="77095"/>
    <x v="2"/>
    <x v="33"/>
    <x v="1"/>
    <x v="10"/>
    <x v="33"/>
    <x v="34"/>
    <x v="2"/>
    <x v="3"/>
  </r>
  <r>
    <n v="36"/>
    <x v="16"/>
    <x v="16"/>
    <d v="2017-12-10T00:00:00"/>
    <s v="First Class"/>
    <x v="16"/>
    <s v="Gene Hale"/>
    <x v="1"/>
    <s v="United States"/>
    <s v="Richardson"/>
    <x v="5"/>
    <n v="75080"/>
    <x v="2"/>
    <x v="34"/>
    <x v="2"/>
    <x v="7"/>
    <x v="34"/>
    <x v="35"/>
    <x v="4"/>
    <x v="0"/>
  </r>
  <r>
    <n v="37"/>
    <x v="16"/>
    <x v="16"/>
    <d v="2017-12-10T00:00:00"/>
    <s v="First Class"/>
    <x v="16"/>
    <s v="Gene Hale"/>
    <x v="1"/>
    <s v="United States"/>
    <s v="Richardson"/>
    <x v="5"/>
    <n v="75080"/>
    <x v="2"/>
    <x v="35"/>
    <x v="0"/>
    <x v="5"/>
    <x v="35"/>
    <x v="36"/>
    <x v="4"/>
    <x v="0"/>
  </r>
  <r>
    <n v="38"/>
    <x v="17"/>
    <x v="17"/>
    <d v="2016-12-31T00:00:00"/>
    <s v="Standard Class"/>
    <x v="17"/>
    <s v="Steve Nguyen"/>
    <x v="2"/>
    <s v="United States"/>
    <s v="Houston"/>
    <x v="5"/>
    <n v="77041"/>
    <x v="2"/>
    <x v="36"/>
    <x v="1"/>
    <x v="12"/>
    <x v="36"/>
    <x v="37"/>
    <x v="4"/>
    <x v="1"/>
  </r>
  <r>
    <n v="39"/>
    <x v="17"/>
    <x v="17"/>
    <d v="2016-12-31T00:00:00"/>
    <s v="Standard Class"/>
    <x v="17"/>
    <s v="Steve Nguyen"/>
    <x v="2"/>
    <s v="United States"/>
    <s v="Houston"/>
    <x v="5"/>
    <n v="77041"/>
    <x v="2"/>
    <x v="37"/>
    <x v="0"/>
    <x v="0"/>
    <x v="37"/>
    <x v="38"/>
    <x v="4"/>
    <x v="1"/>
  </r>
  <r>
    <n v="40"/>
    <x v="17"/>
    <x v="17"/>
    <d v="2016-12-31T00:00:00"/>
    <s v="Standard Class"/>
    <x v="17"/>
    <s v="Steve Nguyen"/>
    <x v="2"/>
    <s v="United States"/>
    <s v="Houston"/>
    <x v="5"/>
    <n v="77041"/>
    <x v="2"/>
    <x v="38"/>
    <x v="0"/>
    <x v="1"/>
    <x v="38"/>
    <x v="39"/>
    <x v="4"/>
    <x v="1"/>
  </r>
  <r>
    <n v="41"/>
    <x v="17"/>
    <x v="17"/>
    <d v="2016-12-31T00:00:00"/>
    <s v="Standard Class"/>
    <x v="17"/>
    <s v="Steve Nguyen"/>
    <x v="2"/>
    <s v="United States"/>
    <s v="Houston"/>
    <x v="5"/>
    <n v="77041"/>
    <x v="2"/>
    <x v="39"/>
    <x v="2"/>
    <x v="7"/>
    <x v="39"/>
    <x v="40"/>
    <x v="4"/>
    <x v="1"/>
  </r>
  <r>
    <n v="42"/>
    <x v="18"/>
    <x v="18"/>
    <d v="2018-09-15T00:00:00"/>
    <s v="Standard Class"/>
    <x v="18"/>
    <s v="Linda Cazamias"/>
    <x v="1"/>
    <s v="United States"/>
    <s v="Naperville"/>
    <x v="10"/>
    <n v="60540"/>
    <x v="2"/>
    <x v="40"/>
    <x v="2"/>
    <x v="7"/>
    <x v="40"/>
    <x v="41"/>
    <x v="8"/>
    <x v="3"/>
  </r>
  <r>
    <n v="43"/>
    <x v="19"/>
    <x v="19"/>
    <d v="2017-07-22T00:00:00"/>
    <s v="Standard Class"/>
    <x v="19"/>
    <s v="Ruben Ausman"/>
    <x v="1"/>
    <s v="United States"/>
    <s v="Los Angeles"/>
    <x v="1"/>
    <n v="90049"/>
    <x v="1"/>
    <x v="41"/>
    <x v="1"/>
    <x v="4"/>
    <x v="41"/>
    <x v="42"/>
    <x v="7"/>
    <x v="0"/>
  </r>
  <r>
    <n v="44"/>
    <x v="20"/>
    <x v="20"/>
    <d v="2018-09-23T00:00:00"/>
    <s v="Standard Class"/>
    <x v="20"/>
    <s v="Erin Smith"/>
    <x v="1"/>
    <s v="United States"/>
    <s v="Melbourne"/>
    <x v="2"/>
    <n v="32935"/>
    <x v="0"/>
    <x v="42"/>
    <x v="1"/>
    <x v="4"/>
    <x v="42"/>
    <x v="43"/>
    <x v="8"/>
    <x v="3"/>
  </r>
  <r>
    <n v="45"/>
    <x v="21"/>
    <x v="21"/>
    <d v="2017-03-13T00:00:00"/>
    <s v="First Class"/>
    <x v="21"/>
    <s v="Odella Nelson"/>
    <x v="1"/>
    <s v="United States"/>
    <s v="Eagan"/>
    <x v="11"/>
    <n v="55122"/>
    <x v="2"/>
    <x v="43"/>
    <x v="2"/>
    <x v="11"/>
    <x v="43"/>
    <x v="44"/>
    <x v="10"/>
    <x v="0"/>
  </r>
  <r>
    <n v="46"/>
    <x v="21"/>
    <x v="21"/>
    <d v="2017-03-13T00:00:00"/>
    <s v="First Class"/>
    <x v="21"/>
    <s v="Odella Nelson"/>
    <x v="1"/>
    <s v="United States"/>
    <s v="Eagan"/>
    <x v="11"/>
    <n v="55122"/>
    <x v="2"/>
    <x v="44"/>
    <x v="1"/>
    <x v="8"/>
    <x v="44"/>
    <x v="45"/>
    <x v="10"/>
    <x v="0"/>
  </r>
  <r>
    <n v="47"/>
    <x v="22"/>
    <x v="22"/>
    <d v="2015-10-25T00:00:00"/>
    <s v="Second Class"/>
    <x v="22"/>
    <s v="Patrick O'Donnell"/>
    <x v="0"/>
    <s v="United States"/>
    <s v="Westland"/>
    <x v="12"/>
    <n v="48185"/>
    <x v="2"/>
    <x v="45"/>
    <x v="1"/>
    <x v="4"/>
    <x v="45"/>
    <x v="46"/>
    <x v="2"/>
    <x v="2"/>
  </r>
  <r>
    <n v="48"/>
    <x v="23"/>
    <x v="23"/>
    <d v="2017-06-25T00:00:00"/>
    <s v="Standard Class"/>
    <x v="23"/>
    <s v="Lena Hernandez"/>
    <x v="0"/>
    <s v="United States"/>
    <s v="Dover"/>
    <x v="13"/>
    <n v="19901"/>
    <x v="3"/>
    <x v="46"/>
    <x v="2"/>
    <x v="11"/>
    <x v="46"/>
    <x v="47"/>
    <x v="1"/>
    <x v="0"/>
  </r>
  <r>
    <n v="49"/>
    <x v="23"/>
    <x v="23"/>
    <d v="2017-06-25T00:00:00"/>
    <s v="Standard Class"/>
    <x v="23"/>
    <s v="Lena Hernandez"/>
    <x v="0"/>
    <s v="United States"/>
    <s v="Dover"/>
    <x v="13"/>
    <n v="19901"/>
    <x v="3"/>
    <x v="47"/>
    <x v="2"/>
    <x v="7"/>
    <x v="47"/>
    <x v="48"/>
    <x v="1"/>
    <x v="0"/>
  </r>
  <r>
    <n v="50"/>
    <x v="24"/>
    <x v="24"/>
    <d v="2016-04-22T00:00:00"/>
    <s v="Standard Class"/>
    <x v="24"/>
    <s v="Darren Powers"/>
    <x v="0"/>
    <s v="United States"/>
    <s v="New Albany"/>
    <x v="14"/>
    <n v="47150"/>
    <x v="2"/>
    <x v="48"/>
    <x v="1"/>
    <x v="8"/>
    <x v="48"/>
    <x v="49"/>
    <x v="3"/>
    <x v="1"/>
  </r>
  <r>
    <n v="51"/>
    <x v="24"/>
    <x v="24"/>
    <d v="2016-04-22T00:00:00"/>
    <s v="Standard Class"/>
    <x v="24"/>
    <s v="Darren Powers"/>
    <x v="0"/>
    <s v="United States"/>
    <s v="New Albany"/>
    <x v="14"/>
    <n v="47150"/>
    <x v="2"/>
    <x v="49"/>
    <x v="1"/>
    <x v="2"/>
    <x v="49"/>
    <x v="50"/>
    <x v="3"/>
    <x v="1"/>
  </r>
  <r>
    <n v="52"/>
    <x v="24"/>
    <x v="24"/>
    <d v="2016-04-22T00:00:00"/>
    <s v="Standard Class"/>
    <x v="24"/>
    <s v="Darren Powers"/>
    <x v="0"/>
    <s v="United States"/>
    <s v="New Albany"/>
    <x v="14"/>
    <n v="47150"/>
    <x v="2"/>
    <x v="50"/>
    <x v="0"/>
    <x v="5"/>
    <x v="50"/>
    <x v="51"/>
    <x v="3"/>
    <x v="1"/>
  </r>
  <r>
    <n v="53"/>
    <x v="24"/>
    <x v="24"/>
    <d v="2016-04-22T00:00:00"/>
    <s v="Standard Class"/>
    <x v="24"/>
    <s v="Darren Powers"/>
    <x v="0"/>
    <s v="United States"/>
    <s v="New Albany"/>
    <x v="14"/>
    <n v="47150"/>
    <x v="2"/>
    <x v="51"/>
    <x v="0"/>
    <x v="1"/>
    <x v="51"/>
    <x v="52"/>
    <x v="3"/>
    <x v="1"/>
  </r>
  <r>
    <n v="54"/>
    <x v="25"/>
    <x v="25"/>
    <d v="2017-12-17T00:00:00"/>
    <s v="Standard Class"/>
    <x v="25"/>
    <s v="Janet Molinari"/>
    <x v="1"/>
    <s v="United States"/>
    <s v="New York City"/>
    <x v="15"/>
    <n v="10024"/>
    <x v="3"/>
    <x v="52"/>
    <x v="1"/>
    <x v="13"/>
    <x v="52"/>
    <x v="53"/>
    <x v="4"/>
    <x v="0"/>
  </r>
  <r>
    <n v="55"/>
    <x v="25"/>
    <x v="25"/>
    <d v="2017-12-17T00:00:00"/>
    <s v="Standard Class"/>
    <x v="25"/>
    <s v="Janet Molinari"/>
    <x v="1"/>
    <s v="United States"/>
    <s v="New York City"/>
    <x v="15"/>
    <n v="10024"/>
    <x v="3"/>
    <x v="53"/>
    <x v="2"/>
    <x v="7"/>
    <x v="53"/>
    <x v="54"/>
    <x v="4"/>
    <x v="0"/>
  </r>
  <r>
    <n v="56"/>
    <x v="26"/>
    <x v="26"/>
    <d v="2017-06-18T00:00:00"/>
    <s v="First Class"/>
    <x v="26"/>
    <s v="Ted Butterfield"/>
    <x v="0"/>
    <s v="United States"/>
    <s v="Troy"/>
    <x v="15"/>
    <n v="12180"/>
    <x v="3"/>
    <x v="54"/>
    <x v="1"/>
    <x v="4"/>
    <x v="54"/>
    <x v="55"/>
    <x v="1"/>
    <x v="0"/>
  </r>
  <r>
    <n v="57"/>
    <x v="26"/>
    <x v="26"/>
    <d v="2017-06-18T00:00:00"/>
    <s v="First Class"/>
    <x v="26"/>
    <s v="Ted Butterfield"/>
    <x v="0"/>
    <s v="United States"/>
    <s v="Troy"/>
    <x v="15"/>
    <n v="12180"/>
    <x v="3"/>
    <x v="55"/>
    <x v="1"/>
    <x v="10"/>
    <x v="55"/>
    <x v="56"/>
    <x v="1"/>
    <x v="0"/>
  </r>
  <r>
    <n v="58"/>
    <x v="26"/>
    <x v="26"/>
    <d v="2017-06-18T00:00:00"/>
    <s v="First Class"/>
    <x v="26"/>
    <s v="Ted Butterfield"/>
    <x v="0"/>
    <s v="United States"/>
    <s v="Troy"/>
    <x v="15"/>
    <n v="12180"/>
    <x v="3"/>
    <x v="56"/>
    <x v="0"/>
    <x v="1"/>
    <x v="56"/>
    <x v="57"/>
    <x v="1"/>
    <x v="0"/>
  </r>
  <r>
    <n v="59"/>
    <x v="26"/>
    <x v="26"/>
    <d v="2017-06-18T00:00:00"/>
    <s v="First Class"/>
    <x v="26"/>
    <s v="Ted Butterfield"/>
    <x v="0"/>
    <s v="United States"/>
    <s v="Troy"/>
    <x v="15"/>
    <n v="12180"/>
    <x v="3"/>
    <x v="57"/>
    <x v="1"/>
    <x v="10"/>
    <x v="57"/>
    <x v="58"/>
    <x v="1"/>
    <x v="0"/>
  </r>
  <r>
    <n v="60"/>
    <x v="26"/>
    <x v="26"/>
    <d v="2017-06-18T00:00:00"/>
    <s v="First Class"/>
    <x v="26"/>
    <s v="Ted Butterfield"/>
    <x v="0"/>
    <s v="United States"/>
    <s v="Troy"/>
    <x v="15"/>
    <n v="12180"/>
    <x v="3"/>
    <x v="46"/>
    <x v="2"/>
    <x v="11"/>
    <x v="46"/>
    <x v="59"/>
    <x v="1"/>
    <x v="0"/>
  </r>
  <r>
    <n v="61"/>
    <x v="26"/>
    <x v="26"/>
    <d v="2017-06-18T00:00:00"/>
    <s v="First Class"/>
    <x v="26"/>
    <s v="Ted Butterfield"/>
    <x v="0"/>
    <s v="United States"/>
    <s v="Troy"/>
    <x v="15"/>
    <n v="12180"/>
    <x v="3"/>
    <x v="58"/>
    <x v="1"/>
    <x v="8"/>
    <x v="58"/>
    <x v="60"/>
    <x v="1"/>
    <x v="0"/>
  </r>
  <r>
    <n v="62"/>
    <x v="26"/>
    <x v="26"/>
    <d v="2017-06-18T00:00:00"/>
    <s v="First Class"/>
    <x v="26"/>
    <s v="Ted Butterfield"/>
    <x v="0"/>
    <s v="United States"/>
    <s v="Troy"/>
    <x v="15"/>
    <n v="12180"/>
    <x v="3"/>
    <x v="59"/>
    <x v="1"/>
    <x v="6"/>
    <x v="59"/>
    <x v="61"/>
    <x v="1"/>
    <x v="0"/>
  </r>
  <r>
    <n v="63"/>
    <x v="27"/>
    <x v="27"/>
    <d v="2016-11-30T00:00:00"/>
    <s v="Standard Class"/>
    <x v="27"/>
    <s v="Kunst Miller"/>
    <x v="0"/>
    <s v="United States"/>
    <s v="Los Angeles"/>
    <x v="1"/>
    <n v="90004"/>
    <x v="1"/>
    <x v="60"/>
    <x v="2"/>
    <x v="11"/>
    <x v="60"/>
    <x v="62"/>
    <x v="0"/>
    <x v="1"/>
  </r>
  <r>
    <n v="64"/>
    <x v="27"/>
    <x v="27"/>
    <d v="2016-11-30T00:00:00"/>
    <s v="Standard Class"/>
    <x v="27"/>
    <s v="Kunst Miller"/>
    <x v="0"/>
    <s v="United States"/>
    <s v="Los Angeles"/>
    <x v="1"/>
    <n v="90004"/>
    <x v="1"/>
    <x v="61"/>
    <x v="1"/>
    <x v="8"/>
    <x v="61"/>
    <x v="63"/>
    <x v="0"/>
    <x v="1"/>
  </r>
  <r>
    <n v="65"/>
    <x v="27"/>
    <x v="27"/>
    <d v="2016-11-30T00:00:00"/>
    <s v="Standard Class"/>
    <x v="27"/>
    <s v="Kunst Miller"/>
    <x v="0"/>
    <s v="United States"/>
    <s v="Los Angeles"/>
    <x v="1"/>
    <n v="90004"/>
    <x v="1"/>
    <x v="62"/>
    <x v="1"/>
    <x v="10"/>
    <x v="62"/>
    <x v="64"/>
    <x v="0"/>
    <x v="1"/>
  </r>
  <r>
    <n v="66"/>
    <x v="27"/>
    <x v="27"/>
    <d v="2016-11-30T00:00:00"/>
    <s v="Standard Class"/>
    <x v="27"/>
    <s v="Kunst Miller"/>
    <x v="0"/>
    <s v="United States"/>
    <s v="Los Angeles"/>
    <x v="1"/>
    <n v="90004"/>
    <x v="1"/>
    <x v="63"/>
    <x v="0"/>
    <x v="5"/>
    <x v="63"/>
    <x v="65"/>
    <x v="0"/>
    <x v="1"/>
  </r>
  <r>
    <n v="67"/>
    <x v="28"/>
    <x v="28"/>
    <d v="2016-05-05T00:00:00"/>
    <s v="Standard Class"/>
    <x v="28"/>
    <s v="Paul Stevenson"/>
    <x v="2"/>
    <s v="United States"/>
    <s v="Chicago"/>
    <x v="10"/>
    <n v="60610"/>
    <x v="2"/>
    <x v="64"/>
    <x v="0"/>
    <x v="1"/>
    <x v="64"/>
    <x v="66"/>
    <x v="3"/>
    <x v="1"/>
  </r>
  <r>
    <n v="68"/>
    <x v="29"/>
    <x v="29"/>
    <d v="2015-12-10T00:00:00"/>
    <s v="Standard Class"/>
    <x v="29"/>
    <s v="Brendan Sweed"/>
    <x v="1"/>
    <s v="United States"/>
    <s v="Gilbert"/>
    <x v="16"/>
    <n v="85234"/>
    <x v="1"/>
    <x v="65"/>
    <x v="1"/>
    <x v="6"/>
    <x v="65"/>
    <x v="67"/>
    <x v="4"/>
    <x v="2"/>
  </r>
  <r>
    <n v="69"/>
    <x v="29"/>
    <x v="29"/>
    <d v="2015-12-10T00:00:00"/>
    <s v="Standard Class"/>
    <x v="29"/>
    <s v="Brendan Sweed"/>
    <x v="1"/>
    <s v="United States"/>
    <s v="Gilbert"/>
    <x v="16"/>
    <n v="85234"/>
    <x v="1"/>
    <x v="66"/>
    <x v="2"/>
    <x v="7"/>
    <x v="66"/>
    <x v="68"/>
    <x v="4"/>
    <x v="2"/>
  </r>
  <r>
    <n v="70"/>
    <x v="30"/>
    <x v="30"/>
    <d v="2017-06-06T00:00:00"/>
    <s v="First Class"/>
    <x v="30"/>
    <s v="Karen Daniels"/>
    <x v="0"/>
    <s v="United States"/>
    <s v="Springfield"/>
    <x v="17"/>
    <n v="22153"/>
    <x v="0"/>
    <x v="67"/>
    <x v="1"/>
    <x v="10"/>
    <x v="67"/>
    <x v="69"/>
    <x v="1"/>
    <x v="0"/>
  </r>
  <r>
    <n v="71"/>
    <x v="31"/>
    <x v="31"/>
    <d v="2017-09-23T00:00:00"/>
    <s v="Standard Class"/>
    <x v="31"/>
    <s v="Henry MacAllister"/>
    <x v="0"/>
    <s v="United States"/>
    <s v="New York City"/>
    <x v="15"/>
    <n v="10009"/>
    <x v="3"/>
    <x v="68"/>
    <x v="1"/>
    <x v="8"/>
    <x v="68"/>
    <x v="70"/>
    <x v="8"/>
    <x v="0"/>
  </r>
  <r>
    <n v="72"/>
    <x v="32"/>
    <x v="32"/>
    <d v="2018-09-17T00:00:00"/>
    <s v="Second Class"/>
    <x v="14"/>
    <s v="Tracy Blumstein"/>
    <x v="0"/>
    <s v="United States"/>
    <s v="Jackson"/>
    <x v="12"/>
    <n v="49201"/>
    <x v="2"/>
    <x v="69"/>
    <x v="1"/>
    <x v="10"/>
    <x v="69"/>
    <x v="71"/>
    <x v="8"/>
    <x v="3"/>
  </r>
  <r>
    <n v="73"/>
    <x v="33"/>
    <x v="33"/>
    <d v="2016-05-02T00:00:00"/>
    <s v="Standard Class"/>
    <x v="32"/>
    <s v="Joel Eaton"/>
    <x v="0"/>
    <s v="United States"/>
    <s v="Memphis"/>
    <x v="18"/>
    <n v="38109"/>
    <x v="0"/>
    <x v="70"/>
    <x v="0"/>
    <x v="1"/>
    <x v="70"/>
    <x v="72"/>
    <x v="3"/>
    <x v="1"/>
  </r>
  <r>
    <n v="74"/>
    <x v="33"/>
    <x v="33"/>
    <d v="2016-05-02T00:00:00"/>
    <s v="Standard Class"/>
    <x v="32"/>
    <s v="Joel Eaton"/>
    <x v="0"/>
    <s v="United States"/>
    <s v="Memphis"/>
    <x v="18"/>
    <n v="38109"/>
    <x v="0"/>
    <x v="71"/>
    <x v="0"/>
    <x v="5"/>
    <x v="71"/>
    <x v="73"/>
    <x v="3"/>
    <x v="1"/>
  </r>
  <r>
    <n v="75"/>
    <x v="33"/>
    <x v="33"/>
    <d v="2016-05-02T00:00:00"/>
    <s v="Standard Class"/>
    <x v="32"/>
    <s v="Joel Eaton"/>
    <x v="0"/>
    <s v="United States"/>
    <s v="Memphis"/>
    <x v="18"/>
    <n v="38109"/>
    <x v="0"/>
    <x v="72"/>
    <x v="1"/>
    <x v="4"/>
    <x v="72"/>
    <x v="74"/>
    <x v="3"/>
    <x v="1"/>
  </r>
  <r>
    <n v="76"/>
    <x v="34"/>
    <x v="34"/>
    <d v="2018-12-11T00:00:00"/>
    <s v="First Class"/>
    <x v="33"/>
    <s v="Ken Brennan"/>
    <x v="1"/>
    <s v="United States"/>
    <s v="Houston"/>
    <x v="5"/>
    <n v="77041"/>
    <x v="2"/>
    <x v="73"/>
    <x v="1"/>
    <x v="8"/>
    <x v="73"/>
    <x v="75"/>
    <x v="4"/>
    <x v="3"/>
  </r>
  <r>
    <n v="77"/>
    <x v="34"/>
    <x v="34"/>
    <d v="2018-12-11T00:00:00"/>
    <s v="First Class"/>
    <x v="33"/>
    <s v="Ken Brennan"/>
    <x v="1"/>
    <s v="United States"/>
    <s v="Houston"/>
    <x v="5"/>
    <n v="77041"/>
    <x v="2"/>
    <x v="74"/>
    <x v="0"/>
    <x v="5"/>
    <x v="74"/>
    <x v="76"/>
    <x v="4"/>
    <x v="3"/>
  </r>
  <r>
    <n v="78"/>
    <x v="34"/>
    <x v="34"/>
    <d v="2018-12-11T00:00:00"/>
    <s v="First Class"/>
    <x v="33"/>
    <s v="Ken Brennan"/>
    <x v="1"/>
    <s v="United States"/>
    <s v="Houston"/>
    <x v="5"/>
    <n v="77041"/>
    <x v="2"/>
    <x v="75"/>
    <x v="1"/>
    <x v="4"/>
    <x v="75"/>
    <x v="77"/>
    <x v="4"/>
    <x v="3"/>
  </r>
  <r>
    <n v="79"/>
    <x v="35"/>
    <x v="35"/>
    <d v="2015-12-01T00:00:00"/>
    <s v="Second Class"/>
    <x v="32"/>
    <s v="Joel Eaton"/>
    <x v="0"/>
    <s v="United States"/>
    <s v="Houston"/>
    <x v="5"/>
    <n v="77070"/>
    <x v="2"/>
    <x v="76"/>
    <x v="0"/>
    <x v="5"/>
    <x v="76"/>
    <x v="78"/>
    <x v="0"/>
    <x v="2"/>
  </r>
  <r>
    <n v="80"/>
    <x v="36"/>
    <x v="1"/>
    <d v="2017-06-15T00:00:00"/>
    <s v="First Class"/>
    <x v="34"/>
    <s v="Stewart Carmichael"/>
    <x v="1"/>
    <s v="United States"/>
    <s v="Decatur"/>
    <x v="19"/>
    <n v="35601"/>
    <x v="0"/>
    <x v="77"/>
    <x v="1"/>
    <x v="9"/>
    <x v="77"/>
    <x v="79"/>
    <x v="1"/>
    <x v="0"/>
  </r>
  <r>
    <n v="81"/>
    <x v="36"/>
    <x v="1"/>
    <d v="2017-06-15T00:00:00"/>
    <s v="First Class"/>
    <x v="34"/>
    <s v="Stewart Carmichael"/>
    <x v="1"/>
    <s v="United States"/>
    <s v="Decatur"/>
    <x v="19"/>
    <n v="35601"/>
    <x v="0"/>
    <x v="78"/>
    <x v="1"/>
    <x v="8"/>
    <x v="78"/>
    <x v="80"/>
    <x v="1"/>
    <x v="0"/>
  </r>
  <r>
    <n v="82"/>
    <x v="37"/>
    <x v="36"/>
    <d v="2015-10-16T00:00:00"/>
    <s v="Standard Class"/>
    <x v="35"/>
    <s v="Duane Noonan"/>
    <x v="0"/>
    <s v="United States"/>
    <s v="San Francisco"/>
    <x v="1"/>
    <n v="94122"/>
    <x v="1"/>
    <x v="79"/>
    <x v="1"/>
    <x v="6"/>
    <x v="79"/>
    <x v="81"/>
    <x v="2"/>
    <x v="2"/>
  </r>
  <r>
    <n v="83"/>
    <x v="37"/>
    <x v="36"/>
    <d v="2015-10-16T00:00:00"/>
    <s v="Standard Class"/>
    <x v="35"/>
    <s v="Duane Noonan"/>
    <x v="0"/>
    <s v="United States"/>
    <s v="San Francisco"/>
    <x v="1"/>
    <n v="94122"/>
    <x v="1"/>
    <x v="80"/>
    <x v="1"/>
    <x v="4"/>
    <x v="80"/>
    <x v="82"/>
    <x v="2"/>
    <x v="2"/>
  </r>
  <r>
    <n v="84"/>
    <x v="38"/>
    <x v="37"/>
    <d v="2016-09-08T00:00:00"/>
    <s v="Standard Class"/>
    <x v="36"/>
    <s v="Julie Creighton"/>
    <x v="1"/>
    <s v="United States"/>
    <s v="Durham"/>
    <x v="3"/>
    <n v="27707"/>
    <x v="0"/>
    <x v="81"/>
    <x v="1"/>
    <x v="12"/>
    <x v="81"/>
    <x v="83"/>
    <x v="8"/>
    <x v="1"/>
  </r>
  <r>
    <n v="85"/>
    <x v="39"/>
    <x v="38"/>
    <d v="2018-11-16T00:00:00"/>
    <s v="First Class"/>
    <x v="37"/>
    <s v="Christopher Schild"/>
    <x v="2"/>
    <s v="United States"/>
    <s v="Chicago"/>
    <x v="10"/>
    <n v="60623"/>
    <x v="2"/>
    <x v="82"/>
    <x v="1"/>
    <x v="4"/>
    <x v="82"/>
    <x v="84"/>
    <x v="0"/>
    <x v="3"/>
  </r>
  <r>
    <n v="86"/>
    <x v="40"/>
    <x v="39"/>
    <d v="2018-05-30T00:00:00"/>
    <s v="Second Class"/>
    <x v="22"/>
    <s v="Patrick O'Donnell"/>
    <x v="0"/>
    <s v="United States"/>
    <s v="Columbia"/>
    <x v="20"/>
    <n v="29203"/>
    <x v="0"/>
    <x v="83"/>
    <x v="0"/>
    <x v="1"/>
    <x v="83"/>
    <x v="85"/>
    <x v="5"/>
    <x v="3"/>
  </r>
  <r>
    <n v="87"/>
    <x v="41"/>
    <x v="40"/>
    <d v="2018-11-02T00:00:00"/>
    <s v="Standard Class"/>
    <x v="38"/>
    <s v="Paul Gonzalez"/>
    <x v="0"/>
    <s v="United States"/>
    <s v="Rochester"/>
    <x v="11"/>
    <n v="55901"/>
    <x v="2"/>
    <x v="84"/>
    <x v="2"/>
    <x v="11"/>
    <x v="84"/>
    <x v="86"/>
    <x v="2"/>
    <x v="3"/>
  </r>
  <r>
    <n v="88"/>
    <x v="41"/>
    <x v="40"/>
    <d v="2018-11-02T00:00:00"/>
    <s v="Standard Class"/>
    <x v="38"/>
    <s v="Paul Gonzalez"/>
    <x v="0"/>
    <s v="United States"/>
    <s v="Rochester"/>
    <x v="11"/>
    <n v="55901"/>
    <x v="2"/>
    <x v="85"/>
    <x v="1"/>
    <x v="2"/>
    <x v="85"/>
    <x v="51"/>
    <x v="2"/>
    <x v="3"/>
  </r>
  <r>
    <n v="89"/>
    <x v="42"/>
    <x v="41"/>
    <d v="2017-04-10T00:00:00"/>
    <s v="Second Class"/>
    <x v="39"/>
    <s v="Gary Mitchum"/>
    <x v="2"/>
    <s v="United States"/>
    <s v="Houston"/>
    <x v="5"/>
    <n v="77095"/>
    <x v="2"/>
    <x v="86"/>
    <x v="1"/>
    <x v="4"/>
    <x v="86"/>
    <x v="87"/>
    <x v="3"/>
    <x v="0"/>
  </r>
  <r>
    <n v="90"/>
    <x v="43"/>
    <x v="42"/>
    <d v="2017-09-22T00:00:00"/>
    <s v="Standard Class"/>
    <x v="40"/>
    <s v="Jim Sink"/>
    <x v="1"/>
    <s v="United States"/>
    <s v="Los Angeles"/>
    <x v="1"/>
    <n v="90036"/>
    <x v="1"/>
    <x v="87"/>
    <x v="1"/>
    <x v="6"/>
    <x v="87"/>
    <x v="88"/>
    <x v="8"/>
    <x v="0"/>
  </r>
  <r>
    <n v="91"/>
    <x v="43"/>
    <x v="42"/>
    <d v="2017-09-22T00:00:00"/>
    <s v="Standard Class"/>
    <x v="40"/>
    <s v="Jim Sink"/>
    <x v="1"/>
    <s v="United States"/>
    <s v="Los Angeles"/>
    <x v="1"/>
    <n v="90036"/>
    <x v="1"/>
    <x v="40"/>
    <x v="2"/>
    <x v="7"/>
    <x v="40"/>
    <x v="89"/>
    <x v="8"/>
    <x v="0"/>
  </r>
  <r>
    <n v="92"/>
    <x v="43"/>
    <x v="42"/>
    <d v="2017-09-22T00:00:00"/>
    <s v="Standard Class"/>
    <x v="40"/>
    <s v="Jim Sink"/>
    <x v="1"/>
    <s v="United States"/>
    <s v="Los Angeles"/>
    <x v="1"/>
    <n v="90036"/>
    <x v="1"/>
    <x v="88"/>
    <x v="1"/>
    <x v="10"/>
    <x v="88"/>
    <x v="90"/>
    <x v="8"/>
    <x v="0"/>
  </r>
  <r>
    <n v="93"/>
    <x v="44"/>
    <x v="43"/>
    <d v="2016-02-05T00:00:00"/>
    <s v="Second Class"/>
    <x v="41"/>
    <s v="Karl Braun"/>
    <x v="0"/>
    <s v="United States"/>
    <s v="Minneapolis"/>
    <x v="11"/>
    <n v="55407"/>
    <x v="2"/>
    <x v="89"/>
    <x v="1"/>
    <x v="10"/>
    <x v="89"/>
    <x v="91"/>
    <x v="9"/>
    <x v="1"/>
  </r>
  <r>
    <n v="94"/>
    <x v="44"/>
    <x v="43"/>
    <d v="2016-02-05T00:00:00"/>
    <s v="Second Class"/>
    <x v="41"/>
    <s v="Karl Braun"/>
    <x v="0"/>
    <s v="United States"/>
    <s v="Minneapolis"/>
    <x v="11"/>
    <n v="55407"/>
    <x v="2"/>
    <x v="90"/>
    <x v="0"/>
    <x v="5"/>
    <x v="90"/>
    <x v="92"/>
    <x v="9"/>
    <x v="1"/>
  </r>
  <r>
    <n v="95"/>
    <x v="44"/>
    <x v="43"/>
    <d v="2016-02-05T00:00:00"/>
    <s v="Second Class"/>
    <x v="41"/>
    <s v="Karl Braun"/>
    <x v="0"/>
    <s v="United States"/>
    <s v="Minneapolis"/>
    <x v="11"/>
    <n v="55407"/>
    <x v="2"/>
    <x v="91"/>
    <x v="1"/>
    <x v="8"/>
    <x v="91"/>
    <x v="93"/>
    <x v="9"/>
    <x v="1"/>
  </r>
  <r>
    <n v="96"/>
    <x v="45"/>
    <x v="44"/>
    <d v="2018-11-12T00:00:00"/>
    <s v="Standard Class"/>
    <x v="42"/>
    <s v="Roger Barcio"/>
    <x v="2"/>
    <s v="United States"/>
    <s v="Portland"/>
    <x v="21"/>
    <n v="97206"/>
    <x v="1"/>
    <x v="92"/>
    <x v="1"/>
    <x v="8"/>
    <x v="92"/>
    <x v="94"/>
    <x v="0"/>
    <x v="3"/>
  </r>
  <r>
    <n v="97"/>
    <x v="46"/>
    <x v="45"/>
    <d v="2018-11-11T00:00:00"/>
    <s v="Second Class"/>
    <x v="43"/>
    <s v="Parhena Norris"/>
    <x v="2"/>
    <s v="United States"/>
    <s v="New York City"/>
    <x v="15"/>
    <n v="10009"/>
    <x v="3"/>
    <x v="93"/>
    <x v="0"/>
    <x v="5"/>
    <x v="93"/>
    <x v="95"/>
    <x v="0"/>
    <x v="3"/>
  </r>
  <r>
    <n v="98"/>
    <x v="47"/>
    <x v="46"/>
    <d v="2018-06-20T00:00:00"/>
    <s v="First Class"/>
    <x v="44"/>
    <s v="Katherine Ducich"/>
    <x v="0"/>
    <s v="United States"/>
    <s v="San Francisco"/>
    <x v="1"/>
    <n v="94122"/>
    <x v="1"/>
    <x v="94"/>
    <x v="1"/>
    <x v="8"/>
    <x v="94"/>
    <x v="96"/>
    <x v="1"/>
    <x v="3"/>
  </r>
  <r>
    <n v="99"/>
    <x v="48"/>
    <x v="47"/>
    <d v="2017-09-11T00:00:00"/>
    <s v="Standard Class"/>
    <x v="45"/>
    <s v="Elpida Rittenbach"/>
    <x v="1"/>
    <s v="United States"/>
    <s v="Saint Paul"/>
    <x v="11"/>
    <n v="55106"/>
    <x v="2"/>
    <x v="95"/>
    <x v="1"/>
    <x v="9"/>
    <x v="95"/>
    <x v="42"/>
    <x v="8"/>
    <x v="0"/>
  </r>
  <r>
    <n v="100"/>
    <x v="49"/>
    <x v="48"/>
    <d v="2017-09-02T00:00:00"/>
    <s v="Standard Class"/>
    <x v="46"/>
    <s v="Rick Bensley"/>
    <x v="2"/>
    <s v="United States"/>
    <s v="Chicago"/>
    <x v="10"/>
    <n v="60610"/>
    <x v="2"/>
    <x v="96"/>
    <x v="1"/>
    <x v="10"/>
    <x v="96"/>
    <x v="97"/>
    <x v="6"/>
    <x v="0"/>
  </r>
  <r>
    <n v="101"/>
    <x v="49"/>
    <x v="48"/>
    <d v="2017-09-02T00:00:00"/>
    <s v="Standard Class"/>
    <x v="46"/>
    <s v="Rick Bensley"/>
    <x v="2"/>
    <s v="United States"/>
    <s v="Chicago"/>
    <x v="10"/>
    <n v="60610"/>
    <x v="2"/>
    <x v="97"/>
    <x v="2"/>
    <x v="11"/>
    <x v="97"/>
    <x v="98"/>
    <x v="6"/>
    <x v="0"/>
  </r>
  <r>
    <n v="102"/>
    <x v="49"/>
    <x v="48"/>
    <d v="2017-09-02T00:00:00"/>
    <s v="Standard Class"/>
    <x v="46"/>
    <s v="Rick Bensley"/>
    <x v="2"/>
    <s v="United States"/>
    <s v="Chicago"/>
    <x v="10"/>
    <n v="60610"/>
    <x v="2"/>
    <x v="98"/>
    <x v="1"/>
    <x v="8"/>
    <x v="98"/>
    <x v="99"/>
    <x v="6"/>
    <x v="0"/>
  </r>
  <r>
    <n v="103"/>
    <x v="50"/>
    <x v="49"/>
    <d v="2017-12-04T00:00:00"/>
    <s v="Second Class"/>
    <x v="47"/>
    <s v="Gary Zandusky"/>
    <x v="0"/>
    <s v="United States"/>
    <s v="Rochester"/>
    <x v="11"/>
    <n v="55901"/>
    <x v="2"/>
    <x v="99"/>
    <x v="1"/>
    <x v="10"/>
    <x v="99"/>
    <x v="100"/>
    <x v="4"/>
    <x v="0"/>
  </r>
  <r>
    <n v="104"/>
    <x v="51"/>
    <x v="50"/>
    <d v="2016-11-17T00:00:00"/>
    <s v="Standard Class"/>
    <x v="48"/>
    <s v="Lena Cacioppo"/>
    <x v="0"/>
    <s v="United States"/>
    <s v="Aurora"/>
    <x v="22"/>
    <n v="80013"/>
    <x v="1"/>
    <x v="100"/>
    <x v="2"/>
    <x v="11"/>
    <x v="100"/>
    <x v="101"/>
    <x v="0"/>
    <x v="1"/>
  </r>
  <r>
    <n v="105"/>
    <x v="51"/>
    <x v="50"/>
    <d v="2016-11-17T00:00:00"/>
    <s v="Standard Class"/>
    <x v="48"/>
    <s v="Lena Cacioppo"/>
    <x v="0"/>
    <s v="United States"/>
    <s v="Aurora"/>
    <x v="22"/>
    <n v="80013"/>
    <x v="1"/>
    <x v="101"/>
    <x v="0"/>
    <x v="5"/>
    <x v="101"/>
    <x v="102"/>
    <x v="0"/>
    <x v="1"/>
  </r>
  <r>
    <n v="106"/>
    <x v="51"/>
    <x v="50"/>
    <d v="2016-11-17T00:00:00"/>
    <s v="Standard Class"/>
    <x v="48"/>
    <s v="Lena Cacioppo"/>
    <x v="0"/>
    <s v="United States"/>
    <s v="Aurora"/>
    <x v="22"/>
    <n v="80013"/>
    <x v="1"/>
    <x v="102"/>
    <x v="1"/>
    <x v="8"/>
    <x v="102"/>
    <x v="103"/>
    <x v="0"/>
    <x v="1"/>
  </r>
  <r>
    <n v="107"/>
    <x v="52"/>
    <x v="51"/>
    <d v="2018-11-28T00:00:00"/>
    <s v="Standard Class"/>
    <x v="49"/>
    <s v="Janet Martin"/>
    <x v="0"/>
    <s v="United States"/>
    <s v="Charlotte"/>
    <x v="3"/>
    <n v="28205"/>
    <x v="0"/>
    <x v="103"/>
    <x v="2"/>
    <x v="11"/>
    <x v="103"/>
    <x v="104"/>
    <x v="0"/>
    <x v="3"/>
  </r>
  <r>
    <n v="108"/>
    <x v="52"/>
    <x v="51"/>
    <d v="2018-11-28T00:00:00"/>
    <s v="Standard Class"/>
    <x v="49"/>
    <s v="Janet Martin"/>
    <x v="0"/>
    <s v="United States"/>
    <s v="Charlotte"/>
    <x v="3"/>
    <n v="28205"/>
    <x v="0"/>
    <x v="104"/>
    <x v="2"/>
    <x v="7"/>
    <x v="104"/>
    <x v="105"/>
    <x v="0"/>
    <x v="3"/>
  </r>
  <r>
    <n v="109"/>
    <x v="52"/>
    <x v="51"/>
    <d v="2018-11-28T00:00:00"/>
    <s v="Standard Class"/>
    <x v="49"/>
    <s v="Janet Martin"/>
    <x v="0"/>
    <s v="United States"/>
    <s v="Charlotte"/>
    <x v="3"/>
    <n v="28205"/>
    <x v="0"/>
    <x v="105"/>
    <x v="1"/>
    <x v="6"/>
    <x v="105"/>
    <x v="106"/>
    <x v="0"/>
    <x v="3"/>
  </r>
  <r>
    <n v="110"/>
    <x v="53"/>
    <x v="52"/>
    <d v="2016-10-20T00:00:00"/>
    <s v="Standard Class"/>
    <x v="50"/>
    <s v="Pete Armstrong"/>
    <x v="2"/>
    <s v="United States"/>
    <s v="Orland Park"/>
    <x v="10"/>
    <n v="60462"/>
    <x v="2"/>
    <x v="106"/>
    <x v="2"/>
    <x v="11"/>
    <x v="106"/>
    <x v="107"/>
    <x v="2"/>
    <x v="1"/>
  </r>
  <r>
    <n v="111"/>
    <x v="54"/>
    <x v="53"/>
    <d v="2018-12-30T00:00:00"/>
    <s v="Standard Class"/>
    <x v="51"/>
    <s v="Cynthia Voltz"/>
    <x v="1"/>
    <s v="United States"/>
    <s v="New York City"/>
    <x v="15"/>
    <n v="10035"/>
    <x v="3"/>
    <x v="107"/>
    <x v="0"/>
    <x v="5"/>
    <x v="107"/>
    <x v="108"/>
    <x v="4"/>
    <x v="3"/>
  </r>
  <r>
    <n v="112"/>
    <x v="55"/>
    <x v="54"/>
    <d v="2017-11-10T00:00:00"/>
    <s v="Standard Class"/>
    <x v="52"/>
    <s v="Clay Ludtke"/>
    <x v="0"/>
    <s v="United States"/>
    <s v="Urbandale"/>
    <x v="23"/>
    <n v="50322"/>
    <x v="2"/>
    <x v="108"/>
    <x v="1"/>
    <x v="6"/>
    <x v="108"/>
    <x v="109"/>
    <x v="0"/>
    <x v="0"/>
  </r>
  <r>
    <n v="113"/>
    <x v="55"/>
    <x v="54"/>
    <d v="2017-11-10T00:00:00"/>
    <s v="Standard Class"/>
    <x v="52"/>
    <s v="Clay Ludtke"/>
    <x v="0"/>
    <s v="United States"/>
    <s v="Urbandale"/>
    <x v="23"/>
    <n v="50322"/>
    <x v="2"/>
    <x v="109"/>
    <x v="1"/>
    <x v="8"/>
    <x v="109"/>
    <x v="77"/>
    <x v="0"/>
    <x v="0"/>
  </r>
  <r>
    <n v="114"/>
    <x v="56"/>
    <x v="55"/>
    <d v="2015-08-27T00:00:00"/>
    <s v="Second Class"/>
    <x v="53"/>
    <s v="Ryan Crowe"/>
    <x v="0"/>
    <s v="United States"/>
    <s v="Columbus"/>
    <x v="24"/>
    <n v="43229"/>
    <x v="3"/>
    <x v="110"/>
    <x v="1"/>
    <x v="13"/>
    <x v="110"/>
    <x v="110"/>
    <x v="6"/>
    <x v="2"/>
  </r>
  <r>
    <n v="115"/>
    <x v="56"/>
    <x v="55"/>
    <d v="2015-08-27T00:00:00"/>
    <s v="Second Class"/>
    <x v="53"/>
    <s v="Ryan Crowe"/>
    <x v="0"/>
    <s v="United States"/>
    <s v="Columbus"/>
    <x v="24"/>
    <n v="43229"/>
    <x v="3"/>
    <x v="111"/>
    <x v="1"/>
    <x v="12"/>
    <x v="111"/>
    <x v="111"/>
    <x v="6"/>
    <x v="2"/>
  </r>
  <r>
    <n v="116"/>
    <x v="56"/>
    <x v="55"/>
    <d v="2015-08-27T00:00:00"/>
    <s v="Second Class"/>
    <x v="53"/>
    <s v="Ryan Crowe"/>
    <x v="0"/>
    <s v="United States"/>
    <s v="Columbus"/>
    <x v="24"/>
    <n v="43229"/>
    <x v="3"/>
    <x v="112"/>
    <x v="1"/>
    <x v="10"/>
    <x v="112"/>
    <x v="112"/>
    <x v="6"/>
    <x v="2"/>
  </r>
  <r>
    <n v="117"/>
    <x v="56"/>
    <x v="55"/>
    <d v="2015-08-27T00:00:00"/>
    <s v="Second Class"/>
    <x v="53"/>
    <s v="Ryan Crowe"/>
    <x v="0"/>
    <s v="United States"/>
    <s v="Columbus"/>
    <x v="24"/>
    <n v="43229"/>
    <x v="3"/>
    <x v="113"/>
    <x v="1"/>
    <x v="12"/>
    <x v="113"/>
    <x v="113"/>
    <x v="6"/>
    <x v="2"/>
  </r>
  <r>
    <n v="118"/>
    <x v="57"/>
    <x v="56"/>
    <d v="2016-03-06T00:00:00"/>
    <s v="Standard Class"/>
    <x v="54"/>
    <s v="Dave Kipp"/>
    <x v="0"/>
    <s v="United States"/>
    <s v="Seattle"/>
    <x v="4"/>
    <n v="98103"/>
    <x v="1"/>
    <x v="114"/>
    <x v="0"/>
    <x v="3"/>
    <x v="114"/>
    <x v="114"/>
    <x v="10"/>
    <x v="1"/>
  </r>
  <r>
    <n v="119"/>
    <x v="58"/>
    <x v="57"/>
    <d v="2016-04-10T00:00:00"/>
    <s v="Standard Class"/>
    <x v="55"/>
    <s v="Greg Guthrie"/>
    <x v="1"/>
    <s v="United States"/>
    <s v="Bristol"/>
    <x v="18"/>
    <n v="37620"/>
    <x v="0"/>
    <x v="115"/>
    <x v="1"/>
    <x v="8"/>
    <x v="115"/>
    <x v="115"/>
    <x v="3"/>
    <x v="1"/>
  </r>
  <r>
    <n v="120"/>
    <x v="59"/>
    <x v="1"/>
    <d v="2017-06-15T00:00:00"/>
    <s v="First Class"/>
    <x v="56"/>
    <s v="Steven Cartwright"/>
    <x v="0"/>
    <s v="United States"/>
    <s v="Wilmington"/>
    <x v="13"/>
    <n v="19805"/>
    <x v="3"/>
    <x v="116"/>
    <x v="0"/>
    <x v="5"/>
    <x v="116"/>
    <x v="116"/>
    <x v="1"/>
    <x v="0"/>
  </r>
  <r>
    <n v="121"/>
    <x v="59"/>
    <x v="1"/>
    <d v="2017-06-15T00:00:00"/>
    <s v="First Class"/>
    <x v="56"/>
    <s v="Steven Cartwright"/>
    <x v="0"/>
    <s v="United States"/>
    <s v="Wilmington"/>
    <x v="13"/>
    <n v="19805"/>
    <x v="3"/>
    <x v="8"/>
    <x v="1"/>
    <x v="8"/>
    <x v="8"/>
    <x v="117"/>
    <x v="1"/>
    <x v="0"/>
  </r>
  <r>
    <n v="122"/>
    <x v="59"/>
    <x v="1"/>
    <d v="2017-06-15T00:00:00"/>
    <s v="First Class"/>
    <x v="56"/>
    <s v="Steven Cartwright"/>
    <x v="0"/>
    <s v="United States"/>
    <s v="Wilmington"/>
    <x v="13"/>
    <n v="19805"/>
    <x v="3"/>
    <x v="117"/>
    <x v="1"/>
    <x v="4"/>
    <x v="117"/>
    <x v="118"/>
    <x v="1"/>
    <x v="0"/>
  </r>
  <r>
    <n v="123"/>
    <x v="59"/>
    <x v="1"/>
    <d v="2017-06-15T00:00:00"/>
    <s v="First Class"/>
    <x v="56"/>
    <s v="Steven Cartwright"/>
    <x v="0"/>
    <s v="United States"/>
    <s v="Wilmington"/>
    <x v="13"/>
    <n v="19805"/>
    <x v="3"/>
    <x v="118"/>
    <x v="1"/>
    <x v="12"/>
    <x v="118"/>
    <x v="119"/>
    <x v="1"/>
    <x v="0"/>
  </r>
  <r>
    <n v="124"/>
    <x v="59"/>
    <x v="1"/>
    <d v="2017-06-15T00:00:00"/>
    <s v="First Class"/>
    <x v="56"/>
    <s v="Steven Cartwright"/>
    <x v="0"/>
    <s v="United States"/>
    <s v="Wilmington"/>
    <x v="13"/>
    <n v="19805"/>
    <x v="3"/>
    <x v="119"/>
    <x v="2"/>
    <x v="7"/>
    <x v="119"/>
    <x v="120"/>
    <x v="1"/>
    <x v="0"/>
  </r>
  <r>
    <n v="125"/>
    <x v="60"/>
    <x v="58"/>
    <d v="2015-12-28T00:00:00"/>
    <s v="Second Class"/>
    <x v="57"/>
    <s v="Alan Dominguez"/>
    <x v="2"/>
    <s v="United States"/>
    <s v="Houston"/>
    <x v="5"/>
    <n v="77041"/>
    <x v="2"/>
    <x v="120"/>
    <x v="0"/>
    <x v="1"/>
    <x v="120"/>
    <x v="121"/>
    <x v="4"/>
    <x v="2"/>
  </r>
  <r>
    <n v="126"/>
    <x v="61"/>
    <x v="59"/>
    <d v="2015-09-25T00:00:00"/>
    <s v="Standard Class"/>
    <x v="58"/>
    <s v="Philip Fox"/>
    <x v="0"/>
    <s v="United States"/>
    <s v="Bloomington"/>
    <x v="10"/>
    <n v="61701"/>
    <x v="2"/>
    <x v="121"/>
    <x v="0"/>
    <x v="3"/>
    <x v="121"/>
    <x v="122"/>
    <x v="8"/>
    <x v="2"/>
  </r>
  <r>
    <n v="127"/>
    <x v="62"/>
    <x v="60"/>
    <d v="2018-11-12T00:00:00"/>
    <s v="Standard Class"/>
    <x v="59"/>
    <s v="Troy Staebel"/>
    <x v="0"/>
    <s v="United States"/>
    <s v="Phoenix"/>
    <x v="16"/>
    <n v="85023"/>
    <x v="1"/>
    <x v="122"/>
    <x v="1"/>
    <x v="8"/>
    <x v="122"/>
    <x v="123"/>
    <x v="0"/>
    <x v="3"/>
  </r>
  <r>
    <n v="128"/>
    <x v="62"/>
    <x v="60"/>
    <d v="2018-11-12T00:00:00"/>
    <s v="Standard Class"/>
    <x v="59"/>
    <s v="Troy Staebel"/>
    <x v="0"/>
    <s v="United States"/>
    <s v="Phoenix"/>
    <x v="16"/>
    <n v="85023"/>
    <x v="1"/>
    <x v="123"/>
    <x v="1"/>
    <x v="4"/>
    <x v="123"/>
    <x v="124"/>
    <x v="0"/>
    <x v="3"/>
  </r>
  <r>
    <n v="129"/>
    <x v="63"/>
    <x v="61"/>
    <d v="2017-11-10T00:00:00"/>
    <s v="Second Class"/>
    <x v="60"/>
    <s v="Lindsay Shagiari"/>
    <x v="2"/>
    <s v="United States"/>
    <s v="Los Angeles"/>
    <x v="1"/>
    <n v="90004"/>
    <x v="1"/>
    <x v="64"/>
    <x v="0"/>
    <x v="1"/>
    <x v="124"/>
    <x v="125"/>
    <x v="0"/>
    <x v="0"/>
  </r>
  <r>
    <n v="130"/>
    <x v="63"/>
    <x v="61"/>
    <d v="2017-11-10T00:00:00"/>
    <s v="Second Class"/>
    <x v="60"/>
    <s v="Lindsay Shagiari"/>
    <x v="2"/>
    <s v="United States"/>
    <s v="Los Angeles"/>
    <x v="1"/>
    <n v="90004"/>
    <x v="1"/>
    <x v="124"/>
    <x v="0"/>
    <x v="5"/>
    <x v="125"/>
    <x v="126"/>
    <x v="0"/>
    <x v="0"/>
  </r>
  <r>
    <n v="131"/>
    <x v="64"/>
    <x v="62"/>
    <d v="2018-02-05T00:00:00"/>
    <s v="First Class"/>
    <x v="61"/>
    <s v="Dorothy Wardle"/>
    <x v="1"/>
    <s v="United States"/>
    <s v="Columbus"/>
    <x v="24"/>
    <n v="43229"/>
    <x v="3"/>
    <x v="125"/>
    <x v="2"/>
    <x v="7"/>
    <x v="126"/>
    <x v="127"/>
    <x v="11"/>
    <x v="3"/>
  </r>
  <r>
    <n v="132"/>
    <x v="64"/>
    <x v="62"/>
    <d v="2018-02-05T00:00:00"/>
    <s v="First Class"/>
    <x v="61"/>
    <s v="Dorothy Wardle"/>
    <x v="1"/>
    <s v="United States"/>
    <s v="Columbus"/>
    <x v="24"/>
    <n v="43229"/>
    <x v="3"/>
    <x v="126"/>
    <x v="1"/>
    <x v="10"/>
    <x v="127"/>
    <x v="128"/>
    <x v="11"/>
    <x v="3"/>
  </r>
  <r>
    <n v="133"/>
    <x v="64"/>
    <x v="62"/>
    <d v="2018-02-05T00:00:00"/>
    <s v="First Class"/>
    <x v="61"/>
    <s v="Dorothy Wardle"/>
    <x v="1"/>
    <s v="United States"/>
    <s v="Columbus"/>
    <x v="24"/>
    <n v="43229"/>
    <x v="3"/>
    <x v="127"/>
    <x v="1"/>
    <x v="13"/>
    <x v="128"/>
    <x v="129"/>
    <x v="11"/>
    <x v="3"/>
  </r>
  <r>
    <n v="134"/>
    <x v="65"/>
    <x v="63"/>
    <d v="2017-10-19T00:00:00"/>
    <s v="Standard Class"/>
    <x v="62"/>
    <s v="Lena Creighton"/>
    <x v="0"/>
    <s v="United States"/>
    <s v="Roseville"/>
    <x v="1"/>
    <n v="95661"/>
    <x v="1"/>
    <x v="128"/>
    <x v="1"/>
    <x v="10"/>
    <x v="129"/>
    <x v="130"/>
    <x v="2"/>
    <x v="0"/>
  </r>
  <r>
    <n v="135"/>
    <x v="65"/>
    <x v="63"/>
    <d v="2017-10-19T00:00:00"/>
    <s v="Standard Class"/>
    <x v="62"/>
    <s v="Lena Creighton"/>
    <x v="0"/>
    <s v="United States"/>
    <s v="Roseville"/>
    <x v="1"/>
    <n v="95661"/>
    <x v="1"/>
    <x v="129"/>
    <x v="1"/>
    <x v="10"/>
    <x v="130"/>
    <x v="131"/>
    <x v="2"/>
    <x v="0"/>
  </r>
  <r>
    <n v="136"/>
    <x v="65"/>
    <x v="63"/>
    <d v="2017-10-19T00:00:00"/>
    <s v="Standard Class"/>
    <x v="62"/>
    <s v="Lena Creighton"/>
    <x v="0"/>
    <s v="United States"/>
    <s v="Roseville"/>
    <x v="1"/>
    <n v="95661"/>
    <x v="1"/>
    <x v="130"/>
    <x v="1"/>
    <x v="6"/>
    <x v="131"/>
    <x v="132"/>
    <x v="2"/>
    <x v="0"/>
  </r>
  <r>
    <n v="137"/>
    <x v="65"/>
    <x v="63"/>
    <d v="2017-10-19T00:00:00"/>
    <s v="Standard Class"/>
    <x v="62"/>
    <s v="Lena Creighton"/>
    <x v="0"/>
    <s v="United States"/>
    <s v="Roseville"/>
    <x v="1"/>
    <n v="95661"/>
    <x v="1"/>
    <x v="131"/>
    <x v="1"/>
    <x v="13"/>
    <x v="132"/>
    <x v="133"/>
    <x v="2"/>
    <x v="0"/>
  </r>
  <r>
    <n v="138"/>
    <x v="65"/>
    <x v="63"/>
    <d v="2017-10-19T00:00:00"/>
    <s v="Standard Class"/>
    <x v="62"/>
    <s v="Lena Creighton"/>
    <x v="0"/>
    <s v="United States"/>
    <s v="Roseville"/>
    <x v="1"/>
    <n v="95661"/>
    <x v="1"/>
    <x v="132"/>
    <x v="1"/>
    <x v="8"/>
    <x v="133"/>
    <x v="134"/>
    <x v="2"/>
    <x v="0"/>
  </r>
  <r>
    <n v="139"/>
    <x v="65"/>
    <x v="63"/>
    <d v="2017-10-19T00:00:00"/>
    <s v="Standard Class"/>
    <x v="62"/>
    <s v="Lena Creighton"/>
    <x v="0"/>
    <s v="United States"/>
    <s v="Roseville"/>
    <x v="1"/>
    <n v="95661"/>
    <x v="1"/>
    <x v="133"/>
    <x v="1"/>
    <x v="14"/>
    <x v="134"/>
    <x v="135"/>
    <x v="2"/>
    <x v="0"/>
  </r>
  <r>
    <n v="140"/>
    <x v="65"/>
    <x v="63"/>
    <d v="2017-10-19T00:00:00"/>
    <s v="Standard Class"/>
    <x v="62"/>
    <s v="Lena Creighton"/>
    <x v="0"/>
    <s v="United States"/>
    <s v="Roseville"/>
    <x v="1"/>
    <n v="95661"/>
    <x v="1"/>
    <x v="50"/>
    <x v="0"/>
    <x v="5"/>
    <x v="50"/>
    <x v="136"/>
    <x v="2"/>
    <x v="0"/>
  </r>
  <r>
    <n v="141"/>
    <x v="66"/>
    <x v="64"/>
    <d v="2017-09-07T00:00:00"/>
    <s v="Second Class"/>
    <x v="63"/>
    <s v="Jonathan Doherty"/>
    <x v="1"/>
    <s v="United States"/>
    <s v="Philadelphia"/>
    <x v="9"/>
    <n v="19140"/>
    <x v="3"/>
    <x v="28"/>
    <x v="0"/>
    <x v="5"/>
    <x v="28"/>
    <x v="137"/>
    <x v="8"/>
    <x v="0"/>
  </r>
  <r>
    <n v="142"/>
    <x v="67"/>
    <x v="65"/>
    <d v="2018-09-23T00:00:00"/>
    <s v="Standard Class"/>
    <x v="64"/>
    <s v="Sally Hughsby"/>
    <x v="1"/>
    <s v="United States"/>
    <s v="San Francisco"/>
    <x v="1"/>
    <n v="94122"/>
    <x v="1"/>
    <x v="134"/>
    <x v="1"/>
    <x v="6"/>
    <x v="135"/>
    <x v="138"/>
    <x v="8"/>
    <x v="3"/>
  </r>
  <r>
    <n v="143"/>
    <x v="67"/>
    <x v="65"/>
    <d v="2018-09-23T00:00:00"/>
    <s v="Standard Class"/>
    <x v="64"/>
    <s v="Sally Hughsby"/>
    <x v="1"/>
    <s v="United States"/>
    <s v="San Francisco"/>
    <x v="1"/>
    <n v="94122"/>
    <x v="1"/>
    <x v="135"/>
    <x v="1"/>
    <x v="12"/>
    <x v="136"/>
    <x v="139"/>
    <x v="8"/>
    <x v="3"/>
  </r>
  <r>
    <n v="144"/>
    <x v="67"/>
    <x v="65"/>
    <d v="2018-09-23T00:00:00"/>
    <s v="Standard Class"/>
    <x v="64"/>
    <s v="Sally Hughsby"/>
    <x v="1"/>
    <s v="United States"/>
    <s v="San Francisco"/>
    <x v="1"/>
    <n v="94122"/>
    <x v="1"/>
    <x v="136"/>
    <x v="1"/>
    <x v="10"/>
    <x v="137"/>
    <x v="140"/>
    <x v="8"/>
    <x v="3"/>
  </r>
  <r>
    <n v="145"/>
    <x v="68"/>
    <x v="66"/>
    <d v="2018-12-27T00:00:00"/>
    <s v="Standard Class"/>
    <x v="65"/>
    <s v="Sandra Glassco"/>
    <x v="0"/>
    <s v="United States"/>
    <s v="Independence"/>
    <x v="25"/>
    <n v="64055"/>
    <x v="2"/>
    <x v="137"/>
    <x v="1"/>
    <x v="9"/>
    <x v="138"/>
    <x v="141"/>
    <x v="4"/>
    <x v="3"/>
  </r>
  <r>
    <n v="146"/>
    <x v="69"/>
    <x v="67"/>
    <d v="2016-09-12T00:00:00"/>
    <s v="Standard Class"/>
    <x v="66"/>
    <s v="Helen Andreada"/>
    <x v="0"/>
    <s v="United States"/>
    <s v="Pasadena"/>
    <x v="1"/>
    <n v="91104"/>
    <x v="1"/>
    <x v="82"/>
    <x v="1"/>
    <x v="4"/>
    <x v="82"/>
    <x v="142"/>
    <x v="8"/>
    <x v="1"/>
  </r>
  <r>
    <n v="147"/>
    <x v="70"/>
    <x v="68"/>
    <d v="2015-10-28T00:00:00"/>
    <s v="Standard Class"/>
    <x v="67"/>
    <s v="Maureen Gastineau"/>
    <x v="2"/>
    <s v="United States"/>
    <s v="Newark"/>
    <x v="24"/>
    <n v="43055"/>
    <x v="3"/>
    <x v="138"/>
    <x v="0"/>
    <x v="5"/>
    <x v="139"/>
    <x v="143"/>
    <x v="2"/>
    <x v="2"/>
  </r>
  <r>
    <n v="148"/>
    <x v="71"/>
    <x v="5"/>
    <d v="2017-12-09T00:00:00"/>
    <s v="Standard Class"/>
    <x v="68"/>
    <s v="Justin Ellison"/>
    <x v="1"/>
    <s v="United States"/>
    <s v="Franklin"/>
    <x v="6"/>
    <n v="53132"/>
    <x v="2"/>
    <x v="139"/>
    <x v="2"/>
    <x v="7"/>
    <x v="140"/>
    <x v="144"/>
    <x v="4"/>
    <x v="0"/>
  </r>
  <r>
    <n v="149"/>
    <x v="71"/>
    <x v="5"/>
    <d v="2017-12-09T00:00:00"/>
    <s v="Standard Class"/>
    <x v="68"/>
    <s v="Justin Ellison"/>
    <x v="1"/>
    <s v="United States"/>
    <s v="Franklin"/>
    <x v="6"/>
    <n v="53132"/>
    <x v="2"/>
    <x v="140"/>
    <x v="2"/>
    <x v="7"/>
    <x v="141"/>
    <x v="145"/>
    <x v="4"/>
    <x v="0"/>
  </r>
  <r>
    <n v="150"/>
    <x v="71"/>
    <x v="5"/>
    <d v="2017-12-09T00:00:00"/>
    <s v="Standard Class"/>
    <x v="68"/>
    <s v="Justin Ellison"/>
    <x v="1"/>
    <s v="United States"/>
    <s v="Franklin"/>
    <x v="6"/>
    <n v="53132"/>
    <x v="2"/>
    <x v="1"/>
    <x v="0"/>
    <x v="1"/>
    <x v="1"/>
    <x v="146"/>
    <x v="4"/>
    <x v="0"/>
  </r>
  <r>
    <n v="151"/>
    <x v="71"/>
    <x v="5"/>
    <d v="2017-12-09T00:00:00"/>
    <s v="Standard Class"/>
    <x v="68"/>
    <s v="Justin Ellison"/>
    <x v="1"/>
    <s v="United States"/>
    <s v="Franklin"/>
    <x v="6"/>
    <n v="53132"/>
    <x v="2"/>
    <x v="141"/>
    <x v="1"/>
    <x v="8"/>
    <x v="142"/>
    <x v="147"/>
    <x v="4"/>
    <x v="0"/>
  </r>
  <r>
    <n v="152"/>
    <x v="72"/>
    <x v="69"/>
    <d v="2017-03-16T00:00:00"/>
    <s v="First Class"/>
    <x v="69"/>
    <s v="Tamara Willingham"/>
    <x v="2"/>
    <s v="United States"/>
    <s v="Scottsdale"/>
    <x v="16"/>
    <n v="85254"/>
    <x v="1"/>
    <x v="142"/>
    <x v="1"/>
    <x v="9"/>
    <x v="143"/>
    <x v="148"/>
    <x v="10"/>
    <x v="0"/>
  </r>
  <r>
    <n v="153"/>
    <x v="72"/>
    <x v="69"/>
    <d v="2017-03-16T00:00:00"/>
    <s v="First Class"/>
    <x v="69"/>
    <s v="Tamara Willingham"/>
    <x v="2"/>
    <s v="United States"/>
    <s v="Scottsdale"/>
    <x v="16"/>
    <n v="85254"/>
    <x v="1"/>
    <x v="143"/>
    <x v="2"/>
    <x v="7"/>
    <x v="144"/>
    <x v="149"/>
    <x v="10"/>
    <x v="0"/>
  </r>
  <r>
    <n v="154"/>
    <x v="73"/>
    <x v="70"/>
    <d v="2016-06-02T00:00:00"/>
    <s v="First Class"/>
    <x v="70"/>
    <s v="Stephanie Phelps"/>
    <x v="1"/>
    <s v="United States"/>
    <s v="San Jose"/>
    <x v="1"/>
    <n v="95123"/>
    <x v="1"/>
    <x v="144"/>
    <x v="1"/>
    <x v="10"/>
    <x v="145"/>
    <x v="150"/>
    <x v="5"/>
    <x v="1"/>
  </r>
  <r>
    <n v="155"/>
    <x v="73"/>
    <x v="70"/>
    <d v="2016-06-02T00:00:00"/>
    <s v="First Class"/>
    <x v="70"/>
    <s v="Stephanie Phelps"/>
    <x v="1"/>
    <s v="United States"/>
    <s v="San Jose"/>
    <x v="1"/>
    <n v="95123"/>
    <x v="1"/>
    <x v="145"/>
    <x v="1"/>
    <x v="10"/>
    <x v="146"/>
    <x v="151"/>
    <x v="5"/>
    <x v="1"/>
  </r>
  <r>
    <n v="156"/>
    <x v="73"/>
    <x v="70"/>
    <d v="2016-06-02T00:00:00"/>
    <s v="First Class"/>
    <x v="70"/>
    <s v="Stephanie Phelps"/>
    <x v="1"/>
    <s v="United States"/>
    <s v="San Jose"/>
    <x v="1"/>
    <n v="95123"/>
    <x v="1"/>
    <x v="146"/>
    <x v="1"/>
    <x v="4"/>
    <x v="147"/>
    <x v="152"/>
    <x v="5"/>
    <x v="1"/>
  </r>
  <r>
    <n v="157"/>
    <x v="74"/>
    <x v="71"/>
    <d v="2016-06-03T00:00:00"/>
    <s v="Standard Class"/>
    <x v="71"/>
    <s v="Neil Knudson"/>
    <x v="2"/>
    <s v="United States"/>
    <s v="Seattle"/>
    <x v="4"/>
    <n v="98105"/>
    <x v="1"/>
    <x v="147"/>
    <x v="1"/>
    <x v="6"/>
    <x v="148"/>
    <x v="153"/>
    <x v="5"/>
    <x v="1"/>
  </r>
  <r>
    <n v="158"/>
    <x v="75"/>
    <x v="72"/>
    <d v="2015-03-06T00:00:00"/>
    <s v="Second Class"/>
    <x v="72"/>
    <s v="Dave Brooks"/>
    <x v="0"/>
    <s v="United States"/>
    <s v="Seattle"/>
    <x v="4"/>
    <n v="98115"/>
    <x v="1"/>
    <x v="120"/>
    <x v="0"/>
    <x v="1"/>
    <x v="120"/>
    <x v="154"/>
    <x v="10"/>
    <x v="2"/>
  </r>
  <r>
    <n v="159"/>
    <x v="76"/>
    <x v="73"/>
    <d v="2017-11-24T00:00:00"/>
    <s v="Standard Class"/>
    <x v="73"/>
    <s v="Nora Paige"/>
    <x v="0"/>
    <s v="United States"/>
    <s v="Edmond"/>
    <x v="26"/>
    <n v="73034"/>
    <x v="2"/>
    <x v="148"/>
    <x v="1"/>
    <x v="2"/>
    <x v="149"/>
    <x v="2"/>
    <x v="0"/>
    <x v="0"/>
  </r>
  <r>
    <n v="160"/>
    <x v="76"/>
    <x v="73"/>
    <d v="2017-11-24T00:00:00"/>
    <s v="Standard Class"/>
    <x v="73"/>
    <s v="Nora Paige"/>
    <x v="0"/>
    <s v="United States"/>
    <s v="Edmond"/>
    <x v="26"/>
    <n v="73034"/>
    <x v="2"/>
    <x v="149"/>
    <x v="2"/>
    <x v="7"/>
    <x v="150"/>
    <x v="155"/>
    <x v="0"/>
    <x v="0"/>
  </r>
  <r>
    <n v="161"/>
    <x v="77"/>
    <x v="74"/>
    <d v="2017-05-12T00:00:00"/>
    <s v="First Class"/>
    <x v="74"/>
    <s v="Ted Trevino"/>
    <x v="0"/>
    <s v="United States"/>
    <s v="Los Angeles"/>
    <x v="1"/>
    <n v="90045"/>
    <x v="1"/>
    <x v="150"/>
    <x v="1"/>
    <x v="10"/>
    <x v="151"/>
    <x v="156"/>
    <x v="5"/>
    <x v="0"/>
  </r>
  <r>
    <n v="162"/>
    <x v="78"/>
    <x v="75"/>
    <d v="2016-12-31T00:00:00"/>
    <s v="Second Class"/>
    <x v="75"/>
    <s v="Eric Murdock"/>
    <x v="0"/>
    <s v="United States"/>
    <s v="Philadelphia"/>
    <x v="9"/>
    <n v="19134"/>
    <x v="3"/>
    <x v="151"/>
    <x v="2"/>
    <x v="11"/>
    <x v="152"/>
    <x v="157"/>
    <x v="4"/>
    <x v="1"/>
  </r>
  <r>
    <n v="163"/>
    <x v="79"/>
    <x v="76"/>
    <d v="2017-11-20T00:00:00"/>
    <s v="Standard Class"/>
    <x v="76"/>
    <s v="Ruben Dartt"/>
    <x v="0"/>
    <s v="United States"/>
    <s v="Carlsbad"/>
    <x v="27"/>
    <n v="88220"/>
    <x v="1"/>
    <x v="152"/>
    <x v="1"/>
    <x v="12"/>
    <x v="153"/>
    <x v="158"/>
    <x v="0"/>
    <x v="0"/>
  </r>
  <r>
    <n v="164"/>
    <x v="80"/>
    <x v="77"/>
    <d v="2017-11-11T00:00:00"/>
    <s v="Standard Class"/>
    <x v="77"/>
    <s v="Max Jones"/>
    <x v="0"/>
    <s v="United States"/>
    <s v="Seattle"/>
    <x v="4"/>
    <n v="98115"/>
    <x v="1"/>
    <x v="153"/>
    <x v="1"/>
    <x v="8"/>
    <x v="154"/>
    <x v="159"/>
    <x v="0"/>
    <x v="0"/>
  </r>
  <r>
    <n v="165"/>
    <x v="81"/>
    <x v="78"/>
    <d v="2015-09-12T00:00:00"/>
    <s v="Standard Class"/>
    <x v="78"/>
    <s v="Becky Martin"/>
    <x v="0"/>
    <s v="United States"/>
    <s v="San Antonio"/>
    <x v="5"/>
    <n v="78207"/>
    <x v="2"/>
    <x v="154"/>
    <x v="1"/>
    <x v="6"/>
    <x v="155"/>
    <x v="160"/>
    <x v="8"/>
    <x v="2"/>
  </r>
  <r>
    <n v="166"/>
    <x v="81"/>
    <x v="78"/>
    <d v="2015-09-12T00:00:00"/>
    <s v="Standard Class"/>
    <x v="78"/>
    <s v="Becky Martin"/>
    <x v="0"/>
    <s v="United States"/>
    <s v="San Antonio"/>
    <x v="5"/>
    <n v="78207"/>
    <x v="2"/>
    <x v="155"/>
    <x v="2"/>
    <x v="15"/>
    <x v="156"/>
    <x v="161"/>
    <x v="8"/>
    <x v="2"/>
  </r>
  <r>
    <n v="167"/>
    <x v="81"/>
    <x v="78"/>
    <d v="2015-09-12T00:00:00"/>
    <s v="Standard Class"/>
    <x v="78"/>
    <s v="Becky Martin"/>
    <x v="0"/>
    <s v="United States"/>
    <s v="San Antonio"/>
    <x v="5"/>
    <n v="78207"/>
    <x v="2"/>
    <x v="156"/>
    <x v="1"/>
    <x v="4"/>
    <x v="157"/>
    <x v="162"/>
    <x v="8"/>
    <x v="2"/>
  </r>
  <r>
    <n v="168"/>
    <x v="81"/>
    <x v="78"/>
    <d v="2015-09-12T00:00:00"/>
    <s v="Standard Class"/>
    <x v="78"/>
    <s v="Becky Martin"/>
    <x v="0"/>
    <s v="United States"/>
    <s v="San Antonio"/>
    <x v="5"/>
    <n v="78207"/>
    <x v="2"/>
    <x v="157"/>
    <x v="0"/>
    <x v="1"/>
    <x v="158"/>
    <x v="163"/>
    <x v="8"/>
    <x v="2"/>
  </r>
  <r>
    <n v="169"/>
    <x v="81"/>
    <x v="78"/>
    <d v="2015-09-12T00:00:00"/>
    <s v="Standard Class"/>
    <x v="78"/>
    <s v="Becky Martin"/>
    <x v="0"/>
    <s v="United States"/>
    <s v="San Antonio"/>
    <x v="5"/>
    <n v="78207"/>
    <x v="2"/>
    <x v="158"/>
    <x v="1"/>
    <x v="6"/>
    <x v="159"/>
    <x v="164"/>
    <x v="8"/>
    <x v="2"/>
  </r>
  <r>
    <n v="170"/>
    <x v="81"/>
    <x v="78"/>
    <d v="2015-09-12T00:00:00"/>
    <s v="Standard Class"/>
    <x v="78"/>
    <s v="Becky Martin"/>
    <x v="0"/>
    <s v="United States"/>
    <s v="San Antonio"/>
    <x v="5"/>
    <n v="78207"/>
    <x v="2"/>
    <x v="159"/>
    <x v="1"/>
    <x v="9"/>
    <x v="160"/>
    <x v="165"/>
    <x v="8"/>
    <x v="2"/>
  </r>
  <r>
    <n v="171"/>
    <x v="81"/>
    <x v="78"/>
    <d v="2015-09-12T00:00:00"/>
    <s v="Standard Class"/>
    <x v="78"/>
    <s v="Becky Martin"/>
    <x v="0"/>
    <s v="United States"/>
    <s v="San Antonio"/>
    <x v="5"/>
    <n v="78207"/>
    <x v="2"/>
    <x v="160"/>
    <x v="2"/>
    <x v="7"/>
    <x v="161"/>
    <x v="166"/>
    <x v="8"/>
    <x v="2"/>
  </r>
  <r>
    <n v="172"/>
    <x v="82"/>
    <x v="79"/>
    <d v="2015-08-09T00:00:00"/>
    <s v="Standard Class"/>
    <x v="79"/>
    <s v="Chad Sievert"/>
    <x v="0"/>
    <s v="United States"/>
    <s v="Los Angeles"/>
    <x v="1"/>
    <n v="90004"/>
    <x v="1"/>
    <x v="161"/>
    <x v="1"/>
    <x v="10"/>
    <x v="162"/>
    <x v="167"/>
    <x v="6"/>
    <x v="2"/>
  </r>
  <r>
    <n v="173"/>
    <x v="82"/>
    <x v="79"/>
    <d v="2015-08-09T00:00:00"/>
    <s v="Standard Class"/>
    <x v="79"/>
    <s v="Chad Sievert"/>
    <x v="0"/>
    <s v="United States"/>
    <s v="Los Angeles"/>
    <x v="1"/>
    <n v="90004"/>
    <x v="1"/>
    <x v="162"/>
    <x v="1"/>
    <x v="10"/>
    <x v="163"/>
    <x v="168"/>
    <x v="6"/>
    <x v="2"/>
  </r>
  <r>
    <n v="174"/>
    <x v="82"/>
    <x v="79"/>
    <d v="2015-08-09T00:00:00"/>
    <s v="Standard Class"/>
    <x v="79"/>
    <s v="Chad Sievert"/>
    <x v="0"/>
    <s v="United States"/>
    <s v="Los Angeles"/>
    <x v="1"/>
    <n v="90004"/>
    <x v="1"/>
    <x v="163"/>
    <x v="0"/>
    <x v="1"/>
    <x v="164"/>
    <x v="169"/>
    <x v="6"/>
    <x v="2"/>
  </r>
  <r>
    <n v="175"/>
    <x v="83"/>
    <x v="80"/>
    <d v="2015-09-19T00:00:00"/>
    <s v="Standard Class"/>
    <x v="80"/>
    <s v="Jennifer Braxton"/>
    <x v="1"/>
    <s v="United States"/>
    <s v="Chicago"/>
    <x v="10"/>
    <n v="60623"/>
    <x v="2"/>
    <x v="164"/>
    <x v="1"/>
    <x v="9"/>
    <x v="165"/>
    <x v="170"/>
    <x v="8"/>
    <x v="2"/>
  </r>
  <r>
    <n v="176"/>
    <x v="83"/>
    <x v="80"/>
    <d v="2015-09-19T00:00:00"/>
    <s v="Standard Class"/>
    <x v="80"/>
    <s v="Jennifer Braxton"/>
    <x v="1"/>
    <s v="United States"/>
    <s v="Chicago"/>
    <x v="10"/>
    <n v="60623"/>
    <x v="2"/>
    <x v="165"/>
    <x v="1"/>
    <x v="2"/>
    <x v="166"/>
    <x v="171"/>
    <x v="8"/>
    <x v="2"/>
  </r>
  <r>
    <n v="177"/>
    <x v="84"/>
    <x v="81"/>
    <d v="2018-04-25T00:00:00"/>
    <s v="Second Class"/>
    <x v="81"/>
    <s v="Shirley Jackson"/>
    <x v="0"/>
    <s v="United States"/>
    <s v="Houston"/>
    <x v="5"/>
    <n v="77036"/>
    <x v="2"/>
    <x v="166"/>
    <x v="1"/>
    <x v="9"/>
    <x v="167"/>
    <x v="172"/>
    <x v="3"/>
    <x v="3"/>
  </r>
  <r>
    <n v="178"/>
    <x v="85"/>
    <x v="82"/>
    <d v="2016-11-23T00:00:00"/>
    <s v="Second Class"/>
    <x v="32"/>
    <s v="Joel Eaton"/>
    <x v="0"/>
    <s v="United States"/>
    <s v="Newark"/>
    <x v="24"/>
    <n v="43055"/>
    <x v="3"/>
    <x v="167"/>
    <x v="0"/>
    <x v="1"/>
    <x v="168"/>
    <x v="173"/>
    <x v="0"/>
    <x v="1"/>
  </r>
  <r>
    <n v="179"/>
    <x v="85"/>
    <x v="82"/>
    <d v="2016-11-23T00:00:00"/>
    <s v="Second Class"/>
    <x v="32"/>
    <s v="Joel Eaton"/>
    <x v="0"/>
    <s v="United States"/>
    <s v="Newark"/>
    <x v="24"/>
    <n v="43055"/>
    <x v="3"/>
    <x v="168"/>
    <x v="1"/>
    <x v="14"/>
    <x v="169"/>
    <x v="174"/>
    <x v="0"/>
    <x v="1"/>
  </r>
  <r>
    <n v="180"/>
    <x v="86"/>
    <x v="83"/>
    <d v="2016-12-19T00:00:00"/>
    <s v="Standard Class"/>
    <x v="82"/>
    <s v="Jim Kriz"/>
    <x v="2"/>
    <s v="United States"/>
    <s v="New York City"/>
    <x v="15"/>
    <n v="10009"/>
    <x v="3"/>
    <x v="169"/>
    <x v="1"/>
    <x v="6"/>
    <x v="170"/>
    <x v="175"/>
    <x v="4"/>
    <x v="1"/>
  </r>
  <r>
    <n v="181"/>
    <x v="87"/>
    <x v="29"/>
    <d v="2015-12-09T00:00:00"/>
    <s v="Second Class"/>
    <x v="83"/>
    <s v="David Kendrick"/>
    <x v="1"/>
    <s v="United States"/>
    <s v="Decatur"/>
    <x v="10"/>
    <n v="62521"/>
    <x v="2"/>
    <x v="170"/>
    <x v="1"/>
    <x v="4"/>
    <x v="171"/>
    <x v="176"/>
    <x v="4"/>
    <x v="2"/>
  </r>
  <r>
    <n v="182"/>
    <x v="87"/>
    <x v="29"/>
    <d v="2015-12-09T00:00:00"/>
    <s v="Second Class"/>
    <x v="83"/>
    <s v="David Kendrick"/>
    <x v="1"/>
    <s v="United States"/>
    <s v="Decatur"/>
    <x v="10"/>
    <n v="62521"/>
    <x v="2"/>
    <x v="171"/>
    <x v="2"/>
    <x v="11"/>
    <x v="172"/>
    <x v="177"/>
    <x v="4"/>
    <x v="2"/>
  </r>
  <r>
    <n v="183"/>
    <x v="88"/>
    <x v="84"/>
    <d v="2015-11-24T00:00:00"/>
    <s v="Second Class"/>
    <x v="84"/>
    <s v="Robert Marley"/>
    <x v="2"/>
    <s v="United States"/>
    <s v="Monroe"/>
    <x v="28"/>
    <n v="71203"/>
    <x v="0"/>
    <x v="172"/>
    <x v="2"/>
    <x v="7"/>
    <x v="173"/>
    <x v="178"/>
    <x v="0"/>
    <x v="2"/>
  </r>
  <r>
    <n v="184"/>
    <x v="88"/>
    <x v="84"/>
    <d v="2015-11-24T00:00:00"/>
    <s v="Second Class"/>
    <x v="84"/>
    <s v="Robert Marley"/>
    <x v="2"/>
    <s v="United States"/>
    <s v="Monroe"/>
    <x v="28"/>
    <n v="71203"/>
    <x v="0"/>
    <x v="173"/>
    <x v="2"/>
    <x v="7"/>
    <x v="174"/>
    <x v="179"/>
    <x v="0"/>
    <x v="2"/>
  </r>
  <r>
    <n v="185"/>
    <x v="88"/>
    <x v="84"/>
    <d v="2015-11-24T00:00:00"/>
    <s v="Second Class"/>
    <x v="84"/>
    <s v="Robert Marley"/>
    <x v="2"/>
    <s v="United States"/>
    <s v="Monroe"/>
    <x v="28"/>
    <n v="71203"/>
    <x v="0"/>
    <x v="174"/>
    <x v="2"/>
    <x v="11"/>
    <x v="175"/>
    <x v="180"/>
    <x v="0"/>
    <x v="2"/>
  </r>
  <r>
    <n v="186"/>
    <x v="89"/>
    <x v="85"/>
    <d v="2017-12-02T00:00:00"/>
    <s v="Standard Class"/>
    <x v="85"/>
    <s v="Sally Knutson"/>
    <x v="0"/>
    <s v="United States"/>
    <s v="Fairfield"/>
    <x v="29"/>
    <n v="6824"/>
    <x v="3"/>
    <x v="175"/>
    <x v="1"/>
    <x v="8"/>
    <x v="176"/>
    <x v="181"/>
    <x v="0"/>
    <x v="0"/>
  </r>
  <r>
    <n v="187"/>
    <x v="90"/>
    <x v="86"/>
    <d v="2015-08-30T00:00:00"/>
    <s v="Standard Class"/>
    <x v="86"/>
    <s v="Frank Merwin"/>
    <x v="2"/>
    <s v="United States"/>
    <s v="Los Angeles"/>
    <x v="1"/>
    <n v="90032"/>
    <x v="1"/>
    <x v="176"/>
    <x v="2"/>
    <x v="11"/>
    <x v="177"/>
    <x v="182"/>
    <x v="6"/>
    <x v="2"/>
  </r>
  <r>
    <n v="188"/>
    <x v="91"/>
    <x v="87"/>
    <d v="2017-07-22T00:00:00"/>
    <s v="Standard Class"/>
    <x v="87"/>
    <s v="Alice McCarthy"/>
    <x v="1"/>
    <s v="United States"/>
    <s v="Grand Prairie"/>
    <x v="5"/>
    <n v="75051"/>
    <x v="2"/>
    <x v="177"/>
    <x v="1"/>
    <x v="4"/>
    <x v="178"/>
    <x v="183"/>
    <x v="7"/>
    <x v="0"/>
  </r>
  <r>
    <n v="189"/>
    <x v="91"/>
    <x v="87"/>
    <d v="2017-07-22T00:00:00"/>
    <s v="Standard Class"/>
    <x v="87"/>
    <s v="Alice McCarthy"/>
    <x v="1"/>
    <s v="United States"/>
    <s v="Grand Prairie"/>
    <x v="5"/>
    <n v="75051"/>
    <x v="2"/>
    <x v="144"/>
    <x v="1"/>
    <x v="10"/>
    <x v="145"/>
    <x v="184"/>
    <x v="7"/>
    <x v="0"/>
  </r>
  <r>
    <n v="190"/>
    <x v="92"/>
    <x v="88"/>
    <d v="2016-10-14T00:00:00"/>
    <s v="First Class"/>
    <x v="88"/>
    <s v="Mark Packer"/>
    <x v="2"/>
    <s v="United States"/>
    <s v="New York City"/>
    <x v="15"/>
    <n v="10035"/>
    <x v="3"/>
    <x v="178"/>
    <x v="0"/>
    <x v="0"/>
    <x v="179"/>
    <x v="185"/>
    <x v="2"/>
    <x v="1"/>
  </r>
  <r>
    <n v="191"/>
    <x v="92"/>
    <x v="88"/>
    <d v="2016-10-14T00:00:00"/>
    <s v="First Class"/>
    <x v="88"/>
    <s v="Mark Packer"/>
    <x v="2"/>
    <s v="United States"/>
    <s v="New York City"/>
    <x v="15"/>
    <n v="10035"/>
    <x v="3"/>
    <x v="179"/>
    <x v="2"/>
    <x v="7"/>
    <x v="180"/>
    <x v="186"/>
    <x v="2"/>
    <x v="1"/>
  </r>
  <r>
    <n v="192"/>
    <x v="92"/>
    <x v="88"/>
    <d v="2016-10-14T00:00:00"/>
    <s v="First Class"/>
    <x v="88"/>
    <s v="Mark Packer"/>
    <x v="2"/>
    <s v="United States"/>
    <s v="New York City"/>
    <x v="15"/>
    <n v="10035"/>
    <x v="3"/>
    <x v="180"/>
    <x v="1"/>
    <x v="10"/>
    <x v="181"/>
    <x v="187"/>
    <x v="2"/>
    <x v="1"/>
  </r>
  <r>
    <n v="193"/>
    <x v="92"/>
    <x v="88"/>
    <d v="2016-10-14T00:00:00"/>
    <s v="First Class"/>
    <x v="88"/>
    <s v="Mark Packer"/>
    <x v="2"/>
    <s v="United States"/>
    <s v="New York City"/>
    <x v="15"/>
    <n v="10035"/>
    <x v="3"/>
    <x v="37"/>
    <x v="0"/>
    <x v="0"/>
    <x v="37"/>
    <x v="188"/>
    <x v="2"/>
    <x v="1"/>
  </r>
  <r>
    <n v="194"/>
    <x v="92"/>
    <x v="88"/>
    <d v="2016-10-14T00:00:00"/>
    <s v="First Class"/>
    <x v="88"/>
    <s v="Mark Packer"/>
    <x v="2"/>
    <s v="United States"/>
    <s v="New York City"/>
    <x v="15"/>
    <n v="10035"/>
    <x v="3"/>
    <x v="181"/>
    <x v="1"/>
    <x v="6"/>
    <x v="182"/>
    <x v="189"/>
    <x v="2"/>
    <x v="1"/>
  </r>
  <r>
    <n v="195"/>
    <x v="93"/>
    <x v="89"/>
    <d v="2016-11-06T00:00:00"/>
    <s v="Standard Class"/>
    <x v="89"/>
    <s v="Mary Zewe"/>
    <x v="1"/>
    <s v="United States"/>
    <s v="Redlands"/>
    <x v="1"/>
    <n v="92374"/>
    <x v="1"/>
    <x v="29"/>
    <x v="1"/>
    <x v="12"/>
    <x v="29"/>
    <x v="190"/>
    <x v="2"/>
    <x v="1"/>
  </r>
  <r>
    <n v="196"/>
    <x v="94"/>
    <x v="90"/>
    <d v="2015-03-25T00:00:00"/>
    <s v="Standard Class"/>
    <x v="90"/>
    <s v="Cassandra Brandow"/>
    <x v="0"/>
    <s v="United States"/>
    <s v="Hamilton"/>
    <x v="24"/>
    <n v="45011"/>
    <x v="3"/>
    <x v="182"/>
    <x v="1"/>
    <x v="6"/>
    <x v="183"/>
    <x v="191"/>
    <x v="10"/>
    <x v="2"/>
  </r>
  <r>
    <n v="197"/>
    <x v="94"/>
    <x v="90"/>
    <d v="2015-03-25T00:00:00"/>
    <s v="Standard Class"/>
    <x v="90"/>
    <s v="Cassandra Brandow"/>
    <x v="0"/>
    <s v="United States"/>
    <s v="Hamilton"/>
    <x v="24"/>
    <n v="45011"/>
    <x v="3"/>
    <x v="183"/>
    <x v="1"/>
    <x v="6"/>
    <x v="184"/>
    <x v="192"/>
    <x v="10"/>
    <x v="2"/>
  </r>
  <r>
    <n v="198"/>
    <x v="95"/>
    <x v="44"/>
    <d v="2018-11-13T00:00:00"/>
    <s v="Standard Class"/>
    <x v="91"/>
    <s v="Valerie Mitchum"/>
    <x v="2"/>
    <s v="United States"/>
    <s v="Westfield"/>
    <x v="30"/>
    <n v="7090"/>
    <x v="3"/>
    <x v="184"/>
    <x v="1"/>
    <x v="4"/>
    <x v="185"/>
    <x v="193"/>
    <x v="0"/>
    <x v="3"/>
  </r>
  <r>
    <n v="199"/>
    <x v="96"/>
    <x v="91"/>
    <d v="2018-07-13T00:00:00"/>
    <s v="Standard Class"/>
    <x v="92"/>
    <s v="Fred Hopkins"/>
    <x v="1"/>
    <s v="United States"/>
    <s v="Philadelphia"/>
    <x v="9"/>
    <n v="19120"/>
    <x v="3"/>
    <x v="185"/>
    <x v="1"/>
    <x v="8"/>
    <x v="186"/>
    <x v="194"/>
    <x v="7"/>
    <x v="3"/>
  </r>
  <r>
    <n v="200"/>
    <x v="96"/>
    <x v="91"/>
    <d v="2018-07-13T00:00:00"/>
    <s v="Standard Class"/>
    <x v="92"/>
    <s v="Fred Hopkins"/>
    <x v="1"/>
    <s v="United States"/>
    <s v="Philadelphia"/>
    <x v="9"/>
    <n v="19120"/>
    <x v="3"/>
    <x v="186"/>
    <x v="1"/>
    <x v="10"/>
    <x v="187"/>
    <x v="195"/>
    <x v="7"/>
    <x v="3"/>
  </r>
  <r>
    <n v="201"/>
    <x v="97"/>
    <x v="92"/>
    <d v="2018-06-29T00:00:00"/>
    <s v="Standard Class"/>
    <x v="93"/>
    <s v="Maria Bertelson"/>
    <x v="0"/>
    <s v="United States"/>
    <s v="Akron"/>
    <x v="24"/>
    <n v="44312"/>
    <x v="3"/>
    <x v="187"/>
    <x v="1"/>
    <x v="10"/>
    <x v="188"/>
    <x v="196"/>
    <x v="1"/>
    <x v="3"/>
  </r>
  <r>
    <n v="202"/>
    <x v="98"/>
    <x v="93"/>
    <d v="2015-08-05T00:00:00"/>
    <s v="First Class"/>
    <x v="94"/>
    <s v="Bruce Stewart"/>
    <x v="0"/>
    <s v="United States"/>
    <s v="Denver"/>
    <x v="22"/>
    <n v="80219"/>
    <x v="1"/>
    <x v="188"/>
    <x v="0"/>
    <x v="3"/>
    <x v="189"/>
    <x v="197"/>
    <x v="6"/>
    <x v="2"/>
  </r>
  <r>
    <n v="203"/>
    <x v="98"/>
    <x v="93"/>
    <d v="2015-08-05T00:00:00"/>
    <s v="First Class"/>
    <x v="94"/>
    <s v="Bruce Stewart"/>
    <x v="0"/>
    <s v="United States"/>
    <s v="Denver"/>
    <x v="22"/>
    <n v="80219"/>
    <x v="1"/>
    <x v="189"/>
    <x v="1"/>
    <x v="9"/>
    <x v="190"/>
    <x v="198"/>
    <x v="6"/>
    <x v="2"/>
  </r>
  <r>
    <n v="204"/>
    <x v="99"/>
    <x v="94"/>
    <d v="2018-12-21T00:00:00"/>
    <s v="Second Class"/>
    <x v="95"/>
    <s v="Logan Currie"/>
    <x v="0"/>
    <s v="United States"/>
    <s v="Dallas"/>
    <x v="5"/>
    <n v="75220"/>
    <x v="2"/>
    <x v="190"/>
    <x v="1"/>
    <x v="9"/>
    <x v="191"/>
    <x v="199"/>
    <x v="4"/>
    <x v="3"/>
  </r>
  <r>
    <n v="205"/>
    <x v="100"/>
    <x v="95"/>
    <d v="2018-06-07T00:00:00"/>
    <s v="Standard Class"/>
    <x v="96"/>
    <s v="Heather Kirkland"/>
    <x v="1"/>
    <s v="United States"/>
    <s v="Franklin"/>
    <x v="18"/>
    <n v="37064"/>
    <x v="0"/>
    <x v="191"/>
    <x v="0"/>
    <x v="5"/>
    <x v="192"/>
    <x v="200"/>
    <x v="1"/>
    <x v="3"/>
  </r>
  <r>
    <n v="206"/>
    <x v="101"/>
    <x v="34"/>
    <d v="2018-12-14T00:00:00"/>
    <s v="Standard Class"/>
    <x v="97"/>
    <s v="Laurel Elliston"/>
    <x v="0"/>
    <s v="United States"/>
    <s v="Whittier"/>
    <x v="1"/>
    <n v="90604"/>
    <x v="1"/>
    <x v="192"/>
    <x v="2"/>
    <x v="7"/>
    <x v="193"/>
    <x v="201"/>
    <x v="4"/>
    <x v="3"/>
  </r>
  <r>
    <n v="207"/>
    <x v="102"/>
    <x v="96"/>
    <d v="2018-12-07T00:00:00"/>
    <s v="Standard Class"/>
    <x v="98"/>
    <s v="Joseph Holt"/>
    <x v="0"/>
    <s v="United States"/>
    <s v="Saginaw"/>
    <x v="12"/>
    <n v="48601"/>
    <x v="2"/>
    <x v="193"/>
    <x v="1"/>
    <x v="4"/>
    <x v="194"/>
    <x v="202"/>
    <x v="4"/>
    <x v="3"/>
  </r>
  <r>
    <n v="208"/>
    <x v="102"/>
    <x v="96"/>
    <d v="2018-12-07T00:00:00"/>
    <s v="Standard Class"/>
    <x v="98"/>
    <s v="Joseph Holt"/>
    <x v="0"/>
    <s v="United States"/>
    <s v="Saginaw"/>
    <x v="12"/>
    <n v="48601"/>
    <x v="2"/>
    <x v="194"/>
    <x v="2"/>
    <x v="7"/>
    <x v="195"/>
    <x v="203"/>
    <x v="4"/>
    <x v="3"/>
  </r>
  <r>
    <n v="209"/>
    <x v="102"/>
    <x v="96"/>
    <d v="2018-12-07T00:00:00"/>
    <s v="Standard Class"/>
    <x v="98"/>
    <s v="Joseph Holt"/>
    <x v="0"/>
    <s v="United States"/>
    <s v="Saginaw"/>
    <x v="12"/>
    <n v="48601"/>
    <x v="2"/>
    <x v="122"/>
    <x v="1"/>
    <x v="8"/>
    <x v="122"/>
    <x v="204"/>
    <x v="4"/>
    <x v="3"/>
  </r>
  <r>
    <n v="210"/>
    <x v="102"/>
    <x v="96"/>
    <d v="2018-12-07T00:00:00"/>
    <s v="Standard Class"/>
    <x v="98"/>
    <s v="Joseph Holt"/>
    <x v="0"/>
    <s v="United States"/>
    <s v="Saginaw"/>
    <x v="12"/>
    <n v="48601"/>
    <x v="2"/>
    <x v="195"/>
    <x v="1"/>
    <x v="13"/>
    <x v="196"/>
    <x v="205"/>
    <x v="4"/>
    <x v="3"/>
  </r>
  <r>
    <n v="211"/>
    <x v="102"/>
    <x v="96"/>
    <d v="2018-12-07T00:00:00"/>
    <s v="Standard Class"/>
    <x v="98"/>
    <s v="Joseph Holt"/>
    <x v="0"/>
    <s v="United States"/>
    <s v="Saginaw"/>
    <x v="12"/>
    <n v="48601"/>
    <x v="2"/>
    <x v="196"/>
    <x v="1"/>
    <x v="4"/>
    <x v="197"/>
    <x v="206"/>
    <x v="4"/>
    <x v="3"/>
  </r>
  <r>
    <n v="212"/>
    <x v="103"/>
    <x v="97"/>
    <d v="2016-02-13T00:00:00"/>
    <s v="Second Class"/>
    <x v="99"/>
    <s v="Michael Stewart"/>
    <x v="1"/>
    <s v="United States"/>
    <s v="Dallas"/>
    <x v="5"/>
    <n v="75220"/>
    <x v="2"/>
    <x v="197"/>
    <x v="2"/>
    <x v="11"/>
    <x v="198"/>
    <x v="207"/>
    <x v="11"/>
    <x v="1"/>
  </r>
  <r>
    <n v="213"/>
    <x v="104"/>
    <x v="98"/>
    <d v="2016-01-09T00:00:00"/>
    <s v="Standard Class"/>
    <x v="100"/>
    <s v="Victoria Wilson"/>
    <x v="1"/>
    <s v="United States"/>
    <s v="Medina"/>
    <x v="24"/>
    <n v="44256"/>
    <x v="3"/>
    <x v="198"/>
    <x v="1"/>
    <x v="2"/>
    <x v="199"/>
    <x v="208"/>
    <x v="9"/>
    <x v="1"/>
  </r>
  <r>
    <n v="214"/>
    <x v="104"/>
    <x v="98"/>
    <d v="2016-01-09T00:00:00"/>
    <s v="Standard Class"/>
    <x v="100"/>
    <s v="Victoria Wilson"/>
    <x v="1"/>
    <s v="United States"/>
    <s v="Medina"/>
    <x v="24"/>
    <n v="44256"/>
    <x v="3"/>
    <x v="199"/>
    <x v="0"/>
    <x v="0"/>
    <x v="200"/>
    <x v="209"/>
    <x v="9"/>
    <x v="1"/>
  </r>
  <r>
    <n v="215"/>
    <x v="104"/>
    <x v="98"/>
    <d v="2016-01-09T00:00:00"/>
    <s v="Standard Class"/>
    <x v="100"/>
    <s v="Victoria Wilson"/>
    <x v="1"/>
    <s v="United States"/>
    <s v="Medina"/>
    <x v="24"/>
    <n v="44256"/>
    <x v="3"/>
    <x v="104"/>
    <x v="2"/>
    <x v="7"/>
    <x v="104"/>
    <x v="210"/>
    <x v="9"/>
    <x v="1"/>
  </r>
  <r>
    <n v="216"/>
    <x v="104"/>
    <x v="98"/>
    <d v="2016-01-09T00:00:00"/>
    <s v="Standard Class"/>
    <x v="100"/>
    <s v="Victoria Wilson"/>
    <x v="1"/>
    <s v="United States"/>
    <s v="Medina"/>
    <x v="24"/>
    <n v="44256"/>
    <x v="3"/>
    <x v="200"/>
    <x v="2"/>
    <x v="15"/>
    <x v="201"/>
    <x v="211"/>
    <x v="9"/>
    <x v="1"/>
  </r>
  <r>
    <n v="217"/>
    <x v="104"/>
    <x v="98"/>
    <d v="2016-01-09T00:00:00"/>
    <s v="Standard Class"/>
    <x v="100"/>
    <s v="Victoria Wilson"/>
    <x v="1"/>
    <s v="United States"/>
    <s v="Medina"/>
    <x v="24"/>
    <n v="44256"/>
    <x v="3"/>
    <x v="201"/>
    <x v="2"/>
    <x v="11"/>
    <x v="202"/>
    <x v="212"/>
    <x v="9"/>
    <x v="1"/>
  </r>
  <r>
    <n v="218"/>
    <x v="105"/>
    <x v="99"/>
    <d v="2017-11-01T00:00:00"/>
    <s v="Standard Class"/>
    <x v="101"/>
    <s v="Jonathan Howell"/>
    <x v="0"/>
    <s v="United States"/>
    <s v="Los Angeles"/>
    <x v="1"/>
    <n v="90032"/>
    <x v="1"/>
    <x v="177"/>
    <x v="1"/>
    <x v="4"/>
    <x v="178"/>
    <x v="213"/>
    <x v="2"/>
    <x v="0"/>
  </r>
  <r>
    <n v="219"/>
    <x v="105"/>
    <x v="99"/>
    <d v="2017-11-01T00:00:00"/>
    <s v="Standard Class"/>
    <x v="101"/>
    <s v="Jonathan Howell"/>
    <x v="0"/>
    <s v="United States"/>
    <s v="Los Angeles"/>
    <x v="1"/>
    <n v="90032"/>
    <x v="1"/>
    <x v="202"/>
    <x v="2"/>
    <x v="7"/>
    <x v="203"/>
    <x v="214"/>
    <x v="2"/>
    <x v="0"/>
  </r>
  <r>
    <n v="220"/>
    <x v="106"/>
    <x v="100"/>
    <d v="2016-12-27T00:00:00"/>
    <s v="First Class"/>
    <x v="102"/>
    <s v="Joni Blumstein"/>
    <x v="0"/>
    <s v="United States"/>
    <s v="Dublin"/>
    <x v="24"/>
    <n v="43017"/>
    <x v="3"/>
    <x v="203"/>
    <x v="1"/>
    <x v="13"/>
    <x v="204"/>
    <x v="215"/>
    <x v="4"/>
    <x v="1"/>
  </r>
  <r>
    <n v="221"/>
    <x v="106"/>
    <x v="100"/>
    <d v="2016-12-27T00:00:00"/>
    <s v="First Class"/>
    <x v="102"/>
    <s v="Joni Blumstein"/>
    <x v="0"/>
    <s v="United States"/>
    <s v="Dublin"/>
    <x v="24"/>
    <n v="43017"/>
    <x v="3"/>
    <x v="204"/>
    <x v="1"/>
    <x v="10"/>
    <x v="205"/>
    <x v="216"/>
    <x v="4"/>
    <x v="1"/>
  </r>
  <r>
    <n v="222"/>
    <x v="106"/>
    <x v="100"/>
    <d v="2016-12-27T00:00:00"/>
    <s v="First Class"/>
    <x v="102"/>
    <s v="Joni Blumstein"/>
    <x v="0"/>
    <s v="United States"/>
    <s v="Dublin"/>
    <x v="24"/>
    <n v="43017"/>
    <x v="3"/>
    <x v="91"/>
    <x v="1"/>
    <x v="8"/>
    <x v="91"/>
    <x v="217"/>
    <x v="4"/>
    <x v="1"/>
  </r>
  <r>
    <n v="223"/>
    <x v="106"/>
    <x v="100"/>
    <d v="2016-12-27T00:00:00"/>
    <s v="First Class"/>
    <x v="102"/>
    <s v="Joni Blumstein"/>
    <x v="0"/>
    <s v="United States"/>
    <s v="Dublin"/>
    <x v="24"/>
    <n v="43017"/>
    <x v="3"/>
    <x v="205"/>
    <x v="0"/>
    <x v="5"/>
    <x v="206"/>
    <x v="218"/>
    <x v="4"/>
    <x v="1"/>
  </r>
  <r>
    <n v="224"/>
    <x v="106"/>
    <x v="100"/>
    <d v="2016-12-27T00:00:00"/>
    <s v="First Class"/>
    <x v="102"/>
    <s v="Joni Blumstein"/>
    <x v="0"/>
    <s v="United States"/>
    <s v="Dublin"/>
    <x v="24"/>
    <n v="43017"/>
    <x v="3"/>
    <x v="206"/>
    <x v="2"/>
    <x v="15"/>
    <x v="207"/>
    <x v="219"/>
    <x v="4"/>
    <x v="1"/>
  </r>
  <r>
    <n v="225"/>
    <x v="106"/>
    <x v="100"/>
    <d v="2016-12-27T00:00:00"/>
    <s v="First Class"/>
    <x v="102"/>
    <s v="Joni Blumstein"/>
    <x v="0"/>
    <s v="United States"/>
    <s v="Dublin"/>
    <x v="24"/>
    <n v="43017"/>
    <x v="3"/>
    <x v="207"/>
    <x v="1"/>
    <x v="6"/>
    <x v="208"/>
    <x v="220"/>
    <x v="4"/>
    <x v="1"/>
  </r>
  <r>
    <n v="226"/>
    <x v="107"/>
    <x v="101"/>
    <d v="2016-08-16T00:00:00"/>
    <s v="Standard Class"/>
    <x v="103"/>
    <s v="David Smith"/>
    <x v="1"/>
    <s v="United States"/>
    <s v="Detroit"/>
    <x v="12"/>
    <n v="48227"/>
    <x v="2"/>
    <x v="208"/>
    <x v="1"/>
    <x v="6"/>
    <x v="209"/>
    <x v="221"/>
    <x v="6"/>
    <x v="1"/>
  </r>
  <r>
    <n v="227"/>
    <x v="107"/>
    <x v="101"/>
    <d v="2016-08-16T00:00:00"/>
    <s v="Standard Class"/>
    <x v="103"/>
    <s v="David Smith"/>
    <x v="1"/>
    <s v="United States"/>
    <s v="Detroit"/>
    <x v="12"/>
    <n v="48227"/>
    <x v="2"/>
    <x v="209"/>
    <x v="0"/>
    <x v="3"/>
    <x v="210"/>
    <x v="222"/>
    <x v="6"/>
    <x v="1"/>
  </r>
  <r>
    <n v="228"/>
    <x v="107"/>
    <x v="101"/>
    <d v="2016-08-16T00:00:00"/>
    <s v="Standard Class"/>
    <x v="103"/>
    <s v="David Smith"/>
    <x v="1"/>
    <s v="United States"/>
    <s v="Detroit"/>
    <x v="12"/>
    <n v="48227"/>
    <x v="2"/>
    <x v="210"/>
    <x v="1"/>
    <x v="4"/>
    <x v="211"/>
    <x v="223"/>
    <x v="6"/>
    <x v="1"/>
  </r>
  <r>
    <n v="229"/>
    <x v="108"/>
    <x v="102"/>
    <d v="2016-03-04T00:00:00"/>
    <s v="Standard Class"/>
    <x v="104"/>
    <s v="Valerie Dominguez"/>
    <x v="0"/>
    <s v="United States"/>
    <s v="Columbia"/>
    <x v="18"/>
    <n v="38401"/>
    <x v="0"/>
    <x v="211"/>
    <x v="0"/>
    <x v="1"/>
    <x v="212"/>
    <x v="224"/>
    <x v="11"/>
    <x v="1"/>
  </r>
  <r>
    <n v="230"/>
    <x v="108"/>
    <x v="102"/>
    <d v="2016-03-04T00:00:00"/>
    <s v="Standard Class"/>
    <x v="104"/>
    <s v="Valerie Dominguez"/>
    <x v="0"/>
    <s v="United States"/>
    <s v="Columbia"/>
    <x v="18"/>
    <n v="38401"/>
    <x v="0"/>
    <x v="212"/>
    <x v="0"/>
    <x v="1"/>
    <x v="213"/>
    <x v="225"/>
    <x v="11"/>
    <x v="1"/>
  </r>
  <r>
    <n v="231"/>
    <x v="109"/>
    <x v="103"/>
    <d v="2015-09-17T00:00:00"/>
    <s v="Standard Class"/>
    <x v="105"/>
    <s v="Erin Ashbrook"/>
    <x v="1"/>
    <s v="United States"/>
    <s v="Charlotte"/>
    <x v="3"/>
    <n v="28205"/>
    <x v="0"/>
    <x v="213"/>
    <x v="1"/>
    <x v="8"/>
    <x v="214"/>
    <x v="226"/>
    <x v="8"/>
    <x v="2"/>
  </r>
  <r>
    <n v="232"/>
    <x v="110"/>
    <x v="104"/>
    <d v="2018-04-12T00:00:00"/>
    <s v="Standard Class"/>
    <x v="37"/>
    <s v="Christopher Schild"/>
    <x v="2"/>
    <s v="United States"/>
    <s v="Tampa"/>
    <x v="2"/>
    <n v="33614"/>
    <x v="0"/>
    <x v="214"/>
    <x v="0"/>
    <x v="3"/>
    <x v="215"/>
    <x v="227"/>
    <x v="3"/>
    <x v="3"/>
  </r>
  <r>
    <n v="233"/>
    <x v="110"/>
    <x v="104"/>
    <d v="2018-04-12T00:00:00"/>
    <s v="Standard Class"/>
    <x v="37"/>
    <s v="Christopher Schild"/>
    <x v="2"/>
    <s v="United States"/>
    <s v="Tampa"/>
    <x v="2"/>
    <n v="33614"/>
    <x v="0"/>
    <x v="215"/>
    <x v="0"/>
    <x v="3"/>
    <x v="216"/>
    <x v="228"/>
    <x v="3"/>
    <x v="3"/>
  </r>
  <r>
    <n v="234"/>
    <x v="110"/>
    <x v="104"/>
    <d v="2018-04-12T00:00:00"/>
    <s v="Standard Class"/>
    <x v="37"/>
    <s v="Christopher Schild"/>
    <x v="2"/>
    <s v="United States"/>
    <s v="Tampa"/>
    <x v="2"/>
    <n v="33614"/>
    <x v="0"/>
    <x v="213"/>
    <x v="1"/>
    <x v="8"/>
    <x v="214"/>
    <x v="229"/>
    <x v="3"/>
    <x v="3"/>
  </r>
  <r>
    <n v="235"/>
    <x v="110"/>
    <x v="104"/>
    <d v="2018-04-12T00:00:00"/>
    <s v="Standard Class"/>
    <x v="37"/>
    <s v="Christopher Schild"/>
    <x v="2"/>
    <s v="United States"/>
    <s v="Tampa"/>
    <x v="2"/>
    <n v="33614"/>
    <x v="0"/>
    <x v="216"/>
    <x v="0"/>
    <x v="5"/>
    <x v="217"/>
    <x v="230"/>
    <x v="3"/>
    <x v="3"/>
  </r>
  <r>
    <n v="236"/>
    <x v="110"/>
    <x v="104"/>
    <d v="2018-04-12T00:00:00"/>
    <s v="Standard Class"/>
    <x v="37"/>
    <s v="Christopher Schild"/>
    <x v="2"/>
    <s v="United States"/>
    <s v="Tampa"/>
    <x v="2"/>
    <n v="33614"/>
    <x v="0"/>
    <x v="217"/>
    <x v="2"/>
    <x v="11"/>
    <x v="218"/>
    <x v="231"/>
    <x v="3"/>
    <x v="3"/>
  </r>
  <r>
    <n v="237"/>
    <x v="111"/>
    <x v="105"/>
    <d v="2018-11-16T00:00:00"/>
    <s v="Standard Class"/>
    <x v="106"/>
    <s v="David Bremer"/>
    <x v="1"/>
    <s v="United States"/>
    <s v="Santa Clara"/>
    <x v="1"/>
    <n v="95051"/>
    <x v="1"/>
    <x v="218"/>
    <x v="1"/>
    <x v="10"/>
    <x v="219"/>
    <x v="232"/>
    <x v="0"/>
    <x v="3"/>
  </r>
  <r>
    <n v="238"/>
    <x v="112"/>
    <x v="30"/>
    <d v="2017-06-09T00:00:00"/>
    <s v="Second Class"/>
    <x v="107"/>
    <s v="Ken Lonsdale"/>
    <x v="0"/>
    <s v="United States"/>
    <s v="Chicago"/>
    <x v="10"/>
    <n v="60610"/>
    <x v="2"/>
    <x v="219"/>
    <x v="1"/>
    <x v="10"/>
    <x v="220"/>
    <x v="233"/>
    <x v="1"/>
    <x v="0"/>
  </r>
  <r>
    <n v="239"/>
    <x v="112"/>
    <x v="30"/>
    <d v="2017-06-09T00:00:00"/>
    <s v="Second Class"/>
    <x v="107"/>
    <s v="Ken Lonsdale"/>
    <x v="0"/>
    <s v="United States"/>
    <s v="Chicago"/>
    <x v="10"/>
    <n v="60610"/>
    <x v="2"/>
    <x v="220"/>
    <x v="0"/>
    <x v="5"/>
    <x v="221"/>
    <x v="234"/>
    <x v="1"/>
    <x v="0"/>
  </r>
  <r>
    <n v="240"/>
    <x v="112"/>
    <x v="30"/>
    <d v="2017-06-09T00:00:00"/>
    <s v="Second Class"/>
    <x v="107"/>
    <s v="Ken Lonsdale"/>
    <x v="0"/>
    <s v="United States"/>
    <s v="Chicago"/>
    <x v="10"/>
    <n v="60610"/>
    <x v="2"/>
    <x v="221"/>
    <x v="0"/>
    <x v="5"/>
    <x v="222"/>
    <x v="235"/>
    <x v="1"/>
    <x v="0"/>
  </r>
  <r>
    <n v="241"/>
    <x v="112"/>
    <x v="30"/>
    <d v="2017-06-09T00:00:00"/>
    <s v="Second Class"/>
    <x v="107"/>
    <s v="Ken Lonsdale"/>
    <x v="0"/>
    <s v="United States"/>
    <s v="Chicago"/>
    <x v="10"/>
    <n v="60610"/>
    <x v="2"/>
    <x v="222"/>
    <x v="2"/>
    <x v="7"/>
    <x v="223"/>
    <x v="236"/>
    <x v="1"/>
    <x v="0"/>
  </r>
  <r>
    <n v="242"/>
    <x v="112"/>
    <x v="30"/>
    <d v="2017-06-09T00:00:00"/>
    <s v="Second Class"/>
    <x v="107"/>
    <s v="Ken Lonsdale"/>
    <x v="0"/>
    <s v="United States"/>
    <s v="Chicago"/>
    <x v="10"/>
    <n v="60610"/>
    <x v="2"/>
    <x v="223"/>
    <x v="0"/>
    <x v="3"/>
    <x v="224"/>
    <x v="237"/>
    <x v="1"/>
    <x v="0"/>
  </r>
  <r>
    <n v="243"/>
    <x v="112"/>
    <x v="30"/>
    <d v="2017-06-09T00:00:00"/>
    <s v="Second Class"/>
    <x v="107"/>
    <s v="Ken Lonsdale"/>
    <x v="0"/>
    <s v="United States"/>
    <s v="Chicago"/>
    <x v="10"/>
    <n v="60610"/>
    <x v="2"/>
    <x v="224"/>
    <x v="0"/>
    <x v="5"/>
    <x v="225"/>
    <x v="238"/>
    <x v="1"/>
    <x v="0"/>
  </r>
  <r>
    <n v="244"/>
    <x v="112"/>
    <x v="30"/>
    <d v="2017-06-09T00:00:00"/>
    <s v="Second Class"/>
    <x v="107"/>
    <s v="Ken Lonsdale"/>
    <x v="0"/>
    <s v="United States"/>
    <s v="Chicago"/>
    <x v="10"/>
    <n v="60610"/>
    <x v="2"/>
    <x v="182"/>
    <x v="1"/>
    <x v="6"/>
    <x v="183"/>
    <x v="191"/>
    <x v="1"/>
    <x v="0"/>
  </r>
  <r>
    <n v="245"/>
    <x v="113"/>
    <x v="106"/>
    <d v="2015-06-06T00:00:00"/>
    <s v="Second Class"/>
    <x v="108"/>
    <s v="Dianna Wilson"/>
    <x v="2"/>
    <s v="United States"/>
    <s v="Lakeville"/>
    <x v="11"/>
    <n v="55044"/>
    <x v="2"/>
    <x v="120"/>
    <x v="0"/>
    <x v="1"/>
    <x v="120"/>
    <x v="239"/>
    <x v="1"/>
    <x v="2"/>
  </r>
  <r>
    <n v="246"/>
    <x v="113"/>
    <x v="106"/>
    <d v="2015-06-06T00:00:00"/>
    <s v="Second Class"/>
    <x v="108"/>
    <s v="Dianna Wilson"/>
    <x v="2"/>
    <s v="United States"/>
    <s v="Lakeville"/>
    <x v="11"/>
    <n v="55044"/>
    <x v="2"/>
    <x v="225"/>
    <x v="1"/>
    <x v="4"/>
    <x v="226"/>
    <x v="240"/>
    <x v="1"/>
    <x v="2"/>
  </r>
  <r>
    <n v="247"/>
    <x v="113"/>
    <x v="106"/>
    <d v="2015-06-06T00:00:00"/>
    <s v="Second Class"/>
    <x v="108"/>
    <s v="Dianna Wilson"/>
    <x v="2"/>
    <s v="United States"/>
    <s v="Lakeville"/>
    <x v="11"/>
    <n v="55044"/>
    <x v="2"/>
    <x v="226"/>
    <x v="1"/>
    <x v="10"/>
    <x v="227"/>
    <x v="241"/>
    <x v="1"/>
    <x v="2"/>
  </r>
  <r>
    <n v="248"/>
    <x v="113"/>
    <x v="106"/>
    <d v="2015-06-06T00:00:00"/>
    <s v="Second Class"/>
    <x v="108"/>
    <s v="Dianna Wilson"/>
    <x v="2"/>
    <s v="United States"/>
    <s v="Lakeville"/>
    <x v="11"/>
    <n v="55044"/>
    <x v="2"/>
    <x v="227"/>
    <x v="1"/>
    <x v="9"/>
    <x v="228"/>
    <x v="242"/>
    <x v="1"/>
    <x v="2"/>
  </r>
  <r>
    <n v="249"/>
    <x v="113"/>
    <x v="106"/>
    <d v="2015-06-06T00:00:00"/>
    <s v="Second Class"/>
    <x v="108"/>
    <s v="Dianna Wilson"/>
    <x v="2"/>
    <s v="United States"/>
    <s v="Lakeville"/>
    <x v="11"/>
    <n v="55044"/>
    <x v="2"/>
    <x v="180"/>
    <x v="1"/>
    <x v="10"/>
    <x v="181"/>
    <x v="233"/>
    <x v="1"/>
    <x v="2"/>
  </r>
  <r>
    <n v="250"/>
    <x v="114"/>
    <x v="107"/>
    <d v="2017-12-15T00:00:00"/>
    <s v="Second Class"/>
    <x v="109"/>
    <s v="Logan Haushalter"/>
    <x v="0"/>
    <s v="United States"/>
    <s v="San Francisco"/>
    <x v="1"/>
    <n v="94109"/>
    <x v="1"/>
    <x v="228"/>
    <x v="0"/>
    <x v="1"/>
    <x v="229"/>
    <x v="243"/>
    <x v="4"/>
    <x v="0"/>
  </r>
  <r>
    <n v="251"/>
    <x v="115"/>
    <x v="108"/>
    <d v="2017-09-17T00:00:00"/>
    <s v="Standard Class"/>
    <x v="110"/>
    <s v="Kelly Collister"/>
    <x v="0"/>
    <s v="United States"/>
    <s v="San Diego"/>
    <x v="1"/>
    <n v="92037"/>
    <x v="1"/>
    <x v="229"/>
    <x v="1"/>
    <x v="10"/>
    <x v="230"/>
    <x v="244"/>
    <x v="8"/>
    <x v="0"/>
  </r>
  <r>
    <n v="252"/>
    <x v="115"/>
    <x v="108"/>
    <d v="2017-09-17T00:00:00"/>
    <s v="Standard Class"/>
    <x v="110"/>
    <s v="Kelly Collister"/>
    <x v="0"/>
    <s v="United States"/>
    <s v="San Diego"/>
    <x v="1"/>
    <n v="92037"/>
    <x v="1"/>
    <x v="217"/>
    <x v="2"/>
    <x v="11"/>
    <x v="218"/>
    <x v="245"/>
    <x v="8"/>
    <x v="0"/>
  </r>
  <r>
    <n v="253"/>
    <x v="116"/>
    <x v="107"/>
    <d v="2017-12-13T00:00:00"/>
    <s v="First Class"/>
    <x v="111"/>
    <s v="Delfina Latchford"/>
    <x v="0"/>
    <s v="United States"/>
    <s v="New York City"/>
    <x v="15"/>
    <n v="10024"/>
    <x v="3"/>
    <x v="230"/>
    <x v="1"/>
    <x v="4"/>
    <x v="231"/>
    <x v="246"/>
    <x v="4"/>
    <x v="0"/>
  </r>
  <r>
    <n v="254"/>
    <x v="116"/>
    <x v="107"/>
    <d v="2017-12-13T00:00:00"/>
    <s v="First Class"/>
    <x v="111"/>
    <s v="Delfina Latchford"/>
    <x v="0"/>
    <s v="United States"/>
    <s v="New York City"/>
    <x v="15"/>
    <n v="10024"/>
    <x v="3"/>
    <x v="231"/>
    <x v="1"/>
    <x v="12"/>
    <x v="232"/>
    <x v="247"/>
    <x v="4"/>
    <x v="0"/>
  </r>
  <r>
    <n v="255"/>
    <x v="117"/>
    <x v="109"/>
    <d v="2016-12-04T00:00:00"/>
    <s v="Standard Class"/>
    <x v="112"/>
    <s v="Dan Reichenbach"/>
    <x v="1"/>
    <s v="United States"/>
    <s v="Chicago"/>
    <x v="10"/>
    <n v="60623"/>
    <x v="2"/>
    <x v="224"/>
    <x v="0"/>
    <x v="5"/>
    <x v="225"/>
    <x v="248"/>
    <x v="0"/>
    <x v="1"/>
  </r>
  <r>
    <n v="256"/>
    <x v="117"/>
    <x v="109"/>
    <d v="2016-12-04T00:00:00"/>
    <s v="Standard Class"/>
    <x v="112"/>
    <s v="Dan Reichenbach"/>
    <x v="1"/>
    <s v="United States"/>
    <s v="Chicago"/>
    <x v="10"/>
    <n v="60623"/>
    <x v="2"/>
    <x v="232"/>
    <x v="1"/>
    <x v="4"/>
    <x v="233"/>
    <x v="249"/>
    <x v="0"/>
    <x v="1"/>
  </r>
  <r>
    <n v="257"/>
    <x v="117"/>
    <x v="109"/>
    <d v="2016-12-04T00:00:00"/>
    <s v="Standard Class"/>
    <x v="112"/>
    <s v="Dan Reichenbach"/>
    <x v="1"/>
    <s v="United States"/>
    <s v="Chicago"/>
    <x v="10"/>
    <n v="60623"/>
    <x v="2"/>
    <x v="146"/>
    <x v="1"/>
    <x v="4"/>
    <x v="147"/>
    <x v="250"/>
    <x v="0"/>
    <x v="1"/>
  </r>
  <r>
    <n v="258"/>
    <x v="117"/>
    <x v="109"/>
    <d v="2016-12-04T00:00:00"/>
    <s v="Standard Class"/>
    <x v="112"/>
    <s v="Dan Reichenbach"/>
    <x v="1"/>
    <s v="United States"/>
    <s v="Chicago"/>
    <x v="10"/>
    <n v="60623"/>
    <x v="2"/>
    <x v="233"/>
    <x v="2"/>
    <x v="7"/>
    <x v="234"/>
    <x v="251"/>
    <x v="0"/>
    <x v="1"/>
  </r>
  <r>
    <n v="259"/>
    <x v="118"/>
    <x v="96"/>
    <d v="2018-12-03T00:00:00"/>
    <s v="Second Class"/>
    <x v="113"/>
    <s v="Craig Carreira"/>
    <x v="0"/>
    <s v="United States"/>
    <s v="New York City"/>
    <x v="15"/>
    <n v="10009"/>
    <x v="3"/>
    <x v="234"/>
    <x v="2"/>
    <x v="11"/>
    <x v="235"/>
    <x v="252"/>
    <x v="4"/>
    <x v="3"/>
  </r>
  <r>
    <n v="260"/>
    <x v="118"/>
    <x v="96"/>
    <d v="2018-12-03T00:00:00"/>
    <s v="Second Class"/>
    <x v="113"/>
    <s v="Craig Carreira"/>
    <x v="0"/>
    <s v="United States"/>
    <s v="New York City"/>
    <x v="15"/>
    <n v="10009"/>
    <x v="3"/>
    <x v="235"/>
    <x v="1"/>
    <x v="4"/>
    <x v="236"/>
    <x v="253"/>
    <x v="4"/>
    <x v="3"/>
  </r>
  <r>
    <n v="261"/>
    <x v="118"/>
    <x v="96"/>
    <d v="2018-12-03T00:00:00"/>
    <s v="Second Class"/>
    <x v="113"/>
    <s v="Craig Carreira"/>
    <x v="0"/>
    <s v="United States"/>
    <s v="New York City"/>
    <x v="15"/>
    <n v="10009"/>
    <x v="3"/>
    <x v="236"/>
    <x v="1"/>
    <x v="8"/>
    <x v="237"/>
    <x v="254"/>
    <x v="4"/>
    <x v="3"/>
  </r>
  <r>
    <n v="262"/>
    <x v="119"/>
    <x v="110"/>
    <d v="2018-06-12T00:00:00"/>
    <s v="Standard Class"/>
    <x v="114"/>
    <s v="Dorris liebe"/>
    <x v="1"/>
    <s v="United States"/>
    <s v="Pasadena"/>
    <x v="5"/>
    <n v="77506"/>
    <x v="2"/>
    <x v="237"/>
    <x v="1"/>
    <x v="9"/>
    <x v="238"/>
    <x v="255"/>
    <x v="1"/>
    <x v="3"/>
  </r>
  <r>
    <n v="263"/>
    <x v="120"/>
    <x v="111"/>
    <d v="2015-09-21T00:00:00"/>
    <s v="Second Class"/>
    <x v="115"/>
    <s v="Sean Braxton"/>
    <x v="1"/>
    <s v="United States"/>
    <s v="Houston"/>
    <x v="5"/>
    <n v="77036"/>
    <x v="2"/>
    <x v="155"/>
    <x v="2"/>
    <x v="15"/>
    <x v="156"/>
    <x v="256"/>
    <x v="8"/>
    <x v="2"/>
  </r>
  <r>
    <n v="264"/>
    <x v="120"/>
    <x v="111"/>
    <d v="2015-09-21T00:00:00"/>
    <s v="Second Class"/>
    <x v="115"/>
    <s v="Sean Braxton"/>
    <x v="1"/>
    <s v="United States"/>
    <s v="Houston"/>
    <x v="5"/>
    <n v="77036"/>
    <x v="2"/>
    <x v="238"/>
    <x v="2"/>
    <x v="15"/>
    <x v="239"/>
    <x v="257"/>
    <x v="8"/>
    <x v="2"/>
  </r>
  <r>
    <n v="265"/>
    <x v="121"/>
    <x v="112"/>
    <d v="2017-06-13T00:00:00"/>
    <s v="Standard Class"/>
    <x v="116"/>
    <s v="Roy Collins"/>
    <x v="0"/>
    <s v="United States"/>
    <s v="Chicago"/>
    <x v="10"/>
    <n v="60610"/>
    <x v="2"/>
    <x v="239"/>
    <x v="2"/>
    <x v="7"/>
    <x v="240"/>
    <x v="258"/>
    <x v="1"/>
    <x v="0"/>
  </r>
  <r>
    <n v="266"/>
    <x v="122"/>
    <x v="113"/>
    <d v="2016-11-15T00:00:00"/>
    <s v="Standard Class"/>
    <x v="117"/>
    <s v="Alan Hwang"/>
    <x v="0"/>
    <s v="United States"/>
    <s v="Brentwood"/>
    <x v="1"/>
    <n v="94513"/>
    <x v="1"/>
    <x v="240"/>
    <x v="2"/>
    <x v="11"/>
    <x v="241"/>
    <x v="259"/>
    <x v="0"/>
    <x v="1"/>
  </r>
  <r>
    <n v="267"/>
    <x v="123"/>
    <x v="114"/>
    <d v="2018-06-20T00:00:00"/>
    <s v="Standard Class"/>
    <x v="118"/>
    <s v="Claudia Bergmann"/>
    <x v="1"/>
    <s v="United States"/>
    <s v="Chapel Hill"/>
    <x v="3"/>
    <n v="27514"/>
    <x v="0"/>
    <x v="241"/>
    <x v="1"/>
    <x v="6"/>
    <x v="242"/>
    <x v="260"/>
    <x v="1"/>
    <x v="3"/>
  </r>
  <r>
    <n v="268"/>
    <x v="124"/>
    <x v="115"/>
    <d v="2017-01-28T00:00:00"/>
    <s v="Standard Class"/>
    <x v="38"/>
    <s v="Paul Gonzalez"/>
    <x v="0"/>
    <s v="United States"/>
    <s v="Morristown"/>
    <x v="30"/>
    <n v="7960"/>
    <x v="3"/>
    <x v="242"/>
    <x v="1"/>
    <x v="13"/>
    <x v="243"/>
    <x v="261"/>
    <x v="9"/>
    <x v="0"/>
  </r>
  <r>
    <n v="269"/>
    <x v="125"/>
    <x v="34"/>
    <d v="2018-12-13T00:00:00"/>
    <s v="Standard Class"/>
    <x v="119"/>
    <s v="Christine Abelman"/>
    <x v="1"/>
    <s v="United States"/>
    <s v="Cincinnati"/>
    <x v="24"/>
    <n v="45231"/>
    <x v="3"/>
    <x v="243"/>
    <x v="1"/>
    <x v="4"/>
    <x v="244"/>
    <x v="262"/>
    <x v="4"/>
    <x v="3"/>
  </r>
  <r>
    <n v="270"/>
    <x v="125"/>
    <x v="34"/>
    <d v="2018-12-13T00:00:00"/>
    <s v="Standard Class"/>
    <x v="119"/>
    <s v="Christine Abelman"/>
    <x v="1"/>
    <s v="United States"/>
    <s v="Cincinnati"/>
    <x v="24"/>
    <n v="45231"/>
    <x v="3"/>
    <x v="244"/>
    <x v="1"/>
    <x v="12"/>
    <x v="245"/>
    <x v="263"/>
    <x v="4"/>
    <x v="3"/>
  </r>
  <r>
    <n v="271"/>
    <x v="126"/>
    <x v="116"/>
    <d v="2019-01-02T00:00:00"/>
    <s v="Second Class"/>
    <x v="120"/>
    <s v="Kristen Hastings"/>
    <x v="1"/>
    <s v="United States"/>
    <s v="San Francisco"/>
    <x v="1"/>
    <n v="94110"/>
    <x v="1"/>
    <x v="245"/>
    <x v="1"/>
    <x v="4"/>
    <x v="246"/>
    <x v="264"/>
    <x v="4"/>
    <x v="3"/>
  </r>
  <r>
    <n v="272"/>
    <x v="127"/>
    <x v="117"/>
    <d v="2016-07-31T00:00:00"/>
    <s v="First Class"/>
    <x v="66"/>
    <s v="Helen Andreada"/>
    <x v="0"/>
    <s v="United States"/>
    <s v="San Francisco"/>
    <x v="1"/>
    <n v="94109"/>
    <x v="1"/>
    <x v="246"/>
    <x v="2"/>
    <x v="11"/>
    <x v="247"/>
    <x v="265"/>
    <x v="7"/>
    <x v="1"/>
  </r>
  <r>
    <n v="273"/>
    <x v="127"/>
    <x v="117"/>
    <d v="2016-07-31T00:00:00"/>
    <s v="First Class"/>
    <x v="66"/>
    <s v="Helen Andreada"/>
    <x v="0"/>
    <s v="United States"/>
    <s v="San Francisco"/>
    <x v="1"/>
    <n v="94109"/>
    <x v="1"/>
    <x v="247"/>
    <x v="0"/>
    <x v="5"/>
    <x v="248"/>
    <x v="266"/>
    <x v="7"/>
    <x v="1"/>
  </r>
  <r>
    <n v="274"/>
    <x v="127"/>
    <x v="117"/>
    <d v="2016-07-31T00:00:00"/>
    <s v="First Class"/>
    <x v="66"/>
    <s v="Helen Andreada"/>
    <x v="0"/>
    <s v="United States"/>
    <s v="San Francisco"/>
    <x v="1"/>
    <n v="94109"/>
    <x v="1"/>
    <x v="248"/>
    <x v="1"/>
    <x v="8"/>
    <x v="249"/>
    <x v="267"/>
    <x v="7"/>
    <x v="1"/>
  </r>
  <r>
    <n v="275"/>
    <x v="128"/>
    <x v="118"/>
    <d v="2018-09-17T00:00:00"/>
    <s v="First Class"/>
    <x v="121"/>
    <s v="Barry Blumstein"/>
    <x v="1"/>
    <s v="United States"/>
    <s v="Inglewood"/>
    <x v="1"/>
    <n v="90301"/>
    <x v="1"/>
    <x v="249"/>
    <x v="1"/>
    <x v="10"/>
    <x v="250"/>
    <x v="138"/>
    <x v="8"/>
    <x v="3"/>
  </r>
  <r>
    <n v="276"/>
    <x v="128"/>
    <x v="118"/>
    <d v="2018-09-17T00:00:00"/>
    <s v="First Class"/>
    <x v="121"/>
    <s v="Barry Blumstein"/>
    <x v="1"/>
    <s v="United States"/>
    <s v="Inglewood"/>
    <x v="1"/>
    <n v="90301"/>
    <x v="1"/>
    <x v="250"/>
    <x v="1"/>
    <x v="6"/>
    <x v="251"/>
    <x v="156"/>
    <x v="8"/>
    <x v="3"/>
  </r>
  <r>
    <n v="277"/>
    <x v="129"/>
    <x v="119"/>
    <d v="2018-10-17T00:00:00"/>
    <s v="Standard Class"/>
    <x v="122"/>
    <s v="Andrew Gjertsen"/>
    <x v="1"/>
    <s v="United States"/>
    <s v="Philadelphia"/>
    <x v="9"/>
    <n v="19140"/>
    <x v="3"/>
    <x v="251"/>
    <x v="1"/>
    <x v="10"/>
    <x v="252"/>
    <x v="25"/>
    <x v="2"/>
    <x v="3"/>
  </r>
  <r>
    <n v="278"/>
    <x v="129"/>
    <x v="119"/>
    <d v="2018-10-17T00:00:00"/>
    <s v="Standard Class"/>
    <x v="122"/>
    <s v="Andrew Gjertsen"/>
    <x v="1"/>
    <s v="United States"/>
    <s v="Philadelphia"/>
    <x v="9"/>
    <n v="19140"/>
    <x v="3"/>
    <x v="252"/>
    <x v="1"/>
    <x v="10"/>
    <x v="253"/>
    <x v="268"/>
    <x v="2"/>
    <x v="3"/>
  </r>
  <r>
    <n v="279"/>
    <x v="129"/>
    <x v="119"/>
    <d v="2018-10-17T00:00:00"/>
    <s v="Standard Class"/>
    <x v="122"/>
    <s v="Andrew Gjertsen"/>
    <x v="1"/>
    <s v="United States"/>
    <s v="Philadelphia"/>
    <x v="9"/>
    <n v="19140"/>
    <x v="3"/>
    <x v="253"/>
    <x v="1"/>
    <x v="4"/>
    <x v="254"/>
    <x v="269"/>
    <x v="2"/>
    <x v="3"/>
  </r>
  <r>
    <n v="280"/>
    <x v="129"/>
    <x v="119"/>
    <d v="2018-10-17T00:00:00"/>
    <s v="Standard Class"/>
    <x v="122"/>
    <s v="Andrew Gjertsen"/>
    <x v="1"/>
    <s v="United States"/>
    <s v="Philadelphia"/>
    <x v="9"/>
    <n v="19140"/>
    <x v="3"/>
    <x v="254"/>
    <x v="1"/>
    <x v="2"/>
    <x v="255"/>
    <x v="270"/>
    <x v="2"/>
    <x v="3"/>
  </r>
  <r>
    <n v="281"/>
    <x v="130"/>
    <x v="120"/>
    <d v="2016-09-28T00:00:00"/>
    <s v="Second Class"/>
    <x v="56"/>
    <s v="Steven Cartwright"/>
    <x v="0"/>
    <s v="United States"/>
    <s v="Houston"/>
    <x v="5"/>
    <n v="77070"/>
    <x v="2"/>
    <x v="255"/>
    <x v="1"/>
    <x v="8"/>
    <x v="256"/>
    <x v="271"/>
    <x v="8"/>
    <x v="1"/>
  </r>
  <r>
    <n v="282"/>
    <x v="130"/>
    <x v="120"/>
    <d v="2016-09-28T00:00:00"/>
    <s v="Second Class"/>
    <x v="56"/>
    <s v="Steven Cartwright"/>
    <x v="0"/>
    <s v="United States"/>
    <s v="Houston"/>
    <x v="5"/>
    <n v="77070"/>
    <x v="2"/>
    <x v="256"/>
    <x v="2"/>
    <x v="7"/>
    <x v="257"/>
    <x v="272"/>
    <x v="8"/>
    <x v="1"/>
  </r>
  <r>
    <n v="283"/>
    <x v="131"/>
    <x v="121"/>
    <d v="2016-11-06T00:00:00"/>
    <s v="Standard Class"/>
    <x v="123"/>
    <s v="Jas O'Carroll"/>
    <x v="0"/>
    <s v="United States"/>
    <s v="Los Angeles"/>
    <x v="1"/>
    <n v="90004"/>
    <x v="1"/>
    <x v="257"/>
    <x v="0"/>
    <x v="3"/>
    <x v="258"/>
    <x v="273"/>
    <x v="0"/>
    <x v="1"/>
  </r>
  <r>
    <n v="284"/>
    <x v="132"/>
    <x v="120"/>
    <d v="2016-10-02T00:00:00"/>
    <s v="Standard Class"/>
    <x v="14"/>
    <s v="Tracy Blumstein"/>
    <x v="0"/>
    <s v="United States"/>
    <s v="Portland"/>
    <x v="21"/>
    <n v="97206"/>
    <x v="1"/>
    <x v="258"/>
    <x v="1"/>
    <x v="10"/>
    <x v="33"/>
    <x v="274"/>
    <x v="8"/>
    <x v="1"/>
  </r>
  <r>
    <n v="285"/>
    <x v="132"/>
    <x v="120"/>
    <d v="2016-10-02T00:00:00"/>
    <s v="Standard Class"/>
    <x v="14"/>
    <s v="Tracy Blumstein"/>
    <x v="0"/>
    <s v="United States"/>
    <s v="Portland"/>
    <x v="21"/>
    <n v="97206"/>
    <x v="1"/>
    <x v="259"/>
    <x v="2"/>
    <x v="11"/>
    <x v="259"/>
    <x v="275"/>
    <x v="8"/>
    <x v="1"/>
  </r>
  <r>
    <n v="286"/>
    <x v="132"/>
    <x v="120"/>
    <d v="2016-10-02T00:00:00"/>
    <s v="Standard Class"/>
    <x v="14"/>
    <s v="Tracy Blumstein"/>
    <x v="0"/>
    <s v="United States"/>
    <s v="Portland"/>
    <x v="21"/>
    <n v="97206"/>
    <x v="1"/>
    <x v="260"/>
    <x v="1"/>
    <x v="10"/>
    <x v="260"/>
    <x v="276"/>
    <x v="8"/>
    <x v="1"/>
  </r>
  <r>
    <n v="287"/>
    <x v="133"/>
    <x v="122"/>
    <d v="2017-12-20T00:00:00"/>
    <s v="Second Class"/>
    <x v="124"/>
    <s v="Alan Haines"/>
    <x v="1"/>
    <s v="United States"/>
    <s v="Tamarac"/>
    <x v="2"/>
    <n v="33319"/>
    <x v="0"/>
    <x v="261"/>
    <x v="1"/>
    <x v="8"/>
    <x v="261"/>
    <x v="277"/>
    <x v="4"/>
    <x v="0"/>
  </r>
  <r>
    <n v="288"/>
    <x v="133"/>
    <x v="122"/>
    <d v="2017-12-20T00:00:00"/>
    <s v="Second Class"/>
    <x v="124"/>
    <s v="Alan Haines"/>
    <x v="1"/>
    <s v="United States"/>
    <s v="Tamarac"/>
    <x v="2"/>
    <n v="33319"/>
    <x v="0"/>
    <x v="166"/>
    <x v="1"/>
    <x v="9"/>
    <x v="167"/>
    <x v="278"/>
    <x v="4"/>
    <x v="0"/>
  </r>
  <r>
    <n v="289"/>
    <x v="133"/>
    <x v="122"/>
    <d v="2017-12-20T00:00:00"/>
    <s v="Second Class"/>
    <x v="124"/>
    <s v="Alan Haines"/>
    <x v="1"/>
    <s v="United States"/>
    <s v="Tamarac"/>
    <x v="2"/>
    <n v="33319"/>
    <x v="0"/>
    <x v="262"/>
    <x v="1"/>
    <x v="14"/>
    <x v="262"/>
    <x v="279"/>
    <x v="4"/>
    <x v="0"/>
  </r>
  <r>
    <n v="290"/>
    <x v="134"/>
    <x v="73"/>
    <d v="2017-11-24T00:00:00"/>
    <s v="Second Class"/>
    <x v="125"/>
    <s v="Nick Zandusky"/>
    <x v="2"/>
    <s v="United States"/>
    <s v="Columbus"/>
    <x v="24"/>
    <n v="43229"/>
    <x v="3"/>
    <x v="263"/>
    <x v="1"/>
    <x v="13"/>
    <x v="263"/>
    <x v="280"/>
    <x v="0"/>
    <x v="0"/>
  </r>
  <r>
    <n v="291"/>
    <x v="134"/>
    <x v="73"/>
    <d v="2017-11-24T00:00:00"/>
    <s v="Second Class"/>
    <x v="125"/>
    <s v="Nick Zandusky"/>
    <x v="2"/>
    <s v="United States"/>
    <s v="Columbus"/>
    <x v="24"/>
    <n v="43229"/>
    <x v="3"/>
    <x v="264"/>
    <x v="1"/>
    <x v="2"/>
    <x v="264"/>
    <x v="281"/>
    <x v="0"/>
    <x v="0"/>
  </r>
  <r>
    <n v="292"/>
    <x v="134"/>
    <x v="73"/>
    <d v="2017-11-24T00:00:00"/>
    <s v="Second Class"/>
    <x v="125"/>
    <s v="Nick Zandusky"/>
    <x v="2"/>
    <s v="United States"/>
    <s v="Columbus"/>
    <x v="24"/>
    <n v="43229"/>
    <x v="3"/>
    <x v="265"/>
    <x v="2"/>
    <x v="11"/>
    <x v="265"/>
    <x v="282"/>
    <x v="0"/>
    <x v="0"/>
  </r>
  <r>
    <n v="293"/>
    <x v="134"/>
    <x v="73"/>
    <d v="2017-11-24T00:00:00"/>
    <s v="Second Class"/>
    <x v="125"/>
    <s v="Nick Zandusky"/>
    <x v="2"/>
    <s v="United States"/>
    <s v="Columbus"/>
    <x v="24"/>
    <n v="43229"/>
    <x v="3"/>
    <x v="266"/>
    <x v="0"/>
    <x v="0"/>
    <x v="266"/>
    <x v="283"/>
    <x v="0"/>
    <x v="0"/>
  </r>
  <r>
    <n v="294"/>
    <x v="135"/>
    <x v="58"/>
    <d v="2015-12-28T00:00:00"/>
    <s v="First Class"/>
    <x v="126"/>
    <s v="Kelly Lampkin"/>
    <x v="1"/>
    <s v="United States"/>
    <s v="Colorado Springs"/>
    <x v="22"/>
    <n v="80906"/>
    <x v="1"/>
    <x v="267"/>
    <x v="0"/>
    <x v="5"/>
    <x v="267"/>
    <x v="284"/>
    <x v="4"/>
    <x v="2"/>
  </r>
  <r>
    <n v="295"/>
    <x v="135"/>
    <x v="58"/>
    <d v="2015-12-28T00:00:00"/>
    <s v="First Class"/>
    <x v="126"/>
    <s v="Kelly Lampkin"/>
    <x v="1"/>
    <s v="United States"/>
    <s v="Colorado Springs"/>
    <x v="22"/>
    <n v="80906"/>
    <x v="1"/>
    <x v="268"/>
    <x v="0"/>
    <x v="1"/>
    <x v="268"/>
    <x v="285"/>
    <x v="4"/>
    <x v="2"/>
  </r>
  <r>
    <n v="296"/>
    <x v="135"/>
    <x v="58"/>
    <d v="2015-12-28T00:00:00"/>
    <s v="First Class"/>
    <x v="126"/>
    <s v="Kelly Lampkin"/>
    <x v="1"/>
    <s v="United States"/>
    <s v="Colorado Springs"/>
    <x v="22"/>
    <n v="80906"/>
    <x v="1"/>
    <x v="269"/>
    <x v="0"/>
    <x v="5"/>
    <x v="269"/>
    <x v="286"/>
    <x v="4"/>
    <x v="2"/>
  </r>
  <r>
    <n v="297"/>
    <x v="135"/>
    <x v="58"/>
    <d v="2015-12-28T00:00:00"/>
    <s v="First Class"/>
    <x v="126"/>
    <s v="Kelly Lampkin"/>
    <x v="1"/>
    <s v="United States"/>
    <s v="Colorado Springs"/>
    <x v="22"/>
    <n v="80906"/>
    <x v="1"/>
    <x v="270"/>
    <x v="1"/>
    <x v="8"/>
    <x v="270"/>
    <x v="287"/>
    <x v="4"/>
    <x v="2"/>
  </r>
  <r>
    <n v="298"/>
    <x v="135"/>
    <x v="58"/>
    <d v="2015-12-28T00:00:00"/>
    <s v="First Class"/>
    <x v="126"/>
    <s v="Kelly Lampkin"/>
    <x v="1"/>
    <s v="United States"/>
    <s v="Colorado Springs"/>
    <x v="22"/>
    <n v="80906"/>
    <x v="1"/>
    <x v="271"/>
    <x v="1"/>
    <x v="13"/>
    <x v="271"/>
    <x v="288"/>
    <x v="4"/>
    <x v="2"/>
  </r>
  <r>
    <n v="299"/>
    <x v="136"/>
    <x v="99"/>
    <d v="2017-11-03T00:00:00"/>
    <s v="Standard Class"/>
    <x v="63"/>
    <s v="Jonathan Doherty"/>
    <x v="1"/>
    <s v="United States"/>
    <s v="Belleville"/>
    <x v="30"/>
    <n v="7109"/>
    <x v="3"/>
    <x v="272"/>
    <x v="1"/>
    <x v="10"/>
    <x v="272"/>
    <x v="56"/>
    <x v="2"/>
    <x v="0"/>
  </r>
  <r>
    <n v="300"/>
    <x v="136"/>
    <x v="99"/>
    <d v="2017-11-03T00:00:00"/>
    <s v="Standard Class"/>
    <x v="63"/>
    <s v="Jonathan Doherty"/>
    <x v="1"/>
    <s v="United States"/>
    <s v="Belleville"/>
    <x v="30"/>
    <n v="7109"/>
    <x v="3"/>
    <x v="273"/>
    <x v="1"/>
    <x v="4"/>
    <x v="273"/>
    <x v="289"/>
    <x v="2"/>
    <x v="0"/>
  </r>
  <r>
    <n v="301"/>
    <x v="136"/>
    <x v="99"/>
    <d v="2017-11-03T00:00:00"/>
    <s v="Standard Class"/>
    <x v="63"/>
    <s v="Jonathan Doherty"/>
    <x v="1"/>
    <s v="United States"/>
    <s v="Belleville"/>
    <x v="30"/>
    <n v="7109"/>
    <x v="3"/>
    <x v="274"/>
    <x v="1"/>
    <x v="10"/>
    <x v="274"/>
    <x v="290"/>
    <x v="2"/>
    <x v="0"/>
  </r>
  <r>
    <n v="302"/>
    <x v="136"/>
    <x v="99"/>
    <d v="2017-11-03T00:00:00"/>
    <s v="Standard Class"/>
    <x v="63"/>
    <s v="Jonathan Doherty"/>
    <x v="1"/>
    <s v="United States"/>
    <s v="Belleville"/>
    <x v="30"/>
    <n v="7109"/>
    <x v="3"/>
    <x v="275"/>
    <x v="0"/>
    <x v="5"/>
    <x v="275"/>
    <x v="291"/>
    <x v="2"/>
    <x v="0"/>
  </r>
  <r>
    <n v="303"/>
    <x v="136"/>
    <x v="99"/>
    <d v="2017-11-03T00:00:00"/>
    <s v="Standard Class"/>
    <x v="63"/>
    <s v="Jonathan Doherty"/>
    <x v="1"/>
    <s v="United States"/>
    <s v="Belleville"/>
    <x v="30"/>
    <n v="7109"/>
    <x v="3"/>
    <x v="276"/>
    <x v="1"/>
    <x v="8"/>
    <x v="276"/>
    <x v="190"/>
    <x v="2"/>
    <x v="0"/>
  </r>
  <r>
    <n v="304"/>
    <x v="137"/>
    <x v="123"/>
    <d v="2018-11-23T00:00:00"/>
    <s v="Standard Class"/>
    <x v="101"/>
    <s v="Jonathan Howell"/>
    <x v="0"/>
    <s v="United States"/>
    <s v="Chicago"/>
    <x v="10"/>
    <n v="60623"/>
    <x v="2"/>
    <x v="277"/>
    <x v="0"/>
    <x v="3"/>
    <x v="277"/>
    <x v="292"/>
    <x v="0"/>
    <x v="3"/>
  </r>
  <r>
    <n v="305"/>
    <x v="138"/>
    <x v="124"/>
    <d v="2016-05-09T00:00:00"/>
    <s v="Second Class"/>
    <x v="127"/>
    <s v="Alan Schoenberger"/>
    <x v="1"/>
    <s v="United States"/>
    <s v="New York City"/>
    <x v="15"/>
    <n v="10024"/>
    <x v="3"/>
    <x v="278"/>
    <x v="0"/>
    <x v="5"/>
    <x v="278"/>
    <x v="293"/>
    <x v="5"/>
    <x v="1"/>
  </r>
  <r>
    <n v="306"/>
    <x v="139"/>
    <x v="125"/>
    <d v="2016-01-04T00:00:00"/>
    <s v="Standard Class"/>
    <x v="33"/>
    <s v="Ken Brennan"/>
    <x v="1"/>
    <s v="United States"/>
    <s v="Taylor"/>
    <x v="12"/>
    <n v="48180"/>
    <x v="2"/>
    <x v="279"/>
    <x v="1"/>
    <x v="6"/>
    <x v="279"/>
    <x v="294"/>
    <x v="4"/>
    <x v="2"/>
  </r>
  <r>
    <n v="307"/>
    <x v="140"/>
    <x v="106"/>
    <d v="2015-06-06T00:00:00"/>
    <s v="Standard Class"/>
    <x v="128"/>
    <s v="Corey Roper"/>
    <x v="2"/>
    <s v="United States"/>
    <s v="Lakewood"/>
    <x v="30"/>
    <n v="8701"/>
    <x v="3"/>
    <x v="280"/>
    <x v="1"/>
    <x v="8"/>
    <x v="280"/>
    <x v="295"/>
    <x v="1"/>
    <x v="2"/>
  </r>
  <r>
    <n v="308"/>
    <x v="140"/>
    <x v="106"/>
    <d v="2015-06-06T00:00:00"/>
    <s v="Standard Class"/>
    <x v="128"/>
    <s v="Corey Roper"/>
    <x v="2"/>
    <s v="United States"/>
    <s v="Lakewood"/>
    <x v="30"/>
    <n v="8701"/>
    <x v="3"/>
    <x v="281"/>
    <x v="1"/>
    <x v="6"/>
    <x v="281"/>
    <x v="296"/>
    <x v="1"/>
    <x v="2"/>
  </r>
  <r>
    <n v="309"/>
    <x v="141"/>
    <x v="4"/>
    <d v="2018-04-17T00:00:00"/>
    <s v="First Class"/>
    <x v="129"/>
    <s v="Shahid Hopkins"/>
    <x v="0"/>
    <s v="United States"/>
    <s v="Arlington"/>
    <x v="17"/>
    <n v="22204"/>
    <x v="0"/>
    <x v="282"/>
    <x v="1"/>
    <x v="6"/>
    <x v="282"/>
    <x v="297"/>
    <x v="3"/>
    <x v="3"/>
  </r>
  <r>
    <n v="310"/>
    <x v="142"/>
    <x v="126"/>
    <d v="2017-09-14T00:00:00"/>
    <s v="Second Class"/>
    <x v="130"/>
    <s v="Ben Peterman"/>
    <x v="1"/>
    <s v="United States"/>
    <s v="Arvada"/>
    <x v="22"/>
    <n v="80004"/>
    <x v="1"/>
    <x v="283"/>
    <x v="0"/>
    <x v="5"/>
    <x v="283"/>
    <x v="298"/>
    <x v="8"/>
    <x v="0"/>
  </r>
  <r>
    <n v="311"/>
    <x v="142"/>
    <x v="126"/>
    <d v="2017-09-14T00:00:00"/>
    <s v="Second Class"/>
    <x v="130"/>
    <s v="Ben Peterman"/>
    <x v="1"/>
    <s v="United States"/>
    <s v="Arvada"/>
    <x v="22"/>
    <n v="80004"/>
    <x v="1"/>
    <x v="284"/>
    <x v="0"/>
    <x v="1"/>
    <x v="284"/>
    <x v="299"/>
    <x v="8"/>
    <x v="0"/>
  </r>
  <r>
    <n v="312"/>
    <x v="142"/>
    <x v="126"/>
    <d v="2017-09-14T00:00:00"/>
    <s v="Second Class"/>
    <x v="130"/>
    <s v="Ben Peterman"/>
    <x v="1"/>
    <s v="United States"/>
    <s v="Arvada"/>
    <x v="22"/>
    <n v="80004"/>
    <x v="1"/>
    <x v="285"/>
    <x v="0"/>
    <x v="5"/>
    <x v="285"/>
    <x v="300"/>
    <x v="8"/>
    <x v="0"/>
  </r>
  <r>
    <n v="313"/>
    <x v="142"/>
    <x v="126"/>
    <d v="2017-09-14T00:00:00"/>
    <s v="Second Class"/>
    <x v="130"/>
    <s v="Ben Peterman"/>
    <x v="1"/>
    <s v="United States"/>
    <s v="Arvada"/>
    <x v="22"/>
    <n v="80004"/>
    <x v="1"/>
    <x v="286"/>
    <x v="1"/>
    <x v="2"/>
    <x v="286"/>
    <x v="301"/>
    <x v="8"/>
    <x v="0"/>
  </r>
  <r>
    <n v="314"/>
    <x v="143"/>
    <x v="127"/>
    <d v="2015-10-03T00:00:00"/>
    <s v="Standard Class"/>
    <x v="131"/>
    <s v="Thomas Seio"/>
    <x v="1"/>
    <s v="United States"/>
    <s v="Hackensack"/>
    <x v="30"/>
    <n v="7601"/>
    <x v="3"/>
    <x v="287"/>
    <x v="0"/>
    <x v="5"/>
    <x v="287"/>
    <x v="302"/>
    <x v="8"/>
    <x v="2"/>
  </r>
  <r>
    <n v="315"/>
    <x v="144"/>
    <x v="128"/>
    <d v="2015-08-16T00:00:00"/>
    <s v="Standard Class"/>
    <x v="132"/>
    <s v="Andy Gerbode"/>
    <x v="1"/>
    <s v="United States"/>
    <s v="Saint Petersburg"/>
    <x v="2"/>
    <n v="33710"/>
    <x v="0"/>
    <x v="288"/>
    <x v="2"/>
    <x v="7"/>
    <x v="288"/>
    <x v="303"/>
    <x v="6"/>
    <x v="2"/>
  </r>
  <r>
    <n v="316"/>
    <x v="144"/>
    <x v="128"/>
    <d v="2015-08-16T00:00:00"/>
    <s v="Standard Class"/>
    <x v="132"/>
    <s v="Andy Gerbode"/>
    <x v="1"/>
    <s v="United States"/>
    <s v="Saint Petersburg"/>
    <x v="2"/>
    <n v="33710"/>
    <x v="0"/>
    <x v="289"/>
    <x v="1"/>
    <x v="10"/>
    <x v="289"/>
    <x v="12"/>
    <x v="6"/>
    <x v="2"/>
  </r>
  <r>
    <n v="317"/>
    <x v="145"/>
    <x v="129"/>
    <d v="2015-12-30T00:00:00"/>
    <s v="First Class"/>
    <x v="133"/>
    <s v="Sung Pak"/>
    <x v="1"/>
    <s v="United States"/>
    <s v="Philadelphia"/>
    <x v="9"/>
    <n v="19143"/>
    <x v="3"/>
    <x v="290"/>
    <x v="1"/>
    <x v="6"/>
    <x v="290"/>
    <x v="304"/>
    <x v="4"/>
    <x v="2"/>
  </r>
  <r>
    <n v="318"/>
    <x v="146"/>
    <x v="130"/>
    <d v="2015-11-09T00:00:00"/>
    <s v="Standard Class"/>
    <x v="134"/>
    <s v="Nathan Mautz"/>
    <x v="2"/>
    <s v="United States"/>
    <s v="New York City"/>
    <x v="15"/>
    <n v="10024"/>
    <x v="3"/>
    <x v="291"/>
    <x v="0"/>
    <x v="1"/>
    <x v="291"/>
    <x v="305"/>
    <x v="0"/>
    <x v="2"/>
  </r>
  <r>
    <n v="319"/>
    <x v="146"/>
    <x v="130"/>
    <d v="2015-11-09T00:00:00"/>
    <s v="Standard Class"/>
    <x v="134"/>
    <s v="Nathan Mautz"/>
    <x v="2"/>
    <s v="United States"/>
    <s v="New York City"/>
    <x v="15"/>
    <n v="10024"/>
    <x v="3"/>
    <x v="292"/>
    <x v="2"/>
    <x v="15"/>
    <x v="292"/>
    <x v="306"/>
    <x v="0"/>
    <x v="2"/>
  </r>
  <r>
    <n v="320"/>
    <x v="146"/>
    <x v="130"/>
    <d v="2015-11-09T00:00:00"/>
    <s v="Standard Class"/>
    <x v="134"/>
    <s v="Nathan Mautz"/>
    <x v="2"/>
    <s v="United States"/>
    <s v="New York City"/>
    <x v="15"/>
    <n v="10024"/>
    <x v="3"/>
    <x v="40"/>
    <x v="2"/>
    <x v="7"/>
    <x v="40"/>
    <x v="307"/>
    <x v="0"/>
    <x v="2"/>
  </r>
  <r>
    <n v="321"/>
    <x v="146"/>
    <x v="130"/>
    <d v="2015-11-09T00:00:00"/>
    <s v="Standard Class"/>
    <x v="134"/>
    <s v="Nathan Mautz"/>
    <x v="2"/>
    <s v="United States"/>
    <s v="New York City"/>
    <x v="15"/>
    <n v="10024"/>
    <x v="3"/>
    <x v="293"/>
    <x v="2"/>
    <x v="11"/>
    <x v="293"/>
    <x v="308"/>
    <x v="0"/>
    <x v="2"/>
  </r>
  <r>
    <n v="322"/>
    <x v="146"/>
    <x v="130"/>
    <d v="2015-11-09T00:00:00"/>
    <s v="Standard Class"/>
    <x v="134"/>
    <s v="Nathan Mautz"/>
    <x v="2"/>
    <s v="United States"/>
    <s v="New York City"/>
    <x v="15"/>
    <n v="10024"/>
    <x v="3"/>
    <x v="123"/>
    <x v="1"/>
    <x v="4"/>
    <x v="123"/>
    <x v="309"/>
    <x v="0"/>
    <x v="2"/>
  </r>
  <r>
    <n v="323"/>
    <x v="147"/>
    <x v="111"/>
    <d v="2015-09-24T00:00:00"/>
    <s v="Standard Class"/>
    <x v="135"/>
    <s v="Frank Atkinson"/>
    <x v="1"/>
    <s v="United States"/>
    <s v="Long Beach"/>
    <x v="1"/>
    <n v="90805"/>
    <x v="1"/>
    <x v="294"/>
    <x v="1"/>
    <x v="13"/>
    <x v="294"/>
    <x v="181"/>
    <x v="8"/>
    <x v="2"/>
  </r>
  <r>
    <n v="324"/>
    <x v="148"/>
    <x v="131"/>
    <d v="2017-04-27T00:00:00"/>
    <s v="Standard Class"/>
    <x v="136"/>
    <s v="Grace Kelly"/>
    <x v="1"/>
    <s v="United States"/>
    <s v="Hesperia"/>
    <x v="1"/>
    <n v="92345"/>
    <x v="1"/>
    <x v="270"/>
    <x v="1"/>
    <x v="8"/>
    <x v="270"/>
    <x v="310"/>
    <x v="3"/>
    <x v="0"/>
  </r>
  <r>
    <n v="325"/>
    <x v="148"/>
    <x v="131"/>
    <d v="2017-04-27T00:00:00"/>
    <s v="Standard Class"/>
    <x v="136"/>
    <s v="Grace Kelly"/>
    <x v="1"/>
    <s v="United States"/>
    <s v="Hesperia"/>
    <x v="1"/>
    <n v="92345"/>
    <x v="1"/>
    <x v="295"/>
    <x v="2"/>
    <x v="11"/>
    <x v="295"/>
    <x v="311"/>
    <x v="3"/>
    <x v="0"/>
  </r>
  <r>
    <n v="326"/>
    <x v="149"/>
    <x v="132"/>
    <d v="2018-11-05T00:00:00"/>
    <s v="Second Class"/>
    <x v="137"/>
    <s v="Don Jones"/>
    <x v="1"/>
    <s v="United States"/>
    <s v="Murfreesboro"/>
    <x v="18"/>
    <n v="37130"/>
    <x v="0"/>
    <x v="296"/>
    <x v="0"/>
    <x v="5"/>
    <x v="296"/>
    <x v="312"/>
    <x v="0"/>
    <x v="3"/>
  </r>
  <r>
    <n v="327"/>
    <x v="150"/>
    <x v="133"/>
    <d v="2017-09-01T00:00:00"/>
    <s v="First Class"/>
    <x v="138"/>
    <s v="Patrick O'Brill"/>
    <x v="0"/>
    <s v="United States"/>
    <s v="Philadelphia"/>
    <x v="9"/>
    <n v="19143"/>
    <x v="3"/>
    <x v="297"/>
    <x v="2"/>
    <x v="7"/>
    <x v="297"/>
    <x v="313"/>
    <x v="6"/>
    <x v="0"/>
  </r>
  <r>
    <n v="328"/>
    <x v="150"/>
    <x v="133"/>
    <d v="2017-09-01T00:00:00"/>
    <s v="First Class"/>
    <x v="138"/>
    <s v="Patrick O'Brill"/>
    <x v="0"/>
    <s v="United States"/>
    <s v="Philadelphia"/>
    <x v="9"/>
    <n v="19143"/>
    <x v="3"/>
    <x v="298"/>
    <x v="1"/>
    <x v="4"/>
    <x v="298"/>
    <x v="314"/>
    <x v="6"/>
    <x v="0"/>
  </r>
  <r>
    <n v="329"/>
    <x v="150"/>
    <x v="133"/>
    <d v="2017-09-01T00:00:00"/>
    <s v="First Class"/>
    <x v="138"/>
    <s v="Patrick O'Brill"/>
    <x v="0"/>
    <s v="United States"/>
    <s v="Philadelphia"/>
    <x v="9"/>
    <n v="19143"/>
    <x v="3"/>
    <x v="299"/>
    <x v="0"/>
    <x v="1"/>
    <x v="299"/>
    <x v="315"/>
    <x v="6"/>
    <x v="0"/>
  </r>
  <r>
    <n v="330"/>
    <x v="150"/>
    <x v="133"/>
    <d v="2017-09-01T00:00:00"/>
    <s v="First Class"/>
    <x v="138"/>
    <s v="Patrick O'Brill"/>
    <x v="0"/>
    <s v="United States"/>
    <s v="Philadelphia"/>
    <x v="9"/>
    <n v="19143"/>
    <x v="3"/>
    <x v="300"/>
    <x v="1"/>
    <x v="2"/>
    <x v="300"/>
    <x v="316"/>
    <x v="6"/>
    <x v="0"/>
  </r>
  <r>
    <n v="331"/>
    <x v="150"/>
    <x v="133"/>
    <d v="2017-09-01T00:00:00"/>
    <s v="First Class"/>
    <x v="138"/>
    <s v="Patrick O'Brill"/>
    <x v="0"/>
    <s v="United States"/>
    <s v="Philadelphia"/>
    <x v="9"/>
    <n v="19143"/>
    <x v="3"/>
    <x v="301"/>
    <x v="1"/>
    <x v="8"/>
    <x v="301"/>
    <x v="317"/>
    <x v="6"/>
    <x v="0"/>
  </r>
  <r>
    <n v="332"/>
    <x v="151"/>
    <x v="134"/>
    <d v="2017-04-29T00:00:00"/>
    <s v="Second Class"/>
    <x v="139"/>
    <s v="John Lucas"/>
    <x v="0"/>
    <s v="United States"/>
    <s v="Philadelphia"/>
    <x v="9"/>
    <n v="19134"/>
    <x v="3"/>
    <x v="302"/>
    <x v="2"/>
    <x v="7"/>
    <x v="302"/>
    <x v="137"/>
    <x v="3"/>
    <x v="0"/>
  </r>
  <r>
    <n v="333"/>
    <x v="151"/>
    <x v="134"/>
    <d v="2017-04-29T00:00:00"/>
    <s v="Second Class"/>
    <x v="139"/>
    <s v="John Lucas"/>
    <x v="0"/>
    <s v="United States"/>
    <s v="Philadelphia"/>
    <x v="9"/>
    <n v="19134"/>
    <x v="3"/>
    <x v="303"/>
    <x v="1"/>
    <x v="8"/>
    <x v="303"/>
    <x v="318"/>
    <x v="3"/>
    <x v="0"/>
  </r>
  <r>
    <n v="334"/>
    <x v="151"/>
    <x v="134"/>
    <d v="2017-04-29T00:00:00"/>
    <s v="Second Class"/>
    <x v="139"/>
    <s v="John Lucas"/>
    <x v="0"/>
    <s v="United States"/>
    <s v="Philadelphia"/>
    <x v="9"/>
    <n v="19134"/>
    <x v="3"/>
    <x v="304"/>
    <x v="1"/>
    <x v="8"/>
    <x v="304"/>
    <x v="319"/>
    <x v="3"/>
    <x v="0"/>
  </r>
  <r>
    <n v="335"/>
    <x v="152"/>
    <x v="135"/>
    <d v="2016-09-04T00:00:00"/>
    <s v="Second Class"/>
    <x v="140"/>
    <s v="Doug Bickford"/>
    <x v="0"/>
    <s v="United States"/>
    <s v="Los Angeles"/>
    <x v="1"/>
    <n v="90045"/>
    <x v="1"/>
    <x v="305"/>
    <x v="1"/>
    <x v="8"/>
    <x v="305"/>
    <x v="320"/>
    <x v="8"/>
    <x v="1"/>
  </r>
  <r>
    <n v="336"/>
    <x v="152"/>
    <x v="135"/>
    <d v="2016-09-04T00:00:00"/>
    <s v="Second Class"/>
    <x v="140"/>
    <s v="Doug Bickford"/>
    <x v="0"/>
    <s v="United States"/>
    <s v="Los Angeles"/>
    <x v="1"/>
    <n v="90045"/>
    <x v="1"/>
    <x v="306"/>
    <x v="2"/>
    <x v="16"/>
    <x v="306"/>
    <x v="321"/>
    <x v="8"/>
    <x v="1"/>
  </r>
  <r>
    <n v="337"/>
    <x v="152"/>
    <x v="135"/>
    <d v="2016-09-04T00:00:00"/>
    <s v="Second Class"/>
    <x v="140"/>
    <s v="Doug Bickford"/>
    <x v="0"/>
    <s v="United States"/>
    <s v="Los Angeles"/>
    <x v="1"/>
    <n v="90045"/>
    <x v="1"/>
    <x v="307"/>
    <x v="1"/>
    <x v="8"/>
    <x v="307"/>
    <x v="322"/>
    <x v="8"/>
    <x v="1"/>
  </r>
  <r>
    <n v="338"/>
    <x v="153"/>
    <x v="136"/>
    <d v="2015-07-17T00:00:00"/>
    <s v="Standard Class"/>
    <x v="141"/>
    <s v="Alyssa Crouse"/>
    <x v="1"/>
    <s v="United States"/>
    <s v="San Francisco"/>
    <x v="1"/>
    <n v="94122"/>
    <x v="1"/>
    <x v="308"/>
    <x v="1"/>
    <x v="8"/>
    <x v="308"/>
    <x v="323"/>
    <x v="7"/>
    <x v="2"/>
  </r>
  <r>
    <n v="339"/>
    <x v="153"/>
    <x v="136"/>
    <d v="2015-07-17T00:00:00"/>
    <s v="Standard Class"/>
    <x v="141"/>
    <s v="Alyssa Crouse"/>
    <x v="1"/>
    <s v="United States"/>
    <s v="San Francisco"/>
    <x v="1"/>
    <n v="94122"/>
    <x v="1"/>
    <x v="309"/>
    <x v="0"/>
    <x v="3"/>
    <x v="309"/>
    <x v="324"/>
    <x v="7"/>
    <x v="2"/>
  </r>
  <r>
    <n v="340"/>
    <x v="154"/>
    <x v="137"/>
    <d v="2016-06-26T00:00:00"/>
    <s v="Second Class"/>
    <x v="107"/>
    <s v="Ken Lonsdale"/>
    <x v="0"/>
    <s v="United States"/>
    <s v="Layton"/>
    <x v="7"/>
    <n v="84041"/>
    <x v="1"/>
    <x v="310"/>
    <x v="1"/>
    <x v="13"/>
    <x v="310"/>
    <x v="325"/>
    <x v="1"/>
    <x v="1"/>
  </r>
  <r>
    <n v="341"/>
    <x v="155"/>
    <x v="138"/>
    <d v="2015-04-17T00:00:00"/>
    <s v="Second Class"/>
    <x v="63"/>
    <s v="Jonathan Doherty"/>
    <x v="1"/>
    <s v="United States"/>
    <s v="Philadelphia"/>
    <x v="9"/>
    <n v="19140"/>
    <x v="3"/>
    <x v="311"/>
    <x v="1"/>
    <x v="6"/>
    <x v="311"/>
    <x v="326"/>
    <x v="3"/>
    <x v="2"/>
  </r>
  <r>
    <n v="342"/>
    <x v="155"/>
    <x v="138"/>
    <d v="2015-04-17T00:00:00"/>
    <s v="Second Class"/>
    <x v="63"/>
    <s v="Jonathan Doherty"/>
    <x v="1"/>
    <s v="United States"/>
    <s v="Philadelphia"/>
    <x v="9"/>
    <n v="19140"/>
    <x v="3"/>
    <x v="13"/>
    <x v="1"/>
    <x v="8"/>
    <x v="13"/>
    <x v="327"/>
    <x v="3"/>
    <x v="2"/>
  </r>
  <r>
    <n v="343"/>
    <x v="155"/>
    <x v="138"/>
    <d v="2015-04-17T00:00:00"/>
    <s v="Second Class"/>
    <x v="63"/>
    <s v="Jonathan Doherty"/>
    <x v="1"/>
    <s v="United States"/>
    <s v="Philadelphia"/>
    <x v="9"/>
    <n v="19140"/>
    <x v="3"/>
    <x v="127"/>
    <x v="1"/>
    <x v="13"/>
    <x v="128"/>
    <x v="328"/>
    <x v="3"/>
    <x v="2"/>
  </r>
  <r>
    <n v="344"/>
    <x v="155"/>
    <x v="138"/>
    <d v="2015-04-17T00:00:00"/>
    <s v="Second Class"/>
    <x v="63"/>
    <s v="Jonathan Doherty"/>
    <x v="1"/>
    <s v="United States"/>
    <s v="Philadelphia"/>
    <x v="9"/>
    <n v="19140"/>
    <x v="3"/>
    <x v="312"/>
    <x v="2"/>
    <x v="7"/>
    <x v="312"/>
    <x v="329"/>
    <x v="3"/>
    <x v="2"/>
  </r>
  <r>
    <n v="345"/>
    <x v="156"/>
    <x v="139"/>
    <d v="2016-12-24T00:00:00"/>
    <s v="Standard Class"/>
    <x v="79"/>
    <s v="Chad Sievert"/>
    <x v="0"/>
    <s v="United States"/>
    <s v="Austin"/>
    <x v="5"/>
    <n v="78745"/>
    <x v="2"/>
    <x v="17"/>
    <x v="1"/>
    <x v="4"/>
    <x v="17"/>
    <x v="330"/>
    <x v="4"/>
    <x v="1"/>
  </r>
  <r>
    <n v="346"/>
    <x v="157"/>
    <x v="140"/>
    <d v="2018-06-19T00:00:00"/>
    <s v="Standard Class"/>
    <x v="142"/>
    <s v="Clay Cheatham"/>
    <x v="0"/>
    <s v="United States"/>
    <s v="San Francisco"/>
    <x v="1"/>
    <n v="94122"/>
    <x v="1"/>
    <x v="125"/>
    <x v="2"/>
    <x v="7"/>
    <x v="126"/>
    <x v="331"/>
    <x v="1"/>
    <x v="3"/>
  </r>
  <r>
    <n v="347"/>
    <x v="158"/>
    <x v="141"/>
    <d v="2018-07-12T00:00:00"/>
    <s v="Standard Class"/>
    <x v="143"/>
    <s v="Tamara Dahlen"/>
    <x v="0"/>
    <s v="United States"/>
    <s v="Lowell"/>
    <x v="31"/>
    <n v="1852"/>
    <x v="3"/>
    <x v="183"/>
    <x v="1"/>
    <x v="6"/>
    <x v="184"/>
    <x v="261"/>
    <x v="7"/>
    <x v="3"/>
  </r>
  <r>
    <n v="348"/>
    <x v="158"/>
    <x v="141"/>
    <d v="2018-07-12T00:00:00"/>
    <s v="Standard Class"/>
    <x v="143"/>
    <s v="Tamara Dahlen"/>
    <x v="0"/>
    <s v="United States"/>
    <s v="Lowell"/>
    <x v="31"/>
    <n v="1852"/>
    <x v="3"/>
    <x v="33"/>
    <x v="1"/>
    <x v="10"/>
    <x v="33"/>
    <x v="332"/>
    <x v="7"/>
    <x v="3"/>
  </r>
  <r>
    <n v="349"/>
    <x v="158"/>
    <x v="141"/>
    <d v="2018-07-12T00:00:00"/>
    <s v="Standard Class"/>
    <x v="143"/>
    <s v="Tamara Dahlen"/>
    <x v="0"/>
    <s v="United States"/>
    <s v="Lowell"/>
    <x v="31"/>
    <n v="1852"/>
    <x v="3"/>
    <x v="313"/>
    <x v="1"/>
    <x v="6"/>
    <x v="313"/>
    <x v="91"/>
    <x v="7"/>
    <x v="3"/>
  </r>
  <r>
    <n v="350"/>
    <x v="159"/>
    <x v="142"/>
    <d v="2017-09-03T00:00:00"/>
    <s v="First Class"/>
    <x v="144"/>
    <s v="Adam Bellavance"/>
    <x v="2"/>
    <s v="United States"/>
    <s v="New York City"/>
    <x v="15"/>
    <n v="10009"/>
    <x v="3"/>
    <x v="234"/>
    <x v="2"/>
    <x v="11"/>
    <x v="235"/>
    <x v="333"/>
    <x v="8"/>
    <x v="0"/>
  </r>
  <r>
    <n v="351"/>
    <x v="159"/>
    <x v="142"/>
    <d v="2017-09-03T00:00:00"/>
    <s v="First Class"/>
    <x v="144"/>
    <s v="Adam Bellavance"/>
    <x v="2"/>
    <s v="United States"/>
    <s v="New York City"/>
    <x v="15"/>
    <n v="10009"/>
    <x v="3"/>
    <x v="314"/>
    <x v="1"/>
    <x v="10"/>
    <x v="314"/>
    <x v="332"/>
    <x v="8"/>
    <x v="0"/>
  </r>
  <r>
    <n v="352"/>
    <x v="159"/>
    <x v="142"/>
    <d v="2017-09-03T00:00:00"/>
    <s v="First Class"/>
    <x v="144"/>
    <s v="Adam Bellavance"/>
    <x v="2"/>
    <s v="United States"/>
    <s v="New York City"/>
    <x v="15"/>
    <n v="10009"/>
    <x v="3"/>
    <x v="315"/>
    <x v="1"/>
    <x v="8"/>
    <x v="315"/>
    <x v="334"/>
    <x v="8"/>
    <x v="0"/>
  </r>
  <r>
    <n v="353"/>
    <x v="159"/>
    <x v="142"/>
    <d v="2017-09-03T00:00:00"/>
    <s v="First Class"/>
    <x v="144"/>
    <s v="Adam Bellavance"/>
    <x v="2"/>
    <s v="United States"/>
    <s v="New York City"/>
    <x v="15"/>
    <n v="10009"/>
    <x v="3"/>
    <x v="314"/>
    <x v="1"/>
    <x v="10"/>
    <x v="314"/>
    <x v="335"/>
    <x v="8"/>
    <x v="0"/>
  </r>
  <r>
    <n v="354"/>
    <x v="159"/>
    <x v="142"/>
    <d v="2017-09-03T00:00:00"/>
    <s v="First Class"/>
    <x v="144"/>
    <s v="Adam Bellavance"/>
    <x v="2"/>
    <s v="United States"/>
    <s v="New York City"/>
    <x v="15"/>
    <n v="10009"/>
    <x v="3"/>
    <x v="316"/>
    <x v="1"/>
    <x v="8"/>
    <x v="316"/>
    <x v="336"/>
    <x v="8"/>
    <x v="0"/>
  </r>
  <r>
    <n v="355"/>
    <x v="160"/>
    <x v="143"/>
    <d v="2017-04-13T00:00:00"/>
    <s v="Standard Class"/>
    <x v="145"/>
    <s v="Jeremy Lonsdale"/>
    <x v="0"/>
    <s v="United States"/>
    <s v="New York City"/>
    <x v="15"/>
    <n v="10035"/>
    <x v="3"/>
    <x v="317"/>
    <x v="0"/>
    <x v="0"/>
    <x v="317"/>
    <x v="337"/>
    <x v="3"/>
    <x v="0"/>
  </r>
  <r>
    <n v="356"/>
    <x v="160"/>
    <x v="143"/>
    <d v="2017-04-13T00:00:00"/>
    <s v="Standard Class"/>
    <x v="145"/>
    <s v="Jeremy Lonsdale"/>
    <x v="0"/>
    <s v="United States"/>
    <s v="New York City"/>
    <x v="15"/>
    <n v="10035"/>
    <x v="3"/>
    <x v="318"/>
    <x v="1"/>
    <x v="12"/>
    <x v="318"/>
    <x v="338"/>
    <x v="3"/>
    <x v="0"/>
  </r>
  <r>
    <n v="357"/>
    <x v="160"/>
    <x v="143"/>
    <d v="2017-04-13T00:00:00"/>
    <s v="Standard Class"/>
    <x v="145"/>
    <s v="Jeremy Lonsdale"/>
    <x v="0"/>
    <s v="United States"/>
    <s v="New York City"/>
    <x v="15"/>
    <n v="10035"/>
    <x v="3"/>
    <x v="319"/>
    <x v="1"/>
    <x v="6"/>
    <x v="319"/>
    <x v="339"/>
    <x v="3"/>
    <x v="0"/>
  </r>
  <r>
    <n v="358"/>
    <x v="160"/>
    <x v="143"/>
    <d v="2017-04-13T00:00:00"/>
    <s v="Standard Class"/>
    <x v="145"/>
    <s v="Jeremy Lonsdale"/>
    <x v="0"/>
    <s v="United States"/>
    <s v="New York City"/>
    <x v="15"/>
    <n v="10035"/>
    <x v="3"/>
    <x v="320"/>
    <x v="1"/>
    <x v="10"/>
    <x v="320"/>
    <x v="340"/>
    <x v="3"/>
    <x v="0"/>
  </r>
  <r>
    <n v="359"/>
    <x v="161"/>
    <x v="131"/>
    <d v="2017-04-28T00:00:00"/>
    <s v="Standard Class"/>
    <x v="96"/>
    <s v="Heather Kirkland"/>
    <x v="1"/>
    <s v="United States"/>
    <s v="Charlotte"/>
    <x v="3"/>
    <n v="28205"/>
    <x v="0"/>
    <x v="187"/>
    <x v="1"/>
    <x v="10"/>
    <x v="188"/>
    <x v="341"/>
    <x v="3"/>
    <x v="0"/>
  </r>
  <r>
    <n v="360"/>
    <x v="162"/>
    <x v="144"/>
    <d v="2018-03-11T00:00:00"/>
    <s v="First Class"/>
    <x v="146"/>
    <s v="Victoria Brennan"/>
    <x v="1"/>
    <s v="United States"/>
    <s v="Columbus"/>
    <x v="32"/>
    <n v="31907"/>
    <x v="0"/>
    <x v="321"/>
    <x v="1"/>
    <x v="9"/>
    <x v="321"/>
    <x v="342"/>
    <x v="10"/>
    <x v="3"/>
  </r>
  <r>
    <n v="361"/>
    <x v="162"/>
    <x v="144"/>
    <d v="2018-03-11T00:00:00"/>
    <s v="First Class"/>
    <x v="146"/>
    <s v="Victoria Brennan"/>
    <x v="1"/>
    <s v="United States"/>
    <s v="Columbus"/>
    <x v="32"/>
    <n v="31907"/>
    <x v="0"/>
    <x v="322"/>
    <x v="1"/>
    <x v="2"/>
    <x v="322"/>
    <x v="343"/>
    <x v="10"/>
    <x v="3"/>
  </r>
  <r>
    <n v="362"/>
    <x v="163"/>
    <x v="145"/>
    <d v="2018-10-01T00:00:00"/>
    <s v="Standard Class"/>
    <x v="147"/>
    <s v="Katrina Willman"/>
    <x v="0"/>
    <s v="United States"/>
    <s v="New York City"/>
    <x v="15"/>
    <n v="10009"/>
    <x v="3"/>
    <x v="322"/>
    <x v="1"/>
    <x v="2"/>
    <x v="322"/>
    <x v="343"/>
    <x v="8"/>
    <x v="3"/>
  </r>
  <r>
    <n v="363"/>
    <x v="163"/>
    <x v="145"/>
    <d v="2018-10-01T00:00:00"/>
    <s v="Standard Class"/>
    <x v="147"/>
    <s v="Katrina Willman"/>
    <x v="0"/>
    <s v="United States"/>
    <s v="New York City"/>
    <x v="15"/>
    <n v="10009"/>
    <x v="3"/>
    <x v="323"/>
    <x v="0"/>
    <x v="1"/>
    <x v="323"/>
    <x v="344"/>
    <x v="8"/>
    <x v="3"/>
  </r>
  <r>
    <n v="364"/>
    <x v="163"/>
    <x v="145"/>
    <d v="2018-10-01T00:00:00"/>
    <s v="Standard Class"/>
    <x v="147"/>
    <s v="Katrina Willman"/>
    <x v="0"/>
    <s v="United States"/>
    <s v="New York City"/>
    <x v="15"/>
    <n v="10009"/>
    <x v="3"/>
    <x v="324"/>
    <x v="1"/>
    <x v="6"/>
    <x v="324"/>
    <x v="345"/>
    <x v="8"/>
    <x v="3"/>
  </r>
  <r>
    <n v="365"/>
    <x v="163"/>
    <x v="145"/>
    <d v="2018-10-01T00:00:00"/>
    <s v="Standard Class"/>
    <x v="147"/>
    <s v="Katrina Willman"/>
    <x v="0"/>
    <s v="United States"/>
    <s v="New York City"/>
    <x v="15"/>
    <n v="10009"/>
    <x v="3"/>
    <x v="325"/>
    <x v="0"/>
    <x v="5"/>
    <x v="325"/>
    <x v="346"/>
    <x v="8"/>
    <x v="3"/>
  </r>
  <r>
    <n v="366"/>
    <x v="164"/>
    <x v="146"/>
    <d v="2015-09-29T00:00:00"/>
    <s v="Standard Class"/>
    <x v="148"/>
    <s v="Julia Dunbar"/>
    <x v="0"/>
    <s v="United States"/>
    <s v="San Francisco"/>
    <x v="1"/>
    <n v="94109"/>
    <x v="1"/>
    <x v="45"/>
    <x v="1"/>
    <x v="4"/>
    <x v="45"/>
    <x v="46"/>
    <x v="8"/>
    <x v="2"/>
  </r>
  <r>
    <n v="367"/>
    <x v="165"/>
    <x v="147"/>
    <d v="2017-10-21T00:00:00"/>
    <s v="Same Day"/>
    <x v="149"/>
    <s v="Michael Kennedy"/>
    <x v="1"/>
    <s v="United States"/>
    <s v="Manchester"/>
    <x v="29"/>
    <n v="6040"/>
    <x v="3"/>
    <x v="326"/>
    <x v="1"/>
    <x v="8"/>
    <x v="326"/>
    <x v="347"/>
    <x v="2"/>
    <x v="0"/>
  </r>
  <r>
    <n v="368"/>
    <x v="165"/>
    <x v="147"/>
    <d v="2017-10-21T00:00:00"/>
    <s v="Same Day"/>
    <x v="149"/>
    <s v="Michael Kennedy"/>
    <x v="1"/>
    <s v="United States"/>
    <s v="Manchester"/>
    <x v="29"/>
    <n v="6040"/>
    <x v="3"/>
    <x v="327"/>
    <x v="1"/>
    <x v="14"/>
    <x v="327"/>
    <x v="348"/>
    <x v="2"/>
    <x v="0"/>
  </r>
  <r>
    <n v="369"/>
    <x v="165"/>
    <x v="147"/>
    <d v="2017-10-21T00:00:00"/>
    <s v="Same Day"/>
    <x v="149"/>
    <s v="Michael Kennedy"/>
    <x v="1"/>
    <s v="United States"/>
    <s v="Manchester"/>
    <x v="29"/>
    <n v="6040"/>
    <x v="3"/>
    <x v="328"/>
    <x v="1"/>
    <x v="4"/>
    <x v="328"/>
    <x v="349"/>
    <x v="2"/>
    <x v="0"/>
  </r>
  <r>
    <n v="370"/>
    <x v="165"/>
    <x v="147"/>
    <d v="2017-10-21T00:00:00"/>
    <s v="Same Day"/>
    <x v="149"/>
    <s v="Michael Kennedy"/>
    <x v="1"/>
    <s v="United States"/>
    <s v="Manchester"/>
    <x v="29"/>
    <n v="6040"/>
    <x v="3"/>
    <x v="37"/>
    <x v="0"/>
    <x v="0"/>
    <x v="37"/>
    <x v="350"/>
    <x v="2"/>
    <x v="0"/>
  </r>
  <r>
    <n v="371"/>
    <x v="166"/>
    <x v="148"/>
    <d v="2018-06-04T00:00:00"/>
    <s v="Standard Class"/>
    <x v="150"/>
    <s v="Guy Thornton"/>
    <x v="0"/>
    <s v="United States"/>
    <s v="Harlingen"/>
    <x v="5"/>
    <n v="78550"/>
    <x v="2"/>
    <x v="329"/>
    <x v="1"/>
    <x v="10"/>
    <x v="329"/>
    <x v="233"/>
    <x v="5"/>
    <x v="3"/>
  </r>
  <r>
    <n v="372"/>
    <x v="166"/>
    <x v="148"/>
    <d v="2018-06-04T00:00:00"/>
    <s v="Standard Class"/>
    <x v="150"/>
    <s v="Guy Thornton"/>
    <x v="0"/>
    <s v="United States"/>
    <s v="Harlingen"/>
    <x v="5"/>
    <n v="78550"/>
    <x v="2"/>
    <x v="330"/>
    <x v="1"/>
    <x v="4"/>
    <x v="330"/>
    <x v="351"/>
    <x v="5"/>
    <x v="3"/>
  </r>
  <r>
    <n v="373"/>
    <x v="167"/>
    <x v="149"/>
    <d v="2015-07-27T00:00:00"/>
    <s v="Standard Class"/>
    <x v="151"/>
    <s v="Arthur Gainer"/>
    <x v="0"/>
    <s v="United States"/>
    <s v="Tucson"/>
    <x v="16"/>
    <n v="85705"/>
    <x v="1"/>
    <x v="304"/>
    <x v="1"/>
    <x v="8"/>
    <x v="304"/>
    <x v="352"/>
    <x v="7"/>
    <x v="2"/>
  </r>
  <r>
    <n v="374"/>
    <x v="167"/>
    <x v="149"/>
    <d v="2015-07-27T00:00:00"/>
    <s v="Standard Class"/>
    <x v="151"/>
    <s v="Arthur Gainer"/>
    <x v="0"/>
    <s v="United States"/>
    <s v="Tucson"/>
    <x v="16"/>
    <n v="85705"/>
    <x v="1"/>
    <x v="331"/>
    <x v="2"/>
    <x v="11"/>
    <x v="331"/>
    <x v="353"/>
    <x v="7"/>
    <x v="2"/>
  </r>
  <r>
    <n v="375"/>
    <x v="167"/>
    <x v="149"/>
    <d v="2015-07-27T00:00:00"/>
    <s v="Standard Class"/>
    <x v="151"/>
    <s v="Arthur Gainer"/>
    <x v="0"/>
    <s v="United States"/>
    <s v="Tucson"/>
    <x v="16"/>
    <n v="85705"/>
    <x v="1"/>
    <x v="332"/>
    <x v="1"/>
    <x v="6"/>
    <x v="332"/>
    <x v="354"/>
    <x v="7"/>
    <x v="2"/>
  </r>
  <r>
    <n v="376"/>
    <x v="167"/>
    <x v="149"/>
    <d v="2015-07-27T00:00:00"/>
    <s v="Standard Class"/>
    <x v="151"/>
    <s v="Arthur Gainer"/>
    <x v="0"/>
    <s v="United States"/>
    <s v="Tucson"/>
    <x v="16"/>
    <n v="85705"/>
    <x v="1"/>
    <x v="333"/>
    <x v="2"/>
    <x v="11"/>
    <x v="333"/>
    <x v="355"/>
    <x v="7"/>
    <x v="2"/>
  </r>
  <r>
    <n v="377"/>
    <x v="168"/>
    <x v="150"/>
    <d v="2017-10-01T00:00:00"/>
    <s v="First Class"/>
    <x v="152"/>
    <s v="Muhammed MacIntyre"/>
    <x v="1"/>
    <s v="United States"/>
    <s v="Quincy"/>
    <x v="10"/>
    <n v="62301"/>
    <x v="2"/>
    <x v="334"/>
    <x v="1"/>
    <x v="10"/>
    <x v="334"/>
    <x v="304"/>
    <x v="8"/>
    <x v="0"/>
  </r>
  <r>
    <n v="378"/>
    <x v="169"/>
    <x v="151"/>
    <d v="2018-09-01T00:00:00"/>
    <s v="Standard Class"/>
    <x v="153"/>
    <s v="Allen Rosenblatt"/>
    <x v="1"/>
    <s v="United States"/>
    <s v="Franklin"/>
    <x v="31"/>
    <n v="2038"/>
    <x v="3"/>
    <x v="335"/>
    <x v="0"/>
    <x v="3"/>
    <x v="335"/>
    <x v="356"/>
    <x v="6"/>
    <x v="3"/>
  </r>
  <r>
    <n v="379"/>
    <x v="170"/>
    <x v="152"/>
    <d v="2016-05-05T00:00:00"/>
    <s v="Standard Class"/>
    <x v="154"/>
    <s v="Russell Applegate"/>
    <x v="0"/>
    <s v="United States"/>
    <s v="Houston"/>
    <x v="5"/>
    <n v="77095"/>
    <x v="2"/>
    <x v="336"/>
    <x v="1"/>
    <x v="9"/>
    <x v="336"/>
    <x v="357"/>
    <x v="3"/>
    <x v="1"/>
  </r>
  <r>
    <n v="380"/>
    <x v="170"/>
    <x v="152"/>
    <d v="2016-05-05T00:00:00"/>
    <s v="Standard Class"/>
    <x v="154"/>
    <s v="Russell Applegate"/>
    <x v="0"/>
    <s v="United States"/>
    <s v="Houston"/>
    <x v="5"/>
    <n v="77095"/>
    <x v="2"/>
    <x v="337"/>
    <x v="1"/>
    <x v="4"/>
    <x v="337"/>
    <x v="358"/>
    <x v="3"/>
    <x v="1"/>
  </r>
  <r>
    <n v="381"/>
    <x v="170"/>
    <x v="152"/>
    <d v="2016-05-05T00:00:00"/>
    <s v="Standard Class"/>
    <x v="154"/>
    <s v="Russell Applegate"/>
    <x v="0"/>
    <s v="United States"/>
    <s v="Houston"/>
    <x v="5"/>
    <n v="77095"/>
    <x v="2"/>
    <x v="338"/>
    <x v="1"/>
    <x v="8"/>
    <x v="338"/>
    <x v="359"/>
    <x v="3"/>
    <x v="1"/>
  </r>
  <r>
    <n v="382"/>
    <x v="171"/>
    <x v="99"/>
    <d v="2017-10-29T00:00:00"/>
    <s v="First Class"/>
    <x v="155"/>
    <s v="Alejandro Savely"/>
    <x v="1"/>
    <s v="United States"/>
    <s v="San Francisco"/>
    <x v="1"/>
    <n v="94109"/>
    <x v="1"/>
    <x v="339"/>
    <x v="1"/>
    <x v="10"/>
    <x v="339"/>
    <x v="360"/>
    <x v="2"/>
    <x v="0"/>
  </r>
  <r>
    <n v="383"/>
    <x v="171"/>
    <x v="99"/>
    <d v="2017-10-29T00:00:00"/>
    <s v="First Class"/>
    <x v="155"/>
    <s v="Alejandro Savely"/>
    <x v="1"/>
    <s v="United States"/>
    <s v="San Francisco"/>
    <x v="1"/>
    <n v="94109"/>
    <x v="1"/>
    <x v="340"/>
    <x v="1"/>
    <x v="8"/>
    <x v="340"/>
    <x v="361"/>
    <x v="2"/>
    <x v="0"/>
  </r>
  <r>
    <n v="384"/>
    <x v="172"/>
    <x v="153"/>
    <d v="2016-06-29T00:00:00"/>
    <s v="Second Class"/>
    <x v="156"/>
    <s v="Laura Armstrong"/>
    <x v="1"/>
    <s v="United States"/>
    <s v="Taylor"/>
    <x v="12"/>
    <n v="48180"/>
    <x v="2"/>
    <x v="341"/>
    <x v="2"/>
    <x v="11"/>
    <x v="341"/>
    <x v="362"/>
    <x v="1"/>
    <x v="1"/>
  </r>
  <r>
    <n v="385"/>
    <x v="173"/>
    <x v="154"/>
    <d v="2016-12-02T00:00:00"/>
    <s v="Standard Class"/>
    <x v="157"/>
    <s v="Denny Ordway"/>
    <x v="0"/>
    <s v="United States"/>
    <s v="Pembroke Pines"/>
    <x v="2"/>
    <n v="33024"/>
    <x v="0"/>
    <x v="342"/>
    <x v="0"/>
    <x v="3"/>
    <x v="342"/>
    <x v="363"/>
    <x v="0"/>
    <x v="1"/>
  </r>
  <r>
    <n v="386"/>
    <x v="173"/>
    <x v="154"/>
    <d v="2016-12-02T00:00:00"/>
    <s v="Standard Class"/>
    <x v="157"/>
    <s v="Denny Ordway"/>
    <x v="0"/>
    <s v="United States"/>
    <s v="Pembroke Pines"/>
    <x v="2"/>
    <n v="33024"/>
    <x v="0"/>
    <x v="343"/>
    <x v="2"/>
    <x v="11"/>
    <x v="343"/>
    <x v="364"/>
    <x v="0"/>
    <x v="1"/>
  </r>
  <r>
    <n v="387"/>
    <x v="174"/>
    <x v="155"/>
    <d v="2016-12-07T00:00:00"/>
    <s v="Standard Class"/>
    <x v="158"/>
    <s v="Dean Katz"/>
    <x v="1"/>
    <s v="United States"/>
    <s v="Philadelphia"/>
    <x v="9"/>
    <n v="19140"/>
    <x v="3"/>
    <x v="344"/>
    <x v="2"/>
    <x v="15"/>
    <x v="344"/>
    <x v="365"/>
    <x v="4"/>
    <x v="1"/>
  </r>
  <r>
    <n v="388"/>
    <x v="174"/>
    <x v="155"/>
    <d v="2016-12-07T00:00:00"/>
    <s v="Standard Class"/>
    <x v="158"/>
    <s v="Dean Katz"/>
    <x v="1"/>
    <s v="United States"/>
    <s v="Philadelphia"/>
    <x v="9"/>
    <n v="19140"/>
    <x v="3"/>
    <x v="345"/>
    <x v="0"/>
    <x v="5"/>
    <x v="345"/>
    <x v="366"/>
    <x v="4"/>
    <x v="1"/>
  </r>
  <r>
    <n v="389"/>
    <x v="175"/>
    <x v="156"/>
    <d v="2015-11-26T00:00:00"/>
    <s v="First Class"/>
    <x v="159"/>
    <s v="Nathan Gelder"/>
    <x v="0"/>
    <s v="United States"/>
    <s v="Cincinnati"/>
    <x v="24"/>
    <n v="45231"/>
    <x v="3"/>
    <x v="346"/>
    <x v="1"/>
    <x v="6"/>
    <x v="346"/>
    <x v="367"/>
    <x v="0"/>
    <x v="2"/>
  </r>
  <r>
    <n v="390"/>
    <x v="176"/>
    <x v="157"/>
    <d v="2018-12-15T00:00:00"/>
    <s v="Standard Class"/>
    <x v="160"/>
    <s v="Mike Vittorini"/>
    <x v="0"/>
    <s v="United States"/>
    <s v="New York City"/>
    <x v="15"/>
    <n v="10009"/>
    <x v="3"/>
    <x v="347"/>
    <x v="1"/>
    <x v="8"/>
    <x v="347"/>
    <x v="368"/>
    <x v="4"/>
    <x v="3"/>
  </r>
  <r>
    <n v="391"/>
    <x v="176"/>
    <x v="157"/>
    <d v="2018-12-15T00:00:00"/>
    <s v="Standard Class"/>
    <x v="160"/>
    <s v="Mike Vittorini"/>
    <x v="0"/>
    <s v="United States"/>
    <s v="New York City"/>
    <x v="15"/>
    <n v="10009"/>
    <x v="3"/>
    <x v="84"/>
    <x v="2"/>
    <x v="11"/>
    <x v="84"/>
    <x v="369"/>
    <x v="4"/>
    <x v="3"/>
  </r>
  <r>
    <n v="392"/>
    <x v="177"/>
    <x v="158"/>
    <d v="2015-09-23T00:00:00"/>
    <s v="Second Class"/>
    <x v="161"/>
    <s v="Jack Garza"/>
    <x v="0"/>
    <s v="United States"/>
    <s v="Des Moines"/>
    <x v="4"/>
    <n v="98198"/>
    <x v="1"/>
    <x v="348"/>
    <x v="2"/>
    <x v="7"/>
    <x v="348"/>
    <x v="370"/>
    <x v="8"/>
    <x v="2"/>
  </r>
  <r>
    <n v="393"/>
    <x v="177"/>
    <x v="158"/>
    <d v="2015-09-23T00:00:00"/>
    <s v="Second Class"/>
    <x v="161"/>
    <s v="Jack Garza"/>
    <x v="0"/>
    <s v="United States"/>
    <s v="Des Moines"/>
    <x v="4"/>
    <n v="98198"/>
    <x v="1"/>
    <x v="349"/>
    <x v="2"/>
    <x v="16"/>
    <x v="349"/>
    <x v="371"/>
    <x v="8"/>
    <x v="2"/>
  </r>
  <r>
    <n v="394"/>
    <x v="178"/>
    <x v="159"/>
    <d v="2015-06-10T00:00:00"/>
    <s v="Second Class"/>
    <x v="162"/>
    <s v="Bart Pistole"/>
    <x v="1"/>
    <s v="United States"/>
    <s v="Peoria"/>
    <x v="10"/>
    <n v="61604"/>
    <x v="2"/>
    <x v="350"/>
    <x v="1"/>
    <x v="8"/>
    <x v="350"/>
    <x v="372"/>
    <x v="1"/>
    <x v="2"/>
  </r>
  <r>
    <n v="395"/>
    <x v="179"/>
    <x v="160"/>
    <d v="2018-07-05T00:00:00"/>
    <s v="Standard Class"/>
    <x v="163"/>
    <s v="Victor Preis"/>
    <x v="2"/>
    <s v="United States"/>
    <s v="Las Vegas"/>
    <x v="33"/>
    <n v="89115"/>
    <x v="1"/>
    <x v="351"/>
    <x v="1"/>
    <x v="8"/>
    <x v="351"/>
    <x v="373"/>
    <x v="1"/>
    <x v="3"/>
  </r>
  <r>
    <n v="396"/>
    <x v="180"/>
    <x v="161"/>
    <d v="2018-10-19T00:00:00"/>
    <s v="Second Class"/>
    <x v="164"/>
    <s v="Saphhira Shifley"/>
    <x v="1"/>
    <s v="United States"/>
    <s v="Warwick"/>
    <x v="34"/>
    <n v="2886"/>
    <x v="3"/>
    <x v="352"/>
    <x v="1"/>
    <x v="4"/>
    <x v="352"/>
    <x v="374"/>
    <x v="2"/>
    <x v="3"/>
  </r>
  <r>
    <n v="397"/>
    <x v="180"/>
    <x v="161"/>
    <d v="2018-10-19T00:00:00"/>
    <s v="Second Class"/>
    <x v="164"/>
    <s v="Saphhira Shifley"/>
    <x v="1"/>
    <s v="United States"/>
    <s v="Warwick"/>
    <x v="34"/>
    <n v="2886"/>
    <x v="3"/>
    <x v="353"/>
    <x v="1"/>
    <x v="10"/>
    <x v="353"/>
    <x v="91"/>
    <x v="2"/>
    <x v="3"/>
  </r>
  <r>
    <n v="398"/>
    <x v="181"/>
    <x v="89"/>
    <d v="2016-11-04T00:00:00"/>
    <s v="Standard Class"/>
    <x v="6"/>
    <s v="Harold Pawlan"/>
    <x v="2"/>
    <s v="United States"/>
    <s v="Jackson"/>
    <x v="12"/>
    <n v="49201"/>
    <x v="2"/>
    <x v="354"/>
    <x v="1"/>
    <x v="14"/>
    <x v="354"/>
    <x v="375"/>
    <x v="2"/>
    <x v="1"/>
  </r>
  <r>
    <n v="399"/>
    <x v="182"/>
    <x v="162"/>
    <d v="2017-09-10T00:00:00"/>
    <s v="Second Class"/>
    <x v="165"/>
    <s v="Anna Gayman"/>
    <x v="0"/>
    <s v="United States"/>
    <s v="Houston"/>
    <x v="5"/>
    <n v="77036"/>
    <x v="2"/>
    <x v="355"/>
    <x v="1"/>
    <x v="4"/>
    <x v="355"/>
    <x v="376"/>
    <x v="8"/>
    <x v="0"/>
  </r>
  <r>
    <n v="400"/>
    <x v="182"/>
    <x v="162"/>
    <d v="2017-09-10T00:00:00"/>
    <s v="Second Class"/>
    <x v="165"/>
    <s v="Anna Gayman"/>
    <x v="0"/>
    <s v="United States"/>
    <s v="Houston"/>
    <x v="5"/>
    <n v="77036"/>
    <x v="2"/>
    <x v="26"/>
    <x v="0"/>
    <x v="0"/>
    <x v="26"/>
    <x v="377"/>
    <x v="8"/>
    <x v="0"/>
  </r>
  <r>
    <n v="401"/>
    <x v="182"/>
    <x v="162"/>
    <d v="2017-09-10T00:00:00"/>
    <s v="Second Class"/>
    <x v="165"/>
    <s v="Anna Gayman"/>
    <x v="0"/>
    <s v="United States"/>
    <s v="Houston"/>
    <x v="5"/>
    <n v="77036"/>
    <x v="2"/>
    <x v="356"/>
    <x v="1"/>
    <x v="4"/>
    <x v="356"/>
    <x v="378"/>
    <x v="8"/>
    <x v="0"/>
  </r>
  <r>
    <n v="402"/>
    <x v="182"/>
    <x v="162"/>
    <d v="2017-09-10T00:00:00"/>
    <s v="Second Class"/>
    <x v="165"/>
    <s v="Anna Gayman"/>
    <x v="0"/>
    <s v="United States"/>
    <s v="Houston"/>
    <x v="5"/>
    <n v="77036"/>
    <x v="2"/>
    <x v="357"/>
    <x v="2"/>
    <x v="11"/>
    <x v="357"/>
    <x v="379"/>
    <x v="8"/>
    <x v="0"/>
  </r>
  <r>
    <n v="403"/>
    <x v="183"/>
    <x v="163"/>
    <d v="2015-12-26T00:00:00"/>
    <s v="First Class"/>
    <x v="166"/>
    <s v="Luke Foster"/>
    <x v="0"/>
    <s v="United States"/>
    <s v="Miami"/>
    <x v="2"/>
    <n v="33180"/>
    <x v="0"/>
    <x v="358"/>
    <x v="1"/>
    <x v="10"/>
    <x v="358"/>
    <x v="380"/>
    <x v="4"/>
    <x v="2"/>
  </r>
  <r>
    <n v="404"/>
    <x v="184"/>
    <x v="164"/>
    <d v="2015-04-20T00:00:00"/>
    <s v="Standard Class"/>
    <x v="70"/>
    <s v="Stephanie Phelps"/>
    <x v="1"/>
    <s v="United States"/>
    <s v="Wilmington"/>
    <x v="3"/>
    <n v="28403"/>
    <x v="0"/>
    <x v="359"/>
    <x v="1"/>
    <x v="6"/>
    <x v="359"/>
    <x v="381"/>
    <x v="3"/>
    <x v="2"/>
  </r>
  <r>
    <n v="405"/>
    <x v="185"/>
    <x v="165"/>
    <d v="2018-12-29T00:00:00"/>
    <s v="Standard Class"/>
    <x v="167"/>
    <s v="Roy Französisch"/>
    <x v="0"/>
    <s v="United States"/>
    <s v="New York City"/>
    <x v="15"/>
    <n v="10024"/>
    <x v="3"/>
    <x v="360"/>
    <x v="1"/>
    <x v="9"/>
    <x v="360"/>
    <x v="382"/>
    <x v="4"/>
    <x v="3"/>
  </r>
  <r>
    <n v="406"/>
    <x v="186"/>
    <x v="166"/>
    <d v="2018-12-12T00:00:00"/>
    <s v="Standard Class"/>
    <x v="168"/>
    <s v="Keith Herrera"/>
    <x v="0"/>
    <s v="United States"/>
    <s v="San Francisco"/>
    <x v="1"/>
    <n v="94110"/>
    <x v="1"/>
    <x v="357"/>
    <x v="2"/>
    <x v="11"/>
    <x v="357"/>
    <x v="383"/>
    <x v="4"/>
    <x v="3"/>
  </r>
  <r>
    <n v="407"/>
    <x v="186"/>
    <x v="166"/>
    <d v="2018-12-12T00:00:00"/>
    <s v="Standard Class"/>
    <x v="168"/>
    <s v="Keith Herrera"/>
    <x v="0"/>
    <s v="United States"/>
    <s v="San Francisco"/>
    <x v="1"/>
    <n v="94110"/>
    <x v="1"/>
    <x v="361"/>
    <x v="2"/>
    <x v="16"/>
    <x v="361"/>
    <x v="384"/>
    <x v="4"/>
    <x v="3"/>
  </r>
  <r>
    <n v="408"/>
    <x v="186"/>
    <x v="166"/>
    <d v="2018-12-12T00:00:00"/>
    <s v="Standard Class"/>
    <x v="168"/>
    <s v="Keith Herrera"/>
    <x v="0"/>
    <s v="United States"/>
    <s v="San Francisco"/>
    <x v="1"/>
    <n v="94110"/>
    <x v="1"/>
    <x v="362"/>
    <x v="1"/>
    <x v="10"/>
    <x v="362"/>
    <x v="385"/>
    <x v="4"/>
    <x v="3"/>
  </r>
  <r>
    <n v="409"/>
    <x v="186"/>
    <x v="166"/>
    <d v="2018-12-12T00:00:00"/>
    <s v="Standard Class"/>
    <x v="168"/>
    <s v="Keith Herrera"/>
    <x v="0"/>
    <s v="United States"/>
    <s v="San Francisco"/>
    <x v="1"/>
    <n v="94110"/>
    <x v="1"/>
    <x v="363"/>
    <x v="0"/>
    <x v="3"/>
    <x v="363"/>
    <x v="386"/>
    <x v="4"/>
    <x v="3"/>
  </r>
  <r>
    <n v="410"/>
    <x v="186"/>
    <x v="166"/>
    <d v="2018-12-12T00:00:00"/>
    <s v="Standard Class"/>
    <x v="168"/>
    <s v="Keith Herrera"/>
    <x v="0"/>
    <s v="United States"/>
    <s v="San Francisco"/>
    <x v="1"/>
    <n v="94110"/>
    <x v="1"/>
    <x v="364"/>
    <x v="1"/>
    <x v="10"/>
    <x v="364"/>
    <x v="387"/>
    <x v="4"/>
    <x v="3"/>
  </r>
  <r>
    <n v="411"/>
    <x v="186"/>
    <x v="166"/>
    <d v="2018-12-12T00:00:00"/>
    <s v="Standard Class"/>
    <x v="168"/>
    <s v="Keith Herrera"/>
    <x v="0"/>
    <s v="United States"/>
    <s v="San Francisco"/>
    <x v="1"/>
    <n v="94110"/>
    <x v="1"/>
    <x v="365"/>
    <x v="1"/>
    <x v="2"/>
    <x v="365"/>
    <x v="388"/>
    <x v="4"/>
    <x v="3"/>
  </r>
  <r>
    <n v="412"/>
    <x v="186"/>
    <x v="166"/>
    <d v="2018-12-12T00:00:00"/>
    <s v="Standard Class"/>
    <x v="168"/>
    <s v="Keith Herrera"/>
    <x v="0"/>
    <s v="United States"/>
    <s v="San Francisco"/>
    <x v="1"/>
    <n v="94110"/>
    <x v="1"/>
    <x v="314"/>
    <x v="1"/>
    <x v="10"/>
    <x v="366"/>
    <x v="389"/>
    <x v="4"/>
    <x v="3"/>
  </r>
  <r>
    <n v="413"/>
    <x v="186"/>
    <x v="166"/>
    <d v="2018-12-12T00:00:00"/>
    <s v="Standard Class"/>
    <x v="168"/>
    <s v="Keith Herrera"/>
    <x v="0"/>
    <s v="United States"/>
    <s v="San Francisco"/>
    <x v="1"/>
    <n v="94110"/>
    <x v="1"/>
    <x v="366"/>
    <x v="0"/>
    <x v="0"/>
    <x v="367"/>
    <x v="390"/>
    <x v="4"/>
    <x v="3"/>
  </r>
  <r>
    <n v="414"/>
    <x v="186"/>
    <x v="166"/>
    <d v="2018-12-12T00:00:00"/>
    <s v="Standard Class"/>
    <x v="168"/>
    <s v="Keith Herrera"/>
    <x v="0"/>
    <s v="United States"/>
    <s v="San Francisco"/>
    <x v="1"/>
    <n v="94110"/>
    <x v="1"/>
    <x v="367"/>
    <x v="0"/>
    <x v="1"/>
    <x v="368"/>
    <x v="391"/>
    <x v="4"/>
    <x v="3"/>
  </r>
  <r>
    <n v="415"/>
    <x v="187"/>
    <x v="132"/>
    <d v="2018-11-07T00:00:00"/>
    <s v="Standard Class"/>
    <x v="169"/>
    <s v="Kimberly Carter"/>
    <x v="1"/>
    <s v="United States"/>
    <s v="Seattle"/>
    <x v="4"/>
    <n v="98105"/>
    <x v="1"/>
    <x v="368"/>
    <x v="1"/>
    <x v="10"/>
    <x v="369"/>
    <x v="392"/>
    <x v="0"/>
    <x v="3"/>
  </r>
  <r>
    <n v="416"/>
    <x v="187"/>
    <x v="132"/>
    <d v="2018-11-07T00:00:00"/>
    <s v="Standard Class"/>
    <x v="169"/>
    <s v="Kimberly Carter"/>
    <x v="1"/>
    <s v="United States"/>
    <s v="Seattle"/>
    <x v="4"/>
    <n v="98105"/>
    <x v="1"/>
    <x v="268"/>
    <x v="0"/>
    <x v="1"/>
    <x v="268"/>
    <x v="393"/>
    <x v="0"/>
    <x v="3"/>
  </r>
  <r>
    <n v="417"/>
    <x v="188"/>
    <x v="92"/>
    <d v="2018-06-28T00:00:00"/>
    <s v="Standard Class"/>
    <x v="170"/>
    <s v="Caroline Jumper"/>
    <x v="0"/>
    <s v="United States"/>
    <s v="Huntington Beach"/>
    <x v="1"/>
    <n v="92646"/>
    <x v="1"/>
    <x v="369"/>
    <x v="1"/>
    <x v="6"/>
    <x v="370"/>
    <x v="394"/>
    <x v="1"/>
    <x v="3"/>
  </r>
  <r>
    <n v="418"/>
    <x v="189"/>
    <x v="167"/>
    <d v="2017-04-18T00:00:00"/>
    <s v="Standard Class"/>
    <x v="171"/>
    <s v="Philip Brown"/>
    <x v="0"/>
    <s v="United States"/>
    <s v="Los Angeles"/>
    <x v="1"/>
    <n v="90004"/>
    <x v="1"/>
    <x v="370"/>
    <x v="0"/>
    <x v="1"/>
    <x v="371"/>
    <x v="395"/>
    <x v="3"/>
    <x v="0"/>
  </r>
  <r>
    <n v="419"/>
    <x v="190"/>
    <x v="44"/>
    <d v="2018-11-10T00:00:00"/>
    <s v="Standard Class"/>
    <x v="146"/>
    <s v="Victoria Brennan"/>
    <x v="1"/>
    <s v="United States"/>
    <s v="Richmond"/>
    <x v="0"/>
    <n v="40475"/>
    <x v="0"/>
    <x v="371"/>
    <x v="1"/>
    <x v="10"/>
    <x v="372"/>
    <x v="396"/>
    <x v="0"/>
    <x v="3"/>
  </r>
  <r>
    <n v="420"/>
    <x v="191"/>
    <x v="168"/>
    <d v="2018-03-09T00:00:00"/>
    <s v="Standard Class"/>
    <x v="133"/>
    <s v="Sung Pak"/>
    <x v="1"/>
    <s v="United States"/>
    <s v="Los Angeles"/>
    <x v="1"/>
    <n v="90045"/>
    <x v="1"/>
    <x v="372"/>
    <x v="1"/>
    <x v="6"/>
    <x v="373"/>
    <x v="397"/>
    <x v="10"/>
    <x v="3"/>
  </r>
  <r>
    <n v="421"/>
    <x v="191"/>
    <x v="168"/>
    <d v="2018-03-09T00:00:00"/>
    <s v="Standard Class"/>
    <x v="133"/>
    <s v="Sung Pak"/>
    <x v="1"/>
    <s v="United States"/>
    <s v="Los Angeles"/>
    <x v="1"/>
    <n v="90045"/>
    <x v="1"/>
    <x v="373"/>
    <x v="1"/>
    <x v="12"/>
    <x v="374"/>
    <x v="398"/>
    <x v="10"/>
    <x v="3"/>
  </r>
  <r>
    <n v="422"/>
    <x v="192"/>
    <x v="169"/>
    <d v="2015-06-25T00:00:00"/>
    <s v="First Class"/>
    <x v="32"/>
    <s v="Joel Eaton"/>
    <x v="0"/>
    <s v="United States"/>
    <s v="Louisville"/>
    <x v="22"/>
    <n v="80027"/>
    <x v="1"/>
    <x v="374"/>
    <x v="2"/>
    <x v="11"/>
    <x v="375"/>
    <x v="399"/>
    <x v="1"/>
    <x v="2"/>
  </r>
  <r>
    <n v="423"/>
    <x v="193"/>
    <x v="15"/>
    <d v="2018-10-23T00:00:00"/>
    <s v="Standard Class"/>
    <x v="172"/>
    <s v="Michael Paige"/>
    <x v="1"/>
    <s v="United States"/>
    <s v="Lawrence"/>
    <x v="31"/>
    <n v="1841"/>
    <x v="3"/>
    <x v="375"/>
    <x v="0"/>
    <x v="5"/>
    <x v="376"/>
    <x v="400"/>
    <x v="2"/>
    <x v="3"/>
  </r>
  <r>
    <n v="424"/>
    <x v="193"/>
    <x v="15"/>
    <d v="2018-10-23T00:00:00"/>
    <s v="Standard Class"/>
    <x v="172"/>
    <s v="Michael Paige"/>
    <x v="1"/>
    <s v="United States"/>
    <s v="Lawrence"/>
    <x v="31"/>
    <n v="1841"/>
    <x v="3"/>
    <x v="376"/>
    <x v="1"/>
    <x v="4"/>
    <x v="377"/>
    <x v="401"/>
    <x v="2"/>
    <x v="3"/>
  </r>
  <r>
    <n v="425"/>
    <x v="194"/>
    <x v="170"/>
    <d v="2018-08-23T00:00:00"/>
    <s v="Second Class"/>
    <x v="173"/>
    <s v="Natalie Fritzler"/>
    <x v="0"/>
    <s v="United States"/>
    <s v="Jackson"/>
    <x v="35"/>
    <n v="39212"/>
    <x v="0"/>
    <x v="377"/>
    <x v="0"/>
    <x v="1"/>
    <x v="378"/>
    <x v="402"/>
    <x v="6"/>
    <x v="3"/>
  </r>
  <r>
    <n v="426"/>
    <x v="195"/>
    <x v="51"/>
    <d v="2018-11-26T00:00:00"/>
    <s v="Second Class"/>
    <x v="25"/>
    <s v="Janet Molinari"/>
    <x v="1"/>
    <s v="United States"/>
    <s v="Canton"/>
    <x v="12"/>
    <n v="48187"/>
    <x v="2"/>
    <x v="378"/>
    <x v="0"/>
    <x v="5"/>
    <x v="379"/>
    <x v="158"/>
    <x v="0"/>
    <x v="3"/>
  </r>
  <r>
    <n v="427"/>
    <x v="195"/>
    <x v="51"/>
    <d v="2018-11-26T00:00:00"/>
    <s v="Second Class"/>
    <x v="25"/>
    <s v="Janet Molinari"/>
    <x v="1"/>
    <s v="United States"/>
    <s v="Canton"/>
    <x v="12"/>
    <n v="48187"/>
    <x v="2"/>
    <x v="379"/>
    <x v="1"/>
    <x v="8"/>
    <x v="380"/>
    <x v="403"/>
    <x v="0"/>
    <x v="3"/>
  </r>
  <r>
    <n v="428"/>
    <x v="196"/>
    <x v="171"/>
    <d v="2015-09-13T00:00:00"/>
    <s v="First Class"/>
    <x v="174"/>
    <s v="Shirley Daniels"/>
    <x v="2"/>
    <s v="United States"/>
    <s v="New Rochelle"/>
    <x v="15"/>
    <n v="10801"/>
    <x v="3"/>
    <x v="380"/>
    <x v="2"/>
    <x v="15"/>
    <x v="381"/>
    <x v="404"/>
    <x v="8"/>
    <x v="2"/>
  </r>
  <r>
    <n v="429"/>
    <x v="197"/>
    <x v="172"/>
    <d v="2018-10-08T00:00:00"/>
    <s v="Standard Class"/>
    <x v="175"/>
    <s v="Ken Heidel"/>
    <x v="1"/>
    <s v="United States"/>
    <s v="San Antonio"/>
    <x v="5"/>
    <n v="78207"/>
    <x v="2"/>
    <x v="381"/>
    <x v="1"/>
    <x v="6"/>
    <x v="382"/>
    <x v="405"/>
    <x v="2"/>
    <x v="3"/>
  </r>
  <r>
    <n v="430"/>
    <x v="198"/>
    <x v="173"/>
    <d v="2017-04-21T00:00:00"/>
    <s v="Standard Class"/>
    <x v="176"/>
    <s v="Ross Baird"/>
    <x v="2"/>
    <s v="United States"/>
    <s v="Gastonia"/>
    <x v="3"/>
    <n v="28052"/>
    <x v="0"/>
    <x v="382"/>
    <x v="1"/>
    <x v="8"/>
    <x v="383"/>
    <x v="406"/>
    <x v="3"/>
    <x v="0"/>
  </r>
  <r>
    <n v="431"/>
    <x v="198"/>
    <x v="173"/>
    <d v="2017-04-21T00:00:00"/>
    <s v="Standard Class"/>
    <x v="176"/>
    <s v="Ross Baird"/>
    <x v="2"/>
    <s v="United States"/>
    <s v="Gastonia"/>
    <x v="3"/>
    <n v="28052"/>
    <x v="0"/>
    <x v="171"/>
    <x v="2"/>
    <x v="11"/>
    <x v="172"/>
    <x v="177"/>
    <x v="3"/>
    <x v="0"/>
  </r>
  <r>
    <n v="432"/>
    <x v="198"/>
    <x v="173"/>
    <d v="2017-04-21T00:00:00"/>
    <s v="Standard Class"/>
    <x v="176"/>
    <s v="Ross Baird"/>
    <x v="2"/>
    <s v="United States"/>
    <s v="Gastonia"/>
    <x v="3"/>
    <n v="28052"/>
    <x v="0"/>
    <x v="171"/>
    <x v="2"/>
    <x v="11"/>
    <x v="172"/>
    <x v="407"/>
    <x v="3"/>
    <x v="0"/>
  </r>
  <r>
    <n v="433"/>
    <x v="198"/>
    <x v="173"/>
    <d v="2017-04-21T00:00:00"/>
    <s v="Standard Class"/>
    <x v="176"/>
    <s v="Ross Baird"/>
    <x v="2"/>
    <s v="United States"/>
    <s v="Gastonia"/>
    <x v="3"/>
    <n v="28052"/>
    <x v="0"/>
    <x v="383"/>
    <x v="1"/>
    <x v="4"/>
    <x v="384"/>
    <x v="408"/>
    <x v="3"/>
    <x v="0"/>
  </r>
  <r>
    <n v="434"/>
    <x v="199"/>
    <x v="112"/>
    <d v="2017-06-07T00:00:00"/>
    <s v="First Class"/>
    <x v="72"/>
    <s v="Dave Brooks"/>
    <x v="0"/>
    <s v="United States"/>
    <s v="Lowell"/>
    <x v="31"/>
    <n v="1852"/>
    <x v="3"/>
    <x v="384"/>
    <x v="1"/>
    <x v="4"/>
    <x v="385"/>
    <x v="409"/>
    <x v="1"/>
    <x v="0"/>
  </r>
  <r>
    <n v="435"/>
    <x v="200"/>
    <x v="174"/>
    <d v="2015-12-25T00:00:00"/>
    <s v="Standard Class"/>
    <x v="177"/>
    <s v="Mike Kennedy"/>
    <x v="0"/>
    <s v="United States"/>
    <s v="Jacksonville"/>
    <x v="2"/>
    <n v="32216"/>
    <x v="0"/>
    <x v="385"/>
    <x v="1"/>
    <x v="8"/>
    <x v="386"/>
    <x v="410"/>
    <x v="4"/>
    <x v="2"/>
  </r>
  <r>
    <n v="436"/>
    <x v="200"/>
    <x v="174"/>
    <d v="2015-12-25T00:00:00"/>
    <s v="Standard Class"/>
    <x v="177"/>
    <s v="Mike Kennedy"/>
    <x v="0"/>
    <s v="United States"/>
    <s v="Jacksonville"/>
    <x v="2"/>
    <n v="32216"/>
    <x v="0"/>
    <x v="386"/>
    <x v="2"/>
    <x v="11"/>
    <x v="387"/>
    <x v="411"/>
    <x v="4"/>
    <x v="2"/>
  </r>
  <r>
    <n v="437"/>
    <x v="201"/>
    <x v="1"/>
    <d v="2017-06-14T00:00:00"/>
    <s v="Second Class"/>
    <x v="178"/>
    <s v="Philisse Overcash"/>
    <x v="2"/>
    <s v="United States"/>
    <s v="Chicago"/>
    <x v="10"/>
    <n v="60623"/>
    <x v="2"/>
    <x v="387"/>
    <x v="2"/>
    <x v="15"/>
    <x v="388"/>
    <x v="412"/>
    <x v="1"/>
    <x v="0"/>
  </r>
  <r>
    <n v="438"/>
    <x v="201"/>
    <x v="1"/>
    <d v="2017-06-14T00:00:00"/>
    <s v="Second Class"/>
    <x v="178"/>
    <s v="Philisse Overcash"/>
    <x v="2"/>
    <s v="United States"/>
    <s v="Chicago"/>
    <x v="10"/>
    <n v="60623"/>
    <x v="2"/>
    <x v="314"/>
    <x v="1"/>
    <x v="10"/>
    <x v="366"/>
    <x v="413"/>
    <x v="1"/>
    <x v="0"/>
  </r>
  <r>
    <n v="439"/>
    <x v="202"/>
    <x v="175"/>
    <d v="2018-09-19T00:00:00"/>
    <s v="Standard Class"/>
    <x v="179"/>
    <s v="Brenda Bowman"/>
    <x v="1"/>
    <s v="United States"/>
    <s v="Houston"/>
    <x v="5"/>
    <n v="77070"/>
    <x v="2"/>
    <x v="388"/>
    <x v="1"/>
    <x v="10"/>
    <x v="389"/>
    <x v="414"/>
    <x v="8"/>
    <x v="3"/>
  </r>
  <r>
    <n v="440"/>
    <x v="203"/>
    <x v="176"/>
    <d v="2018-01-23T00:00:00"/>
    <s v="Second Class"/>
    <x v="51"/>
    <s v="Cynthia Voltz"/>
    <x v="1"/>
    <s v="United States"/>
    <s v="New York City"/>
    <x v="15"/>
    <n v="10024"/>
    <x v="3"/>
    <x v="389"/>
    <x v="0"/>
    <x v="1"/>
    <x v="390"/>
    <x v="415"/>
    <x v="9"/>
    <x v="3"/>
  </r>
  <r>
    <n v="441"/>
    <x v="204"/>
    <x v="64"/>
    <d v="2017-09-07T00:00:00"/>
    <s v="Second Class"/>
    <x v="7"/>
    <s v="Pete Kriz"/>
    <x v="0"/>
    <s v="United States"/>
    <s v="Detroit"/>
    <x v="12"/>
    <n v="48227"/>
    <x v="2"/>
    <x v="390"/>
    <x v="0"/>
    <x v="5"/>
    <x v="391"/>
    <x v="416"/>
    <x v="8"/>
    <x v="0"/>
  </r>
  <r>
    <n v="442"/>
    <x v="204"/>
    <x v="64"/>
    <d v="2017-09-07T00:00:00"/>
    <s v="Second Class"/>
    <x v="7"/>
    <s v="Pete Kriz"/>
    <x v="0"/>
    <s v="United States"/>
    <s v="Detroit"/>
    <x v="12"/>
    <n v="48227"/>
    <x v="2"/>
    <x v="391"/>
    <x v="1"/>
    <x v="4"/>
    <x v="392"/>
    <x v="417"/>
    <x v="8"/>
    <x v="0"/>
  </r>
  <r>
    <n v="443"/>
    <x v="204"/>
    <x v="64"/>
    <d v="2017-09-07T00:00:00"/>
    <s v="Second Class"/>
    <x v="7"/>
    <s v="Pete Kriz"/>
    <x v="0"/>
    <s v="United States"/>
    <s v="Detroit"/>
    <x v="12"/>
    <n v="48227"/>
    <x v="2"/>
    <x v="392"/>
    <x v="1"/>
    <x v="4"/>
    <x v="393"/>
    <x v="418"/>
    <x v="8"/>
    <x v="0"/>
  </r>
  <r>
    <n v="444"/>
    <x v="204"/>
    <x v="64"/>
    <d v="2017-09-07T00:00:00"/>
    <s v="Second Class"/>
    <x v="7"/>
    <s v="Pete Kriz"/>
    <x v="0"/>
    <s v="United States"/>
    <s v="Detroit"/>
    <x v="12"/>
    <n v="48227"/>
    <x v="2"/>
    <x v="393"/>
    <x v="1"/>
    <x v="10"/>
    <x v="394"/>
    <x v="419"/>
    <x v="8"/>
    <x v="0"/>
  </r>
  <r>
    <n v="445"/>
    <x v="204"/>
    <x v="64"/>
    <d v="2017-09-07T00:00:00"/>
    <s v="Second Class"/>
    <x v="7"/>
    <s v="Pete Kriz"/>
    <x v="0"/>
    <s v="United States"/>
    <s v="Detroit"/>
    <x v="12"/>
    <n v="48227"/>
    <x v="2"/>
    <x v="394"/>
    <x v="0"/>
    <x v="1"/>
    <x v="395"/>
    <x v="420"/>
    <x v="8"/>
    <x v="0"/>
  </r>
  <r>
    <n v="446"/>
    <x v="204"/>
    <x v="64"/>
    <d v="2017-09-07T00:00:00"/>
    <s v="Second Class"/>
    <x v="7"/>
    <s v="Pete Kriz"/>
    <x v="0"/>
    <s v="United States"/>
    <s v="Detroit"/>
    <x v="12"/>
    <n v="48227"/>
    <x v="2"/>
    <x v="395"/>
    <x v="1"/>
    <x v="2"/>
    <x v="396"/>
    <x v="421"/>
    <x v="8"/>
    <x v="0"/>
  </r>
  <r>
    <n v="447"/>
    <x v="205"/>
    <x v="177"/>
    <d v="2018-03-25T00:00:00"/>
    <s v="Second Class"/>
    <x v="180"/>
    <s v="Troy Blackwell"/>
    <x v="0"/>
    <s v="United States"/>
    <s v="Columbus"/>
    <x v="14"/>
    <n v="47201"/>
    <x v="2"/>
    <x v="396"/>
    <x v="0"/>
    <x v="5"/>
    <x v="397"/>
    <x v="422"/>
    <x v="10"/>
    <x v="3"/>
  </r>
  <r>
    <n v="448"/>
    <x v="206"/>
    <x v="178"/>
    <d v="2017-04-03T00:00:00"/>
    <s v="Second Class"/>
    <x v="181"/>
    <s v="Raymond Buch"/>
    <x v="0"/>
    <s v="United States"/>
    <s v="Auburn"/>
    <x v="15"/>
    <n v="13021"/>
    <x v="3"/>
    <x v="397"/>
    <x v="1"/>
    <x v="6"/>
    <x v="398"/>
    <x v="423"/>
    <x v="3"/>
    <x v="0"/>
  </r>
  <r>
    <n v="449"/>
    <x v="206"/>
    <x v="178"/>
    <d v="2017-04-03T00:00:00"/>
    <s v="Second Class"/>
    <x v="181"/>
    <s v="Raymond Buch"/>
    <x v="0"/>
    <s v="United States"/>
    <s v="Auburn"/>
    <x v="15"/>
    <n v="13021"/>
    <x v="3"/>
    <x v="398"/>
    <x v="1"/>
    <x v="4"/>
    <x v="399"/>
    <x v="424"/>
    <x v="3"/>
    <x v="0"/>
  </r>
  <r>
    <n v="450"/>
    <x v="206"/>
    <x v="178"/>
    <d v="2017-04-03T00:00:00"/>
    <s v="Second Class"/>
    <x v="181"/>
    <s v="Raymond Buch"/>
    <x v="0"/>
    <s v="United States"/>
    <s v="Auburn"/>
    <x v="15"/>
    <n v="13021"/>
    <x v="3"/>
    <x v="399"/>
    <x v="1"/>
    <x v="6"/>
    <x v="400"/>
    <x v="425"/>
    <x v="3"/>
    <x v="0"/>
  </r>
  <r>
    <n v="451"/>
    <x v="206"/>
    <x v="178"/>
    <d v="2017-04-03T00:00:00"/>
    <s v="Second Class"/>
    <x v="181"/>
    <s v="Raymond Buch"/>
    <x v="0"/>
    <s v="United States"/>
    <s v="Auburn"/>
    <x v="15"/>
    <n v="13021"/>
    <x v="3"/>
    <x v="400"/>
    <x v="1"/>
    <x v="6"/>
    <x v="401"/>
    <x v="426"/>
    <x v="3"/>
    <x v="0"/>
  </r>
  <r>
    <n v="452"/>
    <x v="206"/>
    <x v="178"/>
    <d v="2017-04-03T00:00:00"/>
    <s v="Second Class"/>
    <x v="181"/>
    <s v="Raymond Buch"/>
    <x v="0"/>
    <s v="United States"/>
    <s v="Auburn"/>
    <x v="15"/>
    <n v="13021"/>
    <x v="3"/>
    <x v="401"/>
    <x v="1"/>
    <x v="6"/>
    <x v="402"/>
    <x v="294"/>
    <x v="3"/>
    <x v="0"/>
  </r>
  <r>
    <n v="453"/>
    <x v="206"/>
    <x v="178"/>
    <d v="2017-04-03T00:00:00"/>
    <s v="Second Class"/>
    <x v="181"/>
    <s v="Raymond Buch"/>
    <x v="0"/>
    <s v="United States"/>
    <s v="Auburn"/>
    <x v="15"/>
    <n v="13021"/>
    <x v="3"/>
    <x v="402"/>
    <x v="2"/>
    <x v="7"/>
    <x v="403"/>
    <x v="427"/>
    <x v="3"/>
    <x v="0"/>
  </r>
  <r>
    <n v="454"/>
    <x v="207"/>
    <x v="179"/>
    <d v="2018-10-24T00:00:00"/>
    <s v="Standard Class"/>
    <x v="182"/>
    <s v="Ed Braxton"/>
    <x v="1"/>
    <s v="United States"/>
    <s v="Akron"/>
    <x v="24"/>
    <n v="44312"/>
    <x v="3"/>
    <x v="10"/>
    <x v="0"/>
    <x v="3"/>
    <x v="10"/>
    <x v="428"/>
    <x v="2"/>
    <x v="3"/>
  </r>
  <r>
    <n v="455"/>
    <x v="207"/>
    <x v="179"/>
    <d v="2018-10-24T00:00:00"/>
    <s v="Standard Class"/>
    <x v="182"/>
    <s v="Ed Braxton"/>
    <x v="1"/>
    <s v="United States"/>
    <s v="Akron"/>
    <x v="24"/>
    <n v="44312"/>
    <x v="3"/>
    <x v="403"/>
    <x v="1"/>
    <x v="4"/>
    <x v="404"/>
    <x v="429"/>
    <x v="2"/>
    <x v="3"/>
  </r>
  <r>
    <n v="456"/>
    <x v="208"/>
    <x v="180"/>
    <d v="2017-12-17T00:00:00"/>
    <s v="Standard Class"/>
    <x v="175"/>
    <s v="Ken Heidel"/>
    <x v="1"/>
    <s v="United States"/>
    <s v="Norman"/>
    <x v="26"/>
    <n v="73071"/>
    <x v="2"/>
    <x v="404"/>
    <x v="2"/>
    <x v="11"/>
    <x v="405"/>
    <x v="430"/>
    <x v="4"/>
    <x v="0"/>
  </r>
  <r>
    <n v="457"/>
    <x v="209"/>
    <x v="181"/>
    <d v="2015-02-18T00:00:00"/>
    <s v="Standard Class"/>
    <x v="183"/>
    <s v="Sanjit Chand"/>
    <x v="0"/>
    <s v="United States"/>
    <s v="Concord"/>
    <x v="1"/>
    <n v="94521"/>
    <x v="1"/>
    <x v="405"/>
    <x v="0"/>
    <x v="1"/>
    <x v="406"/>
    <x v="431"/>
    <x v="11"/>
    <x v="2"/>
  </r>
  <r>
    <n v="458"/>
    <x v="210"/>
    <x v="182"/>
    <d v="2017-10-01T00:00:00"/>
    <s v="Standard Class"/>
    <x v="173"/>
    <s v="Natalie Fritzler"/>
    <x v="0"/>
    <s v="United States"/>
    <s v="Decatur"/>
    <x v="10"/>
    <n v="62521"/>
    <x v="2"/>
    <x v="406"/>
    <x v="0"/>
    <x v="1"/>
    <x v="407"/>
    <x v="432"/>
    <x v="8"/>
    <x v="0"/>
  </r>
  <r>
    <n v="459"/>
    <x v="210"/>
    <x v="182"/>
    <d v="2017-10-01T00:00:00"/>
    <s v="Standard Class"/>
    <x v="173"/>
    <s v="Natalie Fritzler"/>
    <x v="0"/>
    <s v="United States"/>
    <s v="Decatur"/>
    <x v="10"/>
    <n v="62521"/>
    <x v="2"/>
    <x v="407"/>
    <x v="1"/>
    <x v="12"/>
    <x v="153"/>
    <x v="433"/>
    <x v="8"/>
    <x v="0"/>
  </r>
  <r>
    <n v="460"/>
    <x v="211"/>
    <x v="83"/>
    <d v="2016-12-22T00:00:00"/>
    <s v="Standard Class"/>
    <x v="98"/>
    <s v="Joseph Holt"/>
    <x v="0"/>
    <s v="United States"/>
    <s v="Seattle"/>
    <x v="4"/>
    <n v="98115"/>
    <x v="1"/>
    <x v="408"/>
    <x v="1"/>
    <x v="9"/>
    <x v="408"/>
    <x v="434"/>
    <x v="4"/>
    <x v="1"/>
  </r>
  <r>
    <n v="461"/>
    <x v="211"/>
    <x v="83"/>
    <d v="2016-12-22T00:00:00"/>
    <s v="Standard Class"/>
    <x v="98"/>
    <s v="Joseph Holt"/>
    <x v="0"/>
    <s v="United States"/>
    <s v="Seattle"/>
    <x v="4"/>
    <n v="98115"/>
    <x v="1"/>
    <x v="409"/>
    <x v="2"/>
    <x v="11"/>
    <x v="409"/>
    <x v="435"/>
    <x v="4"/>
    <x v="1"/>
  </r>
  <r>
    <n v="462"/>
    <x v="211"/>
    <x v="83"/>
    <d v="2016-12-22T00:00:00"/>
    <s v="Standard Class"/>
    <x v="98"/>
    <s v="Joseph Holt"/>
    <x v="0"/>
    <s v="United States"/>
    <s v="Seattle"/>
    <x v="4"/>
    <n v="98115"/>
    <x v="1"/>
    <x v="410"/>
    <x v="1"/>
    <x v="8"/>
    <x v="410"/>
    <x v="96"/>
    <x v="4"/>
    <x v="1"/>
  </r>
  <r>
    <n v="463"/>
    <x v="212"/>
    <x v="183"/>
    <d v="2017-04-29T00:00:00"/>
    <s v="Standard Class"/>
    <x v="184"/>
    <s v="Tanja Norvell"/>
    <x v="2"/>
    <s v="United States"/>
    <s v="Phoenix"/>
    <x v="16"/>
    <n v="85023"/>
    <x v="1"/>
    <x v="325"/>
    <x v="0"/>
    <x v="5"/>
    <x v="325"/>
    <x v="436"/>
    <x v="3"/>
    <x v="0"/>
  </r>
  <r>
    <n v="464"/>
    <x v="212"/>
    <x v="183"/>
    <d v="2017-04-29T00:00:00"/>
    <s v="Standard Class"/>
    <x v="184"/>
    <s v="Tanja Norvell"/>
    <x v="2"/>
    <s v="United States"/>
    <s v="Phoenix"/>
    <x v="16"/>
    <n v="85023"/>
    <x v="1"/>
    <x v="411"/>
    <x v="0"/>
    <x v="3"/>
    <x v="411"/>
    <x v="437"/>
    <x v="3"/>
    <x v="0"/>
  </r>
  <r>
    <n v="465"/>
    <x v="212"/>
    <x v="183"/>
    <d v="2017-04-29T00:00:00"/>
    <s v="Standard Class"/>
    <x v="184"/>
    <s v="Tanja Norvell"/>
    <x v="2"/>
    <s v="United States"/>
    <s v="Phoenix"/>
    <x v="16"/>
    <n v="85023"/>
    <x v="1"/>
    <x v="412"/>
    <x v="1"/>
    <x v="8"/>
    <x v="412"/>
    <x v="438"/>
    <x v="3"/>
    <x v="0"/>
  </r>
  <r>
    <n v="466"/>
    <x v="212"/>
    <x v="183"/>
    <d v="2017-04-29T00:00:00"/>
    <s v="Standard Class"/>
    <x v="184"/>
    <s v="Tanja Norvell"/>
    <x v="2"/>
    <s v="United States"/>
    <s v="Phoenix"/>
    <x v="16"/>
    <n v="85023"/>
    <x v="1"/>
    <x v="413"/>
    <x v="1"/>
    <x v="14"/>
    <x v="413"/>
    <x v="439"/>
    <x v="3"/>
    <x v="0"/>
  </r>
  <r>
    <n v="467"/>
    <x v="212"/>
    <x v="183"/>
    <d v="2017-04-29T00:00:00"/>
    <s v="Standard Class"/>
    <x v="184"/>
    <s v="Tanja Norvell"/>
    <x v="2"/>
    <s v="United States"/>
    <s v="Phoenix"/>
    <x v="16"/>
    <n v="85023"/>
    <x v="1"/>
    <x v="414"/>
    <x v="1"/>
    <x v="9"/>
    <x v="414"/>
    <x v="440"/>
    <x v="3"/>
    <x v="0"/>
  </r>
  <r>
    <n v="468"/>
    <x v="213"/>
    <x v="184"/>
    <d v="2016-01-24T00:00:00"/>
    <s v="Standard Class"/>
    <x v="185"/>
    <s v="Joni Sundaresam"/>
    <x v="2"/>
    <s v="United States"/>
    <s v="Park Ridge"/>
    <x v="10"/>
    <n v="60068"/>
    <x v="2"/>
    <x v="269"/>
    <x v="0"/>
    <x v="5"/>
    <x v="269"/>
    <x v="441"/>
    <x v="9"/>
    <x v="1"/>
  </r>
  <r>
    <n v="469"/>
    <x v="214"/>
    <x v="185"/>
    <d v="2018-04-04T00:00:00"/>
    <s v="Standard Class"/>
    <x v="103"/>
    <s v="David Smith"/>
    <x v="1"/>
    <s v="United States"/>
    <s v="Amarillo"/>
    <x v="5"/>
    <n v="79109"/>
    <x v="2"/>
    <x v="415"/>
    <x v="0"/>
    <x v="0"/>
    <x v="415"/>
    <x v="442"/>
    <x v="10"/>
    <x v="3"/>
  </r>
  <r>
    <n v="470"/>
    <x v="215"/>
    <x v="186"/>
    <d v="2017-12-20T00:00:00"/>
    <s v="Second Class"/>
    <x v="113"/>
    <s v="Craig Carreira"/>
    <x v="0"/>
    <s v="United States"/>
    <s v="Chicago"/>
    <x v="10"/>
    <n v="60610"/>
    <x v="2"/>
    <x v="416"/>
    <x v="1"/>
    <x v="8"/>
    <x v="416"/>
    <x v="443"/>
    <x v="4"/>
    <x v="0"/>
  </r>
  <r>
    <n v="471"/>
    <x v="216"/>
    <x v="139"/>
    <d v="2016-12-24T00:00:00"/>
    <s v="Standard Class"/>
    <x v="186"/>
    <s v="Maya Herman"/>
    <x v="1"/>
    <s v="United States"/>
    <s v="Lindenhurst"/>
    <x v="15"/>
    <n v="11757"/>
    <x v="3"/>
    <x v="417"/>
    <x v="1"/>
    <x v="10"/>
    <x v="417"/>
    <x v="444"/>
    <x v="4"/>
    <x v="1"/>
  </r>
  <r>
    <n v="472"/>
    <x v="217"/>
    <x v="187"/>
    <d v="2015-11-11T00:00:00"/>
    <s v="Second Class"/>
    <x v="187"/>
    <s v="Jeremy Pistek"/>
    <x v="0"/>
    <s v="United States"/>
    <s v="San Francisco"/>
    <x v="1"/>
    <n v="94110"/>
    <x v="1"/>
    <x v="418"/>
    <x v="1"/>
    <x v="4"/>
    <x v="418"/>
    <x v="445"/>
    <x v="0"/>
    <x v="2"/>
  </r>
  <r>
    <n v="473"/>
    <x v="217"/>
    <x v="187"/>
    <d v="2015-11-11T00:00:00"/>
    <s v="Second Class"/>
    <x v="187"/>
    <s v="Jeremy Pistek"/>
    <x v="0"/>
    <s v="United States"/>
    <s v="San Francisco"/>
    <x v="1"/>
    <n v="94110"/>
    <x v="1"/>
    <x v="419"/>
    <x v="0"/>
    <x v="0"/>
    <x v="419"/>
    <x v="446"/>
    <x v="0"/>
    <x v="2"/>
  </r>
  <r>
    <n v="474"/>
    <x v="217"/>
    <x v="187"/>
    <d v="2015-11-11T00:00:00"/>
    <s v="Second Class"/>
    <x v="187"/>
    <s v="Jeremy Pistek"/>
    <x v="0"/>
    <s v="United States"/>
    <s v="San Francisco"/>
    <x v="1"/>
    <n v="94110"/>
    <x v="1"/>
    <x v="420"/>
    <x v="2"/>
    <x v="7"/>
    <x v="420"/>
    <x v="447"/>
    <x v="0"/>
    <x v="2"/>
  </r>
  <r>
    <n v="475"/>
    <x v="217"/>
    <x v="187"/>
    <d v="2015-11-11T00:00:00"/>
    <s v="Second Class"/>
    <x v="187"/>
    <s v="Jeremy Pistek"/>
    <x v="0"/>
    <s v="United States"/>
    <s v="San Francisco"/>
    <x v="1"/>
    <n v="94110"/>
    <x v="1"/>
    <x v="421"/>
    <x v="1"/>
    <x v="4"/>
    <x v="421"/>
    <x v="448"/>
    <x v="0"/>
    <x v="2"/>
  </r>
  <r>
    <n v="476"/>
    <x v="217"/>
    <x v="187"/>
    <d v="2015-11-11T00:00:00"/>
    <s v="Second Class"/>
    <x v="187"/>
    <s v="Jeremy Pistek"/>
    <x v="0"/>
    <s v="United States"/>
    <s v="San Francisco"/>
    <x v="1"/>
    <n v="94110"/>
    <x v="1"/>
    <x v="422"/>
    <x v="1"/>
    <x v="10"/>
    <x v="422"/>
    <x v="449"/>
    <x v="0"/>
    <x v="2"/>
  </r>
  <r>
    <n v="477"/>
    <x v="217"/>
    <x v="187"/>
    <d v="2015-11-11T00:00:00"/>
    <s v="Second Class"/>
    <x v="187"/>
    <s v="Jeremy Pistek"/>
    <x v="0"/>
    <s v="United States"/>
    <s v="San Francisco"/>
    <x v="1"/>
    <n v="94110"/>
    <x v="1"/>
    <x v="423"/>
    <x v="1"/>
    <x v="10"/>
    <x v="423"/>
    <x v="450"/>
    <x v="0"/>
    <x v="2"/>
  </r>
  <r>
    <n v="478"/>
    <x v="218"/>
    <x v="188"/>
    <d v="2017-07-19T00:00:00"/>
    <s v="Standard Class"/>
    <x v="120"/>
    <s v="Kristen Hastings"/>
    <x v="1"/>
    <s v="United States"/>
    <s v="Los Angeles"/>
    <x v="1"/>
    <n v="90008"/>
    <x v="1"/>
    <x v="424"/>
    <x v="2"/>
    <x v="7"/>
    <x v="424"/>
    <x v="451"/>
    <x v="7"/>
    <x v="0"/>
  </r>
  <r>
    <n v="479"/>
    <x v="219"/>
    <x v="189"/>
    <d v="2017-11-02T00:00:00"/>
    <s v="Standard Class"/>
    <x v="188"/>
    <s v="Jeremy Ellison"/>
    <x v="0"/>
    <s v="United States"/>
    <s v="Troy"/>
    <x v="15"/>
    <n v="12180"/>
    <x v="3"/>
    <x v="278"/>
    <x v="0"/>
    <x v="5"/>
    <x v="278"/>
    <x v="452"/>
    <x v="2"/>
    <x v="0"/>
  </r>
  <r>
    <n v="480"/>
    <x v="220"/>
    <x v="190"/>
    <d v="2017-07-02T00:00:00"/>
    <s v="Standard Class"/>
    <x v="189"/>
    <s v="John Grady"/>
    <x v="1"/>
    <s v="United States"/>
    <s v="New York City"/>
    <x v="15"/>
    <n v="10024"/>
    <x v="3"/>
    <x v="425"/>
    <x v="1"/>
    <x v="6"/>
    <x v="425"/>
    <x v="453"/>
    <x v="1"/>
    <x v="0"/>
  </r>
  <r>
    <n v="481"/>
    <x v="220"/>
    <x v="190"/>
    <d v="2017-07-02T00:00:00"/>
    <s v="Standard Class"/>
    <x v="189"/>
    <s v="John Grady"/>
    <x v="1"/>
    <s v="United States"/>
    <s v="New York City"/>
    <x v="15"/>
    <n v="10024"/>
    <x v="3"/>
    <x v="426"/>
    <x v="1"/>
    <x v="4"/>
    <x v="426"/>
    <x v="454"/>
    <x v="1"/>
    <x v="0"/>
  </r>
  <r>
    <n v="482"/>
    <x v="221"/>
    <x v="191"/>
    <d v="2015-10-10T00:00:00"/>
    <s v="Standard Class"/>
    <x v="190"/>
    <s v="Xylona Preis"/>
    <x v="0"/>
    <s v="United States"/>
    <s v="San Diego"/>
    <x v="1"/>
    <n v="92024"/>
    <x v="1"/>
    <x v="427"/>
    <x v="2"/>
    <x v="11"/>
    <x v="427"/>
    <x v="455"/>
    <x v="2"/>
    <x v="2"/>
  </r>
  <r>
    <n v="483"/>
    <x v="222"/>
    <x v="192"/>
    <d v="2015-07-27T00:00:00"/>
    <s v="Standard Class"/>
    <x v="191"/>
    <s v="Erin Mull"/>
    <x v="0"/>
    <s v="United States"/>
    <s v="New York City"/>
    <x v="15"/>
    <n v="10024"/>
    <x v="3"/>
    <x v="79"/>
    <x v="1"/>
    <x v="6"/>
    <x v="79"/>
    <x v="456"/>
    <x v="7"/>
    <x v="2"/>
  </r>
  <r>
    <n v="484"/>
    <x v="222"/>
    <x v="192"/>
    <d v="2015-07-27T00:00:00"/>
    <s v="Standard Class"/>
    <x v="191"/>
    <s v="Erin Mull"/>
    <x v="0"/>
    <s v="United States"/>
    <s v="New York City"/>
    <x v="15"/>
    <n v="10024"/>
    <x v="3"/>
    <x v="428"/>
    <x v="2"/>
    <x v="11"/>
    <x v="428"/>
    <x v="457"/>
    <x v="7"/>
    <x v="2"/>
  </r>
  <r>
    <n v="485"/>
    <x v="223"/>
    <x v="193"/>
    <d v="2018-06-13T00:00:00"/>
    <s v="First Class"/>
    <x v="192"/>
    <s v="Michelle Tran"/>
    <x v="2"/>
    <s v="United States"/>
    <s v="Los Angeles"/>
    <x v="1"/>
    <n v="90045"/>
    <x v="1"/>
    <x v="429"/>
    <x v="1"/>
    <x v="2"/>
    <x v="429"/>
    <x v="458"/>
    <x v="1"/>
    <x v="3"/>
  </r>
  <r>
    <n v="486"/>
    <x v="223"/>
    <x v="193"/>
    <d v="2018-06-13T00:00:00"/>
    <s v="First Class"/>
    <x v="192"/>
    <s v="Michelle Tran"/>
    <x v="2"/>
    <s v="United States"/>
    <s v="Los Angeles"/>
    <x v="1"/>
    <n v="90045"/>
    <x v="1"/>
    <x v="430"/>
    <x v="0"/>
    <x v="0"/>
    <x v="430"/>
    <x v="459"/>
    <x v="1"/>
    <x v="3"/>
  </r>
  <r>
    <n v="487"/>
    <x v="223"/>
    <x v="193"/>
    <d v="2018-06-13T00:00:00"/>
    <s v="First Class"/>
    <x v="192"/>
    <s v="Michelle Tran"/>
    <x v="2"/>
    <s v="United States"/>
    <s v="Los Angeles"/>
    <x v="1"/>
    <n v="90045"/>
    <x v="1"/>
    <x v="431"/>
    <x v="2"/>
    <x v="7"/>
    <x v="431"/>
    <x v="460"/>
    <x v="1"/>
    <x v="3"/>
  </r>
  <r>
    <n v="488"/>
    <x v="224"/>
    <x v="194"/>
    <d v="2015-10-31T00:00:00"/>
    <s v="First Class"/>
    <x v="193"/>
    <s v="Sue Ann Reed"/>
    <x v="0"/>
    <s v="United States"/>
    <s v="Chicago"/>
    <x v="10"/>
    <n v="60610"/>
    <x v="2"/>
    <x v="432"/>
    <x v="2"/>
    <x v="7"/>
    <x v="432"/>
    <x v="461"/>
    <x v="2"/>
    <x v="2"/>
  </r>
  <r>
    <n v="489"/>
    <x v="225"/>
    <x v="3"/>
    <d v="2015-06-13T00:00:00"/>
    <s v="Second Class"/>
    <x v="194"/>
    <s v="Carl Weiss"/>
    <x v="2"/>
    <s v="United States"/>
    <s v="Huntsville"/>
    <x v="5"/>
    <n v="77340"/>
    <x v="2"/>
    <x v="433"/>
    <x v="2"/>
    <x v="7"/>
    <x v="433"/>
    <x v="462"/>
    <x v="1"/>
    <x v="2"/>
  </r>
  <r>
    <n v="490"/>
    <x v="225"/>
    <x v="3"/>
    <d v="2015-06-13T00:00:00"/>
    <s v="Second Class"/>
    <x v="194"/>
    <s v="Carl Weiss"/>
    <x v="2"/>
    <s v="United States"/>
    <s v="Huntsville"/>
    <x v="5"/>
    <n v="77340"/>
    <x v="2"/>
    <x v="434"/>
    <x v="2"/>
    <x v="11"/>
    <x v="434"/>
    <x v="463"/>
    <x v="1"/>
    <x v="2"/>
  </r>
  <r>
    <n v="491"/>
    <x v="225"/>
    <x v="3"/>
    <d v="2015-06-13T00:00:00"/>
    <s v="Second Class"/>
    <x v="194"/>
    <s v="Carl Weiss"/>
    <x v="2"/>
    <s v="United States"/>
    <s v="Huntsville"/>
    <x v="5"/>
    <n v="77340"/>
    <x v="2"/>
    <x v="399"/>
    <x v="1"/>
    <x v="6"/>
    <x v="400"/>
    <x v="464"/>
    <x v="1"/>
    <x v="2"/>
  </r>
  <r>
    <n v="492"/>
    <x v="226"/>
    <x v="80"/>
    <d v="2015-09-19T00:00:00"/>
    <s v="Standard Class"/>
    <x v="195"/>
    <s v="Astrea Jones"/>
    <x v="0"/>
    <s v="United States"/>
    <s v="Rochester"/>
    <x v="15"/>
    <n v="14609"/>
    <x v="3"/>
    <x v="435"/>
    <x v="1"/>
    <x v="4"/>
    <x v="435"/>
    <x v="465"/>
    <x v="8"/>
    <x v="2"/>
  </r>
  <r>
    <n v="493"/>
    <x v="226"/>
    <x v="80"/>
    <d v="2015-09-19T00:00:00"/>
    <s v="Standard Class"/>
    <x v="195"/>
    <s v="Astrea Jones"/>
    <x v="0"/>
    <s v="United States"/>
    <s v="Rochester"/>
    <x v="15"/>
    <n v="14609"/>
    <x v="3"/>
    <x v="436"/>
    <x v="1"/>
    <x v="12"/>
    <x v="436"/>
    <x v="466"/>
    <x v="8"/>
    <x v="2"/>
  </r>
  <r>
    <n v="494"/>
    <x v="227"/>
    <x v="195"/>
    <d v="2017-05-14T00:00:00"/>
    <s v="Standard Class"/>
    <x v="196"/>
    <s v="Sonia Sunley"/>
    <x v="0"/>
    <s v="United States"/>
    <s v="Seattle"/>
    <x v="4"/>
    <n v="98115"/>
    <x v="1"/>
    <x v="437"/>
    <x v="2"/>
    <x v="11"/>
    <x v="437"/>
    <x v="467"/>
    <x v="5"/>
    <x v="0"/>
  </r>
  <r>
    <n v="495"/>
    <x v="228"/>
    <x v="196"/>
    <d v="2017-03-21T00:00:00"/>
    <s v="Second Class"/>
    <x v="197"/>
    <s v="Rose O'Brian"/>
    <x v="0"/>
    <s v="United States"/>
    <s v="Memphis"/>
    <x v="18"/>
    <n v="38109"/>
    <x v="0"/>
    <x v="438"/>
    <x v="0"/>
    <x v="3"/>
    <x v="438"/>
    <x v="468"/>
    <x v="10"/>
    <x v="0"/>
  </r>
  <r>
    <n v="496"/>
    <x v="229"/>
    <x v="17"/>
    <d v="2016-12-31T00:00:00"/>
    <s v="Standard Class"/>
    <x v="198"/>
    <s v="Maribeth Dona"/>
    <x v="0"/>
    <s v="United States"/>
    <s v="Fayetteville"/>
    <x v="36"/>
    <n v="72701"/>
    <x v="0"/>
    <x v="439"/>
    <x v="1"/>
    <x v="12"/>
    <x v="439"/>
    <x v="469"/>
    <x v="4"/>
    <x v="1"/>
  </r>
  <r>
    <n v="497"/>
    <x v="230"/>
    <x v="197"/>
    <d v="2017-07-31T00:00:00"/>
    <s v="Standard Class"/>
    <x v="183"/>
    <s v="Sanjit Chand"/>
    <x v="0"/>
    <s v="United States"/>
    <s v="Costa Mesa"/>
    <x v="1"/>
    <n v="92627"/>
    <x v="1"/>
    <x v="440"/>
    <x v="1"/>
    <x v="8"/>
    <x v="440"/>
    <x v="470"/>
    <x v="7"/>
    <x v="0"/>
  </r>
  <r>
    <n v="498"/>
    <x v="230"/>
    <x v="197"/>
    <d v="2017-07-31T00:00:00"/>
    <s v="Standard Class"/>
    <x v="183"/>
    <s v="Sanjit Chand"/>
    <x v="0"/>
    <s v="United States"/>
    <s v="Costa Mesa"/>
    <x v="1"/>
    <n v="92627"/>
    <x v="1"/>
    <x v="441"/>
    <x v="0"/>
    <x v="5"/>
    <x v="441"/>
    <x v="471"/>
    <x v="7"/>
    <x v="0"/>
  </r>
  <r>
    <n v="499"/>
    <x v="230"/>
    <x v="197"/>
    <d v="2017-07-31T00:00:00"/>
    <s v="Standard Class"/>
    <x v="183"/>
    <s v="Sanjit Chand"/>
    <x v="0"/>
    <s v="United States"/>
    <s v="Costa Mesa"/>
    <x v="1"/>
    <n v="92627"/>
    <x v="1"/>
    <x v="291"/>
    <x v="0"/>
    <x v="1"/>
    <x v="291"/>
    <x v="472"/>
    <x v="7"/>
    <x v="0"/>
  </r>
  <r>
    <n v="500"/>
    <x v="230"/>
    <x v="197"/>
    <d v="2017-07-31T00:00:00"/>
    <s v="Standard Class"/>
    <x v="183"/>
    <s v="Sanjit Chand"/>
    <x v="0"/>
    <s v="United States"/>
    <s v="Costa Mesa"/>
    <x v="1"/>
    <n v="92627"/>
    <x v="1"/>
    <x v="442"/>
    <x v="0"/>
    <x v="5"/>
    <x v="442"/>
    <x v="473"/>
    <x v="7"/>
    <x v="0"/>
  </r>
  <r>
    <n v="501"/>
    <x v="231"/>
    <x v="198"/>
    <d v="2017-06-04T00:00:00"/>
    <s v="Standard Class"/>
    <x v="199"/>
    <s v="Maribeth Yedwab"/>
    <x v="1"/>
    <s v="United States"/>
    <s v="Parker"/>
    <x v="22"/>
    <n v="80134"/>
    <x v="1"/>
    <x v="443"/>
    <x v="1"/>
    <x v="8"/>
    <x v="443"/>
    <x v="474"/>
    <x v="5"/>
    <x v="0"/>
  </r>
  <r>
    <n v="502"/>
    <x v="231"/>
    <x v="198"/>
    <d v="2017-06-04T00:00:00"/>
    <s v="Standard Class"/>
    <x v="199"/>
    <s v="Maribeth Yedwab"/>
    <x v="1"/>
    <s v="United States"/>
    <s v="Parker"/>
    <x v="22"/>
    <n v="80134"/>
    <x v="1"/>
    <x v="444"/>
    <x v="1"/>
    <x v="8"/>
    <x v="444"/>
    <x v="475"/>
    <x v="5"/>
    <x v="0"/>
  </r>
  <r>
    <n v="503"/>
    <x v="231"/>
    <x v="198"/>
    <d v="2017-06-04T00:00:00"/>
    <s v="Standard Class"/>
    <x v="199"/>
    <s v="Maribeth Yedwab"/>
    <x v="1"/>
    <s v="United States"/>
    <s v="Parker"/>
    <x v="22"/>
    <n v="80134"/>
    <x v="1"/>
    <x v="445"/>
    <x v="0"/>
    <x v="1"/>
    <x v="445"/>
    <x v="476"/>
    <x v="5"/>
    <x v="0"/>
  </r>
  <r>
    <n v="504"/>
    <x v="231"/>
    <x v="198"/>
    <d v="2017-06-04T00:00:00"/>
    <s v="Standard Class"/>
    <x v="199"/>
    <s v="Maribeth Yedwab"/>
    <x v="1"/>
    <s v="United States"/>
    <s v="Parker"/>
    <x v="22"/>
    <n v="80134"/>
    <x v="1"/>
    <x v="446"/>
    <x v="1"/>
    <x v="8"/>
    <x v="446"/>
    <x v="477"/>
    <x v="5"/>
    <x v="0"/>
  </r>
  <r>
    <n v="505"/>
    <x v="231"/>
    <x v="198"/>
    <d v="2017-06-04T00:00:00"/>
    <s v="Standard Class"/>
    <x v="199"/>
    <s v="Maribeth Yedwab"/>
    <x v="1"/>
    <s v="United States"/>
    <s v="Parker"/>
    <x v="22"/>
    <n v="80134"/>
    <x v="1"/>
    <x v="447"/>
    <x v="1"/>
    <x v="10"/>
    <x v="447"/>
    <x v="478"/>
    <x v="5"/>
    <x v="0"/>
  </r>
  <r>
    <n v="506"/>
    <x v="232"/>
    <x v="105"/>
    <d v="2018-11-15T00:00:00"/>
    <s v="Second Class"/>
    <x v="182"/>
    <s v="Ed Braxton"/>
    <x v="1"/>
    <s v="United States"/>
    <s v="New York City"/>
    <x v="15"/>
    <n v="10024"/>
    <x v="3"/>
    <x v="122"/>
    <x v="1"/>
    <x v="8"/>
    <x v="122"/>
    <x v="204"/>
    <x v="0"/>
    <x v="3"/>
  </r>
  <r>
    <n v="507"/>
    <x v="233"/>
    <x v="199"/>
    <d v="2016-03-22T00:00:00"/>
    <s v="Standard Class"/>
    <x v="200"/>
    <s v="Christopher Martinez"/>
    <x v="0"/>
    <s v="United States"/>
    <s v="Atlanta"/>
    <x v="32"/>
    <n v="30318"/>
    <x v="0"/>
    <x v="448"/>
    <x v="1"/>
    <x v="6"/>
    <x v="448"/>
    <x v="479"/>
    <x v="10"/>
    <x v="1"/>
  </r>
  <r>
    <n v="508"/>
    <x v="233"/>
    <x v="199"/>
    <d v="2016-03-22T00:00:00"/>
    <s v="Standard Class"/>
    <x v="200"/>
    <s v="Christopher Martinez"/>
    <x v="0"/>
    <s v="United States"/>
    <s v="Atlanta"/>
    <x v="32"/>
    <n v="30318"/>
    <x v="0"/>
    <x v="449"/>
    <x v="1"/>
    <x v="6"/>
    <x v="449"/>
    <x v="480"/>
    <x v="10"/>
    <x v="1"/>
  </r>
  <r>
    <n v="509"/>
    <x v="233"/>
    <x v="199"/>
    <d v="2016-03-22T00:00:00"/>
    <s v="Standard Class"/>
    <x v="200"/>
    <s v="Christopher Martinez"/>
    <x v="0"/>
    <s v="United States"/>
    <s v="Atlanta"/>
    <x v="32"/>
    <n v="30318"/>
    <x v="0"/>
    <x v="230"/>
    <x v="1"/>
    <x v="4"/>
    <x v="450"/>
    <x v="481"/>
    <x v="10"/>
    <x v="1"/>
  </r>
  <r>
    <n v="510"/>
    <x v="233"/>
    <x v="199"/>
    <d v="2016-03-22T00:00:00"/>
    <s v="Standard Class"/>
    <x v="200"/>
    <s v="Christopher Martinez"/>
    <x v="0"/>
    <s v="United States"/>
    <s v="Atlanta"/>
    <x v="32"/>
    <n v="30318"/>
    <x v="0"/>
    <x v="450"/>
    <x v="1"/>
    <x v="8"/>
    <x v="451"/>
    <x v="482"/>
    <x v="10"/>
    <x v="1"/>
  </r>
  <r>
    <n v="511"/>
    <x v="234"/>
    <x v="200"/>
    <d v="2018-11-27T00:00:00"/>
    <s v="First Class"/>
    <x v="201"/>
    <s v="Lynn Smith"/>
    <x v="0"/>
    <s v="United States"/>
    <s v="Gladstone"/>
    <x v="25"/>
    <n v="64118"/>
    <x v="2"/>
    <x v="451"/>
    <x v="0"/>
    <x v="5"/>
    <x v="452"/>
    <x v="483"/>
    <x v="0"/>
    <x v="3"/>
  </r>
  <r>
    <n v="512"/>
    <x v="234"/>
    <x v="200"/>
    <d v="2018-11-27T00:00:00"/>
    <s v="First Class"/>
    <x v="201"/>
    <s v="Lynn Smith"/>
    <x v="0"/>
    <s v="United States"/>
    <s v="Gladstone"/>
    <x v="25"/>
    <n v="64118"/>
    <x v="2"/>
    <x v="452"/>
    <x v="2"/>
    <x v="11"/>
    <x v="453"/>
    <x v="484"/>
    <x v="0"/>
    <x v="3"/>
  </r>
  <r>
    <n v="513"/>
    <x v="235"/>
    <x v="201"/>
    <d v="2017-10-23T00:00:00"/>
    <s v="First Class"/>
    <x v="166"/>
    <s v="Luke Foster"/>
    <x v="0"/>
    <s v="United States"/>
    <s v="Newark"/>
    <x v="24"/>
    <n v="43055"/>
    <x v="3"/>
    <x v="79"/>
    <x v="1"/>
    <x v="6"/>
    <x v="79"/>
    <x v="485"/>
    <x v="2"/>
    <x v="0"/>
  </r>
  <r>
    <n v="514"/>
    <x v="236"/>
    <x v="202"/>
    <d v="2018-12-25T00:00:00"/>
    <s v="Standard Class"/>
    <x v="202"/>
    <s v="Bradley Nguyen"/>
    <x v="0"/>
    <s v="United States"/>
    <s v="Los Angeles"/>
    <x v="1"/>
    <n v="90049"/>
    <x v="1"/>
    <x v="453"/>
    <x v="1"/>
    <x v="6"/>
    <x v="454"/>
    <x v="153"/>
    <x v="4"/>
    <x v="3"/>
  </r>
  <r>
    <n v="515"/>
    <x v="236"/>
    <x v="202"/>
    <d v="2018-12-25T00:00:00"/>
    <s v="Standard Class"/>
    <x v="202"/>
    <s v="Bradley Nguyen"/>
    <x v="0"/>
    <s v="United States"/>
    <s v="Los Angeles"/>
    <x v="1"/>
    <n v="90049"/>
    <x v="1"/>
    <x v="454"/>
    <x v="1"/>
    <x v="6"/>
    <x v="455"/>
    <x v="486"/>
    <x v="4"/>
    <x v="3"/>
  </r>
  <r>
    <n v="516"/>
    <x v="237"/>
    <x v="203"/>
    <d v="2018-01-27T00:00:00"/>
    <s v="Standard Class"/>
    <x v="57"/>
    <s v="Alan Dominguez"/>
    <x v="2"/>
    <s v="United States"/>
    <s v="Great Falls"/>
    <x v="37"/>
    <n v="59405"/>
    <x v="1"/>
    <x v="455"/>
    <x v="2"/>
    <x v="16"/>
    <x v="456"/>
    <x v="487"/>
    <x v="9"/>
    <x v="3"/>
  </r>
  <r>
    <n v="517"/>
    <x v="237"/>
    <x v="203"/>
    <d v="2018-01-27T00:00:00"/>
    <s v="Standard Class"/>
    <x v="57"/>
    <s v="Alan Dominguez"/>
    <x v="2"/>
    <s v="United States"/>
    <s v="Great Falls"/>
    <x v="37"/>
    <n v="59405"/>
    <x v="1"/>
    <x v="456"/>
    <x v="1"/>
    <x v="4"/>
    <x v="457"/>
    <x v="488"/>
    <x v="9"/>
    <x v="3"/>
  </r>
  <r>
    <n v="518"/>
    <x v="237"/>
    <x v="203"/>
    <d v="2018-01-27T00:00:00"/>
    <s v="Standard Class"/>
    <x v="57"/>
    <s v="Alan Dominguez"/>
    <x v="2"/>
    <s v="United States"/>
    <s v="Great Falls"/>
    <x v="37"/>
    <n v="59405"/>
    <x v="1"/>
    <x v="457"/>
    <x v="1"/>
    <x v="10"/>
    <x v="458"/>
    <x v="489"/>
    <x v="9"/>
    <x v="3"/>
  </r>
  <r>
    <n v="519"/>
    <x v="237"/>
    <x v="203"/>
    <d v="2018-01-27T00:00:00"/>
    <s v="Standard Class"/>
    <x v="57"/>
    <s v="Alan Dominguez"/>
    <x v="2"/>
    <s v="United States"/>
    <s v="Great Falls"/>
    <x v="37"/>
    <n v="59405"/>
    <x v="1"/>
    <x v="458"/>
    <x v="1"/>
    <x v="4"/>
    <x v="459"/>
    <x v="490"/>
    <x v="9"/>
    <x v="3"/>
  </r>
  <r>
    <n v="520"/>
    <x v="238"/>
    <x v="204"/>
    <d v="2016-03-26T00:00:00"/>
    <s v="Standard Class"/>
    <x v="203"/>
    <s v="Dean Braden"/>
    <x v="0"/>
    <s v="United States"/>
    <s v="Houston"/>
    <x v="5"/>
    <n v="77041"/>
    <x v="2"/>
    <x v="43"/>
    <x v="2"/>
    <x v="11"/>
    <x v="43"/>
    <x v="491"/>
    <x v="10"/>
    <x v="1"/>
  </r>
  <r>
    <n v="521"/>
    <x v="238"/>
    <x v="204"/>
    <d v="2016-03-26T00:00:00"/>
    <s v="Standard Class"/>
    <x v="203"/>
    <s v="Dean Braden"/>
    <x v="0"/>
    <s v="United States"/>
    <s v="Houston"/>
    <x v="5"/>
    <n v="77041"/>
    <x v="2"/>
    <x v="459"/>
    <x v="1"/>
    <x v="4"/>
    <x v="460"/>
    <x v="431"/>
    <x v="10"/>
    <x v="1"/>
  </r>
  <r>
    <n v="522"/>
    <x v="238"/>
    <x v="204"/>
    <d v="2016-03-26T00:00:00"/>
    <s v="Standard Class"/>
    <x v="203"/>
    <s v="Dean Braden"/>
    <x v="0"/>
    <s v="United States"/>
    <s v="Houston"/>
    <x v="5"/>
    <n v="77041"/>
    <x v="2"/>
    <x v="460"/>
    <x v="1"/>
    <x v="8"/>
    <x v="461"/>
    <x v="492"/>
    <x v="10"/>
    <x v="1"/>
  </r>
  <r>
    <n v="523"/>
    <x v="239"/>
    <x v="205"/>
    <d v="2018-01-25T00:00:00"/>
    <s v="First Class"/>
    <x v="204"/>
    <s v="Matt Connell"/>
    <x v="1"/>
    <s v="United States"/>
    <s v="Detroit"/>
    <x v="12"/>
    <n v="48234"/>
    <x v="2"/>
    <x v="438"/>
    <x v="0"/>
    <x v="3"/>
    <x v="438"/>
    <x v="493"/>
    <x v="9"/>
    <x v="3"/>
  </r>
  <r>
    <n v="524"/>
    <x v="240"/>
    <x v="206"/>
    <d v="2017-05-23T00:00:00"/>
    <s v="First Class"/>
    <x v="109"/>
    <s v="Logan Haushalter"/>
    <x v="0"/>
    <s v="United States"/>
    <s v="Los Angeles"/>
    <x v="1"/>
    <n v="90032"/>
    <x v="1"/>
    <x v="461"/>
    <x v="2"/>
    <x v="7"/>
    <x v="462"/>
    <x v="494"/>
    <x v="5"/>
    <x v="0"/>
  </r>
  <r>
    <n v="525"/>
    <x v="240"/>
    <x v="206"/>
    <d v="2017-05-23T00:00:00"/>
    <s v="First Class"/>
    <x v="109"/>
    <s v="Logan Haushalter"/>
    <x v="0"/>
    <s v="United States"/>
    <s v="Los Angeles"/>
    <x v="1"/>
    <n v="90032"/>
    <x v="1"/>
    <x v="217"/>
    <x v="2"/>
    <x v="11"/>
    <x v="463"/>
    <x v="495"/>
    <x v="5"/>
    <x v="0"/>
  </r>
  <r>
    <n v="526"/>
    <x v="241"/>
    <x v="207"/>
    <d v="2017-01-02T00:00:00"/>
    <s v="Standard Class"/>
    <x v="205"/>
    <s v="Brian Dahlen"/>
    <x v="0"/>
    <s v="United States"/>
    <s v="Lawrence"/>
    <x v="31"/>
    <n v="1841"/>
    <x v="3"/>
    <x v="462"/>
    <x v="1"/>
    <x v="13"/>
    <x v="128"/>
    <x v="496"/>
    <x v="4"/>
    <x v="1"/>
  </r>
  <r>
    <n v="527"/>
    <x v="242"/>
    <x v="208"/>
    <d v="2018-10-26T00:00:00"/>
    <s v="Standard Class"/>
    <x v="206"/>
    <s v="Patricia Hirasaki"/>
    <x v="2"/>
    <s v="United States"/>
    <s v="Lakeland"/>
    <x v="2"/>
    <n v="33801"/>
    <x v="0"/>
    <x v="463"/>
    <x v="0"/>
    <x v="1"/>
    <x v="464"/>
    <x v="497"/>
    <x v="2"/>
    <x v="3"/>
  </r>
  <r>
    <n v="528"/>
    <x v="242"/>
    <x v="208"/>
    <d v="2018-10-26T00:00:00"/>
    <s v="Standard Class"/>
    <x v="206"/>
    <s v="Patricia Hirasaki"/>
    <x v="2"/>
    <s v="United States"/>
    <s v="Lakeland"/>
    <x v="2"/>
    <n v="33801"/>
    <x v="0"/>
    <x v="285"/>
    <x v="0"/>
    <x v="5"/>
    <x v="285"/>
    <x v="498"/>
    <x v="2"/>
    <x v="3"/>
  </r>
  <r>
    <n v="529"/>
    <x v="243"/>
    <x v="37"/>
    <d v="2016-09-07T00:00:00"/>
    <s v="Standard Class"/>
    <x v="207"/>
    <s v="Mike Gockenbach"/>
    <x v="0"/>
    <s v="United States"/>
    <s v="Philadelphia"/>
    <x v="9"/>
    <n v="19134"/>
    <x v="3"/>
    <x v="464"/>
    <x v="1"/>
    <x v="4"/>
    <x v="465"/>
    <x v="499"/>
    <x v="8"/>
    <x v="1"/>
  </r>
  <r>
    <n v="530"/>
    <x v="243"/>
    <x v="37"/>
    <d v="2016-09-07T00:00:00"/>
    <s v="Standard Class"/>
    <x v="207"/>
    <s v="Mike Gockenbach"/>
    <x v="0"/>
    <s v="United States"/>
    <s v="Philadelphia"/>
    <x v="9"/>
    <n v="19134"/>
    <x v="3"/>
    <x v="465"/>
    <x v="1"/>
    <x v="14"/>
    <x v="466"/>
    <x v="500"/>
    <x v="8"/>
    <x v="1"/>
  </r>
  <r>
    <n v="531"/>
    <x v="243"/>
    <x v="37"/>
    <d v="2016-09-07T00:00:00"/>
    <s v="Standard Class"/>
    <x v="207"/>
    <s v="Mike Gockenbach"/>
    <x v="0"/>
    <s v="United States"/>
    <s v="Philadelphia"/>
    <x v="9"/>
    <n v="19134"/>
    <x v="3"/>
    <x v="466"/>
    <x v="1"/>
    <x v="12"/>
    <x v="467"/>
    <x v="501"/>
    <x v="8"/>
    <x v="1"/>
  </r>
  <r>
    <n v="532"/>
    <x v="244"/>
    <x v="209"/>
    <d v="2016-11-09T00:00:00"/>
    <s v="Second Class"/>
    <x v="208"/>
    <s v="Karen Bern"/>
    <x v="1"/>
    <s v="United States"/>
    <s v="Los Angeles"/>
    <x v="1"/>
    <n v="90036"/>
    <x v="1"/>
    <x v="467"/>
    <x v="0"/>
    <x v="1"/>
    <x v="468"/>
    <x v="502"/>
    <x v="0"/>
    <x v="1"/>
  </r>
  <r>
    <n v="533"/>
    <x v="245"/>
    <x v="210"/>
    <d v="2018-09-11T00:00:00"/>
    <s v="Standard Class"/>
    <x v="209"/>
    <s v="Jasper Cacioppo"/>
    <x v="0"/>
    <s v="United States"/>
    <s v="Los Angeles"/>
    <x v="1"/>
    <n v="90032"/>
    <x v="1"/>
    <x v="468"/>
    <x v="0"/>
    <x v="5"/>
    <x v="469"/>
    <x v="503"/>
    <x v="8"/>
    <x v="3"/>
  </r>
  <r>
    <n v="534"/>
    <x v="246"/>
    <x v="211"/>
    <d v="2017-06-01T00:00:00"/>
    <s v="Second Class"/>
    <x v="210"/>
    <s v="Rob Lucas"/>
    <x v="0"/>
    <s v="United States"/>
    <s v="Montgomery"/>
    <x v="19"/>
    <n v="36116"/>
    <x v="0"/>
    <x v="469"/>
    <x v="2"/>
    <x v="7"/>
    <x v="470"/>
    <x v="504"/>
    <x v="5"/>
    <x v="0"/>
  </r>
  <r>
    <n v="535"/>
    <x v="246"/>
    <x v="211"/>
    <d v="2017-06-01T00:00:00"/>
    <s v="Second Class"/>
    <x v="210"/>
    <s v="Rob Lucas"/>
    <x v="0"/>
    <s v="United States"/>
    <s v="Montgomery"/>
    <x v="19"/>
    <n v="36116"/>
    <x v="0"/>
    <x v="248"/>
    <x v="1"/>
    <x v="8"/>
    <x v="249"/>
    <x v="505"/>
    <x v="5"/>
    <x v="0"/>
  </r>
  <r>
    <n v="536"/>
    <x v="247"/>
    <x v="212"/>
    <d v="2017-07-16T00:00:00"/>
    <s v="Standard Class"/>
    <x v="211"/>
    <s v="Allen Armold"/>
    <x v="0"/>
    <s v="United States"/>
    <s v="Mesa"/>
    <x v="16"/>
    <n v="85204"/>
    <x v="1"/>
    <x v="470"/>
    <x v="1"/>
    <x v="4"/>
    <x v="471"/>
    <x v="506"/>
    <x v="7"/>
    <x v="0"/>
  </r>
  <r>
    <n v="537"/>
    <x v="248"/>
    <x v="213"/>
    <d v="2018-09-08T00:00:00"/>
    <s v="Second Class"/>
    <x v="212"/>
    <s v="Emily Phan"/>
    <x v="0"/>
    <s v="United States"/>
    <s v="Chicago"/>
    <x v="10"/>
    <n v="60653"/>
    <x v="2"/>
    <x v="471"/>
    <x v="1"/>
    <x v="8"/>
    <x v="472"/>
    <x v="507"/>
    <x v="8"/>
    <x v="3"/>
  </r>
  <r>
    <n v="538"/>
    <x v="249"/>
    <x v="155"/>
    <d v="2016-12-08T00:00:00"/>
    <s v="Standard Class"/>
    <x v="88"/>
    <s v="Mark Packer"/>
    <x v="2"/>
    <s v="United States"/>
    <s v="New York City"/>
    <x v="15"/>
    <n v="10009"/>
    <x v="3"/>
    <x v="472"/>
    <x v="1"/>
    <x v="8"/>
    <x v="473"/>
    <x v="508"/>
    <x v="4"/>
    <x v="1"/>
  </r>
  <r>
    <n v="539"/>
    <x v="250"/>
    <x v="214"/>
    <d v="2016-12-11T00:00:00"/>
    <s v="Standard Class"/>
    <x v="213"/>
    <s v="Darren Koutras"/>
    <x v="0"/>
    <s v="United States"/>
    <s v="Henderson"/>
    <x v="0"/>
    <n v="42420"/>
    <x v="0"/>
    <x v="473"/>
    <x v="1"/>
    <x v="9"/>
    <x v="474"/>
    <x v="509"/>
    <x v="4"/>
    <x v="1"/>
  </r>
  <r>
    <n v="540"/>
    <x v="250"/>
    <x v="214"/>
    <d v="2016-12-11T00:00:00"/>
    <s v="Standard Class"/>
    <x v="213"/>
    <s v="Darren Koutras"/>
    <x v="0"/>
    <s v="United States"/>
    <s v="Henderson"/>
    <x v="0"/>
    <n v="42420"/>
    <x v="0"/>
    <x v="474"/>
    <x v="0"/>
    <x v="1"/>
    <x v="475"/>
    <x v="510"/>
    <x v="4"/>
    <x v="1"/>
  </r>
  <r>
    <n v="541"/>
    <x v="251"/>
    <x v="215"/>
    <d v="2015-02-03T00:00:00"/>
    <s v="First Class"/>
    <x v="214"/>
    <s v="Bradley Drucker"/>
    <x v="0"/>
    <s v="United States"/>
    <s v="Green Bay"/>
    <x v="6"/>
    <n v="54302"/>
    <x v="2"/>
    <x v="475"/>
    <x v="2"/>
    <x v="11"/>
    <x v="476"/>
    <x v="511"/>
    <x v="11"/>
    <x v="2"/>
  </r>
  <r>
    <n v="542"/>
    <x v="252"/>
    <x v="216"/>
    <d v="2017-07-17T00:00:00"/>
    <s v="First Class"/>
    <x v="20"/>
    <s v="Erin Smith"/>
    <x v="1"/>
    <s v="United States"/>
    <s v="Tucson"/>
    <x v="16"/>
    <n v="85705"/>
    <x v="1"/>
    <x v="476"/>
    <x v="2"/>
    <x v="7"/>
    <x v="477"/>
    <x v="512"/>
    <x v="7"/>
    <x v="0"/>
  </r>
  <r>
    <n v="543"/>
    <x v="253"/>
    <x v="217"/>
    <d v="2016-12-23T00:00:00"/>
    <s v="Standard Class"/>
    <x v="215"/>
    <s v="Liz MacKendrick"/>
    <x v="0"/>
    <s v="United States"/>
    <s v="Springfield"/>
    <x v="24"/>
    <n v="45503"/>
    <x v="3"/>
    <x v="435"/>
    <x v="1"/>
    <x v="4"/>
    <x v="435"/>
    <x v="513"/>
    <x v="4"/>
    <x v="1"/>
  </r>
  <r>
    <n v="544"/>
    <x v="254"/>
    <x v="218"/>
    <d v="2015-05-16T00:00:00"/>
    <s v="Standard Class"/>
    <x v="38"/>
    <s v="Paul Gonzalez"/>
    <x v="0"/>
    <s v="United States"/>
    <s v="Fort Worth"/>
    <x v="5"/>
    <n v="76106"/>
    <x v="2"/>
    <x v="477"/>
    <x v="2"/>
    <x v="11"/>
    <x v="478"/>
    <x v="514"/>
    <x v="5"/>
    <x v="2"/>
  </r>
  <r>
    <n v="545"/>
    <x v="254"/>
    <x v="218"/>
    <d v="2015-05-16T00:00:00"/>
    <s v="Standard Class"/>
    <x v="38"/>
    <s v="Paul Gonzalez"/>
    <x v="0"/>
    <s v="United States"/>
    <s v="Fort Worth"/>
    <x v="5"/>
    <n v="76106"/>
    <x v="2"/>
    <x v="478"/>
    <x v="2"/>
    <x v="7"/>
    <x v="479"/>
    <x v="515"/>
    <x v="5"/>
    <x v="2"/>
  </r>
  <r>
    <n v="546"/>
    <x v="254"/>
    <x v="218"/>
    <d v="2015-05-16T00:00:00"/>
    <s v="Standard Class"/>
    <x v="38"/>
    <s v="Paul Gonzalez"/>
    <x v="0"/>
    <s v="United States"/>
    <s v="Fort Worth"/>
    <x v="5"/>
    <n v="76106"/>
    <x v="2"/>
    <x v="479"/>
    <x v="0"/>
    <x v="5"/>
    <x v="480"/>
    <x v="516"/>
    <x v="5"/>
    <x v="2"/>
  </r>
  <r>
    <n v="547"/>
    <x v="255"/>
    <x v="123"/>
    <d v="2018-11-22T00:00:00"/>
    <s v="First Class"/>
    <x v="216"/>
    <s v="Adrian Shami"/>
    <x v="2"/>
    <s v="United States"/>
    <s v="New York City"/>
    <x v="15"/>
    <n v="10035"/>
    <x v="3"/>
    <x v="480"/>
    <x v="1"/>
    <x v="8"/>
    <x v="481"/>
    <x v="517"/>
    <x v="0"/>
    <x v="3"/>
  </r>
  <r>
    <n v="548"/>
    <x v="255"/>
    <x v="123"/>
    <d v="2018-11-22T00:00:00"/>
    <s v="First Class"/>
    <x v="216"/>
    <s v="Adrian Shami"/>
    <x v="2"/>
    <s v="United States"/>
    <s v="New York City"/>
    <x v="15"/>
    <n v="10035"/>
    <x v="3"/>
    <x v="481"/>
    <x v="1"/>
    <x v="10"/>
    <x v="482"/>
    <x v="518"/>
    <x v="0"/>
    <x v="3"/>
  </r>
  <r>
    <n v="549"/>
    <x v="256"/>
    <x v="219"/>
    <d v="2016-11-17T00:00:00"/>
    <s v="Second Class"/>
    <x v="158"/>
    <s v="Dean Katz"/>
    <x v="1"/>
    <s v="United States"/>
    <s v="Chicago"/>
    <x v="10"/>
    <n v="60653"/>
    <x v="2"/>
    <x v="54"/>
    <x v="1"/>
    <x v="4"/>
    <x v="54"/>
    <x v="519"/>
    <x v="0"/>
    <x v="1"/>
  </r>
  <r>
    <n v="550"/>
    <x v="256"/>
    <x v="219"/>
    <d v="2016-11-17T00:00:00"/>
    <s v="Second Class"/>
    <x v="158"/>
    <s v="Dean Katz"/>
    <x v="1"/>
    <s v="United States"/>
    <s v="Chicago"/>
    <x v="10"/>
    <n v="60653"/>
    <x v="2"/>
    <x v="92"/>
    <x v="1"/>
    <x v="8"/>
    <x v="92"/>
    <x v="520"/>
    <x v="0"/>
    <x v="1"/>
  </r>
  <r>
    <n v="551"/>
    <x v="256"/>
    <x v="219"/>
    <d v="2016-11-17T00:00:00"/>
    <s v="Second Class"/>
    <x v="158"/>
    <s v="Dean Katz"/>
    <x v="1"/>
    <s v="United States"/>
    <s v="Chicago"/>
    <x v="10"/>
    <n v="60653"/>
    <x v="2"/>
    <x v="482"/>
    <x v="1"/>
    <x v="14"/>
    <x v="327"/>
    <x v="521"/>
    <x v="0"/>
    <x v="1"/>
  </r>
  <r>
    <n v="552"/>
    <x v="257"/>
    <x v="173"/>
    <d v="2017-04-17T00:00:00"/>
    <s v="Second Class"/>
    <x v="217"/>
    <s v="Bill Donatelli"/>
    <x v="0"/>
    <s v="United States"/>
    <s v="San Francisco"/>
    <x v="1"/>
    <n v="94110"/>
    <x v="1"/>
    <x v="483"/>
    <x v="0"/>
    <x v="1"/>
    <x v="483"/>
    <x v="522"/>
    <x v="3"/>
    <x v="0"/>
  </r>
  <r>
    <n v="553"/>
    <x v="258"/>
    <x v="220"/>
    <d v="2018-09-12T00:00:00"/>
    <s v="First Class"/>
    <x v="53"/>
    <s v="Ryan Crowe"/>
    <x v="0"/>
    <s v="United States"/>
    <s v="Jacksonville"/>
    <x v="2"/>
    <n v="32216"/>
    <x v="0"/>
    <x v="484"/>
    <x v="0"/>
    <x v="5"/>
    <x v="484"/>
    <x v="523"/>
    <x v="8"/>
    <x v="3"/>
  </r>
  <r>
    <n v="554"/>
    <x v="259"/>
    <x v="221"/>
    <d v="2018-11-28T00:00:00"/>
    <s v="Standard Class"/>
    <x v="218"/>
    <s v="Greg Tran"/>
    <x v="0"/>
    <s v="United States"/>
    <s v="Houston"/>
    <x v="5"/>
    <n v="77070"/>
    <x v="2"/>
    <x v="485"/>
    <x v="1"/>
    <x v="13"/>
    <x v="485"/>
    <x v="524"/>
    <x v="0"/>
    <x v="3"/>
  </r>
  <r>
    <n v="555"/>
    <x v="260"/>
    <x v="222"/>
    <d v="2018-07-03T00:00:00"/>
    <s v="Second Class"/>
    <x v="158"/>
    <s v="Dean Katz"/>
    <x v="1"/>
    <s v="United States"/>
    <s v="Anaheim"/>
    <x v="1"/>
    <n v="92804"/>
    <x v="1"/>
    <x v="486"/>
    <x v="1"/>
    <x v="4"/>
    <x v="486"/>
    <x v="525"/>
    <x v="1"/>
    <x v="3"/>
  </r>
  <r>
    <n v="556"/>
    <x v="261"/>
    <x v="223"/>
    <d v="2015-03-07T00:00:00"/>
    <s v="Second Class"/>
    <x v="219"/>
    <s v="Ashley Jarboe"/>
    <x v="0"/>
    <s v="United States"/>
    <s v="Wilmington"/>
    <x v="3"/>
    <n v="28403"/>
    <x v="0"/>
    <x v="487"/>
    <x v="1"/>
    <x v="6"/>
    <x v="487"/>
    <x v="526"/>
    <x v="10"/>
    <x v="2"/>
  </r>
  <r>
    <n v="557"/>
    <x v="262"/>
    <x v="224"/>
    <d v="2017-06-15T00:00:00"/>
    <s v="Standard Class"/>
    <x v="220"/>
    <s v="Olvera Toch"/>
    <x v="0"/>
    <s v="United States"/>
    <s v="Los Angeles"/>
    <x v="1"/>
    <n v="90045"/>
    <x v="1"/>
    <x v="488"/>
    <x v="1"/>
    <x v="2"/>
    <x v="488"/>
    <x v="343"/>
    <x v="1"/>
    <x v="0"/>
  </r>
  <r>
    <n v="558"/>
    <x v="262"/>
    <x v="224"/>
    <d v="2017-06-15T00:00:00"/>
    <s v="Standard Class"/>
    <x v="220"/>
    <s v="Olvera Toch"/>
    <x v="0"/>
    <s v="United States"/>
    <s v="Los Angeles"/>
    <x v="1"/>
    <n v="90045"/>
    <x v="1"/>
    <x v="489"/>
    <x v="0"/>
    <x v="3"/>
    <x v="489"/>
    <x v="527"/>
    <x v="1"/>
    <x v="0"/>
  </r>
  <r>
    <n v="559"/>
    <x v="262"/>
    <x v="224"/>
    <d v="2017-06-15T00:00:00"/>
    <s v="Standard Class"/>
    <x v="220"/>
    <s v="Olvera Toch"/>
    <x v="0"/>
    <s v="United States"/>
    <s v="Los Angeles"/>
    <x v="1"/>
    <n v="90045"/>
    <x v="1"/>
    <x v="490"/>
    <x v="1"/>
    <x v="10"/>
    <x v="490"/>
    <x v="56"/>
    <x v="1"/>
    <x v="0"/>
  </r>
  <r>
    <n v="560"/>
    <x v="263"/>
    <x v="225"/>
    <d v="2018-11-22T00:00:00"/>
    <s v="Second Class"/>
    <x v="221"/>
    <s v="Liz Pelletier"/>
    <x v="0"/>
    <s v="United States"/>
    <s v="San Francisco"/>
    <x v="1"/>
    <n v="94110"/>
    <x v="1"/>
    <x v="378"/>
    <x v="0"/>
    <x v="5"/>
    <x v="379"/>
    <x v="528"/>
    <x v="0"/>
    <x v="3"/>
  </r>
  <r>
    <n v="561"/>
    <x v="263"/>
    <x v="225"/>
    <d v="2018-11-22T00:00:00"/>
    <s v="Second Class"/>
    <x v="221"/>
    <s v="Liz Pelletier"/>
    <x v="0"/>
    <s v="United States"/>
    <s v="San Francisco"/>
    <x v="1"/>
    <n v="94110"/>
    <x v="1"/>
    <x v="491"/>
    <x v="1"/>
    <x v="8"/>
    <x v="491"/>
    <x v="529"/>
    <x v="0"/>
    <x v="3"/>
  </r>
  <r>
    <n v="562"/>
    <x v="264"/>
    <x v="80"/>
    <d v="2015-09-18T00:00:00"/>
    <s v="Second Class"/>
    <x v="222"/>
    <s v="Cynthia Arntzen"/>
    <x v="0"/>
    <s v="United States"/>
    <s v="Tampa"/>
    <x v="2"/>
    <n v="33614"/>
    <x v="0"/>
    <x v="492"/>
    <x v="1"/>
    <x v="9"/>
    <x v="492"/>
    <x v="530"/>
    <x v="8"/>
    <x v="2"/>
  </r>
  <r>
    <n v="563"/>
    <x v="264"/>
    <x v="80"/>
    <d v="2015-09-18T00:00:00"/>
    <s v="Second Class"/>
    <x v="222"/>
    <s v="Cynthia Arntzen"/>
    <x v="0"/>
    <s v="United States"/>
    <s v="Tampa"/>
    <x v="2"/>
    <n v="33614"/>
    <x v="0"/>
    <x v="493"/>
    <x v="0"/>
    <x v="5"/>
    <x v="493"/>
    <x v="531"/>
    <x v="8"/>
    <x v="2"/>
  </r>
  <r>
    <n v="564"/>
    <x v="265"/>
    <x v="214"/>
    <d v="2016-12-09T00:00:00"/>
    <s v="First Class"/>
    <x v="223"/>
    <s v="Jeremy Farry"/>
    <x v="0"/>
    <s v="United States"/>
    <s v="Seattle"/>
    <x v="4"/>
    <n v="98105"/>
    <x v="1"/>
    <x v="494"/>
    <x v="1"/>
    <x v="13"/>
    <x v="494"/>
    <x v="532"/>
    <x v="4"/>
    <x v="1"/>
  </r>
  <r>
    <n v="565"/>
    <x v="265"/>
    <x v="214"/>
    <d v="2016-12-09T00:00:00"/>
    <s v="First Class"/>
    <x v="223"/>
    <s v="Jeremy Farry"/>
    <x v="0"/>
    <s v="United States"/>
    <s v="Seattle"/>
    <x v="4"/>
    <n v="98105"/>
    <x v="1"/>
    <x v="286"/>
    <x v="1"/>
    <x v="2"/>
    <x v="286"/>
    <x v="533"/>
    <x v="4"/>
    <x v="1"/>
  </r>
  <r>
    <n v="566"/>
    <x v="266"/>
    <x v="226"/>
    <d v="2018-12-10T00:00:00"/>
    <s v="First Class"/>
    <x v="224"/>
    <s v="Frank Preis"/>
    <x v="0"/>
    <s v="United States"/>
    <s v="Los Angeles"/>
    <x v="1"/>
    <n v="90008"/>
    <x v="1"/>
    <x v="495"/>
    <x v="2"/>
    <x v="7"/>
    <x v="495"/>
    <x v="534"/>
    <x v="4"/>
    <x v="3"/>
  </r>
  <r>
    <n v="567"/>
    <x v="267"/>
    <x v="172"/>
    <d v="2018-10-08T00:00:00"/>
    <s v="Standard Class"/>
    <x v="225"/>
    <s v="Ellis Ballard"/>
    <x v="1"/>
    <s v="United States"/>
    <s v="Seattle"/>
    <x v="4"/>
    <n v="98105"/>
    <x v="1"/>
    <x v="496"/>
    <x v="1"/>
    <x v="10"/>
    <x v="496"/>
    <x v="535"/>
    <x v="2"/>
    <x v="3"/>
  </r>
  <r>
    <n v="568"/>
    <x v="267"/>
    <x v="172"/>
    <d v="2018-10-08T00:00:00"/>
    <s v="Standard Class"/>
    <x v="225"/>
    <s v="Ellis Ballard"/>
    <x v="1"/>
    <s v="United States"/>
    <s v="Seattle"/>
    <x v="4"/>
    <n v="98105"/>
    <x v="1"/>
    <x v="497"/>
    <x v="1"/>
    <x v="8"/>
    <x v="497"/>
    <x v="536"/>
    <x v="2"/>
    <x v="3"/>
  </r>
  <r>
    <n v="569"/>
    <x v="267"/>
    <x v="172"/>
    <d v="2018-10-08T00:00:00"/>
    <s v="Standard Class"/>
    <x v="225"/>
    <s v="Ellis Ballard"/>
    <x v="1"/>
    <s v="United States"/>
    <s v="Seattle"/>
    <x v="4"/>
    <n v="98105"/>
    <x v="1"/>
    <x v="498"/>
    <x v="1"/>
    <x v="10"/>
    <x v="498"/>
    <x v="537"/>
    <x v="2"/>
    <x v="3"/>
  </r>
  <r>
    <n v="570"/>
    <x v="267"/>
    <x v="172"/>
    <d v="2018-10-08T00:00:00"/>
    <s v="Standard Class"/>
    <x v="225"/>
    <s v="Ellis Ballard"/>
    <x v="1"/>
    <s v="United States"/>
    <s v="Seattle"/>
    <x v="4"/>
    <n v="98105"/>
    <x v="1"/>
    <x v="499"/>
    <x v="0"/>
    <x v="1"/>
    <x v="499"/>
    <x v="538"/>
    <x v="2"/>
    <x v="3"/>
  </r>
  <r>
    <n v="571"/>
    <x v="268"/>
    <x v="116"/>
    <d v="2019-01-04T00:00:00"/>
    <s v="Standard Class"/>
    <x v="226"/>
    <s v="Jennifer Ferguson"/>
    <x v="0"/>
    <s v="United States"/>
    <s v="New York City"/>
    <x v="15"/>
    <n v="10024"/>
    <x v="3"/>
    <x v="488"/>
    <x v="1"/>
    <x v="2"/>
    <x v="488"/>
    <x v="539"/>
    <x v="4"/>
    <x v="3"/>
  </r>
  <r>
    <n v="572"/>
    <x v="268"/>
    <x v="116"/>
    <d v="2019-01-04T00:00:00"/>
    <s v="Standard Class"/>
    <x v="226"/>
    <s v="Jennifer Ferguson"/>
    <x v="0"/>
    <s v="United States"/>
    <s v="New York City"/>
    <x v="15"/>
    <n v="10024"/>
    <x v="3"/>
    <x v="203"/>
    <x v="1"/>
    <x v="13"/>
    <x v="204"/>
    <x v="540"/>
    <x v="4"/>
    <x v="3"/>
  </r>
  <r>
    <n v="573"/>
    <x v="268"/>
    <x v="116"/>
    <d v="2019-01-04T00:00:00"/>
    <s v="Standard Class"/>
    <x v="226"/>
    <s v="Jennifer Ferguson"/>
    <x v="0"/>
    <s v="United States"/>
    <s v="New York City"/>
    <x v="15"/>
    <n v="10024"/>
    <x v="3"/>
    <x v="305"/>
    <x v="1"/>
    <x v="8"/>
    <x v="305"/>
    <x v="541"/>
    <x v="4"/>
    <x v="3"/>
  </r>
  <r>
    <n v="574"/>
    <x v="268"/>
    <x v="116"/>
    <d v="2019-01-04T00:00:00"/>
    <s v="Standard Class"/>
    <x v="226"/>
    <s v="Jennifer Ferguson"/>
    <x v="0"/>
    <s v="United States"/>
    <s v="New York City"/>
    <x v="15"/>
    <n v="10024"/>
    <x v="3"/>
    <x v="500"/>
    <x v="2"/>
    <x v="7"/>
    <x v="500"/>
    <x v="542"/>
    <x v="4"/>
    <x v="3"/>
  </r>
  <r>
    <n v="575"/>
    <x v="269"/>
    <x v="54"/>
    <d v="2017-11-07T00:00:00"/>
    <s v="Standard Class"/>
    <x v="227"/>
    <s v="Sarah Foster"/>
    <x v="0"/>
    <s v="United States"/>
    <s v="Marysville"/>
    <x v="4"/>
    <n v="98270"/>
    <x v="1"/>
    <x v="501"/>
    <x v="1"/>
    <x v="6"/>
    <x v="501"/>
    <x v="138"/>
    <x v="0"/>
    <x v="0"/>
  </r>
  <r>
    <n v="576"/>
    <x v="270"/>
    <x v="227"/>
    <d v="2016-09-22T00:00:00"/>
    <s v="Second Class"/>
    <x v="228"/>
    <s v="Trudy Glocke"/>
    <x v="0"/>
    <s v="United States"/>
    <s v="Long Beach"/>
    <x v="1"/>
    <n v="90805"/>
    <x v="1"/>
    <x v="496"/>
    <x v="1"/>
    <x v="10"/>
    <x v="496"/>
    <x v="543"/>
    <x v="8"/>
    <x v="1"/>
  </r>
  <r>
    <n v="577"/>
    <x v="270"/>
    <x v="227"/>
    <d v="2016-09-22T00:00:00"/>
    <s v="Second Class"/>
    <x v="228"/>
    <s v="Trudy Glocke"/>
    <x v="0"/>
    <s v="United States"/>
    <s v="Long Beach"/>
    <x v="1"/>
    <n v="90805"/>
    <x v="1"/>
    <x v="502"/>
    <x v="1"/>
    <x v="10"/>
    <x v="502"/>
    <x v="544"/>
    <x v="8"/>
    <x v="1"/>
  </r>
  <r>
    <n v="578"/>
    <x v="270"/>
    <x v="227"/>
    <d v="2016-09-22T00:00:00"/>
    <s v="Second Class"/>
    <x v="228"/>
    <s v="Trudy Glocke"/>
    <x v="0"/>
    <s v="United States"/>
    <s v="Long Beach"/>
    <x v="1"/>
    <n v="90805"/>
    <x v="1"/>
    <x v="503"/>
    <x v="1"/>
    <x v="14"/>
    <x v="503"/>
    <x v="545"/>
    <x v="8"/>
    <x v="1"/>
  </r>
  <r>
    <n v="579"/>
    <x v="271"/>
    <x v="228"/>
    <d v="2018-07-26T00:00:00"/>
    <s v="Standard Class"/>
    <x v="229"/>
    <s v="Carlos Soltero"/>
    <x v="0"/>
    <s v="United States"/>
    <s v="Chicago"/>
    <x v="10"/>
    <n v="60610"/>
    <x v="2"/>
    <x v="123"/>
    <x v="1"/>
    <x v="4"/>
    <x v="123"/>
    <x v="546"/>
    <x v="7"/>
    <x v="3"/>
  </r>
  <r>
    <n v="580"/>
    <x v="271"/>
    <x v="228"/>
    <d v="2018-07-26T00:00:00"/>
    <s v="Standard Class"/>
    <x v="229"/>
    <s v="Carlos Soltero"/>
    <x v="0"/>
    <s v="United States"/>
    <s v="Chicago"/>
    <x v="10"/>
    <n v="60610"/>
    <x v="2"/>
    <x v="504"/>
    <x v="0"/>
    <x v="5"/>
    <x v="504"/>
    <x v="547"/>
    <x v="7"/>
    <x v="3"/>
  </r>
  <r>
    <n v="581"/>
    <x v="272"/>
    <x v="229"/>
    <d v="2016-09-14T00:00:00"/>
    <s v="Standard Class"/>
    <x v="230"/>
    <s v="Charles Crestani"/>
    <x v="0"/>
    <s v="United States"/>
    <s v="Los Angeles"/>
    <x v="1"/>
    <n v="90004"/>
    <x v="1"/>
    <x v="505"/>
    <x v="1"/>
    <x v="14"/>
    <x v="505"/>
    <x v="548"/>
    <x v="8"/>
    <x v="1"/>
  </r>
  <r>
    <n v="582"/>
    <x v="273"/>
    <x v="96"/>
    <d v="2018-12-05T00:00:00"/>
    <s v="Standard Class"/>
    <x v="231"/>
    <s v="Dianna Vittorini"/>
    <x v="0"/>
    <s v="United States"/>
    <s v="Denver"/>
    <x v="22"/>
    <n v="80219"/>
    <x v="1"/>
    <x v="34"/>
    <x v="2"/>
    <x v="7"/>
    <x v="34"/>
    <x v="549"/>
    <x v="4"/>
    <x v="3"/>
  </r>
  <r>
    <n v="583"/>
    <x v="273"/>
    <x v="96"/>
    <d v="2018-12-05T00:00:00"/>
    <s v="Standard Class"/>
    <x v="231"/>
    <s v="Dianna Vittorini"/>
    <x v="0"/>
    <s v="United States"/>
    <s v="Denver"/>
    <x v="22"/>
    <n v="80219"/>
    <x v="1"/>
    <x v="506"/>
    <x v="2"/>
    <x v="7"/>
    <x v="506"/>
    <x v="550"/>
    <x v="4"/>
    <x v="3"/>
  </r>
  <r>
    <n v="584"/>
    <x v="273"/>
    <x v="96"/>
    <d v="2018-12-05T00:00:00"/>
    <s v="Standard Class"/>
    <x v="231"/>
    <s v="Dianna Vittorini"/>
    <x v="0"/>
    <s v="United States"/>
    <s v="Denver"/>
    <x v="22"/>
    <n v="80219"/>
    <x v="1"/>
    <x v="95"/>
    <x v="1"/>
    <x v="9"/>
    <x v="95"/>
    <x v="551"/>
    <x v="4"/>
    <x v="3"/>
  </r>
  <r>
    <n v="585"/>
    <x v="273"/>
    <x v="96"/>
    <d v="2018-12-05T00:00:00"/>
    <s v="Standard Class"/>
    <x v="231"/>
    <s v="Dianna Vittorini"/>
    <x v="0"/>
    <s v="United States"/>
    <s v="Denver"/>
    <x v="22"/>
    <n v="80219"/>
    <x v="1"/>
    <x v="507"/>
    <x v="1"/>
    <x v="8"/>
    <x v="507"/>
    <x v="552"/>
    <x v="4"/>
    <x v="3"/>
  </r>
  <r>
    <n v="586"/>
    <x v="273"/>
    <x v="96"/>
    <d v="2018-12-05T00:00:00"/>
    <s v="Standard Class"/>
    <x v="231"/>
    <s v="Dianna Vittorini"/>
    <x v="0"/>
    <s v="United States"/>
    <s v="Denver"/>
    <x v="22"/>
    <n v="80219"/>
    <x v="1"/>
    <x v="143"/>
    <x v="2"/>
    <x v="7"/>
    <x v="144"/>
    <x v="553"/>
    <x v="4"/>
    <x v="3"/>
  </r>
  <r>
    <n v="587"/>
    <x v="274"/>
    <x v="230"/>
    <d v="2016-07-09T00:00:00"/>
    <s v="Standard Class"/>
    <x v="232"/>
    <s v="Bruce Degenhardt"/>
    <x v="0"/>
    <s v="United States"/>
    <s v="Richmond"/>
    <x v="0"/>
    <n v="40475"/>
    <x v="0"/>
    <x v="367"/>
    <x v="0"/>
    <x v="1"/>
    <x v="368"/>
    <x v="554"/>
    <x v="7"/>
    <x v="1"/>
  </r>
  <r>
    <n v="588"/>
    <x v="274"/>
    <x v="230"/>
    <d v="2016-07-09T00:00:00"/>
    <s v="Standard Class"/>
    <x v="232"/>
    <s v="Bruce Degenhardt"/>
    <x v="0"/>
    <s v="United States"/>
    <s v="Richmond"/>
    <x v="0"/>
    <n v="40475"/>
    <x v="0"/>
    <x v="508"/>
    <x v="1"/>
    <x v="2"/>
    <x v="508"/>
    <x v="555"/>
    <x v="7"/>
    <x v="1"/>
  </r>
  <r>
    <n v="589"/>
    <x v="275"/>
    <x v="231"/>
    <d v="2017-03-24T00:00:00"/>
    <s v="Standard Class"/>
    <x v="233"/>
    <s v="Zuschuss Carroll"/>
    <x v="0"/>
    <s v="United States"/>
    <s v="Salem"/>
    <x v="21"/>
    <n v="97301"/>
    <x v="1"/>
    <x v="509"/>
    <x v="2"/>
    <x v="7"/>
    <x v="509"/>
    <x v="556"/>
    <x v="10"/>
    <x v="0"/>
  </r>
  <r>
    <n v="590"/>
    <x v="275"/>
    <x v="231"/>
    <d v="2017-03-24T00:00:00"/>
    <s v="Standard Class"/>
    <x v="233"/>
    <s v="Zuschuss Carroll"/>
    <x v="0"/>
    <s v="United States"/>
    <s v="Salem"/>
    <x v="21"/>
    <n v="97301"/>
    <x v="1"/>
    <x v="510"/>
    <x v="1"/>
    <x v="10"/>
    <x v="510"/>
    <x v="557"/>
    <x v="10"/>
    <x v="0"/>
  </r>
  <r>
    <n v="591"/>
    <x v="275"/>
    <x v="231"/>
    <d v="2017-03-24T00:00:00"/>
    <s v="Standard Class"/>
    <x v="233"/>
    <s v="Zuschuss Carroll"/>
    <x v="0"/>
    <s v="United States"/>
    <s v="Salem"/>
    <x v="21"/>
    <n v="97301"/>
    <x v="1"/>
    <x v="440"/>
    <x v="1"/>
    <x v="8"/>
    <x v="440"/>
    <x v="558"/>
    <x v="10"/>
    <x v="0"/>
  </r>
  <r>
    <n v="592"/>
    <x v="275"/>
    <x v="231"/>
    <d v="2017-03-24T00:00:00"/>
    <s v="Standard Class"/>
    <x v="233"/>
    <s v="Zuschuss Carroll"/>
    <x v="0"/>
    <s v="United States"/>
    <s v="Salem"/>
    <x v="21"/>
    <n v="97301"/>
    <x v="1"/>
    <x v="511"/>
    <x v="1"/>
    <x v="10"/>
    <x v="511"/>
    <x v="559"/>
    <x v="10"/>
    <x v="0"/>
  </r>
  <r>
    <n v="593"/>
    <x v="276"/>
    <x v="232"/>
    <d v="2015-01-13T00:00:00"/>
    <s v="Standard Class"/>
    <x v="234"/>
    <s v="Melanie Seite"/>
    <x v="0"/>
    <s v="United States"/>
    <s v="Laredo"/>
    <x v="5"/>
    <n v="78041"/>
    <x v="2"/>
    <x v="512"/>
    <x v="1"/>
    <x v="6"/>
    <x v="512"/>
    <x v="560"/>
    <x v="9"/>
    <x v="2"/>
  </r>
  <r>
    <n v="594"/>
    <x v="276"/>
    <x v="232"/>
    <d v="2015-01-13T00:00:00"/>
    <s v="Standard Class"/>
    <x v="234"/>
    <s v="Melanie Seite"/>
    <x v="0"/>
    <s v="United States"/>
    <s v="Laredo"/>
    <x v="5"/>
    <n v="78041"/>
    <x v="2"/>
    <x v="197"/>
    <x v="2"/>
    <x v="11"/>
    <x v="198"/>
    <x v="561"/>
    <x v="9"/>
    <x v="2"/>
  </r>
  <r>
    <n v="595"/>
    <x v="277"/>
    <x v="233"/>
    <d v="2015-08-15T00:00:00"/>
    <s v="Standard Class"/>
    <x v="235"/>
    <s v="Lena Radford"/>
    <x v="0"/>
    <s v="United States"/>
    <s v="San Diego"/>
    <x v="1"/>
    <n v="92024"/>
    <x v="1"/>
    <x v="513"/>
    <x v="1"/>
    <x v="9"/>
    <x v="513"/>
    <x v="562"/>
    <x v="6"/>
    <x v="2"/>
  </r>
  <r>
    <n v="596"/>
    <x v="277"/>
    <x v="233"/>
    <d v="2015-08-15T00:00:00"/>
    <s v="Standard Class"/>
    <x v="235"/>
    <s v="Lena Radford"/>
    <x v="0"/>
    <s v="United States"/>
    <s v="San Diego"/>
    <x v="1"/>
    <n v="92024"/>
    <x v="1"/>
    <x v="361"/>
    <x v="2"/>
    <x v="16"/>
    <x v="361"/>
    <x v="384"/>
    <x v="6"/>
    <x v="2"/>
  </r>
  <r>
    <n v="597"/>
    <x v="277"/>
    <x v="233"/>
    <d v="2015-08-15T00:00:00"/>
    <s v="Standard Class"/>
    <x v="235"/>
    <s v="Lena Radford"/>
    <x v="0"/>
    <s v="United States"/>
    <s v="San Diego"/>
    <x v="1"/>
    <n v="92024"/>
    <x v="1"/>
    <x v="288"/>
    <x v="2"/>
    <x v="7"/>
    <x v="288"/>
    <x v="563"/>
    <x v="6"/>
    <x v="2"/>
  </r>
  <r>
    <n v="598"/>
    <x v="277"/>
    <x v="233"/>
    <d v="2015-08-15T00:00:00"/>
    <s v="Standard Class"/>
    <x v="235"/>
    <s v="Lena Radford"/>
    <x v="0"/>
    <s v="United States"/>
    <s v="San Diego"/>
    <x v="1"/>
    <n v="92024"/>
    <x v="1"/>
    <x v="514"/>
    <x v="0"/>
    <x v="5"/>
    <x v="514"/>
    <x v="564"/>
    <x v="6"/>
    <x v="2"/>
  </r>
  <r>
    <n v="599"/>
    <x v="278"/>
    <x v="216"/>
    <d v="2017-07-16T00:00:00"/>
    <s v="First Class"/>
    <x v="236"/>
    <s v="Theone Pippenger"/>
    <x v="0"/>
    <s v="United States"/>
    <s v="Philadelphia"/>
    <x v="9"/>
    <n v="19134"/>
    <x v="3"/>
    <x v="515"/>
    <x v="1"/>
    <x v="14"/>
    <x v="515"/>
    <x v="565"/>
    <x v="7"/>
    <x v="0"/>
  </r>
  <r>
    <n v="600"/>
    <x v="279"/>
    <x v="87"/>
    <d v="2017-07-21T00:00:00"/>
    <s v="Standard Class"/>
    <x v="237"/>
    <s v="Chloris Kastensmidt"/>
    <x v="0"/>
    <s v="United States"/>
    <s v="Philadelphia"/>
    <x v="9"/>
    <n v="19120"/>
    <x v="3"/>
    <x v="516"/>
    <x v="2"/>
    <x v="7"/>
    <x v="516"/>
    <x v="566"/>
    <x v="7"/>
    <x v="0"/>
  </r>
  <r>
    <n v="601"/>
    <x v="279"/>
    <x v="87"/>
    <d v="2017-07-21T00:00:00"/>
    <s v="Standard Class"/>
    <x v="237"/>
    <s v="Chloris Kastensmidt"/>
    <x v="0"/>
    <s v="United States"/>
    <s v="Philadelphia"/>
    <x v="9"/>
    <n v="19120"/>
    <x v="3"/>
    <x v="517"/>
    <x v="2"/>
    <x v="7"/>
    <x v="517"/>
    <x v="567"/>
    <x v="7"/>
    <x v="0"/>
  </r>
  <r>
    <n v="602"/>
    <x v="279"/>
    <x v="87"/>
    <d v="2017-07-21T00:00:00"/>
    <s v="Standard Class"/>
    <x v="237"/>
    <s v="Chloris Kastensmidt"/>
    <x v="0"/>
    <s v="United States"/>
    <s v="Philadelphia"/>
    <x v="9"/>
    <n v="19120"/>
    <x v="3"/>
    <x v="503"/>
    <x v="1"/>
    <x v="14"/>
    <x v="503"/>
    <x v="568"/>
    <x v="7"/>
    <x v="0"/>
  </r>
  <r>
    <n v="603"/>
    <x v="280"/>
    <x v="234"/>
    <d v="2015-03-19T00:00:00"/>
    <s v="Standard Class"/>
    <x v="238"/>
    <s v="Alan Shonely"/>
    <x v="0"/>
    <s v="United States"/>
    <s v="Tampa"/>
    <x v="2"/>
    <n v="33614"/>
    <x v="0"/>
    <x v="518"/>
    <x v="1"/>
    <x v="4"/>
    <x v="518"/>
    <x v="569"/>
    <x v="10"/>
    <x v="2"/>
  </r>
  <r>
    <n v="604"/>
    <x v="280"/>
    <x v="234"/>
    <d v="2015-03-19T00:00:00"/>
    <s v="Standard Class"/>
    <x v="238"/>
    <s v="Alan Shonely"/>
    <x v="0"/>
    <s v="United States"/>
    <s v="Tampa"/>
    <x v="2"/>
    <n v="33614"/>
    <x v="0"/>
    <x v="285"/>
    <x v="0"/>
    <x v="5"/>
    <x v="285"/>
    <x v="498"/>
    <x v="10"/>
    <x v="2"/>
  </r>
  <r>
    <n v="605"/>
    <x v="280"/>
    <x v="234"/>
    <d v="2015-03-19T00:00:00"/>
    <s v="Standard Class"/>
    <x v="238"/>
    <s v="Alan Shonely"/>
    <x v="0"/>
    <s v="United States"/>
    <s v="Tampa"/>
    <x v="2"/>
    <n v="33614"/>
    <x v="0"/>
    <x v="385"/>
    <x v="1"/>
    <x v="8"/>
    <x v="386"/>
    <x v="570"/>
    <x v="10"/>
    <x v="2"/>
  </r>
  <r>
    <n v="606"/>
    <x v="280"/>
    <x v="234"/>
    <d v="2015-03-19T00:00:00"/>
    <s v="Standard Class"/>
    <x v="238"/>
    <s v="Alan Shonely"/>
    <x v="0"/>
    <s v="United States"/>
    <s v="Tampa"/>
    <x v="2"/>
    <n v="33614"/>
    <x v="0"/>
    <x v="379"/>
    <x v="1"/>
    <x v="8"/>
    <x v="380"/>
    <x v="571"/>
    <x v="10"/>
    <x v="2"/>
  </r>
  <r>
    <n v="607"/>
    <x v="280"/>
    <x v="234"/>
    <d v="2015-03-19T00:00:00"/>
    <s v="Standard Class"/>
    <x v="238"/>
    <s v="Alan Shonely"/>
    <x v="0"/>
    <s v="United States"/>
    <s v="Tampa"/>
    <x v="2"/>
    <n v="33614"/>
    <x v="0"/>
    <x v="519"/>
    <x v="1"/>
    <x v="10"/>
    <x v="519"/>
    <x v="572"/>
    <x v="10"/>
    <x v="2"/>
  </r>
  <r>
    <n v="608"/>
    <x v="281"/>
    <x v="235"/>
    <d v="2015-05-27T00:00:00"/>
    <s v="Standard Class"/>
    <x v="239"/>
    <s v="Andrew Roberts"/>
    <x v="0"/>
    <s v="United States"/>
    <s v="Philadelphia"/>
    <x v="9"/>
    <n v="19134"/>
    <x v="3"/>
    <x v="520"/>
    <x v="1"/>
    <x v="8"/>
    <x v="520"/>
    <x v="573"/>
    <x v="5"/>
    <x v="2"/>
  </r>
  <r>
    <n v="609"/>
    <x v="281"/>
    <x v="235"/>
    <d v="2015-05-27T00:00:00"/>
    <s v="Standard Class"/>
    <x v="239"/>
    <s v="Andrew Roberts"/>
    <x v="0"/>
    <s v="United States"/>
    <s v="Philadelphia"/>
    <x v="9"/>
    <n v="19134"/>
    <x v="3"/>
    <x v="454"/>
    <x v="1"/>
    <x v="6"/>
    <x v="455"/>
    <x v="574"/>
    <x v="5"/>
    <x v="2"/>
  </r>
  <r>
    <n v="610"/>
    <x v="281"/>
    <x v="235"/>
    <d v="2015-05-27T00:00:00"/>
    <s v="Standard Class"/>
    <x v="239"/>
    <s v="Andrew Roberts"/>
    <x v="0"/>
    <s v="United States"/>
    <s v="Philadelphia"/>
    <x v="9"/>
    <n v="19134"/>
    <x v="3"/>
    <x v="521"/>
    <x v="2"/>
    <x v="7"/>
    <x v="521"/>
    <x v="575"/>
    <x v="5"/>
    <x v="2"/>
  </r>
  <r>
    <n v="611"/>
    <x v="282"/>
    <x v="236"/>
    <d v="2017-05-01T00:00:00"/>
    <s v="First Class"/>
    <x v="240"/>
    <s v="Nona Balk"/>
    <x v="1"/>
    <s v="United States"/>
    <s v="Dallas"/>
    <x v="5"/>
    <n v="75217"/>
    <x v="2"/>
    <x v="348"/>
    <x v="2"/>
    <x v="7"/>
    <x v="348"/>
    <x v="576"/>
    <x v="3"/>
    <x v="0"/>
  </r>
  <r>
    <n v="612"/>
    <x v="282"/>
    <x v="236"/>
    <d v="2017-05-01T00:00:00"/>
    <s v="First Class"/>
    <x v="240"/>
    <s v="Nona Balk"/>
    <x v="1"/>
    <s v="United States"/>
    <s v="Dallas"/>
    <x v="5"/>
    <n v="75217"/>
    <x v="2"/>
    <x v="522"/>
    <x v="1"/>
    <x v="2"/>
    <x v="522"/>
    <x v="577"/>
    <x v="3"/>
    <x v="0"/>
  </r>
  <r>
    <n v="613"/>
    <x v="283"/>
    <x v="108"/>
    <d v="2017-09-13T00:00:00"/>
    <s v="Second Class"/>
    <x v="241"/>
    <s v="Giulietta Dortch"/>
    <x v="1"/>
    <s v="United States"/>
    <s v="Philadelphia"/>
    <x v="9"/>
    <n v="19143"/>
    <x v="3"/>
    <x v="523"/>
    <x v="1"/>
    <x v="10"/>
    <x v="523"/>
    <x v="578"/>
    <x v="8"/>
    <x v="0"/>
  </r>
  <r>
    <n v="614"/>
    <x v="283"/>
    <x v="108"/>
    <d v="2017-09-13T00:00:00"/>
    <s v="Second Class"/>
    <x v="241"/>
    <s v="Giulietta Dortch"/>
    <x v="1"/>
    <s v="United States"/>
    <s v="Philadelphia"/>
    <x v="9"/>
    <n v="19143"/>
    <x v="3"/>
    <x v="524"/>
    <x v="2"/>
    <x v="7"/>
    <x v="524"/>
    <x v="579"/>
    <x v="8"/>
    <x v="0"/>
  </r>
  <r>
    <n v="615"/>
    <x v="284"/>
    <x v="237"/>
    <d v="2018-11-17T00:00:00"/>
    <s v="Second Class"/>
    <x v="242"/>
    <s v="Clytie Kelty"/>
    <x v="0"/>
    <s v="United States"/>
    <s v="Grove City"/>
    <x v="24"/>
    <n v="43123"/>
    <x v="3"/>
    <x v="222"/>
    <x v="2"/>
    <x v="7"/>
    <x v="223"/>
    <x v="580"/>
    <x v="0"/>
    <x v="3"/>
  </r>
  <r>
    <n v="616"/>
    <x v="284"/>
    <x v="237"/>
    <d v="2018-11-17T00:00:00"/>
    <s v="Second Class"/>
    <x v="242"/>
    <s v="Clytie Kelty"/>
    <x v="0"/>
    <s v="United States"/>
    <s v="Grove City"/>
    <x v="24"/>
    <n v="43123"/>
    <x v="3"/>
    <x v="525"/>
    <x v="1"/>
    <x v="8"/>
    <x v="525"/>
    <x v="581"/>
    <x v="0"/>
    <x v="3"/>
  </r>
  <r>
    <n v="617"/>
    <x v="285"/>
    <x v="238"/>
    <d v="2018-08-23T00:00:00"/>
    <s v="Second Class"/>
    <x v="243"/>
    <s v="Nat Gilpin"/>
    <x v="1"/>
    <s v="United States"/>
    <s v="New York City"/>
    <x v="15"/>
    <n v="10011"/>
    <x v="3"/>
    <x v="526"/>
    <x v="0"/>
    <x v="5"/>
    <x v="526"/>
    <x v="582"/>
    <x v="6"/>
    <x v="3"/>
  </r>
  <r>
    <n v="618"/>
    <x v="285"/>
    <x v="238"/>
    <d v="2018-08-23T00:00:00"/>
    <s v="Second Class"/>
    <x v="243"/>
    <s v="Nat Gilpin"/>
    <x v="1"/>
    <s v="United States"/>
    <s v="New York City"/>
    <x v="15"/>
    <n v="10011"/>
    <x v="3"/>
    <x v="527"/>
    <x v="0"/>
    <x v="5"/>
    <x v="527"/>
    <x v="583"/>
    <x v="6"/>
    <x v="3"/>
  </r>
  <r>
    <n v="619"/>
    <x v="285"/>
    <x v="238"/>
    <d v="2018-08-23T00:00:00"/>
    <s v="Second Class"/>
    <x v="243"/>
    <s v="Nat Gilpin"/>
    <x v="1"/>
    <s v="United States"/>
    <s v="New York City"/>
    <x v="15"/>
    <n v="10011"/>
    <x v="3"/>
    <x v="528"/>
    <x v="1"/>
    <x v="8"/>
    <x v="528"/>
    <x v="584"/>
    <x v="6"/>
    <x v="3"/>
  </r>
  <r>
    <n v="620"/>
    <x v="285"/>
    <x v="238"/>
    <d v="2018-08-23T00:00:00"/>
    <s v="Second Class"/>
    <x v="243"/>
    <s v="Nat Gilpin"/>
    <x v="1"/>
    <s v="United States"/>
    <s v="New York City"/>
    <x v="15"/>
    <n v="10011"/>
    <x v="3"/>
    <x v="529"/>
    <x v="2"/>
    <x v="7"/>
    <x v="529"/>
    <x v="585"/>
    <x v="6"/>
    <x v="3"/>
  </r>
  <r>
    <n v="621"/>
    <x v="285"/>
    <x v="238"/>
    <d v="2018-08-23T00:00:00"/>
    <s v="Second Class"/>
    <x v="243"/>
    <s v="Nat Gilpin"/>
    <x v="1"/>
    <s v="United States"/>
    <s v="New York City"/>
    <x v="15"/>
    <n v="10011"/>
    <x v="3"/>
    <x v="138"/>
    <x v="0"/>
    <x v="5"/>
    <x v="139"/>
    <x v="586"/>
    <x v="6"/>
    <x v="3"/>
  </r>
  <r>
    <n v="622"/>
    <x v="286"/>
    <x v="58"/>
    <d v="2015-12-31T00:00:00"/>
    <s v="Standard Class"/>
    <x v="244"/>
    <s v="Christina Anderson"/>
    <x v="0"/>
    <s v="United States"/>
    <s v="Chicago"/>
    <x v="10"/>
    <n v="60610"/>
    <x v="2"/>
    <x v="530"/>
    <x v="1"/>
    <x v="8"/>
    <x v="530"/>
    <x v="587"/>
    <x v="4"/>
    <x v="2"/>
  </r>
  <r>
    <n v="623"/>
    <x v="287"/>
    <x v="239"/>
    <d v="2016-12-03T00:00:00"/>
    <s v="Standard Class"/>
    <x v="245"/>
    <s v="Sylvia Foulston"/>
    <x v="1"/>
    <s v="United States"/>
    <s v="Dearborn"/>
    <x v="12"/>
    <n v="48126"/>
    <x v="2"/>
    <x v="531"/>
    <x v="0"/>
    <x v="1"/>
    <x v="531"/>
    <x v="85"/>
    <x v="0"/>
    <x v="1"/>
  </r>
  <r>
    <n v="624"/>
    <x v="287"/>
    <x v="239"/>
    <d v="2016-12-03T00:00:00"/>
    <s v="Standard Class"/>
    <x v="245"/>
    <s v="Sylvia Foulston"/>
    <x v="1"/>
    <s v="United States"/>
    <s v="Dearborn"/>
    <x v="12"/>
    <n v="48126"/>
    <x v="2"/>
    <x v="532"/>
    <x v="1"/>
    <x v="9"/>
    <x v="532"/>
    <x v="588"/>
    <x v="0"/>
    <x v="1"/>
  </r>
  <r>
    <n v="625"/>
    <x v="287"/>
    <x v="239"/>
    <d v="2016-12-03T00:00:00"/>
    <s v="Standard Class"/>
    <x v="245"/>
    <s v="Sylvia Foulston"/>
    <x v="1"/>
    <s v="United States"/>
    <s v="Dearborn"/>
    <x v="12"/>
    <n v="48126"/>
    <x v="2"/>
    <x v="533"/>
    <x v="1"/>
    <x v="4"/>
    <x v="533"/>
    <x v="589"/>
    <x v="0"/>
    <x v="1"/>
  </r>
  <r>
    <n v="626"/>
    <x v="287"/>
    <x v="239"/>
    <d v="2016-12-03T00:00:00"/>
    <s v="Standard Class"/>
    <x v="245"/>
    <s v="Sylvia Foulston"/>
    <x v="1"/>
    <s v="United States"/>
    <s v="Dearborn"/>
    <x v="12"/>
    <n v="48126"/>
    <x v="2"/>
    <x v="30"/>
    <x v="1"/>
    <x v="6"/>
    <x v="30"/>
    <x v="590"/>
    <x v="0"/>
    <x v="1"/>
  </r>
  <r>
    <n v="627"/>
    <x v="288"/>
    <x v="175"/>
    <d v="2018-09-19T00:00:00"/>
    <s v="Standard Class"/>
    <x v="246"/>
    <s v="Meg O'Connel"/>
    <x v="2"/>
    <s v="United States"/>
    <s v="New York City"/>
    <x v="15"/>
    <n v="10009"/>
    <x v="3"/>
    <x v="534"/>
    <x v="0"/>
    <x v="5"/>
    <x v="534"/>
    <x v="591"/>
    <x v="8"/>
    <x v="3"/>
  </r>
  <r>
    <n v="628"/>
    <x v="289"/>
    <x v="240"/>
    <d v="2018-05-23T00:00:00"/>
    <s v="Standard Class"/>
    <x v="247"/>
    <s v="Annie Thurman"/>
    <x v="0"/>
    <s v="United States"/>
    <s v="Seattle"/>
    <x v="4"/>
    <n v="98115"/>
    <x v="1"/>
    <x v="535"/>
    <x v="1"/>
    <x v="9"/>
    <x v="535"/>
    <x v="592"/>
    <x v="5"/>
    <x v="3"/>
  </r>
  <r>
    <n v="629"/>
    <x v="290"/>
    <x v="94"/>
    <d v="2018-12-21T00:00:00"/>
    <s v="Standard Class"/>
    <x v="95"/>
    <s v="Logan Currie"/>
    <x v="0"/>
    <s v="United States"/>
    <s v="San Francisco"/>
    <x v="1"/>
    <n v="94122"/>
    <x v="1"/>
    <x v="536"/>
    <x v="1"/>
    <x v="8"/>
    <x v="536"/>
    <x v="593"/>
    <x v="4"/>
    <x v="3"/>
  </r>
  <r>
    <n v="630"/>
    <x v="290"/>
    <x v="94"/>
    <d v="2018-12-21T00:00:00"/>
    <s v="Standard Class"/>
    <x v="95"/>
    <s v="Logan Currie"/>
    <x v="0"/>
    <s v="United States"/>
    <s v="San Francisco"/>
    <x v="1"/>
    <n v="94122"/>
    <x v="1"/>
    <x v="249"/>
    <x v="1"/>
    <x v="10"/>
    <x v="250"/>
    <x v="594"/>
    <x v="4"/>
    <x v="3"/>
  </r>
  <r>
    <n v="631"/>
    <x v="291"/>
    <x v="25"/>
    <d v="2017-12-13T00:00:00"/>
    <s v="Second Class"/>
    <x v="248"/>
    <s v="Fred McMath"/>
    <x v="0"/>
    <s v="United States"/>
    <s v="Aurora"/>
    <x v="22"/>
    <n v="80013"/>
    <x v="1"/>
    <x v="537"/>
    <x v="1"/>
    <x v="4"/>
    <x v="537"/>
    <x v="595"/>
    <x v="4"/>
    <x v="0"/>
  </r>
  <r>
    <n v="632"/>
    <x v="291"/>
    <x v="25"/>
    <d v="2017-12-13T00:00:00"/>
    <s v="Second Class"/>
    <x v="248"/>
    <s v="Fred McMath"/>
    <x v="0"/>
    <s v="United States"/>
    <s v="Aurora"/>
    <x v="22"/>
    <n v="80013"/>
    <x v="1"/>
    <x v="538"/>
    <x v="2"/>
    <x v="11"/>
    <x v="538"/>
    <x v="596"/>
    <x v="4"/>
    <x v="0"/>
  </r>
  <r>
    <n v="633"/>
    <x v="291"/>
    <x v="25"/>
    <d v="2017-12-13T00:00:00"/>
    <s v="Second Class"/>
    <x v="248"/>
    <s v="Fred McMath"/>
    <x v="0"/>
    <s v="United States"/>
    <s v="Aurora"/>
    <x v="22"/>
    <n v="80013"/>
    <x v="1"/>
    <x v="539"/>
    <x v="2"/>
    <x v="7"/>
    <x v="539"/>
    <x v="597"/>
    <x v="4"/>
    <x v="0"/>
  </r>
  <r>
    <n v="634"/>
    <x v="292"/>
    <x v="241"/>
    <d v="2018-09-26T00:00:00"/>
    <s v="Second Class"/>
    <x v="205"/>
    <s v="Brian Dahlen"/>
    <x v="0"/>
    <s v="United States"/>
    <s v="Miami"/>
    <x v="2"/>
    <n v="33180"/>
    <x v="0"/>
    <x v="540"/>
    <x v="2"/>
    <x v="11"/>
    <x v="540"/>
    <x v="598"/>
    <x v="8"/>
    <x v="3"/>
  </r>
  <r>
    <n v="635"/>
    <x v="292"/>
    <x v="241"/>
    <d v="2018-09-26T00:00:00"/>
    <s v="Second Class"/>
    <x v="205"/>
    <s v="Brian Dahlen"/>
    <x v="0"/>
    <s v="United States"/>
    <s v="Miami"/>
    <x v="2"/>
    <n v="33180"/>
    <x v="0"/>
    <x v="508"/>
    <x v="1"/>
    <x v="2"/>
    <x v="508"/>
    <x v="599"/>
    <x v="8"/>
    <x v="3"/>
  </r>
  <r>
    <n v="636"/>
    <x v="293"/>
    <x v="242"/>
    <d v="2016-10-09T00:00:00"/>
    <s v="Second Class"/>
    <x v="249"/>
    <s v="Denny Joy"/>
    <x v="1"/>
    <s v="United States"/>
    <s v="Warner Robins"/>
    <x v="32"/>
    <n v="31088"/>
    <x v="0"/>
    <x v="541"/>
    <x v="0"/>
    <x v="1"/>
    <x v="541"/>
    <x v="600"/>
    <x v="2"/>
    <x v="1"/>
  </r>
  <r>
    <n v="637"/>
    <x v="294"/>
    <x v="243"/>
    <d v="2017-08-21T00:00:00"/>
    <s v="Standard Class"/>
    <x v="250"/>
    <s v="Max Engle"/>
    <x v="0"/>
    <s v="United States"/>
    <s v="Aurora"/>
    <x v="22"/>
    <n v="80013"/>
    <x v="1"/>
    <x v="542"/>
    <x v="1"/>
    <x v="8"/>
    <x v="542"/>
    <x v="601"/>
    <x v="6"/>
    <x v="0"/>
  </r>
  <r>
    <n v="638"/>
    <x v="294"/>
    <x v="243"/>
    <d v="2017-08-21T00:00:00"/>
    <s v="Standard Class"/>
    <x v="250"/>
    <s v="Max Engle"/>
    <x v="0"/>
    <s v="United States"/>
    <s v="Aurora"/>
    <x v="22"/>
    <n v="80013"/>
    <x v="1"/>
    <x v="543"/>
    <x v="1"/>
    <x v="9"/>
    <x v="543"/>
    <x v="602"/>
    <x v="6"/>
    <x v="0"/>
  </r>
  <r>
    <n v="639"/>
    <x v="295"/>
    <x v="244"/>
    <d v="2017-05-25T00:00:00"/>
    <s v="Standard Class"/>
    <x v="46"/>
    <s v="Rick Bensley"/>
    <x v="2"/>
    <s v="United States"/>
    <s v="Vallejo"/>
    <x v="1"/>
    <n v="94591"/>
    <x v="1"/>
    <x v="220"/>
    <x v="0"/>
    <x v="5"/>
    <x v="221"/>
    <x v="603"/>
    <x v="5"/>
    <x v="0"/>
  </r>
  <r>
    <n v="640"/>
    <x v="295"/>
    <x v="244"/>
    <d v="2017-05-25T00:00:00"/>
    <s v="Standard Class"/>
    <x v="46"/>
    <s v="Rick Bensley"/>
    <x v="2"/>
    <s v="United States"/>
    <s v="Vallejo"/>
    <x v="1"/>
    <n v="94591"/>
    <x v="1"/>
    <x v="544"/>
    <x v="1"/>
    <x v="8"/>
    <x v="544"/>
    <x v="604"/>
    <x v="5"/>
    <x v="0"/>
  </r>
  <r>
    <n v="641"/>
    <x v="296"/>
    <x v="122"/>
    <d v="2017-12-22T00:00:00"/>
    <s v="Standard Class"/>
    <x v="251"/>
    <s v="Justin Deggeller"/>
    <x v="1"/>
    <s v="United States"/>
    <s v="Minneapolis"/>
    <x v="11"/>
    <n v="55407"/>
    <x v="2"/>
    <x v="545"/>
    <x v="0"/>
    <x v="5"/>
    <x v="545"/>
    <x v="605"/>
    <x v="4"/>
    <x v="0"/>
  </r>
  <r>
    <n v="642"/>
    <x v="297"/>
    <x v="245"/>
    <d v="2018-08-03T00:00:00"/>
    <s v="Second Class"/>
    <x v="252"/>
    <s v="John Lee"/>
    <x v="0"/>
    <s v="United States"/>
    <s v="Mission Viejo"/>
    <x v="1"/>
    <n v="92691"/>
    <x v="1"/>
    <x v="546"/>
    <x v="1"/>
    <x v="4"/>
    <x v="546"/>
    <x v="606"/>
    <x v="7"/>
    <x v="3"/>
  </r>
  <r>
    <n v="643"/>
    <x v="297"/>
    <x v="245"/>
    <d v="2018-08-03T00:00:00"/>
    <s v="Second Class"/>
    <x v="252"/>
    <s v="John Lee"/>
    <x v="0"/>
    <s v="United States"/>
    <s v="Mission Viejo"/>
    <x v="1"/>
    <n v="92691"/>
    <x v="1"/>
    <x v="547"/>
    <x v="1"/>
    <x v="2"/>
    <x v="547"/>
    <x v="607"/>
    <x v="7"/>
    <x v="3"/>
  </r>
  <r>
    <n v="644"/>
    <x v="298"/>
    <x v="193"/>
    <d v="2018-06-15T00:00:00"/>
    <s v="Standard Class"/>
    <x v="253"/>
    <s v="Sean Christensen"/>
    <x v="0"/>
    <s v="United States"/>
    <s v="Rochester Hills"/>
    <x v="12"/>
    <n v="48307"/>
    <x v="2"/>
    <x v="217"/>
    <x v="2"/>
    <x v="11"/>
    <x v="463"/>
    <x v="608"/>
    <x v="1"/>
    <x v="3"/>
  </r>
  <r>
    <n v="645"/>
    <x v="299"/>
    <x v="246"/>
    <d v="2018-07-25T00:00:00"/>
    <s v="Standard Class"/>
    <x v="69"/>
    <s v="Tamara Willingham"/>
    <x v="2"/>
    <s v="United States"/>
    <s v="Plainfield"/>
    <x v="30"/>
    <n v="7060"/>
    <x v="3"/>
    <x v="548"/>
    <x v="1"/>
    <x v="10"/>
    <x v="548"/>
    <x v="90"/>
    <x v="7"/>
    <x v="3"/>
  </r>
  <r>
    <n v="646"/>
    <x v="300"/>
    <x v="247"/>
    <d v="2019-01-05T00:00:00"/>
    <s v="Standard Class"/>
    <x v="254"/>
    <s v="Chuck Clark"/>
    <x v="2"/>
    <s v="United States"/>
    <s v="Columbus"/>
    <x v="14"/>
    <n v="47201"/>
    <x v="2"/>
    <x v="549"/>
    <x v="1"/>
    <x v="9"/>
    <x v="549"/>
    <x v="609"/>
    <x v="4"/>
    <x v="3"/>
  </r>
  <r>
    <n v="647"/>
    <x v="301"/>
    <x v="178"/>
    <d v="2017-04-08T00:00:00"/>
    <s v="Standard Class"/>
    <x v="121"/>
    <s v="Barry Blumstein"/>
    <x v="1"/>
    <s v="United States"/>
    <s v="Sierra Vista"/>
    <x v="16"/>
    <n v="85635"/>
    <x v="1"/>
    <x v="550"/>
    <x v="1"/>
    <x v="13"/>
    <x v="128"/>
    <x v="610"/>
    <x v="3"/>
    <x v="0"/>
  </r>
  <r>
    <n v="648"/>
    <x v="301"/>
    <x v="178"/>
    <d v="2017-04-08T00:00:00"/>
    <s v="Standard Class"/>
    <x v="121"/>
    <s v="Barry Blumstein"/>
    <x v="1"/>
    <s v="United States"/>
    <s v="Sierra Vista"/>
    <x v="16"/>
    <n v="85635"/>
    <x v="1"/>
    <x v="551"/>
    <x v="1"/>
    <x v="9"/>
    <x v="550"/>
    <x v="611"/>
    <x v="3"/>
    <x v="0"/>
  </r>
  <r>
    <n v="649"/>
    <x v="302"/>
    <x v="25"/>
    <d v="2017-12-16T00:00:00"/>
    <s v="Second Class"/>
    <x v="255"/>
    <s v="Anthony Rawles"/>
    <x v="1"/>
    <s v="United States"/>
    <s v="Vancouver"/>
    <x v="4"/>
    <n v="98661"/>
    <x v="1"/>
    <x v="345"/>
    <x v="0"/>
    <x v="5"/>
    <x v="345"/>
    <x v="612"/>
    <x v="4"/>
    <x v="0"/>
  </r>
  <r>
    <n v="650"/>
    <x v="302"/>
    <x v="25"/>
    <d v="2017-12-16T00:00:00"/>
    <s v="Second Class"/>
    <x v="255"/>
    <s v="Anthony Rawles"/>
    <x v="1"/>
    <s v="United States"/>
    <s v="Vancouver"/>
    <x v="4"/>
    <n v="98661"/>
    <x v="1"/>
    <x v="172"/>
    <x v="2"/>
    <x v="7"/>
    <x v="173"/>
    <x v="214"/>
    <x v="4"/>
    <x v="0"/>
  </r>
  <r>
    <n v="651"/>
    <x v="302"/>
    <x v="25"/>
    <d v="2017-12-16T00:00:00"/>
    <s v="Second Class"/>
    <x v="255"/>
    <s v="Anthony Rawles"/>
    <x v="1"/>
    <s v="United States"/>
    <s v="Vancouver"/>
    <x v="4"/>
    <n v="98661"/>
    <x v="1"/>
    <x v="552"/>
    <x v="2"/>
    <x v="11"/>
    <x v="551"/>
    <x v="613"/>
    <x v="4"/>
    <x v="0"/>
  </r>
  <r>
    <n v="652"/>
    <x v="303"/>
    <x v="248"/>
    <d v="2017-10-29T00:00:00"/>
    <s v="Standard Class"/>
    <x v="256"/>
    <s v="Steven Roelle"/>
    <x v="2"/>
    <s v="United States"/>
    <s v="New York City"/>
    <x v="15"/>
    <n v="10024"/>
    <x v="3"/>
    <x v="67"/>
    <x v="1"/>
    <x v="10"/>
    <x v="67"/>
    <x v="614"/>
    <x v="2"/>
    <x v="0"/>
  </r>
  <r>
    <n v="653"/>
    <x v="304"/>
    <x v="249"/>
    <d v="2018-06-23T00:00:00"/>
    <s v="Standard Class"/>
    <x v="153"/>
    <s v="Allen Rosenblatt"/>
    <x v="1"/>
    <s v="United States"/>
    <s v="New York City"/>
    <x v="15"/>
    <n v="10035"/>
    <x v="3"/>
    <x v="62"/>
    <x v="1"/>
    <x v="10"/>
    <x v="62"/>
    <x v="615"/>
    <x v="1"/>
    <x v="3"/>
  </r>
  <r>
    <n v="654"/>
    <x v="304"/>
    <x v="249"/>
    <d v="2018-06-23T00:00:00"/>
    <s v="Standard Class"/>
    <x v="153"/>
    <s v="Allen Rosenblatt"/>
    <x v="1"/>
    <s v="United States"/>
    <s v="New York City"/>
    <x v="15"/>
    <n v="10035"/>
    <x v="3"/>
    <x v="553"/>
    <x v="2"/>
    <x v="11"/>
    <x v="552"/>
    <x v="616"/>
    <x v="1"/>
    <x v="3"/>
  </r>
  <r>
    <n v="655"/>
    <x v="305"/>
    <x v="250"/>
    <d v="2017-08-28T00:00:00"/>
    <s v="Standard Class"/>
    <x v="257"/>
    <s v="Craig Reiter"/>
    <x v="0"/>
    <s v="United States"/>
    <s v="Columbus"/>
    <x v="24"/>
    <n v="43229"/>
    <x v="3"/>
    <x v="554"/>
    <x v="1"/>
    <x v="9"/>
    <x v="553"/>
    <x v="617"/>
    <x v="6"/>
    <x v="0"/>
  </r>
  <r>
    <n v="656"/>
    <x v="305"/>
    <x v="250"/>
    <d v="2017-08-28T00:00:00"/>
    <s v="Standard Class"/>
    <x v="257"/>
    <s v="Craig Reiter"/>
    <x v="0"/>
    <s v="United States"/>
    <s v="Columbus"/>
    <x v="24"/>
    <n v="43229"/>
    <x v="3"/>
    <x v="555"/>
    <x v="1"/>
    <x v="8"/>
    <x v="554"/>
    <x v="618"/>
    <x v="6"/>
    <x v="0"/>
  </r>
  <r>
    <n v="657"/>
    <x v="305"/>
    <x v="250"/>
    <d v="2017-08-28T00:00:00"/>
    <s v="Standard Class"/>
    <x v="257"/>
    <s v="Craig Reiter"/>
    <x v="0"/>
    <s v="United States"/>
    <s v="Columbus"/>
    <x v="24"/>
    <n v="43229"/>
    <x v="3"/>
    <x v="556"/>
    <x v="1"/>
    <x v="12"/>
    <x v="555"/>
    <x v="619"/>
    <x v="6"/>
    <x v="0"/>
  </r>
  <r>
    <n v="658"/>
    <x v="306"/>
    <x v="251"/>
    <d v="2017-09-19T00:00:00"/>
    <s v="Same Day"/>
    <x v="258"/>
    <s v="Eugene Hildebrand"/>
    <x v="2"/>
    <s v="United States"/>
    <s v="Aurora"/>
    <x v="10"/>
    <n v="60505"/>
    <x v="2"/>
    <x v="445"/>
    <x v="0"/>
    <x v="1"/>
    <x v="445"/>
    <x v="620"/>
    <x v="8"/>
    <x v="0"/>
  </r>
  <r>
    <n v="659"/>
    <x v="306"/>
    <x v="251"/>
    <d v="2017-09-19T00:00:00"/>
    <s v="Same Day"/>
    <x v="258"/>
    <s v="Eugene Hildebrand"/>
    <x v="2"/>
    <s v="United States"/>
    <s v="Aurora"/>
    <x v="10"/>
    <n v="60505"/>
    <x v="2"/>
    <x v="68"/>
    <x v="1"/>
    <x v="8"/>
    <x v="68"/>
    <x v="621"/>
    <x v="8"/>
    <x v="0"/>
  </r>
  <r>
    <n v="660"/>
    <x v="307"/>
    <x v="252"/>
    <d v="2016-08-28T00:00:00"/>
    <s v="Standard Class"/>
    <x v="90"/>
    <s v="Cassandra Brandow"/>
    <x v="0"/>
    <s v="United States"/>
    <s v="Arlington"/>
    <x v="5"/>
    <n v="76017"/>
    <x v="2"/>
    <x v="518"/>
    <x v="1"/>
    <x v="4"/>
    <x v="518"/>
    <x v="622"/>
    <x v="6"/>
    <x v="1"/>
  </r>
  <r>
    <n v="661"/>
    <x v="307"/>
    <x v="252"/>
    <d v="2016-08-28T00:00:00"/>
    <s v="Standard Class"/>
    <x v="90"/>
    <s v="Cassandra Brandow"/>
    <x v="0"/>
    <s v="United States"/>
    <s v="Arlington"/>
    <x v="5"/>
    <n v="76017"/>
    <x v="2"/>
    <x v="557"/>
    <x v="1"/>
    <x v="4"/>
    <x v="556"/>
    <x v="623"/>
    <x v="6"/>
    <x v="1"/>
  </r>
  <r>
    <n v="662"/>
    <x v="307"/>
    <x v="252"/>
    <d v="2016-08-28T00:00:00"/>
    <s v="Standard Class"/>
    <x v="90"/>
    <s v="Cassandra Brandow"/>
    <x v="0"/>
    <s v="United States"/>
    <s v="Arlington"/>
    <x v="5"/>
    <n v="76017"/>
    <x v="2"/>
    <x v="114"/>
    <x v="0"/>
    <x v="3"/>
    <x v="114"/>
    <x v="624"/>
    <x v="6"/>
    <x v="1"/>
  </r>
  <r>
    <n v="663"/>
    <x v="307"/>
    <x v="252"/>
    <d v="2016-08-28T00:00:00"/>
    <s v="Standard Class"/>
    <x v="90"/>
    <s v="Cassandra Brandow"/>
    <x v="0"/>
    <s v="United States"/>
    <s v="Arlington"/>
    <x v="5"/>
    <n v="76017"/>
    <x v="2"/>
    <x v="109"/>
    <x v="1"/>
    <x v="8"/>
    <x v="109"/>
    <x v="625"/>
    <x v="6"/>
    <x v="1"/>
  </r>
  <r>
    <n v="664"/>
    <x v="308"/>
    <x v="253"/>
    <d v="2017-03-30T00:00:00"/>
    <s v="Standard Class"/>
    <x v="259"/>
    <s v="Sibella Parks"/>
    <x v="1"/>
    <s v="United States"/>
    <s v="New York City"/>
    <x v="15"/>
    <n v="10011"/>
    <x v="3"/>
    <x v="196"/>
    <x v="1"/>
    <x v="4"/>
    <x v="197"/>
    <x v="626"/>
    <x v="10"/>
    <x v="0"/>
  </r>
  <r>
    <n v="665"/>
    <x v="309"/>
    <x v="254"/>
    <d v="2017-11-04T00:00:00"/>
    <s v="Same Day"/>
    <x v="116"/>
    <s v="Roy Collins"/>
    <x v="0"/>
    <s v="United States"/>
    <s v="Louisville"/>
    <x v="0"/>
    <n v="40214"/>
    <x v="0"/>
    <x v="110"/>
    <x v="1"/>
    <x v="13"/>
    <x v="110"/>
    <x v="627"/>
    <x v="0"/>
    <x v="0"/>
  </r>
  <r>
    <n v="666"/>
    <x v="310"/>
    <x v="110"/>
    <d v="2018-06-10T00:00:00"/>
    <s v="Second Class"/>
    <x v="260"/>
    <s v="Tiffany House"/>
    <x v="1"/>
    <s v="United States"/>
    <s v="Dallas"/>
    <x v="5"/>
    <n v="75081"/>
    <x v="2"/>
    <x v="558"/>
    <x v="1"/>
    <x v="14"/>
    <x v="557"/>
    <x v="628"/>
    <x v="1"/>
    <x v="3"/>
  </r>
  <r>
    <n v="667"/>
    <x v="310"/>
    <x v="110"/>
    <d v="2018-06-10T00:00:00"/>
    <s v="Second Class"/>
    <x v="260"/>
    <s v="Tiffany House"/>
    <x v="1"/>
    <s v="United States"/>
    <s v="Dallas"/>
    <x v="5"/>
    <n v="75081"/>
    <x v="2"/>
    <x v="258"/>
    <x v="1"/>
    <x v="10"/>
    <x v="33"/>
    <x v="629"/>
    <x v="1"/>
    <x v="3"/>
  </r>
  <r>
    <n v="668"/>
    <x v="310"/>
    <x v="110"/>
    <d v="2018-06-10T00:00:00"/>
    <s v="Second Class"/>
    <x v="260"/>
    <s v="Tiffany House"/>
    <x v="1"/>
    <s v="United States"/>
    <s v="Dallas"/>
    <x v="5"/>
    <n v="75081"/>
    <x v="2"/>
    <x v="559"/>
    <x v="2"/>
    <x v="7"/>
    <x v="558"/>
    <x v="630"/>
    <x v="1"/>
    <x v="3"/>
  </r>
  <r>
    <n v="669"/>
    <x v="311"/>
    <x v="163"/>
    <d v="2015-12-26T00:00:00"/>
    <s v="First Class"/>
    <x v="261"/>
    <s v="Resi Pölking"/>
    <x v="0"/>
    <s v="United States"/>
    <s v="Cleveland"/>
    <x v="24"/>
    <n v="44105"/>
    <x v="3"/>
    <x v="560"/>
    <x v="0"/>
    <x v="5"/>
    <x v="559"/>
    <x v="631"/>
    <x v="4"/>
    <x v="2"/>
  </r>
  <r>
    <n v="670"/>
    <x v="312"/>
    <x v="255"/>
    <d v="2018-06-13T00:00:00"/>
    <s v="Standard Class"/>
    <x v="246"/>
    <s v="Meg O'Connel"/>
    <x v="2"/>
    <s v="United States"/>
    <s v="Chicago"/>
    <x v="10"/>
    <n v="60653"/>
    <x v="2"/>
    <x v="561"/>
    <x v="0"/>
    <x v="5"/>
    <x v="560"/>
    <x v="112"/>
    <x v="1"/>
    <x v="3"/>
  </r>
  <r>
    <n v="671"/>
    <x v="312"/>
    <x v="255"/>
    <d v="2018-06-13T00:00:00"/>
    <s v="Standard Class"/>
    <x v="246"/>
    <s v="Meg O'Connel"/>
    <x v="2"/>
    <s v="United States"/>
    <s v="Chicago"/>
    <x v="10"/>
    <n v="60653"/>
    <x v="2"/>
    <x v="562"/>
    <x v="0"/>
    <x v="3"/>
    <x v="561"/>
    <x v="632"/>
    <x v="1"/>
    <x v="3"/>
  </r>
  <r>
    <n v="672"/>
    <x v="312"/>
    <x v="255"/>
    <d v="2018-06-13T00:00:00"/>
    <s v="Standard Class"/>
    <x v="246"/>
    <s v="Meg O'Connel"/>
    <x v="2"/>
    <s v="United States"/>
    <s v="Chicago"/>
    <x v="10"/>
    <n v="60653"/>
    <x v="2"/>
    <x v="126"/>
    <x v="1"/>
    <x v="10"/>
    <x v="562"/>
    <x v="633"/>
    <x v="1"/>
    <x v="3"/>
  </r>
  <r>
    <n v="673"/>
    <x v="313"/>
    <x v="140"/>
    <d v="2018-06-22T00:00:00"/>
    <s v="Standard Class"/>
    <x v="143"/>
    <s v="Tamara Dahlen"/>
    <x v="0"/>
    <s v="United States"/>
    <s v="Quincy"/>
    <x v="10"/>
    <n v="62301"/>
    <x v="2"/>
    <x v="563"/>
    <x v="1"/>
    <x v="6"/>
    <x v="563"/>
    <x v="634"/>
    <x v="1"/>
    <x v="3"/>
  </r>
  <r>
    <n v="674"/>
    <x v="314"/>
    <x v="256"/>
    <d v="2018-12-08T00:00:00"/>
    <s v="First Class"/>
    <x v="262"/>
    <s v="Rob Beeghly"/>
    <x v="0"/>
    <s v="United States"/>
    <s v="Columbus"/>
    <x v="14"/>
    <n v="47201"/>
    <x v="2"/>
    <x v="564"/>
    <x v="1"/>
    <x v="9"/>
    <x v="564"/>
    <x v="635"/>
    <x v="4"/>
    <x v="3"/>
  </r>
  <r>
    <n v="675"/>
    <x v="314"/>
    <x v="256"/>
    <d v="2018-12-08T00:00:00"/>
    <s v="First Class"/>
    <x v="262"/>
    <s v="Rob Beeghly"/>
    <x v="0"/>
    <s v="United States"/>
    <s v="Columbus"/>
    <x v="14"/>
    <n v="47201"/>
    <x v="2"/>
    <x v="565"/>
    <x v="1"/>
    <x v="10"/>
    <x v="565"/>
    <x v="636"/>
    <x v="4"/>
    <x v="3"/>
  </r>
  <r>
    <n v="676"/>
    <x v="314"/>
    <x v="256"/>
    <d v="2018-12-08T00:00:00"/>
    <s v="First Class"/>
    <x v="262"/>
    <s v="Rob Beeghly"/>
    <x v="0"/>
    <s v="United States"/>
    <s v="Columbus"/>
    <x v="14"/>
    <n v="47201"/>
    <x v="2"/>
    <x v="217"/>
    <x v="2"/>
    <x v="11"/>
    <x v="463"/>
    <x v="637"/>
    <x v="4"/>
    <x v="3"/>
  </r>
  <r>
    <n v="677"/>
    <x v="315"/>
    <x v="257"/>
    <d v="2018-03-23T00:00:00"/>
    <s v="Standard Class"/>
    <x v="263"/>
    <s v="Carol Darley"/>
    <x v="0"/>
    <s v="United States"/>
    <s v="Tyler"/>
    <x v="5"/>
    <n v="75701"/>
    <x v="2"/>
    <x v="566"/>
    <x v="1"/>
    <x v="9"/>
    <x v="566"/>
    <x v="638"/>
    <x v="10"/>
    <x v="3"/>
  </r>
  <r>
    <n v="678"/>
    <x v="315"/>
    <x v="257"/>
    <d v="2018-03-23T00:00:00"/>
    <s v="Standard Class"/>
    <x v="263"/>
    <s v="Carol Darley"/>
    <x v="0"/>
    <s v="United States"/>
    <s v="Tyler"/>
    <x v="5"/>
    <n v="75701"/>
    <x v="2"/>
    <x v="567"/>
    <x v="2"/>
    <x v="11"/>
    <x v="567"/>
    <x v="639"/>
    <x v="10"/>
    <x v="3"/>
  </r>
  <r>
    <n v="679"/>
    <x v="315"/>
    <x v="257"/>
    <d v="2018-03-23T00:00:00"/>
    <s v="Standard Class"/>
    <x v="263"/>
    <s v="Carol Darley"/>
    <x v="0"/>
    <s v="United States"/>
    <s v="Tyler"/>
    <x v="5"/>
    <n v="75701"/>
    <x v="2"/>
    <x v="568"/>
    <x v="0"/>
    <x v="5"/>
    <x v="568"/>
    <x v="640"/>
    <x v="10"/>
    <x v="3"/>
  </r>
  <r>
    <n v="680"/>
    <x v="315"/>
    <x v="257"/>
    <d v="2018-03-23T00:00:00"/>
    <s v="Standard Class"/>
    <x v="263"/>
    <s v="Carol Darley"/>
    <x v="0"/>
    <s v="United States"/>
    <s v="Tyler"/>
    <x v="5"/>
    <n v="75701"/>
    <x v="2"/>
    <x v="569"/>
    <x v="1"/>
    <x v="8"/>
    <x v="569"/>
    <x v="641"/>
    <x v="10"/>
    <x v="3"/>
  </r>
  <r>
    <n v="681"/>
    <x v="316"/>
    <x v="258"/>
    <d v="2017-11-24T00:00:00"/>
    <s v="Standard Class"/>
    <x v="264"/>
    <s v="Doug Jacobs"/>
    <x v="0"/>
    <s v="United States"/>
    <s v="New York City"/>
    <x v="15"/>
    <n v="10024"/>
    <x v="3"/>
    <x v="570"/>
    <x v="1"/>
    <x v="8"/>
    <x v="570"/>
    <x v="642"/>
    <x v="0"/>
    <x v="0"/>
  </r>
  <r>
    <n v="682"/>
    <x v="316"/>
    <x v="258"/>
    <d v="2017-11-24T00:00:00"/>
    <s v="Standard Class"/>
    <x v="264"/>
    <s v="Doug Jacobs"/>
    <x v="0"/>
    <s v="United States"/>
    <s v="New York City"/>
    <x v="15"/>
    <n v="10024"/>
    <x v="3"/>
    <x v="571"/>
    <x v="1"/>
    <x v="4"/>
    <x v="571"/>
    <x v="643"/>
    <x v="0"/>
    <x v="0"/>
  </r>
  <r>
    <n v="683"/>
    <x v="316"/>
    <x v="258"/>
    <d v="2017-11-24T00:00:00"/>
    <s v="Standard Class"/>
    <x v="264"/>
    <s v="Doug Jacobs"/>
    <x v="0"/>
    <s v="United States"/>
    <s v="New York City"/>
    <x v="15"/>
    <n v="10024"/>
    <x v="3"/>
    <x v="456"/>
    <x v="1"/>
    <x v="4"/>
    <x v="457"/>
    <x v="644"/>
    <x v="0"/>
    <x v="0"/>
  </r>
  <r>
    <n v="684"/>
    <x v="317"/>
    <x v="259"/>
    <d v="2018-11-04T00:00:00"/>
    <s v="Same Day"/>
    <x v="265"/>
    <s v="Grant Thornton"/>
    <x v="1"/>
    <s v="United States"/>
    <s v="Burlington"/>
    <x v="3"/>
    <n v="27217"/>
    <x v="0"/>
    <x v="572"/>
    <x v="2"/>
    <x v="15"/>
    <x v="572"/>
    <x v="645"/>
    <x v="0"/>
    <x v="3"/>
  </r>
  <r>
    <n v="685"/>
    <x v="317"/>
    <x v="259"/>
    <d v="2018-11-04T00:00:00"/>
    <s v="Same Day"/>
    <x v="265"/>
    <s v="Grant Thornton"/>
    <x v="1"/>
    <s v="United States"/>
    <s v="Burlington"/>
    <x v="3"/>
    <n v="27217"/>
    <x v="0"/>
    <x v="549"/>
    <x v="1"/>
    <x v="9"/>
    <x v="549"/>
    <x v="646"/>
    <x v="0"/>
    <x v="3"/>
  </r>
  <r>
    <n v="686"/>
    <x v="318"/>
    <x v="260"/>
    <d v="2015-07-08T00:00:00"/>
    <s v="First Class"/>
    <x v="266"/>
    <s v="Michael Chen"/>
    <x v="0"/>
    <s v="United States"/>
    <s v="Jackson"/>
    <x v="35"/>
    <n v="39212"/>
    <x v="0"/>
    <x v="331"/>
    <x v="2"/>
    <x v="11"/>
    <x v="331"/>
    <x v="647"/>
    <x v="7"/>
    <x v="2"/>
  </r>
  <r>
    <n v="687"/>
    <x v="318"/>
    <x v="260"/>
    <d v="2015-07-08T00:00:00"/>
    <s v="First Class"/>
    <x v="266"/>
    <s v="Michael Chen"/>
    <x v="0"/>
    <s v="United States"/>
    <s v="Jackson"/>
    <x v="35"/>
    <n v="39212"/>
    <x v="0"/>
    <x v="573"/>
    <x v="1"/>
    <x v="2"/>
    <x v="573"/>
    <x v="2"/>
    <x v="7"/>
    <x v="2"/>
  </r>
  <r>
    <n v="688"/>
    <x v="318"/>
    <x v="260"/>
    <d v="2015-07-08T00:00:00"/>
    <s v="First Class"/>
    <x v="266"/>
    <s v="Michael Chen"/>
    <x v="0"/>
    <s v="United States"/>
    <s v="Jackson"/>
    <x v="35"/>
    <n v="39212"/>
    <x v="0"/>
    <x v="88"/>
    <x v="1"/>
    <x v="10"/>
    <x v="88"/>
    <x v="537"/>
    <x v="7"/>
    <x v="2"/>
  </r>
  <r>
    <n v="689"/>
    <x v="319"/>
    <x v="53"/>
    <d v="2018-12-29T00:00:00"/>
    <s v="Standard Class"/>
    <x v="267"/>
    <s v="Ralph Arnett"/>
    <x v="0"/>
    <s v="United States"/>
    <s v="New York City"/>
    <x v="15"/>
    <n v="10035"/>
    <x v="3"/>
    <x v="574"/>
    <x v="0"/>
    <x v="0"/>
    <x v="574"/>
    <x v="648"/>
    <x v="4"/>
    <x v="3"/>
  </r>
  <r>
    <n v="690"/>
    <x v="320"/>
    <x v="261"/>
    <d v="2015-06-23T00:00:00"/>
    <s v="Second Class"/>
    <x v="268"/>
    <s v="Naresj Patel"/>
    <x v="0"/>
    <s v="United States"/>
    <s v="Waynesboro"/>
    <x v="17"/>
    <n v="22980"/>
    <x v="0"/>
    <x v="575"/>
    <x v="0"/>
    <x v="5"/>
    <x v="575"/>
    <x v="649"/>
    <x v="1"/>
    <x v="2"/>
  </r>
  <r>
    <n v="691"/>
    <x v="320"/>
    <x v="261"/>
    <d v="2015-06-23T00:00:00"/>
    <s v="Second Class"/>
    <x v="268"/>
    <s v="Naresj Patel"/>
    <x v="0"/>
    <s v="United States"/>
    <s v="Waynesboro"/>
    <x v="17"/>
    <n v="22980"/>
    <x v="0"/>
    <x v="11"/>
    <x v="2"/>
    <x v="7"/>
    <x v="11"/>
    <x v="650"/>
    <x v="1"/>
    <x v="2"/>
  </r>
  <r>
    <n v="692"/>
    <x v="320"/>
    <x v="261"/>
    <d v="2015-06-23T00:00:00"/>
    <s v="Second Class"/>
    <x v="268"/>
    <s v="Naresj Patel"/>
    <x v="0"/>
    <s v="United States"/>
    <s v="Waynesboro"/>
    <x v="17"/>
    <n v="22980"/>
    <x v="0"/>
    <x v="576"/>
    <x v="1"/>
    <x v="4"/>
    <x v="576"/>
    <x v="651"/>
    <x v="1"/>
    <x v="2"/>
  </r>
  <r>
    <n v="693"/>
    <x v="321"/>
    <x v="262"/>
    <d v="2016-04-02T00:00:00"/>
    <s v="Standard Class"/>
    <x v="269"/>
    <s v="Alan Barnes"/>
    <x v="0"/>
    <s v="United States"/>
    <s v="Los Angeles"/>
    <x v="1"/>
    <n v="90036"/>
    <x v="1"/>
    <x v="577"/>
    <x v="2"/>
    <x v="11"/>
    <x v="577"/>
    <x v="652"/>
    <x v="10"/>
    <x v="1"/>
  </r>
  <r>
    <n v="694"/>
    <x v="321"/>
    <x v="262"/>
    <d v="2016-04-02T00:00:00"/>
    <s v="Standard Class"/>
    <x v="269"/>
    <s v="Alan Barnes"/>
    <x v="0"/>
    <s v="United States"/>
    <s v="Los Angeles"/>
    <x v="1"/>
    <n v="90036"/>
    <x v="1"/>
    <x v="578"/>
    <x v="1"/>
    <x v="10"/>
    <x v="578"/>
    <x v="653"/>
    <x v="10"/>
    <x v="1"/>
  </r>
  <r>
    <n v="695"/>
    <x v="322"/>
    <x v="263"/>
    <d v="2016-05-17T00:00:00"/>
    <s v="First Class"/>
    <x v="270"/>
    <s v="Jesus Ocampo"/>
    <x v="2"/>
    <s v="United States"/>
    <s v="Chester"/>
    <x v="9"/>
    <n v="19013"/>
    <x v="3"/>
    <x v="290"/>
    <x v="1"/>
    <x v="6"/>
    <x v="290"/>
    <x v="654"/>
    <x v="5"/>
    <x v="1"/>
  </r>
  <r>
    <n v="696"/>
    <x v="322"/>
    <x v="263"/>
    <d v="2016-05-17T00:00:00"/>
    <s v="First Class"/>
    <x v="270"/>
    <s v="Jesus Ocampo"/>
    <x v="2"/>
    <s v="United States"/>
    <s v="Chester"/>
    <x v="9"/>
    <n v="19013"/>
    <x v="3"/>
    <x v="579"/>
    <x v="1"/>
    <x v="2"/>
    <x v="579"/>
    <x v="655"/>
    <x v="5"/>
    <x v="1"/>
  </r>
  <r>
    <n v="697"/>
    <x v="322"/>
    <x v="263"/>
    <d v="2016-05-17T00:00:00"/>
    <s v="First Class"/>
    <x v="270"/>
    <s v="Jesus Ocampo"/>
    <x v="2"/>
    <s v="United States"/>
    <s v="Chester"/>
    <x v="9"/>
    <n v="19013"/>
    <x v="3"/>
    <x v="81"/>
    <x v="1"/>
    <x v="12"/>
    <x v="81"/>
    <x v="83"/>
    <x v="5"/>
    <x v="1"/>
  </r>
  <r>
    <n v="698"/>
    <x v="322"/>
    <x v="263"/>
    <d v="2016-05-17T00:00:00"/>
    <s v="First Class"/>
    <x v="270"/>
    <s v="Jesus Ocampo"/>
    <x v="2"/>
    <s v="United States"/>
    <s v="Chester"/>
    <x v="9"/>
    <n v="19013"/>
    <x v="3"/>
    <x v="580"/>
    <x v="1"/>
    <x v="2"/>
    <x v="580"/>
    <x v="656"/>
    <x v="5"/>
    <x v="1"/>
  </r>
  <r>
    <n v="699"/>
    <x v="322"/>
    <x v="263"/>
    <d v="2016-05-17T00:00:00"/>
    <s v="First Class"/>
    <x v="270"/>
    <s v="Jesus Ocampo"/>
    <x v="2"/>
    <s v="United States"/>
    <s v="Chester"/>
    <x v="9"/>
    <n v="19013"/>
    <x v="3"/>
    <x v="581"/>
    <x v="1"/>
    <x v="6"/>
    <x v="581"/>
    <x v="657"/>
    <x v="5"/>
    <x v="1"/>
  </r>
  <r>
    <n v="700"/>
    <x v="322"/>
    <x v="263"/>
    <d v="2016-05-17T00:00:00"/>
    <s v="First Class"/>
    <x v="270"/>
    <s v="Jesus Ocampo"/>
    <x v="2"/>
    <s v="United States"/>
    <s v="Chester"/>
    <x v="9"/>
    <n v="19013"/>
    <x v="3"/>
    <x v="582"/>
    <x v="1"/>
    <x v="8"/>
    <x v="582"/>
    <x v="658"/>
    <x v="5"/>
    <x v="1"/>
  </r>
  <r>
    <n v="701"/>
    <x v="322"/>
    <x v="263"/>
    <d v="2016-05-17T00:00:00"/>
    <s v="First Class"/>
    <x v="270"/>
    <s v="Jesus Ocampo"/>
    <x v="2"/>
    <s v="United States"/>
    <s v="Chester"/>
    <x v="9"/>
    <n v="19013"/>
    <x v="3"/>
    <x v="304"/>
    <x v="1"/>
    <x v="8"/>
    <x v="304"/>
    <x v="319"/>
    <x v="5"/>
    <x v="1"/>
  </r>
  <r>
    <n v="702"/>
    <x v="323"/>
    <x v="264"/>
    <d v="2018-09-08T00:00:00"/>
    <s v="Standard Class"/>
    <x v="114"/>
    <s v="Dorris liebe"/>
    <x v="1"/>
    <s v="United States"/>
    <s v="Cleveland"/>
    <x v="24"/>
    <n v="44105"/>
    <x v="3"/>
    <x v="191"/>
    <x v="0"/>
    <x v="5"/>
    <x v="192"/>
    <x v="659"/>
    <x v="8"/>
    <x v="3"/>
  </r>
  <r>
    <n v="703"/>
    <x v="324"/>
    <x v="254"/>
    <d v="2017-11-08T00:00:00"/>
    <s v="Second Class"/>
    <x v="155"/>
    <s v="Alejandro Savely"/>
    <x v="1"/>
    <s v="United States"/>
    <s v="Seattle"/>
    <x v="4"/>
    <n v="98103"/>
    <x v="1"/>
    <x v="583"/>
    <x v="0"/>
    <x v="5"/>
    <x v="583"/>
    <x v="660"/>
    <x v="0"/>
    <x v="0"/>
  </r>
  <r>
    <n v="704"/>
    <x v="325"/>
    <x v="265"/>
    <d v="2016-04-14T00:00:00"/>
    <s v="Standard Class"/>
    <x v="271"/>
    <s v="Jay Kimmel"/>
    <x v="0"/>
    <s v="United States"/>
    <s v="Long Beach"/>
    <x v="1"/>
    <n v="90805"/>
    <x v="1"/>
    <x v="584"/>
    <x v="0"/>
    <x v="3"/>
    <x v="584"/>
    <x v="661"/>
    <x v="3"/>
    <x v="1"/>
  </r>
  <r>
    <n v="705"/>
    <x v="326"/>
    <x v="171"/>
    <d v="2015-09-17T00:00:00"/>
    <s v="Standard Class"/>
    <x v="272"/>
    <s v="Brad Norvell"/>
    <x v="1"/>
    <s v="United States"/>
    <s v="Cary"/>
    <x v="3"/>
    <n v="27511"/>
    <x v="0"/>
    <x v="585"/>
    <x v="1"/>
    <x v="10"/>
    <x v="585"/>
    <x v="559"/>
    <x v="8"/>
    <x v="2"/>
  </r>
  <r>
    <n v="706"/>
    <x v="326"/>
    <x v="171"/>
    <d v="2015-09-17T00:00:00"/>
    <s v="Standard Class"/>
    <x v="272"/>
    <s v="Brad Norvell"/>
    <x v="1"/>
    <s v="United States"/>
    <s v="Cary"/>
    <x v="3"/>
    <n v="27511"/>
    <x v="0"/>
    <x v="586"/>
    <x v="1"/>
    <x v="9"/>
    <x v="586"/>
    <x v="662"/>
    <x v="8"/>
    <x v="2"/>
  </r>
  <r>
    <n v="707"/>
    <x v="326"/>
    <x v="171"/>
    <d v="2015-09-17T00:00:00"/>
    <s v="Standard Class"/>
    <x v="272"/>
    <s v="Brad Norvell"/>
    <x v="1"/>
    <s v="United States"/>
    <s v="Cary"/>
    <x v="3"/>
    <n v="27511"/>
    <x v="0"/>
    <x v="452"/>
    <x v="2"/>
    <x v="11"/>
    <x v="453"/>
    <x v="663"/>
    <x v="8"/>
    <x v="2"/>
  </r>
  <r>
    <n v="708"/>
    <x v="327"/>
    <x v="266"/>
    <d v="2015-12-04T00:00:00"/>
    <s v="First Class"/>
    <x v="273"/>
    <s v="David Philippe"/>
    <x v="0"/>
    <s v="United States"/>
    <s v="New York City"/>
    <x v="15"/>
    <n v="10035"/>
    <x v="3"/>
    <x v="246"/>
    <x v="2"/>
    <x v="11"/>
    <x v="247"/>
    <x v="664"/>
    <x v="4"/>
    <x v="2"/>
  </r>
  <r>
    <n v="709"/>
    <x v="327"/>
    <x v="266"/>
    <d v="2015-12-04T00:00:00"/>
    <s v="First Class"/>
    <x v="273"/>
    <s v="David Philippe"/>
    <x v="0"/>
    <s v="United States"/>
    <s v="New York City"/>
    <x v="15"/>
    <n v="10035"/>
    <x v="3"/>
    <x v="587"/>
    <x v="0"/>
    <x v="0"/>
    <x v="587"/>
    <x v="665"/>
    <x v="4"/>
    <x v="2"/>
  </r>
  <r>
    <n v="710"/>
    <x v="327"/>
    <x v="266"/>
    <d v="2015-12-04T00:00:00"/>
    <s v="First Class"/>
    <x v="273"/>
    <s v="David Philippe"/>
    <x v="0"/>
    <s v="United States"/>
    <s v="New York City"/>
    <x v="15"/>
    <n v="10035"/>
    <x v="3"/>
    <x v="347"/>
    <x v="1"/>
    <x v="8"/>
    <x v="347"/>
    <x v="666"/>
    <x v="4"/>
    <x v="2"/>
  </r>
  <r>
    <n v="711"/>
    <x v="328"/>
    <x v="267"/>
    <d v="2015-04-07T00:00:00"/>
    <s v="First Class"/>
    <x v="274"/>
    <s v="Tracy Hopkins"/>
    <x v="2"/>
    <s v="United States"/>
    <s v="New York City"/>
    <x v="15"/>
    <n v="10035"/>
    <x v="3"/>
    <x v="417"/>
    <x v="1"/>
    <x v="10"/>
    <x v="417"/>
    <x v="444"/>
    <x v="3"/>
    <x v="2"/>
  </r>
  <r>
    <n v="712"/>
    <x v="329"/>
    <x v="213"/>
    <d v="2018-09-07T00:00:00"/>
    <s v="Standard Class"/>
    <x v="275"/>
    <s v="Arthur Prichep"/>
    <x v="0"/>
    <s v="United States"/>
    <s v="Palm Coast"/>
    <x v="2"/>
    <n v="32137"/>
    <x v="0"/>
    <x v="588"/>
    <x v="1"/>
    <x v="12"/>
    <x v="588"/>
    <x v="667"/>
    <x v="8"/>
    <x v="3"/>
  </r>
  <r>
    <n v="713"/>
    <x v="330"/>
    <x v="240"/>
    <d v="2018-05-24T00:00:00"/>
    <s v="Standard Class"/>
    <x v="276"/>
    <s v="Roland Schwarz"/>
    <x v="1"/>
    <s v="United States"/>
    <s v="Mount Vernon"/>
    <x v="15"/>
    <n v="10550"/>
    <x v="3"/>
    <x v="589"/>
    <x v="1"/>
    <x v="9"/>
    <x v="589"/>
    <x v="668"/>
    <x v="5"/>
    <x v="3"/>
  </r>
  <r>
    <n v="714"/>
    <x v="330"/>
    <x v="240"/>
    <d v="2018-05-24T00:00:00"/>
    <s v="Standard Class"/>
    <x v="276"/>
    <s v="Roland Schwarz"/>
    <x v="1"/>
    <s v="United States"/>
    <s v="Mount Vernon"/>
    <x v="15"/>
    <n v="10550"/>
    <x v="3"/>
    <x v="348"/>
    <x v="2"/>
    <x v="7"/>
    <x v="348"/>
    <x v="669"/>
    <x v="5"/>
    <x v="3"/>
  </r>
  <r>
    <n v="715"/>
    <x v="330"/>
    <x v="240"/>
    <d v="2018-05-24T00:00:00"/>
    <s v="Standard Class"/>
    <x v="276"/>
    <s v="Roland Schwarz"/>
    <x v="1"/>
    <s v="United States"/>
    <s v="Mount Vernon"/>
    <x v="15"/>
    <n v="10550"/>
    <x v="3"/>
    <x v="590"/>
    <x v="2"/>
    <x v="11"/>
    <x v="590"/>
    <x v="670"/>
    <x v="5"/>
    <x v="3"/>
  </r>
  <r>
    <n v="716"/>
    <x v="331"/>
    <x v="268"/>
    <d v="2015-07-06T00:00:00"/>
    <s v="Second Class"/>
    <x v="114"/>
    <s v="Dorris liebe"/>
    <x v="1"/>
    <s v="United States"/>
    <s v="Seattle"/>
    <x v="4"/>
    <n v="98105"/>
    <x v="1"/>
    <x v="591"/>
    <x v="1"/>
    <x v="8"/>
    <x v="591"/>
    <x v="544"/>
    <x v="7"/>
    <x v="2"/>
  </r>
  <r>
    <n v="717"/>
    <x v="332"/>
    <x v="269"/>
    <d v="2015-01-14T00:00:00"/>
    <s v="First Class"/>
    <x v="277"/>
    <s v="Seth Vernon"/>
    <x v="0"/>
    <s v="United States"/>
    <s v="Dover"/>
    <x v="13"/>
    <n v="19901"/>
    <x v="3"/>
    <x v="527"/>
    <x v="0"/>
    <x v="5"/>
    <x v="527"/>
    <x v="583"/>
    <x v="9"/>
    <x v="2"/>
  </r>
  <r>
    <n v="718"/>
    <x v="333"/>
    <x v="241"/>
    <d v="2018-09-29T00:00:00"/>
    <s v="Standard Class"/>
    <x v="110"/>
    <s v="Kelly Collister"/>
    <x v="0"/>
    <s v="United States"/>
    <s v="Newark"/>
    <x v="24"/>
    <n v="43055"/>
    <x v="3"/>
    <x v="592"/>
    <x v="0"/>
    <x v="5"/>
    <x v="592"/>
    <x v="671"/>
    <x v="8"/>
    <x v="3"/>
  </r>
  <r>
    <n v="719"/>
    <x v="334"/>
    <x v="270"/>
    <d v="2015-06-07T00:00:00"/>
    <s v="Standard Class"/>
    <x v="278"/>
    <s v="Christine Kargatis"/>
    <x v="2"/>
    <s v="United States"/>
    <s v="Orem"/>
    <x v="7"/>
    <n v="84057"/>
    <x v="1"/>
    <x v="444"/>
    <x v="1"/>
    <x v="8"/>
    <x v="444"/>
    <x v="672"/>
    <x v="1"/>
    <x v="2"/>
  </r>
  <r>
    <n v="720"/>
    <x v="334"/>
    <x v="270"/>
    <d v="2015-06-07T00:00:00"/>
    <s v="Standard Class"/>
    <x v="278"/>
    <s v="Christine Kargatis"/>
    <x v="2"/>
    <s v="United States"/>
    <s v="Orem"/>
    <x v="7"/>
    <n v="84057"/>
    <x v="1"/>
    <x v="390"/>
    <x v="0"/>
    <x v="5"/>
    <x v="391"/>
    <x v="673"/>
    <x v="1"/>
    <x v="2"/>
  </r>
  <r>
    <n v="721"/>
    <x v="335"/>
    <x v="271"/>
    <d v="2017-02-18T00:00:00"/>
    <s v="Standard Class"/>
    <x v="279"/>
    <s v="Ross DeVincentis"/>
    <x v="2"/>
    <s v="United States"/>
    <s v="Los Angeles"/>
    <x v="1"/>
    <n v="90045"/>
    <x v="1"/>
    <x v="593"/>
    <x v="1"/>
    <x v="10"/>
    <x v="593"/>
    <x v="674"/>
    <x v="11"/>
    <x v="0"/>
  </r>
  <r>
    <n v="722"/>
    <x v="336"/>
    <x v="272"/>
    <d v="2017-12-19T00:00:00"/>
    <s v="Standard Class"/>
    <x v="172"/>
    <s v="Michael Paige"/>
    <x v="1"/>
    <s v="United States"/>
    <s v="Detroit"/>
    <x v="12"/>
    <n v="48205"/>
    <x v="2"/>
    <x v="594"/>
    <x v="0"/>
    <x v="3"/>
    <x v="594"/>
    <x v="675"/>
    <x v="4"/>
    <x v="0"/>
  </r>
  <r>
    <n v="723"/>
    <x v="336"/>
    <x v="272"/>
    <d v="2017-12-19T00:00:00"/>
    <s v="Standard Class"/>
    <x v="172"/>
    <s v="Michael Paige"/>
    <x v="1"/>
    <s v="United States"/>
    <s v="Detroit"/>
    <x v="12"/>
    <n v="48205"/>
    <x v="2"/>
    <x v="595"/>
    <x v="1"/>
    <x v="4"/>
    <x v="595"/>
    <x v="676"/>
    <x v="4"/>
    <x v="0"/>
  </r>
  <r>
    <n v="724"/>
    <x v="337"/>
    <x v="273"/>
    <d v="2015-10-13T00:00:00"/>
    <s v="Standard Class"/>
    <x v="280"/>
    <s v="Mathew Reese"/>
    <x v="2"/>
    <s v="United States"/>
    <s v="Philadelphia"/>
    <x v="9"/>
    <n v="19140"/>
    <x v="3"/>
    <x v="596"/>
    <x v="0"/>
    <x v="5"/>
    <x v="596"/>
    <x v="677"/>
    <x v="2"/>
    <x v="2"/>
  </r>
  <r>
    <n v="725"/>
    <x v="338"/>
    <x v="274"/>
    <d v="2017-07-12T00:00:00"/>
    <s v="Standard Class"/>
    <x v="281"/>
    <s v="Steve Chapman"/>
    <x v="1"/>
    <s v="United States"/>
    <s v="Hialeah"/>
    <x v="2"/>
    <n v="33012"/>
    <x v="0"/>
    <x v="597"/>
    <x v="1"/>
    <x v="14"/>
    <x v="597"/>
    <x v="678"/>
    <x v="7"/>
    <x v="0"/>
  </r>
  <r>
    <n v="726"/>
    <x v="339"/>
    <x v="118"/>
    <d v="2018-09-20T00:00:00"/>
    <s v="Standard Class"/>
    <x v="282"/>
    <s v="Jay Fein"/>
    <x v="0"/>
    <s v="United States"/>
    <s v="Austin"/>
    <x v="5"/>
    <n v="78745"/>
    <x v="2"/>
    <x v="598"/>
    <x v="1"/>
    <x v="12"/>
    <x v="598"/>
    <x v="679"/>
    <x v="8"/>
    <x v="3"/>
  </r>
  <r>
    <n v="727"/>
    <x v="339"/>
    <x v="118"/>
    <d v="2018-09-20T00:00:00"/>
    <s v="Standard Class"/>
    <x v="282"/>
    <s v="Jay Fein"/>
    <x v="0"/>
    <s v="United States"/>
    <s v="Austin"/>
    <x v="5"/>
    <n v="78745"/>
    <x v="2"/>
    <x v="599"/>
    <x v="2"/>
    <x v="7"/>
    <x v="599"/>
    <x v="680"/>
    <x v="8"/>
    <x v="3"/>
  </r>
  <r>
    <n v="728"/>
    <x v="340"/>
    <x v="275"/>
    <d v="2017-12-06T00:00:00"/>
    <s v="First Class"/>
    <x v="283"/>
    <s v="Emily Grady"/>
    <x v="0"/>
    <s v="United States"/>
    <s v="Oceanside"/>
    <x v="15"/>
    <n v="11572"/>
    <x v="3"/>
    <x v="600"/>
    <x v="1"/>
    <x v="10"/>
    <x v="600"/>
    <x v="681"/>
    <x v="4"/>
    <x v="0"/>
  </r>
  <r>
    <n v="729"/>
    <x v="340"/>
    <x v="275"/>
    <d v="2017-12-06T00:00:00"/>
    <s v="First Class"/>
    <x v="283"/>
    <s v="Emily Grady"/>
    <x v="0"/>
    <s v="United States"/>
    <s v="Oceanside"/>
    <x v="15"/>
    <n v="11572"/>
    <x v="3"/>
    <x v="601"/>
    <x v="0"/>
    <x v="3"/>
    <x v="601"/>
    <x v="682"/>
    <x v="4"/>
    <x v="0"/>
  </r>
  <r>
    <n v="730"/>
    <x v="340"/>
    <x v="275"/>
    <d v="2017-12-06T00:00:00"/>
    <s v="First Class"/>
    <x v="283"/>
    <s v="Emily Grady"/>
    <x v="0"/>
    <s v="United States"/>
    <s v="Oceanside"/>
    <x v="15"/>
    <n v="11572"/>
    <x v="3"/>
    <x v="602"/>
    <x v="1"/>
    <x v="4"/>
    <x v="602"/>
    <x v="683"/>
    <x v="4"/>
    <x v="0"/>
  </r>
  <r>
    <n v="731"/>
    <x v="340"/>
    <x v="275"/>
    <d v="2017-12-06T00:00:00"/>
    <s v="First Class"/>
    <x v="283"/>
    <s v="Emily Grady"/>
    <x v="0"/>
    <s v="United States"/>
    <s v="Oceanside"/>
    <x v="15"/>
    <n v="11572"/>
    <x v="3"/>
    <x v="228"/>
    <x v="0"/>
    <x v="1"/>
    <x v="229"/>
    <x v="684"/>
    <x v="4"/>
    <x v="0"/>
  </r>
  <r>
    <n v="732"/>
    <x v="340"/>
    <x v="275"/>
    <d v="2017-12-06T00:00:00"/>
    <s v="First Class"/>
    <x v="283"/>
    <s v="Emily Grady"/>
    <x v="0"/>
    <s v="United States"/>
    <s v="Oceanside"/>
    <x v="15"/>
    <n v="11572"/>
    <x v="3"/>
    <x v="395"/>
    <x v="1"/>
    <x v="2"/>
    <x v="396"/>
    <x v="685"/>
    <x v="4"/>
    <x v="0"/>
  </r>
  <r>
    <n v="733"/>
    <x v="341"/>
    <x v="276"/>
    <d v="2018-01-25T00:00:00"/>
    <s v="Standard Class"/>
    <x v="284"/>
    <s v="Darrin Sayre"/>
    <x v="2"/>
    <s v="United States"/>
    <s v="Seattle"/>
    <x v="4"/>
    <n v="98115"/>
    <x v="1"/>
    <x v="459"/>
    <x v="1"/>
    <x v="4"/>
    <x v="460"/>
    <x v="420"/>
    <x v="9"/>
    <x v="3"/>
  </r>
  <r>
    <n v="734"/>
    <x v="341"/>
    <x v="276"/>
    <d v="2018-01-25T00:00:00"/>
    <s v="Standard Class"/>
    <x v="284"/>
    <s v="Darrin Sayre"/>
    <x v="2"/>
    <s v="United States"/>
    <s v="Seattle"/>
    <x v="4"/>
    <n v="98115"/>
    <x v="1"/>
    <x v="603"/>
    <x v="2"/>
    <x v="11"/>
    <x v="603"/>
    <x v="686"/>
    <x v="9"/>
    <x v="3"/>
  </r>
  <r>
    <n v="735"/>
    <x v="341"/>
    <x v="276"/>
    <d v="2018-01-25T00:00:00"/>
    <s v="Standard Class"/>
    <x v="284"/>
    <s v="Darrin Sayre"/>
    <x v="2"/>
    <s v="United States"/>
    <s v="Seattle"/>
    <x v="4"/>
    <n v="98115"/>
    <x v="1"/>
    <x v="350"/>
    <x v="1"/>
    <x v="8"/>
    <x v="350"/>
    <x v="687"/>
    <x v="9"/>
    <x v="3"/>
  </r>
  <r>
    <n v="736"/>
    <x v="341"/>
    <x v="276"/>
    <d v="2018-01-25T00:00:00"/>
    <s v="Standard Class"/>
    <x v="284"/>
    <s v="Darrin Sayre"/>
    <x v="2"/>
    <s v="United States"/>
    <s v="Seattle"/>
    <x v="4"/>
    <n v="98115"/>
    <x v="1"/>
    <x v="44"/>
    <x v="1"/>
    <x v="8"/>
    <x v="44"/>
    <x v="688"/>
    <x v="9"/>
    <x v="3"/>
  </r>
  <r>
    <n v="737"/>
    <x v="341"/>
    <x v="276"/>
    <d v="2018-01-25T00:00:00"/>
    <s v="Standard Class"/>
    <x v="284"/>
    <s v="Darrin Sayre"/>
    <x v="2"/>
    <s v="United States"/>
    <s v="Seattle"/>
    <x v="4"/>
    <n v="98115"/>
    <x v="1"/>
    <x v="604"/>
    <x v="0"/>
    <x v="0"/>
    <x v="604"/>
    <x v="689"/>
    <x v="9"/>
    <x v="3"/>
  </r>
  <r>
    <n v="738"/>
    <x v="341"/>
    <x v="276"/>
    <d v="2018-01-25T00:00:00"/>
    <s v="Standard Class"/>
    <x v="284"/>
    <s v="Darrin Sayre"/>
    <x v="2"/>
    <s v="United States"/>
    <s v="Seattle"/>
    <x v="4"/>
    <n v="98115"/>
    <x v="1"/>
    <x v="605"/>
    <x v="1"/>
    <x v="8"/>
    <x v="605"/>
    <x v="690"/>
    <x v="9"/>
    <x v="3"/>
  </r>
  <r>
    <n v="739"/>
    <x v="342"/>
    <x v="78"/>
    <d v="2015-09-12T00:00:00"/>
    <s v="Standard Class"/>
    <x v="47"/>
    <s v="Gary Zandusky"/>
    <x v="0"/>
    <s v="United States"/>
    <s v="San Francisco"/>
    <x v="1"/>
    <n v="94110"/>
    <x v="1"/>
    <x v="606"/>
    <x v="2"/>
    <x v="11"/>
    <x v="606"/>
    <x v="691"/>
    <x v="8"/>
    <x v="2"/>
  </r>
  <r>
    <n v="740"/>
    <x v="343"/>
    <x v="277"/>
    <d v="2015-01-08T00:00:00"/>
    <s v="Standard Class"/>
    <x v="285"/>
    <s v="Phillina Ober"/>
    <x v="2"/>
    <s v="United States"/>
    <s v="Naperville"/>
    <x v="10"/>
    <n v="60540"/>
    <x v="2"/>
    <x v="607"/>
    <x v="1"/>
    <x v="2"/>
    <x v="607"/>
    <x v="692"/>
    <x v="9"/>
    <x v="2"/>
  </r>
  <r>
    <n v="741"/>
    <x v="343"/>
    <x v="277"/>
    <d v="2015-01-08T00:00:00"/>
    <s v="Standard Class"/>
    <x v="285"/>
    <s v="Phillina Ober"/>
    <x v="2"/>
    <s v="United States"/>
    <s v="Naperville"/>
    <x v="10"/>
    <n v="60540"/>
    <x v="2"/>
    <x v="418"/>
    <x v="1"/>
    <x v="4"/>
    <x v="418"/>
    <x v="693"/>
    <x v="9"/>
    <x v="2"/>
  </r>
  <r>
    <n v="742"/>
    <x v="343"/>
    <x v="277"/>
    <d v="2015-01-08T00:00:00"/>
    <s v="Standard Class"/>
    <x v="285"/>
    <s v="Phillina Ober"/>
    <x v="2"/>
    <s v="United States"/>
    <s v="Naperville"/>
    <x v="10"/>
    <n v="60540"/>
    <x v="2"/>
    <x v="608"/>
    <x v="1"/>
    <x v="8"/>
    <x v="608"/>
    <x v="694"/>
    <x v="9"/>
    <x v="2"/>
  </r>
  <r>
    <n v="743"/>
    <x v="344"/>
    <x v="278"/>
    <d v="2017-09-01T00:00:00"/>
    <s v="Standard Class"/>
    <x v="286"/>
    <s v="Sung Shariari"/>
    <x v="0"/>
    <s v="United States"/>
    <s v="Dallas"/>
    <x v="5"/>
    <n v="75220"/>
    <x v="2"/>
    <x v="505"/>
    <x v="1"/>
    <x v="14"/>
    <x v="505"/>
    <x v="548"/>
    <x v="6"/>
    <x v="0"/>
  </r>
  <r>
    <n v="744"/>
    <x v="344"/>
    <x v="278"/>
    <d v="2017-09-01T00:00:00"/>
    <s v="Standard Class"/>
    <x v="286"/>
    <s v="Sung Shariari"/>
    <x v="0"/>
    <s v="United States"/>
    <s v="Dallas"/>
    <x v="5"/>
    <n v="75220"/>
    <x v="2"/>
    <x v="249"/>
    <x v="1"/>
    <x v="10"/>
    <x v="250"/>
    <x v="695"/>
    <x v="6"/>
    <x v="0"/>
  </r>
  <r>
    <n v="745"/>
    <x v="344"/>
    <x v="278"/>
    <d v="2017-09-01T00:00:00"/>
    <s v="Standard Class"/>
    <x v="286"/>
    <s v="Sung Shariari"/>
    <x v="0"/>
    <s v="United States"/>
    <s v="Dallas"/>
    <x v="5"/>
    <n v="75220"/>
    <x v="2"/>
    <x v="609"/>
    <x v="1"/>
    <x v="10"/>
    <x v="609"/>
    <x v="696"/>
    <x v="6"/>
    <x v="0"/>
  </r>
  <r>
    <n v="746"/>
    <x v="344"/>
    <x v="278"/>
    <d v="2017-09-01T00:00:00"/>
    <s v="Standard Class"/>
    <x v="286"/>
    <s v="Sung Shariari"/>
    <x v="0"/>
    <s v="United States"/>
    <s v="Dallas"/>
    <x v="5"/>
    <n v="75220"/>
    <x v="2"/>
    <x v="610"/>
    <x v="1"/>
    <x v="14"/>
    <x v="610"/>
    <x v="697"/>
    <x v="6"/>
    <x v="0"/>
  </r>
  <r>
    <n v="747"/>
    <x v="345"/>
    <x v="279"/>
    <d v="2015-05-27T00:00:00"/>
    <s v="Same Day"/>
    <x v="186"/>
    <s v="Maya Herman"/>
    <x v="1"/>
    <s v="United States"/>
    <s v="San Diego"/>
    <x v="1"/>
    <n v="92105"/>
    <x v="1"/>
    <x v="223"/>
    <x v="0"/>
    <x v="3"/>
    <x v="224"/>
    <x v="698"/>
    <x v="5"/>
    <x v="2"/>
  </r>
  <r>
    <n v="748"/>
    <x v="345"/>
    <x v="279"/>
    <d v="2015-05-27T00:00:00"/>
    <s v="Same Day"/>
    <x v="186"/>
    <s v="Maya Herman"/>
    <x v="1"/>
    <s v="United States"/>
    <s v="San Diego"/>
    <x v="1"/>
    <n v="92105"/>
    <x v="1"/>
    <x v="435"/>
    <x v="1"/>
    <x v="4"/>
    <x v="435"/>
    <x v="699"/>
    <x v="5"/>
    <x v="2"/>
  </r>
  <r>
    <n v="749"/>
    <x v="346"/>
    <x v="231"/>
    <d v="2017-03-22T00:00:00"/>
    <s v="Second Class"/>
    <x v="287"/>
    <s v="Peter Bühler"/>
    <x v="0"/>
    <s v="United States"/>
    <s v="Evanston"/>
    <x v="10"/>
    <n v="60201"/>
    <x v="2"/>
    <x v="611"/>
    <x v="2"/>
    <x v="7"/>
    <x v="611"/>
    <x v="700"/>
    <x v="10"/>
    <x v="0"/>
  </r>
  <r>
    <n v="750"/>
    <x v="347"/>
    <x v="280"/>
    <d v="2018-10-06T00:00:00"/>
    <s v="Standard Class"/>
    <x v="288"/>
    <s v="Roland Fjeld"/>
    <x v="0"/>
    <s v="United States"/>
    <s v="Trenton"/>
    <x v="12"/>
    <n v="48183"/>
    <x v="2"/>
    <x v="612"/>
    <x v="1"/>
    <x v="8"/>
    <x v="612"/>
    <x v="701"/>
    <x v="2"/>
    <x v="3"/>
  </r>
  <r>
    <n v="751"/>
    <x v="347"/>
    <x v="280"/>
    <d v="2018-10-06T00:00:00"/>
    <s v="Standard Class"/>
    <x v="288"/>
    <s v="Roland Fjeld"/>
    <x v="0"/>
    <s v="United States"/>
    <s v="Trenton"/>
    <x v="12"/>
    <n v="48183"/>
    <x v="2"/>
    <x v="613"/>
    <x v="0"/>
    <x v="5"/>
    <x v="613"/>
    <x v="702"/>
    <x v="2"/>
    <x v="3"/>
  </r>
  <r>
    <n v="752"/>
    <x v="347"/>
    <x v="280"/>
    <d v="2018-10-06T00:00:00"/>
    <s v="Standard Class"/>
    <x v="288"/>
    <s v="Roland Fjeld"/>
    <x v="0"/>
    <s v="United States"/>
    <s v="Trenton"/>
    <x v="12"/>
    <n v="48183"/>
    <x v="2"/>
    <x v="359"/>
    <x v="1"/>
    <x v="6"/>
    <x v="359"/>
    <x v="703"/>
    <x v="2"/>
    <x v="3"/>
  </r>
  <r>
    <n v="753"/>
    <x v="347"/>
    <x v="280"/>
    <d v="2018-10-06T00:00:00"/>
    <s v="Standard Class"/>
    <x v="288"/>
    <s v="Roland Fjeld"/>
    <x v="0"/>
    <s v="United States"/>
    <s v="Trenton"/>
    <x v="12"/>
    <n v="48183"/>
    <x v="2"/>
    <x v="614"/>
    <x v="1"/>
    <x v="8"/>
    <x v="614"/>
    <x v="704"/>
    <x v="2"/>
    <x v="3"/>
  </r>
  <r>
    <n v="754"/>
    <x v="348"/>
    <x v="281"/>
    <d v="2017-04-09T00:00:00"/>
    <s v="First Class"/>
    <x v="289"/>
    <s v="Yoseph Carroll"/>
    <x v="1"/>
    <s v="United States"/>
    <s v="San Francisco"/>
    <x v="1"/>
    <n v="94110"/>
    <x v="1"/>
    <x v="615"/>
    <x v="2"/>
    <x v="16"/>
    <x v="615"/>
    <x v="384"/>
    <x v="3"/>
    <x v="0"/>
  </r>
  <r>
    <n v="755"/>
    <x v="349"/>
    <x v="214"/>
    <d v="2016-12-12T00:00:00"/>
    <s v="Standard Class"/>
    <x v="234"/>
    <s v="Melanie Seite"/>
    <x v="0"/>
    <s v="United States"/>
    <s v="Los Angeles"/>
    <x v="1"/>
    <n v="90036"/>
    <x v="1"/>
    <x v="561"/>
    <x v="0"/>
    <x v="5"/>
    <x v="560"/>
    <x v="705"/>
    <x v="4"/>
    <x v="1"/>
  </r>
  <r>
    <n v="756"/>
    <x v="350"/>
    <x v="31"/>
    <d v="2017-09-22T00:00:00"/>
    <s v="Standard Class"/>
    <x v="240"/>
    <s v="Nona Balk"/>
    <x v="1"/>
    <s v="United States"/>
    <s v="Jacksonville"/>
    <x v="2"/>
    <n v="32216"/>
    <x v="0"/>
    <x v="616"/>
    <x v="0"/>
    <x v="3"/>
    <x v="616"/>
    <x v="706"/>
    <x v="8"/>
    <x v="0"/>
  </r>
  <r>
    <n v="757"/>
    <x v="351"/>
    <x v="282"/>
    <d v="2016-01-02T00:00:00"/>
    <s v="Standard Class"/>
    <x v="290"/>
    <s v="Debra Catini"/>
    <x v="0"/>
    <s v="United States"/>
    <s v="Cottage Grove"/>
    <x v="11"/>
    <n v="55016"/>
    <x v="2"/>
    <x v="576"/>
    <x v="1"/>
    <x v="4"/>
    <x v="576"/>
    <x v="332"/>
    <x v="4"/>
    <x v="2"/>
  </r>
  <r>
    <n v="758"/>
    <x v="351"/>
    <x v="282"/>
    <d v="2016-01-02T00:00:00"/>
    <s v="Standard Class"/>
    <x v="290"/>
    <s v="Debra Catini"/>
    <x v="0"/>
    <s v="United States"/>
    <s v="Cottage Grove"/>
    <x v="11"/>
    <n v="55016"/>
    <x v="2"/>
    <x v="538"/>
    <x v="2"/>
    <x v="11"/>
    <x v="538"/>
    <x v="596"/>
    <x v="4"/>
    <x v="2"/>
  </r>
  <r>
    <n v="759"/>
    <x v="352"/>
    <x v="283"/>
    <d v="2018-07-28T00:00:00"/>
    <s v="Standard Class"/>
    <x v="291"/>
    <s v="Christine Phan"/>
    <x v="1"/>
    <s v="United States"/>
    <s v="New York City"/>
    <x v="15"/>
    <n v="10009"/>
    <x v="3"/>
    <x v="520"/>
    <x v="1"/>
    <x v="8"/>
    <x v="520"/>
    <x v="531"/>
    <x v="7"/>
    <x v="3"/>
  </r>
  <r>
    <n v="760"/>
    <x v="353"/>
    <x v="65"/>
    <d v="2018-09-22T00:00:00"/>
    <s v="Standard Class"/>
    <x v="292"/>
    <s v="Barry Französisch"/>
    <x v="1"/>
    <s v="United States"/>
    <s v="Green Bay"/>
    <x v="6"/>
    <n v="54302"/>
    <x v="2"/>
    <x v="126"/>
    <x v="1"/>
    <x v="10"/>
    <x v="562"/>
    <x v="20"/>
    <x v="8"/>
    <x v="3"/>
  </r>
  <r>
    <n v="761"/>
    <x v="354"/>
    <x v="284"/>
    <d v="2016-09-05T00:00:00"/>
    <s v="Standard Class"/>
    <x v="239"/>
    <s v="Andrew Roberts"/>
    <x v="0"/>
    <s v="United States"/>
    <s v="Los Angeles"/>
    <x v="1"/>
    <n v="90004"/>
    <x v="1"/>
    <x v="490"/>
    <x v="1"/>
    <x v="10"/>
    <x v="490"/>
    <x v="707"/>
    <x v="6"/>
    <x v="1"/>
  </r>
  <r>
    <n v="762"/>
    <x v="355"/>
    <x v="132"/>
    <d v="2018-11-07T00:00:00"/>
    <s v="Standard Class"/>
    <x v="36"/>
    <s v="Julie Creighton"/>
    <x v="1"/>
    <s v="United States"/>
    <s v="Atlanta"/>
    <x v="32"/>
    <n v="30318"/>
    <x v="0"/>
    <x v="617"/>
    <x v="1"/>
    <x v="2"/>
    <x v="617"/>
    <x v="708"/>
    <x v="0"/>
    <x v="3"/>
  </r>
  <r>
    <n v="763"/>
    <x v="356"/>
    <x v="285"/>
    <d v="2016-02-13T00:00:00"/>
    <s v="Standard Class"/>
    <x v="293"/>
    <s v="Lisa Hazard"/>
    <x v="0"/>
    <s v="United States"/>
    <s v="Columbus"/>
    <x v="24"/>
    <n v="43229"/>
    <x v="3"/>
    <x v="160"/>
    <x v="2"/>
    <x v="7"/>
    <x v="161"/>
    <x v="709"/>
    <x v="11"/>
    <x v="1"/>
  </r>
  <r>
    <n v="764"/>
    <x v="357"/>
    <x v="286"/>
    <d v="2015-01-15T00:00:00"/>
    <s v="Second Class"/>
    <x v="294"/>
    <s v="Chris Selesnick"/>
    <x v="1"/>
    <s v="United States"/>
    <s v="Bossier City"/>
    <x v="28"/>
    <n v="71111"/>
    <x v="0"/>
    <x v="152"/>
    <x v="1"/>
    <x v="12"/>
    <x v="153"/>
    <x v="710"/>
    <x v="9"/>
    <x v="2"/>
  </r>
  <r>
    <n v="765"/>
    <x v="357"/>
    <x v="286"/>
    <d v="2015-01-15T00:00:00"/>
    <s v="Second Class"/>
    <x v="294"/>
    <s v="Chris Selesnick"/>
    <x v="1"/>
    <s v="United States"/>
    <s v="Bossier City"/>
    <x v="28"/>
    <n v="71111"/>
    <x v="0"/>
    <x v="618"/>
    <x v="1"/>
    <x v="12"/>
    <x v="618"/>
    <x v="711"/>
    <x v="9"/>
    <x v="2"/>
  </r>
  <r>
    <n v="766"/>
    <x v="357"/>
    <x v="286"/>
    <d v="2015-01-15T00:00:00"/>
    <s v="Second Class"/>
    <x v="294"/>
    <s v="Chris Selesnick"/>
    <x v="1"/>
    <s v="United States"/>
    <s v="Bossier City"/>
    <x v="28"/>
    <n v="71111"/>
    <x v="0"/>
    <x v="619"/>
    <x v="2"/>
    <x v="11"/>
    <x v="619"/>
    <x v="712"/>
    <x v="9"/>
    <x v="2"/>
  </r>
  <r>
    <n v="767"/>
    <x v="357"/>
    <x v="286"/>
    <d v="2015-01-15T00:00:00"/>
    <s v="Second Class"/>
    <x v="294"/>
    <s v="Chris Selesnick"/>
    <x v="1"/>
    <s v="United States"/>
    <s v="Bossier City"/>
    <x v="28"/>
    <n v="71111"/>
    <x v="0"/>
    <x v="620"/>
    <x v="1"/>
    <x v="8"/>
    <x v="620"/>
    <x v="713"/>
    <x v="9"/>
    <x v="2"/>
  </r>
  <r>
    <n v="768"/>
    <x v="357"/>
    <x v="286"/>
    <d v="2015-01-15T00:00:00"/>
    <s v="Second Class"/>
    <x v="294"/>
    <s v="Chris Selesnick"/>
    <x v="1"/>
    <s v="United States"/>
    <s v="Bossier City"/>
    <x v="28"/>
    <n v="71111"/>
    <x v="0"/>
    <x v="621"/>
    <x v="1"/>
    <x v="4"/>
    <x v="621"/>
    <x v="714"/>
    <x v="9"/>
    <x v="2"/>
  </r>
  <r>
    <n v="769"/>
    <x v="358"/>
    <x v="287"/>
    <d v="2015-05-20T00:00:00"/>
    <s v="Standard Class"/>
    <x v="295"/>
    <s v="Anthony Johnson"/>
    <x v="1"/>
    <s v="United States"/>
    <s v="Saint Petersburg"/>
    <x v="2"/>
    <n v="33710"/>
    <x v="0"/>
    <x v="622"/>
    <x v="0"/>
    <x v="5"/>
    <x v="622"/>
    <x v="715"/>
    <x v="5"/>
    <x v="2"/>
  </r>
  <r>
    <n v="770"/>
    <x v="359"/>
    <x v="288"/>
    <d v="2017-05-24T00:00:00"/>
    <s v="Standard Class"/>
    <x v="97"/>
    <s v="Laurel Elliston"/>
    <x v="0"/>
    <s v="United States"/>
    <s v="Arlington"/>
    <x v="17"/>
    <n v="22204"/>
    <x v="0"/>
    <x v="623"/>
    <x v="0"/>
    <x v="1"/>
    <x v="623"/>
    <x v="716"/>
    <x v="5"/>
    <x v="0"/>
  </r>
  <r>
    <n v="771"/>
    <x v="360"/>
    <x v="289"/>
    <d v="2018-02-05T00:00:00"/>
    <s v="Standard Class"/>
    <x v="296"/>
    <s v="Benjamin Venier"/>
    <x v="1"/>
    <s v="United States"/>
    <s v="Des Moines"/>
    <x v="23"/>
    <n v="50315"/>
    <x v="2"/>
    <x v="624"/>
    <x v="1"/>
    <x v="8"/>
    <x v="624"/>
    <x v="717"/>
    <x v="9"/>
    <x v="3"/>
  </r>
  <r>
    <n v="772"/>
    <x v="360"/>
    <x v="289"/>
    <d v="2018-02-05T00:00:00"/>
    <s v="Standard Class"/>
    <x v="296"/>
    <s v="Benjamin Venier"/>
    <x v="1"/>
    <s v="United States"/>
    <s v="Des Moines"/>
    <x v="23"/>
    <n v="50315"/>
    <x v="2"/>
    <x v="302"/>
    <x v="2"/>
    <x v="7"/>
    <x v="302"/>
    <x v="718"/>
    <x v="9"/>
    <x v="3"/>
  </r>
  <r>
    <n v="773"/>
    <x v="360"/>
    <x v="289"/>
    <d v="2018-02-05T00:00:00"/>
    <s v="Standard Class"/>
    <x v="296"/>
    <s v="Benjamin Venier"/>
    <x v="1"/>
    <s v="United States"/>
    <s v="Des Moines"/>
    <x v="23"/>
    <n v="50315"/>
    <x v="2"/>
    <x v="625"/>
    <x v="1"/>
    <x v="8"/>
    <x v="625"/>
    <x v="719"/>
    <x v="9"/>
    <x v="3"/>
  </r>
  <r>
    <n v="774"/>
    <x v="360"/>
    <x v="289"/>
    <d v="2018-02-05T00:00:00"/>
    <s v="Standard Class"/>
    <x v="296"/>
    <s v="Benjamin Venier"/>
    <x v="1"/>
    <s v="United States"/>
    <s v="Des Moines"/>
    <x v="23"/>
    <n v="50315"/>
    <x v="2"/>
    <x v="8"/>
    <x v="1"/>
    <x v="8"/>
    <x v="8"/>
    <x v="720"/>
    <x v="9"/>
    <x v="3"/>
  </r>
  <r>
    <n v="775"/>
    <x v="360"/>
    <x v="289"/>
    <d v="2018-02-05T00:00:00"/>
    <s v="Standard Class"/>
    <x v="296"/>
    <s v="Benjamin Venier"/>
    <x v="1"/>
    <s v="United States"/>
    <s v="Des Moines"/>
    <x v="23"/>
    <n v="50315"/>
    <x v="2"/>
    <x v="626"/>
    <x v="1"/>
    <x v="6"/>
    <x v="626"/>
    <x v="721"/>
    <x v="9"/>
    <x v="3"/>
  </r>
  <r>
    <n v="776"/>
    <x v="360"/>
    <x v="289"/>
    <d v="2018-02-05T00:00:00"/>
    <s v="Standard Class"/>
    <x v="296"/>
    <s v="Benjamin Venier"/>
    <x v="1"/>
    <s v="United States"/>
    <s v="Des Moines"/>
    <x v="23"/>
    <n v="50315"/>
    <x v="2"/>
    <x v="627"/>
    <x v="0"/>
    <x v="5"/>
    <x v="627"/>
    <x v="722"/>
    <x v="9"/>
    <x v="3"/>
  </r>
  <r>
    <n v="777"/>
    <x v="361"/>
    <x v="290"/>
    <d v="2015-07-06T00:00:00"/>
    <s v="Standard Class"/>
    <x v="297"/>
    <s v="Dan Lawera"/>
    <x v="0"/>
    <s v="United States"/>
    <s v="Cincinnati"/>
    <x v="24"/>
    <n v="45231"/>
    <x v="3"/>
    <x v="628"/>
    <x v="1"/>
    <x v="6"/>
    <x v="628"/>
    <x v="723"/>
    <x v="1"/>
    <x v="2"/>
  </r>
  <r>
    <n v="778"/>
    <x v="362"/>
    <x v="291"/>
    <d v="2016-08-23T00:00:00"/>
    <s v="First Class"/>
    <x v="125"/>
    <s v="Nick Zandusky"/>
    <x v="2"/>
    <s v="United States"/>
    <s v="San Francisco"/>
    <x v="1"/>
    <n v="94110"/>
    <x v="1"/>
    <x v="629"/>
    <x v="0"/>
    <x v="1"/>
    <x v="629"/>
    <x v="724"/>
    <x v="6"/>
    <x v="1"/>
  </r>
  <r>
    <n v="779"/>
    <x v="362"/>
    <x v="291"/>
    <d v="2016-08-23T00:00:00"/>
    <s v="First Class"/>
    <x v="125"/>
    <s v="Nick Zandusky"/>
    <x v="2"/>
    <s v="United States"/>
    <s v="San Francisco"/>
    <x v="1"/>
    <n v="94110"/>
    <x v="1"/>
    <x v="368"/>
    <x v="1"/>
    <x v="10"/>
    <x v="369"/>
    <x v="725"/>
    <x v="6"/>
    <x v="1"/>
  </r>
  <r>
    <n v="780"/>
    <x v="362"/>
    <x v="291"/>
    <d v="2016-08-23T00:00:00"/>
    <s v="First Class"/>
    <x v="125"/>
    <s v="Nick Zandusky"/>
    <x v="2"/>
    <s v="United States"/>
    <s v="San Francisco"/>
    <x v="1"/>
    <n v="94110"/>
    <x v="1"/>
    <x v="358"/>
    <x v="1"/>
    <x v="10"/>
    <x v="358"/>
    <x v="100"/>
    <x v="6"/>
    <x v="1"/>
  </r>
  <r>
    <n v="781"/>
    <x v="362"/>
    <x v="291"/>
    <d v="2016-08-23T00:00:00"/>
    <s v="First Class"/>
    <x v="125"/>
    <s v="Nick Zandusky"/>
    <x v="2"/>
    <s v="United States"/>
    <s v="San Francisco"/>
    <x v="1"/>
    <n v="94110"/>
    <x v="1"/>
    <x v="630"/>
    <x v="1"/>
    <x v="10"/>
    <x v="630"/>
    <x v="726"/>
    <x v="6"/>
    <x v="1"/>
  </r>
  <r>
    <n v="782"/>
    <x v="363"/>
    <x v="292"/>
    <d v="2016-10-06T00:00:00"/>
    <s v="Second Class"/>
    <x v="298"/>
    <s v="Bryan Mills"/>
    <x v="0"/>
    <s v="United States"/>
    <s v="Columbus"/>
    <x v="24"/>
    <n v="43229"/>
    <x v="3"/>
    <x v="410"/>
    <x v="1"/>
    <x v="8"/>
    <x v="410"/>
    <x v="727"/>
    <x v="2"/>
    <x v="1"/>
  </r>
  <r>
    <n v="783"/>
    <x v="363"/>
    <x v="292"/>
    <d v="2016-10-06T00:00:00"/>
    <s v="Second Class"/>
    <x v="298"/>
    <s v="Bryan Mills"/>
    <x v="0"/>
    <s v="United States"/>
    <s v="Columbus"/>
    <x v="24"/>
    <n v="43229"/>
    <x v="3"/>
    <x v="46"/>
    <x v="2"/>
    <x v="11"/>
    <x v="46"/>
    <x v="728"/>
    <x v="2"/>
    <x v="1"/>
  </r>
  <r>
    <n v="784"/>
    <x v="363"/>
    <x v="292"/>
    <d v="2016-10-06T00:00:00"/>
    <s v="Second Class"/>
    <x v="298"/>
    <s v="Bryan Mills"/>
    <x v="0"/>
    <s v="United States"/>
    <s v="Columbus"/>
    <x v="24"/>
    <n v="43229"/>
    <x v="3"/>
    <x v="631"/>
    <x v="0"/>
    <x v="0"/>
    <x v="631"/>
    <x v="729"/>
    <x v="2"/>
    <x v="1"/>
  </r>
  <r>
    <n v="785"/>
    <x v="363"/>
    <x v="292"/>
    <d v="2016-10-06T00:00:00"/>
    <s v="Second Class"/>
    <x v="298"/>
    <s v="Bryan Mills"/>
    <x v="0"/>
    <s v="United States"/>
    <s v="Columbus"/>
    <x v="24"/>
    <n v="43229"/>
    <x v="3"/>
    <x v="632"/>
    <x v="2"/>
    <x v="11"/>
    <x v="632"/>
    <x v="730"/>
    <x v="2"/>
    <x v="1"/>
  </r>
  <r>
    <n v="786"/>
    <x v="364"/>
    <x v="293"/>
    <d v="2016-05-28T00:00:00"/>
    <s v="Standard Class"/>
    <x v="105"/>
    <s v="Erin Ashbrook"/>
    <x v="1"/>
    <s v="United States"/>
    <s v="Columbia"/>
    <x v="20"/>
    <n v="29203"/>
    <x v="0"/>
    <x v="633"/>
    <x v="1"/>
    <x v="12"/>
    <x v="633"/>
    <x v="731"/>
    <x v="5"/>
    <x v="1"/>
  </r>
  <r>
    <n v="787"/>
    <x v="365"/>
    <x v="294"/>
    <d v="2018-03-21T00:00:00"/>
    <s v="Second Class"/>
    <x v="52"/>
    <s v="Clay Ludtke"/>
    <x v="0"/>
    <s v="United States"/>
    <s v="Lancaster"/>
    <x v="1"/>
    <n v="93534"/>
    <x v="1"/>
    <x v="634"/>
    <x v="1"/>
    <x v="8"/>
    <x v="634"/>
    <x v="732"/>
    <x v="10"/>
    <x v="3"/>
  </r>
  <r>
    <n v="788"/>
    <x v="366"/>
    <x v="295"/>
    <d v="2016-12-16T00:00:00"/>
    <s v="Standard Class"/>
    <x v="299"/>
    <s v="Liz Thompson"/>
    <x v="0"/>
    <s v="United States"/>
    <s v="Lancaster"/>
    <x v="1"/>
    <n v="93534"/>
    <x v="1"/>
    <x v="635"/>
    <x v="0"/>
    <x v="1"/>
    <x v="635"/>
    <x v="733"/>
    <x v="4"/>
    <x v="1"/>
  </r>
  <r>
    <n v="789"/>
    <x v="367"/>
    <x v="153"/>
    <d v="2016-06-30T00:00:00"/>
    <s v="Standard Class"/>
    <x v="193"/>
    <s v="Sue Ann Reed"/>
    <x v="0"/>
    <s v="United States"/>
    <s v="Richmond"/>
    <x v="17"/>
    <n v="23223"/>
    <x v="0"/>
    <x v="379"/>
    <x v="1"/>
    <x v="8"/>
    <x v="380"/>
    <x v="734"/>
    <x v="1"/>
    <x v="1"/>
  </r>
  <r>
    <n v="790"/>
    <x v="367"/>
    <x v="153"/>
    <d v="2016-06-30T00:00:00"/>
    <s v="Standard Class"/>
    <x v="193"/>
    <s v="Sue Ann Reed"/>
    <x v="0"/>
    <s v="United States"/>
    <s v="Richmond"/>
    <x v="17"/>
    <n v="23223"/>
    <x v="0"/>
    <x v="421"/>
    <x v="1"/>
    <x v="4"/>
    <x v="421"/>
    <x v="735"/>
    <x v="1"/>
    <x v="1"/>
  </r>
  <r>
    <n v="791"/>
    <x v="367"/>
    <x v="153"/>
    <d v="2016-06-30T00:00:00"/>
    <s v="Standard Class"/>
    <x v="193"/>
    <s v="Sue Ann Reed"/>
    <x v="0"/>
    <s v="United States"/>
    <s v="Richmond"/>
    <x v="17"/>
    <n v="23223"/>
    <x v="0"/>
    <x v="636"/>
    <x v="1"/>
    <x v="8"/>
    <x v="636"/>
    <x v="736"/>
    <x v="1"/>
    <x v="1"/>
  </r>
  <r>
    <n v="792"/>
    <x v="367"/>
    <x v="153"/>
    <d v="2016-06-30T00:00:00"/>
    <s v="Standard Class"/>
    <x v="193"/>
    <s v="Sue Ann Reed"/>
    <x v="0"/>
    <s v="United States"/>
    <s v="Richmond"/>
    <x v="17"/>
    <n v="23223"/>
    <x v="0"/>
    <x v="637"/>
    <x v="0"/>
    <x v="1"/>
    <x v="637"/>
    <x v="737"/>
    <x v="1"/>
    <x v="1"/>
  </r>
  <r>
    <n v="793"/>
    <x v="368"/>
    <x v="244"/>
    <d v="2017-05-20T00:00:00"/>
    <s v="Same Day"/>
    <x v="300"/>
    <s v="Joe Kamberova"/>
    <x v="0"/>
    <s v="United States"/>
    <s v="Asheville"/>
    <x v="3"/>
    <n v="28806"/>
    <x v="0"/>
    <x v="638"/>
    <x v="2"/>
    <x v="7"/>
    <x v="638"/>
    <x v="738"/>
    <x v="5"/>
    <x v="0"/>
  </r>
  <r>
    <n v="794"/>
    <x v="369"/>
    <x v="59"/>
    <d v="2015-09-26T00:00:00"/>
    <s v="Standard Class"/>
    <x v="301"/>
    <s v="Erica Smith"/>
    <x v="0"/>
    <s v="United States"/>
    <s v="San Francisco"/>
    <x v="1"/>
    <n v="94110"/>
    <x v="1"/>
    <x v="639"/>
    <x v="1"/>
    <x v="2"/>
    <x v="639"/>
    <x v="739"/>
    <x v="8"/>
    <x v="2"/>
  </r>
  <r>
    <n v="795"/>
    <x v="369"/>
    <x v="59"/>
    <d v="2015-09-26T00:00:00"/>
    <s v="Standard Class"/>
    <x v="301"/>
    <s v="Erica Smith"/>
    <x v="0"/>
    <s v="United States"/>
    <s v="San Francisco"/>
    <x v="1"/>
    <n v="94110"/>
    <x v="1"/>
    <x v="362"/>
    <x v="1"/>
    <x v="10"/>
    <x v="362"/>
    <x v="740"/>
    <x v="8"/>
    <x v="2"/>
  </r>
  <r>
    <n v="796"/>
    <x v="370"/>
    <x v="296"/>
    <d v="2018-09-26T00:00:00"/>
    <s v="Standard Class"/>
    <x v="302"/>
    <s v="Rick Hansen"/>
    <x v="0"/>
    <s v="United States"/>
    <s v="Rochester"/>
    <x v="11"/>
    <n v="55901"/>
    <x v="2"/>
    <x v="614"/>
    <x v="1"/>
    <x v="8"/>
    <x v="614"/>
    <x v="171"/>
    <x v="8"/>
    <x v="3"/>
  </r>
  <r>
    <n v="797"/>
    <x v="371"/>
    <x v="100"/>
    <d v="2016-12-26T00:00:00"/>
    <s v="First Class"/>
    <x v="106"/>
    <s v="David Bremer"/>
    <x v="1"/>
    <s v="United States"/>
    <s v="Rochester"/>
    <x v="15"/>
    <n v="14609"/>
    <x v="3"/>
    <x v="640"/>
    <x v="1"/>
    <x v="10"/>
    <x v="640"/>
    <x v="741"/>
    <x v="4"/>
    <x v="1"/>
  </r>
  <r>
    <n v="798"/>
    <x v="371"/>
    <x v="100"/>
    <d v="2016-12-26T00:00:00"/>
    <s v="First Class"/>
    <x v="106"/>
    <s v="David Bremer"/>
    <x v="1"/>
    <s v="United States"/>
    <s v="Rochester"/>
    <x v="15"/>
    <n v="14609"/>
    <x v="3"/>
    <x v="12"/>
    <x v="1"/>
    <x v="10"/>
    <x v="12"/>
    <x v="91"/>
    <x v="4"/>
    <x v="1"/>
  </r>
  <r>
    <n v="799"/>
    <x v="371"/>
    <x v="100"/>
    <d v="2016-12-26T00:00:00"/>
    <s v="First Class"/>
    <x v="106"/>
    <s v="David Bremer"/>
    <x v="1"/>
    <s v="United States"/>
    <s v="Rochester"/>
    <x v="15"/>
    <n v="14609"/>
    <x v="3"/>
    <x v="641"/>
    <x v="1"/>
    <x v="2"/>
    <x v="641"/>
    <x v="742"/>
    <x v="4"/>
    <x v="1"/>
  </r>
  <r>
    <n v="800"/>
    <x v="372"/>
    <x v="154"/>
    <d v="2016-12-03T00:00:00"/>
    <s v="Standard Class"/>
    <x v="303"/>
    <s v="Carlos Daly"/>
    <x v="0"/>
    <s v="United States"/>
    <s v="Lake Elsinore"/>
    <x v="1"/>
    <n v="92530"/>
    <x v="1"/>
    <x v="474"/>
    <x v="0"/>
    <x v="1"/>
    <x v="475"/>
    <x v="510"/>
    <x v="0"/>
    <x v="1"/>
  </r>
  <r>
    <n v="801"/>
    <x v="373"/>
    <x v="297"/>
    <d v="2018-02-23T00:00:00"/>
    <s v="First Class"/>
    <x v="304"/>
    <s v="Helen Wasserman"/>
    <x v="1"/>
    <s v="United States"/>
    <s v="San Diego"/>
    <x v="1"/>
    <n v="92105"/>
    <x v="1"/>
    <x v="642"/>
    <x v="0"/>
    <x v="5"/>
    <x v="642"/>
    <x v="743"/>
    <x v="11"/>
    <x v="3"/>
  </r>
  <r>
    <n v="802"/>
    <x v="373"/>
    <x v="297"/>
    <d v="2018-02-23T00:00:00"/>
    <s v="First Class"/>
    <x v="304"/>
    <s v="Helen Wasserman"/>
    <x v="1"/>
    <s v="United States"/>
    <s v="San Diego"/>
    <x v="1"/>
    <n v="92105"/>
    <x v="1"/>
    <x v="233"/>
    <x v="2"/>
    <x v="7"/>
    <x v="234"/>
    <x v="744"/>
    <x v="11"/>
    <x v="3"/>
  </r>
  <r>
    <n v="803"/>
    <x v="374"/>
    <x v="298"/>
    <d v="2017-08-23T00:00:00"/>
    <s v="Second Class"/>
    <x v="304"/>
    <s v="Helen Wasserman"/>
    <x v="1"/>
    <s v="United States"/>
    <s v="New York City"/>
    <x v="15"/>
    <n v="10024"/>
    <x v="3"/>
    <x v="643"/>
    <x v="1"/>
    <x v="9"/>
    <x v="643"/>
    <x v="745"/>
    <x v="6"/>
    <x v="0"/>
  </r>
  <r>
    <n v="804"/>
    <x v="375"/>
    <x v="299"/>
    <d v="2017-03-17T00:00:00"/>
    <s v="Standard Class"/>
    <x v="305"/>
    <s v="Mike Caudle"/>
    <x v="1"/>
    <s v="United States"/>
    <s v="Monroe"/>
    <x v="28"/>
    <n v="71203"/>
    <x v="0"/>
    <x v="644"/>
    <x v="1"/>
    <x v="10"/>
    <x v="644"/>
    <x v="91"/>
    <x v="10"/>
    <x v="0"/>
  </r>
  <r>
    <n v="805"/>
    <x v="376"/>
    <x v="300"/>
    <d v="2018-04-24T00:00:00"/>
    <s v="First Class"/>
    <x v="306"/>
    <s v="Gary McGarr"/>
    <x v="0"/>
    <s v="United States"/>
    <s v="San Francisco"/>
    <x v="1"/>
    <n v="94122"/>
    <x v="1"/>
    <x v="645"/>
    <x v="0"/>
    <x v="5"/>
    <x v="645"/>
    <x v="717"/>
    <x v="3"/>
    <x v="3"/>
  </r>
  <r>
    <n v="806"/>
    <x v="377"/>
    <x v="301"/>
    <d v="2015-11-07T00:00:00"/>
    <s v="Standard Class"/>
    <x v="154"/>
    <s v="Russell Applegate"/>
    <x v="0"/>
    <s v="United States"/>
    <s v="Denver"/>
    <x v="22"/>
    <n v="80219"/>
    <x v="1"/>
    <x v="646"/>
    <x v="1"/>
    <x v="6"/>
    <x v="646"/>
    <x v="746"/>
    <x v="0"/>
    <x v="2"/>
  </r>
  <r>
    <n v="807"/>
    <x v="377"/>
    <x v="301"/>
    <d v="2015-11-07T00:00:00"/>
    <s v="Standard Class"/>
    <x v="154"/>
    <s v="Russell Applegate"/>
    <x v="0"/>
    <s v="United States"/>
    <s v="Denver"/>
    <x v="22"/>
    <n v="80219"/>
    <x v="1"/>
    <x v="647"/>
    <x v="2"/>
    <x v="7"/>
    <x v="647"/>
    <x v="747"/>
    <x v="0"/>
    <x v="2"/>
  </r>
  <r>
    <n v="808"/>
    <x v="378"/>
    <x v="302"/>
    <d v="2016-02-05T00:00:00"/>
    <s v="First Class"/>
    <x v="211"/>
    <s v="Allen Armold"/>
    <x v="0"/>
    <s v="United States"/>
    <s v="Omaha"/>
    <x v="8"/>
    <n v="68104"/>
    <x v="2"/>
    <x v="378"/>
    <x v="0"/>
    <x v="5"/>
    <x v="379"/>
    <x v="158"/>
    <x v="11"/>
    <x v="1"/>
  </r>
  <r>
    <n v="809"/>
    <x v="378"/>
    <x v="302"/>
    <d v="2016-02-05T00:00:00"/>
    <s v="First Class"/>
    <x v="211"/>
    <s v="Allen Armold"/>
    <x v="0"/>
    <s v="United States"/>
    <s v="Omaha"/>
    <x v="8"/>
    <n v="68104"/>
    <x v="2"/>
    <x v="648"/>
    <x v="2"/>
    <x v="11"/>
    <x v="648"/>
    <x v="145"/>
    <x v="11"/>
    <x v="1"/>
  </r>
  <r>
    <n v="810"/>
    <x v="379"/>
    <x v="303"/>
    <d v="2015-10-15T00:00:00"/>
    <s v="First Class"/>
    <x v="233"/>
    <s v="Zuschuss Carroll"/>
    <x v="0"/>
    <s v="United States"/>
    <s v="Edmonds"/>
    <x v="4"/>
    <n v="98026"/>
    <x v="1"/>
    <x v="649"/>
    <x v="1"/>
    <x v="6"/>
    <x v="649"/>
    <x v="132"/>
    <x v="2"/>
    <x v="2"/>
  </r>
  <r>
    <n v="811"/>
    <x v="379"/>
    <x v="303"/>
    <d v="2015-10-15T00:00:00"/>
    <s v="First Class"/>
    <x v="233"/>
    <s v="Zuschuss Carroll"/>
    <x v="0"/>
    <s v="United States"/>
    <s v="Edmonds"/>
    <x v="4"/>
    <n v="98026"/>
    <x v="1"/>
    <x v="257"/>
    <x v="0"/>
    <x v="3"/>
    <x v="258"/>
    <x v="748"/>
    <x v="2"/>
    <x v="2"/>
  </r>
  <r>
    <n v="812"/>
    <x v="379"/>
    <x v="303"/>
    <d v="2015-10-15T00:00:00"/>
    <s v="First Class"/>
    <x v="233"/>
    <s v="Zuschuss Carroll"/>
    <x v="0"/>
    <s v="United States"/>
    <s v="Edmonds"/>
    <x v="4"/>
    <n v="98026"/>
    <x v="1"/>
    <x v="650"/>
    <x v="1"/>
    <x v="9"/>
    <x v="650"/>
    <x v="749"/>
    <x v="2"/>
    <x v="2"/>
  </r>
  <r>
    <n v="813"/>
    <x v="379"/>
    <x v="303"/>
    <d v="2015-10-15T00:00:00"/>
    <s v="First Class"/>
    <x v="233"/>
    <s v="Zuschuss Carroll"/>
    <x v="0"/>
    <s v="United States"/>
    <s v="Edmonds"/>
    <x v="4"/>
    <n v="98026"/>
    <x v="1"/>
    <x v="553"/>
    <x v="2"/>
    <x v="11"/>
    <x v="552"/>
    <x v="750"/>
    <x v="2"/>
    <x v="2"/>
  </r>
  <r>
    <n v="814"/>
    <x v="380"/>
    <x v="304"/>
    <d v="2018-05-14T00:00:00"/>
    <s v="Same Day"/>
    <x v="307"/>
    <s v="Pauline Johnson"/>
    <x v="0"/>
    <s v="United States"/>
    <s v="Santa Ana"/>
    <x v="1"/>
    <n v="92704"/>
    <x v="1"/>
    <x v="645"/>
    <x v="0"/>
    <x v="5"/>
    <x v="645"/>
    <x v="717"/>
    <x v="5"/>
    <x v="3"/>
  </r>
  <r>
    <n v="815"/>
    <x v="380"/>
    <x v="304"/>
    <d v="2018-05-14T00:00:00"/>
    <s v="Same Day"/>
    <x v="307"/>
    <s v="Pauline Johnson"/>
    <x v="0"/>
    <s v="United States"/>
    <s v="Santa Ana"/>
    <x v="1"/>
    <n v="92704"/>
    <x v="1"/>
    <x v="651"/>
    <x v="2"/>
    <x v="11"/>
    <x v="651"/>
    <x v="751"/>
    <x v="5"/>
    <x v="3"/>
  </r>
  <r>
    <n v="816"/>
    <x v="381"/>
    <x v="305"/>
    <d v="2016-03-23T00:00:00"/>
    <s v="First Class"/>
    <x v="308"/>
    <s v="Bart Watters"/>
    <x v="1"/>
    <s v="United States"/>
    <s v="Milwaukee"/>
    <x v="6"/>
    <n v="53209"/>
    <x v="2"/>
    <x v="180"/>
    <x v="1"/>
    <x v="10"/>
    <x v="181"/>
    <x v="187"/>
    <x v="10"/>
    <x v="1"/>
  </r>
  <r>
    <n v="817"/>
    <x v="382"/>
    <x v="306"/>
    <d v="2017-09-19T00:00:00"/>
    <s v="Standard Class"/>
    <x v="203"/>
    <s v="Dean Braden"/>
    <x v="0"/>
    <s v="United States"/>
    <s v="Philadelphia"/>
    <x v="9"/>
    <n v="19140"/>
    <x v="3"/>
    <x v="652"/>
    <x v="1"/>
    <x v="10"/>
    <x v="652"/>
    <x v="752"/>
    <x v="8"/>
    <x v="0"/>
  </r>
  <r>
    <n v="818"/>
    <x v="383"/>
    <x v="307"/>
    <d v="2015-07-02T00:00:00"/>
    <s v="Standard Class"/>
    <x v="222"/>
    <s v="Cynthia Arntzen"/>
    <x v="0"/>
    <s v="United States"/>
    <s v="Philadelphia"/>
    <x v="9"/>
    <n v="19140"/>
    <x v="3"/>
    <x v="88"/>
    <x v="1"/>
    <x v="10"/>
    <x v="88"/>
    <x v="753"/>
    <x v="1"/>
    <x v="2"/>
  </r>
  <r>
    <n v="819"/>
    <x v="383"/>
    <x v="307"/>
    <d v="2015-07-02T00:00:00"/>
    <s v="Standard Class"/>
    <x v="222"/>
    <s v="Cynthia Arntzen"/>
    <x v="0"/>
    <s v="United States"/>
    <s v="Philadelphia"/>
    <x v="9"/>
    <n v="19140"/>
    <x v="3"/>
    <x v="653"/>
    <x v="1"/>
    <x v="8"/>
    <x v="653"/>
    <x v="754"/>
    <x v="1"/>
    <x v="2"/>
  </r>
  <r>
    <n v="820"/>
    <x v="383"/>
    <x v="307"/>
    <d v="2015-07-02T00:00:00"/>
    <s v="Standard Class"/>
    <x v="222"/>
    <s v="Cynthia Arntzen"/>
    <x v="0"/>
    <s v="United States"/>
    <s v="Philadelphia"/>
    <x v="9"/>
    <n v="19140"/>
    <x v="3"/>
    <x v="654"/>
    <x v="0"/>
    <x v="1"/>
    <x v="654"/>
    <x v="755"/>
    <x v="1"/>
    <x v="2"/>
  </r>
  <r>
    <n v="821"/>
    <x v="383"/>
    <x v="307"/>
    <d v="2015-07-02T00:00:00"/>
    <s v="Standard Class"/>
    <x v="222"/>
    <s v="Cynthia Arntzen"/>
    <x v="0"/>
    <s v="United States"/>
    <s v="Philadelphia"/>
    <x v="9"/>
    <n v="19140"/>
    <x v="3"/>
    <x v="655"/>
    <x v="1"/>
    <x v="8"/>
    <x v="655"/>
    <x v="756"/>
    <x v="1"/>
    <x v="2"/>
  </r>
  <r>
    <n v="822"/>
    <x v="383"/>
    <x v="307"/>
    <d v="2015-07-02T00:00:00"/>
    <s v="Standard Class"/>
    <x v="222"/>
    <s v="Cynthia Arntzen"/>
    <x v="0"/>
    <s v="United States"/>
    <s v="Philadelphia"/>
    <x v="9"/>
    <n v="19140"/>
    <x v="3"/>
    <x v="656"/>
    <x v="1"/>
    <x v="10"/>
    <x v="656"/>
    <x v="757"/>
    <x v="1"/>
    <x v="2"/>
  </r>
  <r>
    <n v="823"/>
    <x v="384"/>
    <x v="308"/>
    <d v="2018-06-27T00:00:00"/>
    <s v="Standard Class"/>
    <x v="309"/>
    <s v="Toby Ritter"/>
    <x v="0"/>
    <s v="United States"/>
    <s v="Belleville"/>
    <x v="30"/>
    <n v="7109"/>
    <x v="3"/>
    <x v="657"/>
    <x v="2"/>
    <x v="11"/>
    <x v="657"/>
    <x v="758"/>
    <x v="1"/>
    <x v="3"/>
  </r>
  <r>
    <n v="824"/>
    <x v="384"/>
    <x v="308"/>
    <d v="2018-06-27T00:00:00"/>
    <s v="Standard Class"/>
    <x v="309"/>
    <s v="Toby Ritter"/>
    <x v="0"/>
    <s v="United States"/>
    <s v="Belleville"/>
    <x v="30"/>
    <n v="7109"/>
    <x v="3"/>
    <x v="607"/>
    <x v="1"/>
    <x v="2"/>
    <x v="607"/>
    <x v="759"/>
    <x v="1"/>
    <x v="3"/>
  </r>
  <r>
    <n v="825"/>
    <x v="385"/>
    <x v="309"/>
    <d v="2015-05-15T00:00:00"/>
    <s v="Standard Class"/>
    <x v="310"/>
    <s v="Patrick Gardner"/>
    <x v="0"/>
    <s v="United States"/>
    <s v="San Francisco"/>
    <x v="1"/>
    <n v="94110"/>
    <x v="1"/>
    <x v="658"/>
    <x v="2"/>
    <x v="11"/>
    <x v="658"/>
    <x v="760"/>
    <x v="5"/>
    <x v="2"/>
  </r>
  <r>
    <n v="826"/>
    <x v="385"/>
    <x v="309"/>
    <d v="2015-05-15T00:00:00"/>
    <s v="Standard Class"/>
    <x v="310"/>
    <s v="Patrick Gardner"/>
    <x v="0"/>
    <s v="United States"/>
    <s v="San Francisco"/>
    <x v="1"/>
    <n v="94110"/>
    <x v="1"/>
    <x v="201"/>
    <x v="2"/>
    <x v="11"/>
    <x v="202"/>
    <x v="761"/>
    <x v="5"/>
    <x v="2"/>
  </r>
  <r>
    <n v="827"/>
    <x v="386"/>
    <x v="170"/>
    <d v="2018-08-28T00:00:00"/>
    <s v="Standard Class"/>
    <x v="218"/>
    <s v="Greg Tran"/>
    <x v="0"/>
    <s v="United States"/>
    <s v="Lakeville"/>
    <x v="11"/>
    <n v="55044"/>
    <x v="2"/>
    <x v="659"/>
    <x v="1"/>
    <x v="13"/>
    <x v="659"/>
    <x v="762"/>
    <x v="6"/>
    <x v="3"/>
  </r>
  <r>
    <n v="828"/>
    <x v="386"/>
    <x v="170"/>
    <d v="2018-08-28T00:00:00"/>
    <s v="Standard Class"/>
    <x v="218"/>
    <s v="Greg Tran"/>
    <x v="0"/>
    <s v="United States"/>
    <s v="Lakeville"/>
    <x v="11"/>
    <n v="55044"/>
    <x v="2"/>
    <x v="660"/>
    <x v="1"/>
    <x v="14"/>
    <x v="660"/>
    <x v="763"/>
    <x v="6"/>
    <x v="3"/>
  </r>
  <r>
    <n v="829"/>
    <x v="386"/>
    <x v="170"/>
    <d v="2018-08-28T00:00:00"/>
    <s v="Standard Class"/>
    <x v="218"/>
    <s v="Greg Tran"/>
    <x v="0"/>
    <s v="United States"/>
    <s v="Lakeville"/>
    <x v="11"/>
    <n v="55044"/>
    <x v="2"/>
    <x v="661"/>
    <x v="1"/>
    <x v="12"/>
    <x v="661"/>
    <x v="764"/>
    <x v="6"/>
    <x v="3"/>
  </r>
  <r>
    <n v="830"/>
    <x v="387"/>
    <x v="114"/>
    <d v="2018-06-21T00:00:00"/>
    <s v="Second Class"/>
    <x v="32"/>
    <s v="Joel Eaton"/>
    <x v="0"/>
    <s v="United States"/>
    <s v="Florence"/>
    <x v="0"/>
    <n v="41042"/>
    <x v="0"/>
    <x v="662"/>
    <x v="0"/>
    <x v="1"/>
    <x v="662"/>
    <x v="85"/>
    <x v="1"/>
    <x v="3"/>
  </r>
  <r>
    <n v="831"/>
    <x v="387"/>
    <x v="114"/>
    <d v="2018-06-21T00:00:00"/>
    <s v="Second Class"/>
    <x v="32"/>
    <s v="Joel Eaton"/>
    <x v="0"/>
    <s v="United States"/>
    <s v="Florence"/>
    <x v="0"/>
    <n v="41042"/>
    <x v="0"/>
    <x v="663"/>
    <x v="1"/>
    <x v="9"/>
    <x v="663"/>
    <x v="765"/>
    <x v="1"/>
    <x v="3"/>
  </r>
  <r>
    <n v="832"/>
    <x v="387"/>
    <x v="114"/>
    <d v="2018-06-21T00:00:00"/>
    <s v="Second Class"/>
    <x v="32"/>
    <s v="Joel Eaton"/>
    <x v="0"/>
    <s v="United States"/>
    <s v="Florence"/>
    <x v="0"/>
    <n v="41042"/>
    <x v="0"/>
    <x v="664"/>
    <x v="2"/>
    <x v="7"/>
    <x v="664"/>
    <x v="766"/>
    <x v="1"/>
    <x v="3"/>
  </r>
  <r>
    <n v="833"/>
    <x v="387"/>
    <x v="114"/>
    <d v="2018-06-21T00:00:00"/>
    <s v="Second Class"/>
    <x v="32"/>
    <s v="Joel Eaton"/>
    <x v="0"/>
    <s v="United States"/>
    <s v="Florence"/>
    <x v="0"/>
    <n v="41042"/>
    <x v="0"/>
    <x v="665"/>
    <x v="2"/>
    <x v="7"/>
    <x v="665"/>
    <x v="767"/>
    <x v="1"/>
    <x v="3"/>
  </r>
  <r>
    <n v="834"/>
    <x v="388"/>
    <x v="310"/>
    <d v="2017-07-27T00:00:00"/>
    <s v="Standard Class"/>
    <x v="80"/>
    <s v="Jennifer Braxton"/>
    <x v="1"/>
    <s v="United States"/>
    <s v="Tampa"/>
    <x v="2"/>
    <n v="33614"/>
    <x v="0"/>
    <x v="666"/>
    <x v="1"/>
    <x v="6"/>
    <x v="666"/>
    <x v="768"/>
    <x v="7"/>
    <x v="0"/>
  </r>
  <r>
    <n v="835"/>
    <x v="388"/>
    <x v="310"/>
    <d v="2017-07-27T00:00:00"/>
    <s v="Standard Class"/>
    <x v="80"/>
    <s v="Jennifer Braxton"/>
    <x v="1"/>
    <s v="United States"/>
    <s v="Tampa"/>
    <x v="2"/>
    <n v="33614"/>
    <x v="0"/>
    <x v="667"/>
    <x v="1"/>
    <x v="9"/>
    <x v="667"/>
    <x v="769"/>
    <x v="7"/>
    <x v="0"/>
  </r>
  <r>
    <n v="836"/>
    <x v="388"/>
    <x v="310"/>
    <d v="2017-07-27T00:00:00"/>
    <s v="Standard Class"/>
    <x v="80"/>
    <s v="Jennifer Braxton"/>
    <x v="1"/>
    <s v="United States"/>
    <s v="Tampa"/>
    <x v="2"/>
    <n v="33614"/>
    <x v="0"/>
    <x v="668"/>
    <x v="2"/>
    <x v="15"/>
    <x v="668"/>
    <x v="770"/>
    <x v="7"/>
    <x v="0"/>
  </r>
  <r>
    <n v="837"/>
    <x v="389"/>
    <x v="78"/>
    <d v="2015-09-13T00:00:00"/>
    <s v="Second Class"/>
    <x v="293"/>
    <s v="Lisa Hazard"/>
    <x v="0"/>
    <s v="United States"/>
    <s v="Tyler"/>
    <x v="5"/>
    <n v="75701"/>
    <x v="2"/>
    <x v="669"/>
    <x v="1"/>
    <x v="8"/>
    <x v="669"/>
    <x v="771"/>
    <x v="8"/>
    <x v="2"/>
  </r>
  <r>
    <n v="838"/>
    <x v="390"/>
    <x v="259"/>
    <d v="2018-11-11T00:00:00"/>
    <s v="Standard Class"/>
    <x v="311"/>
    <s v="James Lanier"/>
    <x v="2"/>
    <s v="United States"/>
    <s v="Columbia"/>
    <x v="18"/>
    <n v="38401"/>
    <x v="0"/>
    <x v="670"/>
    <x v="1"/>
    <x v="10"/>
    <x v="670"/>
    <x v="772"/>
    <x v="0"/>
    <x v="3"/>
  </r>
  <r>
    <n v="839"/>
    <x v="391"/>
    <x v="311"/>
    <d v="2017-03-12T00:00:00"/>
    <s v="Standard Class"/>
    <x v="182"/>
    <s v="Ed Braxton"/>
    <x v="1"/>
    <s v="United States"/>
    <s v="Fort Worth"/>
    <x v="5"/>
    <n v="76106"/>
    <x v="2"/>
    <x v="402"/>
    <x v="2"/>
    <x v="7"/>
    <x v="403"/>
    <x v="773"/>
    <x v="10"/>
    <x v="0"/>
  </r>
  <r>
    <n v="840"/>
    <x v="392"/>
    <x v="312"/>
    <d v="2016-11-25T00:00:00"/>
    <s v="Standard Class"/>
    <x v="312"/>
    <s v="Brian Moss"/>
    <x v="1"/>
    <s v="United States"/>
    <s v="New York City"/>
    <x v="15"/>
    <n v="10035"/>
    <x v="3"/>
    <x v="626"/>
    <x v="1"/>
    <x v="6"/>
    <x v="626"/>
    <x v="774"/>
    <x v="0"/>
    <x v="1"/>
  </r>
  <r>
    <n v="841"/>
    <x v="392"/>
    <x v="312"/>
    <d v="2016-11-25T00:00:00"/>
    <s v="Standard Class"/>
    <x v="312"/>
    <s v="Brian Moss"/>
    <x v="1"/>
    <s v="United States"/>
    <s v="New York City"/>
    <x v="15"/>
    <n v="10035"/>
    <x v="3"/>
    <x v="671"/>
    <x v="1"/>
    <x v="6"/>
    <x v="671"/>
    <x v="132"/>
    <x v="0"/>
    <x v="1"/>
  </r>
  <r>
    <n v="842"/>
    <x v="392"/>
    <x v="312"/>
    <d v="2016-11-25T00:00:00"/>
    <s v="Standard Class"/>
    <x v="312"/>
    <s v="Brian Moss"/>
    <x v="1"/>
    <s v="United States"/>
    <s v="New York City"/>
    <x v="15"/>
    <n v="10035"/>
    <x v="3"/>
    <x v="672"/>
    <x v="0"/>
    <x v="0"/>
    <x v="672"/>
    <x v="775"/>
    <x v="0"/>
    <x v="1"/>
  </r>
  <r>
    <n v="843"/>
    <x v="393"/>
    <x v="77"/>
    <d v="2017-11-09T00:00:00"/>
    <s v="First Class"/>
    <x v="313"/>
    <s v="Eudokia Martin"/>
    <x v="1"/>
    <s v="United States"/>
    <s v="Los Angeles"/>
    <x v="1"/>
    <n v="90036"/>
    <x v="1"/>
    <x v="673"/>
    <x v="1"/>
    <x v="8"/>
    <x v="673"/>
    <x v="776"/>
    <x v="0"/>
    <x v="0"/>
  </r>
  <r>
    <n v="844"/>
    <x v="393"/>
    <x v="77"/>
    <d v="2017-11-09T00:00:00"/>
    <s v="First Class"/>
    <x v="313"/>
    <s v="Eudokia Martin"/>
    <x v="1"/>
    <s v="United States"/>
    <s v="Los Angeles"/>
    <x v="1"/>
    <n v="90036"/>
    <x v="1"/>
    <x v="674"/>
    <x v="1"/>
    <x v="8"/>
    <x v="674"/>
    <x v="777"/>
    <x v="0"/>
    <x v="0"/>
  </r>
  <r>
    <n v="845"/>
    <x v="393"/>
    <x v="77"/>
    <d v="2017-11-09T00:00:00"/>
    <s v="First Class"/>
    <x v="313"/>
    <s v="Eudokia Martin"/>
    <x v="1"/>
    <s v="United States"/>
    <s v="Los Angeles"/>
    <x v="1"/>
    <n v="90036"/>
    <x v="1"/>
    <x v="675"/>
    <x v="1"/>
    <x v="14"/>
    <x v="675"/>
    <x v="710"/>
    <x v="0"/>
    <x v="0"/>
  </r>
  <r>
    <n v="846"/>
    <x v="393"/>
    <x v="77"/>
    <d v="2017-11-09T00:00:00"/>
    <s v="First Class"/>
    <x v="313"/>
    <s v="Eudokia Martin"/>
    <x v="1"/>
    <s v="United States"/>
    <s v="Los Angeles"/>
    <x v="1"/>
    <n v="90036"/>
    <x v="1"/>
    <x v="676"/>
    <x v="1"/>
    <x v="2"/>
    <x v="676"/>
    <x v="2"/>
    <x v="0"/>
    <x v="0"/>
  </r>
  <r>
    <n v="847"/>
    <x v="394"/>
    <x v="313"/>
    <d v="2016-10-17T00:00:00"/>
    <s v="Standard Class"/>
    <x v="314"/>
    <s v="Art Foster"/>
    <x v="0"/>
    <s v="United States"/>
    <s v="Louisville"/>
    <x v="0"/>
    <n v="40214"/>
    <x v="0"/>
    <x v="179"/>
    <x v="2"/>
    <x v="7"/>
    <x v="180"/>
    <x v="778"/>
    <x v="2"/>
    <x v="1"/>
  </r>
  <r>
    <n v="848"/>
    <x v="394"/>
    <x v="313"/>
    <d v="2016-10-17T00:00:00"/>
    <s v="Standard Class"/>
    <x v="314"/>
    <s v="Art Foster"/>
    <x v="0"/>
    <s v="United States"/>
    <s v="Louisville"/>
    <x v="0"/>
    <n v="40214"/>
    <x v="0"/>
    <x v="268"/>
    <x v="0"/>
    <x v="1"/>
    <x v="268"/>
    <x v="779"/>
    <x v="2"/>
    <x v="1"/>
  </r>
  <r>
    <n v="849"/>
    <x v="395"/>
    <x v="314"/>
    <d v="2018-01-06T00:00:00"/>
    <s v="Standard Class"/>
    <x v="315"/>
    <s v="Guy Armstrong"/>
    <x v="0"/>
    <s v="United States"/>
    <s v="Lorain"/>
    <x v="24"/>
    <n v="44052"/>
    <x v="3"/>
    <x v="677"/>
    <x v="0"/>
    <x v="5"/>
    <x v="677"/>
    <x v="780"/>
    <x v="9"/>
    <x v="3"/>
  </r>
  <r>
    <n v="850"/>
    <x v="396"/>
    <x v="315"/>
    <d v="2015-02-12T00:00:00"/>
    <s v="Standard Class"/>
    <x v="316"/>
    <s v="Cyma Kinney"/>
    <x v="1"/>
    <s v="United States"/>
    <s v="Linden"/>
    <x v="30"/>
    <n v="7036"/>
    <x v="3"/>
    <x v="678"/>
    <x v="2"/>
    <x v="11"/>
    <x v="678"/>
    <x v="781"/>
    <x v="11"/>
    <x v="2"/>
  </r>
  <r>
    <n v="851"/>
    <x v="397"/>
    <x v="23"/>
    <d v="2017-06-25T00:00:00"/>
    <s v="Second Class"/>
    <x v="317"/>
    <s v="Dave Poirier"/>
    <x v="1"/>
    <s v="United States"/>
    <s v="Salinas"/>
    <x v="1"/>
    <n v="93905"/>
    <x v="1"/>
    <x v="679"/>
    <x v="1"/>
    <x v="6"/>
    <x v="679"/>
    <x v="782"/>
    <x v="1"/>
    <x v="0"/>
  </r>
  <r>
    <n v="852"/>
    <x v="397"/>
    <x v="23"/>
    <d v="2017-06-25T00:00:00"/>
    <s v="Second Class"/>
    <x v="317"/>
    <s v="Dave Poirier"/>
    <x v="1"/>
    <s v="United States"/>
    <s v="Salinas"/>
    <x v="1"/>
    <n v="93905"/>
    <x v="1"/>
    <x v="680"/>
    <x v="1"/>
    <x v="10"/>
    <x v="680"/>
    <x v="783"/>
    <x v="1"/>
    <x v="0"/>
  </r>
  <r>
    <n v="853"/>
    <x v="398"/>
    <x v="316"/>
    <d v="2017-06-04T00:00:00"/>
    <s v="Standard Class"/>
    <x v="104"/>
    <s v="Valerie Dominguez"/>
    <x v="0"/>
    <s v="United States"/>
    <s v="Jackson"/>
    <x v="35"/>
    <n v="39212"/>
    <x v="0"/>
    <x v="290"/>
    <x v="1"/>
    <x v="6"/>
    <x v="290"/>
    <x v="784"/>
    <x v="5"/>
    <x v="0"/>
  </r>
  <r>
    <n v="854"/>
    <x v="399"/>
    <x v="317"/>
    <d v="2017-02-24T00:00:00"/>
    <s v="Standard Class"/>
    <x v="218"/>
    <s v="Greg Tran"/>
    <x v="0"/>
    <s v="United States"/>
    <s v="New York City"/>
    <x v="15"/>
    <n v="10035"/>
    <x v="3"/>
    <x v="642"/>
    <x v="0"/>
    <x v="5"/>
    <x v="642"/>
    <x v="785"/>
    <x v="11"/>
    <x v="0"/>
  </r>
  <r>
    <n v="855"/>
    <x v="399"/>
    <x v="317"/>
    <d v="2017-02-24T00:00:00"/>
    <s v="Standard Class"/>
    <x v="218"/>
    <s v="Greg Tran"/>
    <x v="0"/>
    <s v="United States"/>
    <s v="New York City"/>
    <x v="15"/>
    <n v="10035"/>
    <x v="3"/>
    <x v="459"/>
    <x v="1"/>
    <x v="4"/>
    <x v="460"/>
    <x v="420"/>
    <x v="11"/>
    <x v="0"/>
  </r>
  <r>
    <n v="856"/>
    <x v="400"/>
    <x v="93"/>
    <d v="2015-08-08T00:00:00"/>
    <s v="Standard Class"/>
    <x v="318"/>
    <s v="Berenike Kampe"/>
    <x v="0"/>
    <s v="United States"/>
    <s v="New York City"/>
    <x v="15"/>
    <n v="10035"/>
    <x v="3"/>
    <x v="681"/>
    <x v="1"/>
    <x v="10"/>
    <x v="681"/>
    <x v="786"/>
    <x v="6"/>
    <x v="2"/>
  </r>
  <r>
    <n v="857"/>
    <x v="400"/>
    <x v="93"/>
    <d v="2015-08-08T00:00:00"/>
    <s v="Standard Class"/>
    <x v="318"/>
    <s v="Berenike Kampe"/>
    <x v="0"/>
    <s v="United States"/>
    <s v="New York City"/>
    <x v="15"/>
    <n v="10035"/>
    <x v="3"/>
    <x v="682"/>
    <x v="1"/>
    <x v="14"/>
    <x v="682"/>
    <x v="787"/>
    <x v="6"/>
    <x v="2"/>
  </r>
  <r>
    <n v="858"/>
    <x v="400"/>
    <x v="93"/>
    <d v="2015-08-08T00:00:00"/>
    <s v="Standard Class"/>
    <x v="318"/>
    <s v="Berenike Kampe"/>
    <x v="0"/>
    <s v="United States"/>
    <s v="New York City"/>
    <x v="15"/>
    <n v="10035"/>
    <x v="3"/>
    <x v="683"/>
    <x v="1"/>
    <x v="4"/>
    <x v="683"/>
    <x v="788"/>
    <x v="6"/>
    <x v="2"/>
  </r>
  <r>
    <n v="859"/>
    <x v="401"/>
    <x v="318"/>
    <d v="2018-04-15T00:00:00"/>
    <s v="Standard Class"/>
    <x v="319"/>
    <s v="Sanjit Jacobs"/>
    <x v="2"/>
    <s v="United States"/>
    <s v="New Brunswick"/>
    <x v="30"/>
    <n v="8901"/>
    <x v="3"/>
    <x v="229"/>
    <x v="1"/>
    <x v="10"/>
    <x v="230"/>
    <x v="244"/>
    <x v="3"/>
    <x v="3"/>
  </r>
  <r>
    <n v="860"/>
    <x v="401"/>
    <x v="318"/>
    <d v="2018-04-15T00:00:00"/>
    <s v="Standard Class"/>
    <x v="319"/>
    <s v="Sanjit Jacobs"/>
    <x v="2"/>
    <s v="United States"/>
    <s v="New Brunswick"/>
    <x v="30"/>
    <n v="8901"/>
    <x v="3"/>
    <x v="294"/>
    <x v="1"/>
    <x v="13"/>
    <x v="294"/>
    <x v="181"/>
    <x v="3"/>
    <x v="3"/>
  </r>
  <r>
    <n v="861"/>
    <x v="402"/>
    <x v="3"/>
    <d v="2015-06-16T00:00:00"/>
    <s v="Standard Class"/>
    <x v="320"/>
    <s v="Chuck Magee"/>
    <x v="0"/>
    <s v="United States"/>
    <s v="San Francisco"/>
    <x v="1"/>
    <n v="94122"/>
    <x v="1"/>
    <x v="327"/>
    <x v="1"/>
    <x v="14"/>
    <x v="327"/>
    <x v="348"/>
    <x v="1"/>
    <x v="2"/>
  </r>
  <r>
    <n v="862"/>
    <x v="402"/>
    <x v="3"/>
    <d v="2015-06-16T00:00:00"/>
    <s v="Standard Class"/>
    <x v="320"/>
    <s v="Chuck Magee"/>
    <x v="0"/>
    <s v="United States"/>
    <s v="San Francisco"/>
    <x v="1"/>
    <n v="94122"/>
    <x v="1"/>
    <x v="684"/>
    <x v="1"/>
    <x v="6"/>
    <x v="684"/>
    <x v="789"/>
    <x v="1"/>
    <x v="2"/>
  </r>
  <r>
    <n v="863"/>
    <x v="403"/>
    <x v="319"/>
    <d v="2017-01-07T00:00:00"/>
    <s v="Second Class"/>
    <x v="295"/>
    <s v="Anthony Johnson"/>
    <x v="1"/>
    <s v="United States"/>
    <s v="Jacksonville"/>
    <x v="2"/>
    <n v="32216"/>
    <x v="0"/>
    <x v="685"/>
    <x v="2"/>
    <x v="11"/>
    <x v="685"/>
    <x v="790"/>
    <x v="9"/>
    <x v="0"/>
  </r>
  <r>
    <n v="864"/>
    <x v="403"/>
    <x v="319"/>
    <d v="2017-01-07T00:00:00"/>
    <s v="Second Class"/>
    <x v="295"/>
    <s v="Anthony Johnson"/>
    <x v="1"/>
    <s v="United States"/>
    <s v="Jacksonville"/>
    <x v="2"/>
    <n v="32216"/>
    <x v="0"/>
    <x v="686"/>
    <x v="1"/>
    <x v="6"/>
    <x v="686"/>
    <x v="791"/>
    <x v="9"/>
    <x v="0"/>
  </r>
  <r>
    <n v="865"/>
    <x v="403"/>
    <x v="319"/>
    <d v="2017-01-07T00:00:00"/>
    <s v="Second Class"/>
    <x v="295"/>
    <s v="Anthony Johnson"/>
    <x v="1"/>
    <s v="United States"/>
    <s v="Jacksonville"/>
    <x v="2"/>
    <n v="32216"/>
    <x v="0"/>
    <x v="687"/>
    <x v="2"/>
    <x v="7"/>
    <x v="687"/>
    <x v="792"/>
    <x v="9"/>
    <x v="0"/>
  </r>
  <r>
    <n v="866"/>
    <x v="404"/>
    <x v="320"/>
    <d v="2015-01-15T00:00:00"/>
    <s v="Standard Class"/>
    <x v="321"/>
    <s v="Anthony Jacobs"/>
    <x v="1"/>
    <s v="United States"/>
    <s v="Springfield"/>
    <x v="17"/>
    <n v="22153"/>
    <x v="0"/>
    <x v="688"/>
    <x v="1"/>
    <x v="2"/>
    <x v="688"/>
    <x v="793"/>
    <x v="9"/>
    <x v="2"/>
  </r>
  <r>
    <n v="867"/>
    <x v="404"/>
    <x v="320"/>
    <d v="2015-01-15T00:00:00"/>
    <s v="Standard Class"/>
    <x v="321"/>
    <s v="Anthony Jacobs"/>
    <x v="1"/>
    <s v="United States"/>
    <s v="Springfield"/>
    <x v="17"/>
    <n v="22153"/>
    <x v="0"/>
    <x v="689"/>
    <x v="0"/>
    <x v="5"/>
    <x v="689"/>
    <x v="794"/>
    <x v="9"/>
    <x v="2"/>
  </r>
  <r>
    <n v="868"/>
    <x v="405"/>
    <x v="321"/>
    <d v="2017-10-02T00:00:00"/>
    <s v="First Class"/>
    <x v="322"/>
    <s v="Linda Southworth"/>
    <x v="1"/>
    <s v="United States"/>
    <s v="Philadelphia"/>
    <x v="9"/>
    <n v="19140"/>
    <x v="3"/>
    <x v="690"/>
    <x v="1"/>
    <x v="2"/>
    <x v="690"/>
    <x v="795"/>
    <x v="8"/>
    <x v="0"/>
  </r>
  <r>
    <n v="869"/>
    <x v="406"/>
    <x v="322"/>
    <d v="2015-04-10T00:00:00"/>
    <s v="Standard Class"/>
    <x v="323"/>
    <s v="Guy Phonely"/>
    <x v="1"/>
    <s v="United States"/>
    <s v="Lancaster"/>
    <x v="9"/>
    <n v="17602"/>
    <x v="3"/>
    <x v="691"/>
    <x v="1"/>
    <x v="8"/>
    <x v="691"/>
    <x v="796"/>
    <x v="3"/>
    <x v="2"/>
  </r>
  <r>
    <n v="870"/>
    <x v="407"/>
    <x v="323"/>
    <d v="2017-09-05T00:00:00"/>
    <s v="First Class"/>
    <x v="324"/>
    <s v="Paul Knutson"/>
    <x v="2"/>
    <s v="United States"/>
    <s v="Philadelphia"/>
    <x v="9"/>
    <n v="19143"/>
    <x v="3"/>
    <x v="692"/>
    <x v="1"/>
    <x v="8"/>
    <x v="692"/>
    <x v="797"/>
    <x v="8"/>
    <x v="0"/>
  </r>
  <r>
    <n v="871"/>
    <x v="407"/>
    <x v="323"/>
    <d v="2017-09-05T00:00:00"/>
    <s v="First Class"/>
    <x v="324"/>
    <s v="Paul Knutson"/>
    <x v="2"/>
    <s v="United States"/>
    <s v="Philadelphia"/>
    <x v="9"/>
    <n v="19143"/>
    <x v="3"/>
    <x v="495"/>
    <x v="2"/>
    <x v="7"/>
    <x v="495"/>
    <x v="798"/>
    <x v="8"/>
    <x v="0"/>
  </r>
  <r>
    <n v="872"/>
    <x v="408"/>
    <x v="324"/>
    <d v="2016-10-20T00:00:00"/>
    <s v="First Class"/>
    <x v="14"/>
    <s v="Tracy Blumstein"/>
    <x v="0"/>
    <s v="United States"/>
    <s v="Concord"/>
    <x v="38"/>
    <n v="3301"/>
    <x v="3"/>
    <x v="693"/>
    <x v="1"/>
    <x v="10"/>
    <x v="693"/>
    <x v="799"/>
    <x v="2"/>
    <x v="1"/>
  </r>
  <r>
    <n v="873"/>
    <x v="409"/>
    <x v="325"/>
    <d v="2015-12-15T00:00:00"/>
    <s v="Standard Class"/>
    <x v="325"/>
    <s v="Sally Matthias"/>
    <x v="0"/>
    <s v="United States"/>
    <s v="New York City"/>
    <x v="15"/>
    <n v="10009"/>
    <x v="3"/>
    <x v="252"/>
    <x v="1"/>
    <x v="10"/>
    <x v="253"/>
    <x v="710"/>
    <x v="4"/>
    <x v="2"/>
  </r>
  <r>
    <n v="874"/>
    <x v="409"/>
    <x v="325"/>
    <d v="2015-12-15T00:00:00"/>
    <s v="Standard Class"/>
    <x v="325"/>
    <s v="Sally Matthias"/>
    <x v="0"/>
    <s v="United States"/>
    <s v="New York City"/>
    <x v="15"/>
    <n v="10009"/>
    <x v="3"/>
    <x v="412"/>
    <x v="1"/>
    <x v="8"/>
    <x v="412"/>
    <x v="800"/>
    <x v="4"/>
    <x v="2"/>
  </r>
  <r>
    <n v="875"/>
    <x v="410"/>
    <x v="326"/>
    <d v="2018-08-29T00:00:00"/>
    <s v="Standard Class"/>
    <x v="315"/>
    <s v="Guy Armstrong"/>
    <x v="0"/>
    <s v="United States"/>
    <s v="Charlotte"/>
    <x v="3"/>
    <n v="28205"/>
    <x v="0"/>
    <x v="694"/>
    <x v="1"/>
    <x v="10"/>
    <x v="694"/>
    <x v="801"/>
    <x v="6"/>
    <x v="3"/>
  </r>
  <r>
    <n v="876"/>
    <x v="411"/>
    <x v="327"/>
    <d v="2017-01-21T00:00:00"/>
    <s v="Standard Class"/>
    <x v="254"/>
    <s v="Chuck Clark"/>
    <x v="2"/>
    <s v="United States"/>
    <s v="Concord"/>
    <x v="38"/>
    <n v="3301"/>
    <x v="3"/>
    <x v="216"/>
    <x v="0"/>
    <x v="5"/>
    <x v="217"/>
    <x v="802"/>
    <x v="9"/>
    <x v="0"/>
  </r>
  <r>
    <n v="877"/>
    <x v="411"/>
    <x v="327"/>
    <d v="2017-01-21T00:00:00"/>
    <s v="Standard Class"/>
    <x v="254"/>
    <s v="Chuck Clark"/>
    <x v="2"/>
    <s v="United States"/>
    <s v="Concord"/>
    <x v="38"/>
    <n v="3301"/>
    <x v="3"/>
    <x v="246"/>
    <x v="2"/>
    <x v="11"/>
    <x v="247"/>
    <x v="803"/>
    <x v="9"/>
    <x v="0"/>
  </r>
  <r>
    <n v="878"/>
    <x v="411"/>
    <x v="327"/>
    <d v="2017-01-21T00:00:00"/>
    <s v="Standard Class"/>
    <x v="254"/>
    <s v="Chuck Clark"/>
    <x v="2"/>
    <s v="United States"/>
    <s v="Concord"/>
    <x v="38"/>
    <n v="3301"/>
    <x v="3"/>
    <x v="695"/>
    <x v="2"/>
    <x v="11"/>
    <x v="695"/>
    <x v="804"/>
    <x v="9"/>
    <x v="0"/>
  </r>
  <r>
    <n v="879"/>
    <x v="412"/>
    <x v="328"/>
    <d v="2015-09-21T00:00:00"/>
    <s v="Standard Class"/>
    <x v="326"/>
    <s v="Anthony Garverick"/>
    <x v="2"/>
    <s v="United States"/>
    <s v="Philadelphia"/>
    <x v="9"/>
    <n v="19120"/>
    <x v="3"/>
    <x v="696"/>
    <x v="1"/>
    <x v="8"/>
    <x v="696"/>
    <x v="805"/>
    <x v="8"/>
    <x v="2"/>
  </r>
  <r>
    <n v="880"/>
    <x v="413"/>
    <x v="329"/>
    <d v="2018-12-02T00:00:00"/>
    <s v="Second Class"/>
    <x v="6"/>
    <s v="Harold Pawlan"/>
    <x v="2"/>
    <s v="United States"/>
    <s v="New York City"/>
    <x v="15"/>
    <n v="10024"/>
    <x v="3"/>
    <x v="697"/>
    <x v="1"/>
    <x v="8"/>
    <x v="697"/>
    <x v="806"/>
    <x v="0"/>
    <x v="3"/>
  </r>
  <r>
    <n v="881"/>
    <x v="413"/>
    <x v="329"/>
    <d v="2018-12-02T00:00:00"/>
    <s v="Second Class"/>
    <x v="6"/>
    <s v="Harold Pawlan"/>
    <x v="2"/>
    <s v="United States"/>
    <s v="New York City"/>
    <x v="15"/>
    <n v="10024"/>
    <x v="3"/>
    <x v="157"/>
    <x v="0"/>
    <x v="1"/>
    <x v="158"/>
    <x v="807"/>
    <x v="0"/>
    <x v="3"/>
  </r>
  <r>
    <n v="882"/>
    <x v="414"/>
    <x v="330"/>
    <d v="2016-10-13T00:00:00"/>
    <s v="Standard Class"/>
    <x v="54"/>
    <s v="Dave Kipp"/>
    <x v="0"/>
    <s v="United States"/>
    <s v="Springfield"/>
    <x v="17"/>
    <n v="22153"/>
    <x v="0"/>
    <x v="421"/>
    <x v="1"/>
    <x v="4"/>
    <x v="421"/>
    <x v="117"/>
    <x v="2"/>
    <x v="1"/>
  </r>
  <r>
    <n v="883"/>
    <x v="415"/>
    <x v="331"/>
    <d v="2018-12-23T00:00:00"/>
    <s v="Same Day"/>
    <x v="47"/>
    <s v="Gary Zandusky"/>
    <x v="0"/>
    <s v="United States"/>
    <s v="San Francisco"/>
    <x v="1"/>
    <n v="94109"/>
    <x v="1"/>
    <x v="581"/>
    <x v="1"/>
    <x v="6"/>
    <x v="581"/>
    <x v="808"/>
    <x v="4"/>
    <x v="3"/>
  </r>
  <r>
    <n v="884"/>
    <x v="416"/>
    <x v="332"/>
    <d v="2017-10-24T00:00:00"/>
    <s v="First Class"/>
    <x v="327"/>
    <s v="Peter McVee"/>
    <x v="2"/>
    <s v="United States"/>
    <s v="Detroit"/>
    <x v="12"/>
    <n v="48227"/>
    <x v="2"/>
    <x v="545"/>
    <x v="0"/>
    <x v="5"/>
    <x v="545"/>
    <x v="809"/>
    <x v="2"/>
    <x v="0"/>
  </r>
  <r>
    <n v="885"/>
    <x v="417"/>
    <x v="333"/>
    <d v="2015-05-04T00:00:00"/>
    <s v="Standard Class"/>
    <x v="328"/>
    <s v="Lauren Leatherbury"/>
    <x v="0"/>
    <s v="United States"/>
    <s v="Rochester"/>
    <x v="15"/>
    <n v="14609"/>
    <x v="3"/>
    <x v="698"/>
    <x v="0"/>
    <x v="5"/>
    <x v="698"/>
    <x v="45"/>
    <x v="3"/>
    <x v="2"/>
  </r>
  <r>
    <n v="886"/>
    <x v="418"/>
    <x v="334"/>
    <d v="2016-04-28T00:00:00"/>
    <s v="Second Class"/>
    <x v="329"/>
    <s v="Jill Stevenson"/>
    <x v="1"/>
    <s v="United States"/>
    <s v="Los Angeles"/>
    <x v="1"/>
    <n v="90045"/>
    <x v="1"/>
    <x v="699"/>
    <x v="1"/>
    <x v="8"/>
    <x v="699"/>
    <x v="810"/>
    <x v="3"/>
    <x v="1"/>
  </r>
  <r>
    <n v="887"/>
    <x v="419"/>
    <x v="335"/>
    <d v="2018-07-02T00:00:00"/>
    <s v="Standard Class"/>
    <x v="220"/>
    <s v="Olvera Toch"/>
    <x v="0"/>
    <s v="United States"/>
    <s v="San Diego"/>
    <x v="1"/>
    <n v="92105"/>
    <x v="1"/>
    <x v="700"/>
    <x v="1"/>
    <x v="4"/>
    <x v="700"/>
    <x v="811"/>
    <x v="1"/>
    <x v="3"/>
  </r>
  <r>
    <n v="888"/>
    <x v="420"/>
    <x v="336"/>
    <d v="2018-10-19T00:00:00"/>
    <s v="Standard Class"/>
    <x v="330"/>
    <s v="Ed Ludwig"/>
    <x v="2"/>
    <s v="United States"/>
    <s v="Columbia"/>
    <x v="39"/>
    <n v="21044"/>
    <x v="3"/>
    <x v="61"/>
    <x v="1"/>
    <x v="8"/>
    <x v="61"/>
    <x v="812"/>
    <x v="2"/>
    <x v="3"/>
  </r>
  <r>
    <n v="889"/>
    <x v="421"/>
    <x v="337"/>
    <d v="2015-12-16T00:00:00"/>
    <s v="Standard Class"/>
    <x v="316"/>
    <s v="Cyma Kinney"/>
    <x v="1"/>
    <s v="United States"/>
    <s v="San Francisco"/>
    <x v="1"/>
    <n v="94122"/>
    <x v="1"/>
    <x v="371"/>
    <x v="1"/>
    <x v="10"/>
    <x v="372"/>
    <x v="813"/>
    <x v="4"/>
    <x v="2"/>
  </r>
  <r>
    <n v="890"/>
    <x v="422"/>
    <x v="308"/>
    <d v="2018-06-26T00:00:00"/>
    <s v="Standard Class"/>
    <x v="188"/>
    <s v="Jeremy Ellison"/>
    <x v="0"/>
    <s v="United States"/>
    <s v="New Rochelle"/>
    <x v="15"/>
    <n v="10801"/>
    <x v="3"/>
    <x v="701"/>
    <x v="2"/>
    <x v="11"/>
    <x v="701"/>
    <x v="179"/>
    <x v="1"/>
    <x v="3"/>
  </r>
  <r>
    <n v="891"/>
    <x v="422"/>
    <x v="308"/>
    <d v="2018-06-26T00:00:00"/>
    <s v="Standard Class"/>
    <x v="188"/>
    <s v="Jeremy Ellison"/>
    <x v="0"/>
    <s v="United States"/>
    <s v="New Rochelle"/>
    <x v="15"/>
    <n v="10801"/>
    <x v="3"/>
    <x v="410"/>
    <x v="1"/>
    <x v="8"/>
    <x v="410"/>
    <x v="96"/>
    <x v="1"/>
    <x v="3"/>
  </r>
  <r>
    <n v="892"/>
    <x v="423"/>
    <x v="335"/>
    <d v="2018-06-27T00:00:00"/>
    <s v="First Class"/>
    <x v="274"/>
    <s v="Tracy Hopkins"/>
    <x v="2"/>
    <s v="United States"/>
    <s v="Detroit"/>
    <x v="12"/>
    <n v="48227"/>
    <x v="2"/>
    <x v="702"/>
    <x v="1"/>
    <x v="10"/>
    <x v="702"/>
    <x v="814"/>
    <x v="1"/>
    <x v="3"/>
  </r>
  <r>
    <n v="893"/>
    <x v="423"/>
    <x v="335"/>
    <d v="2018-06-27T00:00:00"/>
    <s v="First Class"/>
    <x v="274"/>
    <s v="Tracy Hopkins"/>
    <x v="2"/>
    <s v="United States"/>
    <s v="Detroit"/>
    <x v="12"/>
    <n v="48227"/>
    <x v="2"/>
    <x v="703"/>
    <x v="1"/>
    <x v="6"/>
    <x v="703"/>
    <x v="204"/>
    <x v="1"/>
    <x v="3"/>
  </r>
  <r>
    <n v="894"/>
    <x v="423"/>
    <x v="335"/>
    <d v="2018-06-27T00:00:00"/>
    <s v="First Class"/>
    <x v="274"/>
    <s v="Tracy Hopkins"/>
    <x v="2"/>
    <s v="United States"/>
    <s v="Detroit"/>
    <x v="12"/>
    <n v="48227"/>
    <x v="2"/>
    <x v="704"/>
    <x v="2"/>
    <x v="7"/>
    <x v="704"/>
    <x v="815"/>
    <x v="1"/>
    <x v="3"/>
  </r>
  <r>
    <n v="895"/>
    <x v="424"/>
    <x v="338"/>
    <d v="2017-11-12T00:00:00"/>
    <s v="First Class"/>
    <x v="331"/>
    <s v="Pamela Coakley"/>
    <x v="1"/>
    <s v="United States"/>
    <s v="San Francisco"/>
    <x v="1"/>
    <n v="94122"/>
    <x v="1"/>
    <x v="330"/>
    <x v="1"/>
    <x v="4"/>
    <x v="330"/>
    <x v="816"/>
    <x v="0"/>
    <x v="0"/>
  </r>
  <r>
    <n v="896"/>
    <x v="424"/>
    <x v="338"/>
    <d v="2017-11-12T00:00:00"/>
    <s v="First Class"/>
    <x v="331"/>
    <s v="Pamela Coakley"/>
    <x v="1"/>
    <s v="United States"/>
    <s v="San Francisco"/>
    <x v="1"/>
    <n v="94122"/>
    <x v="1"/>
    <x v="705"/>
    <x v="1"/>
    <x v="8"/>
    <x v="705"/>
    <x v="817"/>
    <x v="0"/>
    <x v="0"/>
  </r>
  <r>
    <n v="897"/>
    <x v="425"/>
    <x v="339"/>
    <d v="2017-10-06T00:00:00"/>
    <s v="Second Class"/>
    <x v="332"/>
    <s v="Hunter Lopez"/>
    <x v="0"/>
    <s v="United States"/>
    <s v="Houston"/>
    <x v="5"/>
    <n v="77095"/>
    <x v="2"/>
    <x v="706"/>
    <x v="1"/>
    <x v="12"/>
    <x v="153"/>
    <x v="818"/>
    <x v="2"/>
    <x v="0"/>
  </r>
  <r>
    <n v="898"/>
    <x v="426"/>
    <x v="340"/>
    <d v="2015-09-15T00:00:00"/>
    <s v="Standard Class"/>
    <x v="333"/>
    <s v="Maribeth Schnelling"/>
    <x v="0"/>
    <s v="United States"/>
    <s v="Detroit"/>
    <x v="12"/>
    <n v="48227"/>
    <x v="2"/>
    <x v="429"/>
    <x v="1"/>
    <x v="2"/>
    <x v="429"/>
    <x v="819"/>
    <x v="8"/>
    <x v="2"/>
  </r>
  <r>
    <n v="899"/>
    <x v="427"/>
    <x v="341"/>
    <d v="2018-10-31T00:00:00"/>
    <s v="Second Class"/>
    <x v="334"/>
    <s v="George Bell"/>
    <x v="1"/>
    <s v="United States"/>
    <s v="Auburn"/>
    <x v="15"/>
    <n v="13021"/>
    <x v="3"/>
    <x v="707"/>
    <x v="1"/>
    <x v="10"/>
    <x v="706"/>
    <x v="820"/>
    <x v="2"/>
    <x v="3"/>
  </r>
  <r>
    <n v="900"/>
    <x v="428"/>
    <x v="342"/>
    <d v="2017-04-12T00:00:00"/>
    <s v="First Class"/>
    <x v="335"/>
    <s v="Justin Ritter"/>
    <x v="1"/>
    <s v="United States"/>
    <s v="Springfield"/>
    <x v="24"/>
    <n v="45503"/>
    <x v="3"/>
    <x v="708"/>
    <x v="1"/>
    <x v="8"/>
    <x v="707"/>
    <x v="821"/>
    <x v="3"/>
    <x v="0"/>
  </r>
  <r>
    <n v="901"/>
    <x v="429"/>
    <x v="343"/>
    <d v="2018-11-13T00:00:00"/>
    <s v="First Class"/>
    <x v="143"/>
    <s v="Tamara Dahlen"/>
    <x v="0"/>
    <s v="United States"/>
    <s v="Garland"/>
    <x v="5"/>
    <n v="75043"/>
    <x v="2"/>
    <x v="709"/>
    <x v="1"/>
    <x v="2"/>
    <x v="708"/>
    <x v="822"/>
    <x v="0"/>
    <x v="3"/>
  </r>
  <r>
    <n v="902"/>
    <x v="429"/>
    <x v="343"/>
    <d v="2018-11-13T00:00:00"/>
    <s v="First Class"/>
    <x v="143"/>
    <s v="Tamara Dahlen"/>
    <x v="0"/>
    <s v="United States"/>
    <s v="Garland"/>
    <x v="5"/>
    <n v="75043"/>
    <x v="2"/>
    <x v="710"/>
    <x v="1"/>
    <x v="8"/>
    <x v="709"/>
    <x v="823"/>
    <x v="0"/>
    <x v="3"/>
  </r>
  <r>
    <n v="903"/>
    <x v="430"/>
    <x v="175"/>
    <d v="2018-09-17T00:00:00"/>
    <s v="First Class"/>
    <x v="72"/>
    <s v="Dave Brooks"/>
    <x v="0"/>
    <s v="United States"/>
    <s v="Chicago"/>
    <x v="10"/>
    <n v="60653"/>
    <x v="2"/>
    <x v="149"/>
    <x v="2"/>
    <x v="7"/>
    <x v="150"/>
    <x v="824"/>
    <x v="8"/>
    <x v="3"/>
  </r>
  <r>
    <n v="904"/>
    <x v="431"/>
    <x v="143"/>
    <d v="2017-04-12T00:00:00"/>
    <s v="Standard Class"/>
    <x v="95"/>
    <s v="Logan Currie"/>
    <x v="0"/>
    <s v="United States"/>
    <s v="Los Angeles"/>
    <x v="1"/>
    <n v="90032"/>
    <x v="1"/>
    <x v="711"/>
    <x v="1"/>
    <x v="10"/>
    <x v="710"/>
    <x v="130"/>
    <x v="3"/>
    <x v="0"/>
  </r>
  <r>
    <n v="905"/>
    <x v="431"/>
    <x v="143"/>
    <d v="2017-04-12T00:00:00"/>
    <s v="Standard Class"/>
    <x v="95"/>
    <s v="Logan Currie"/>
    <x v="0"/>
    <s v="United States"/>
    <s v="Los Angeles"/>
    <x v="1"/>
    <n v="90032"/>
    <x v="1"/>
    <x v="571"/>
    <x v="1"/>
    <x v="4"/>
    <x v="571"/>
    <x v="643"/>
    <x v="3"/>
    <x v="0"/>
  </r>
  <r>
    <n v="906"/>
    <x v="431"/>
    <x v="143"/>
    <d v="2017-04-12T00:00:00"/>
    <s v="Standard Class"/>
    <x v="95"/>
    <s v="Logan Currie"/>
    <x v="0"/>
    <s v="United States"/>
    <s v="Los Angeles"/>
    <x v="1"/>
    <n v="90032"/>
    <x v="1"/>
    <x v="712"/>
    <x v="1"/>
    <x v="10"/>
    <x v="711"/>
    <x v="91"/>
    <x v="3"/>
    <x v="0"/>
  </r>
  <r>
    <n v="907"/>
    <x v="432"/>
    <x v="247"/>
    <d v="2019-01-03T00:00:00"/>
    <s v="Standard Class"/>
    <x v="22"/>
    <s v="Patrick O'Donnell"/>
    <x v="0"/>
    <s v="United States"/>
    <s v="New York City"/>
    <x v="15"/>
    <n v="10009"/>
    <x v="3"/>
    <x v="713"/>
    <x v="0"/>
    <x v="0"/>
    <x v="712"/>
    <x v="825"/>
    <x v="4"/>
    <x v="3"/>
  </r>
  <r>
    <n v="908"/>
    <x v="432"/>
    <x v="247"/>
    <d v="2019-01-03T00:00:00"/>
    <s v="Standard Class"/>
    <x v="22"/>
    <s v="Patrick O'Donnell"/>
    <x v="0"/>
    <s v="United States"/>
    <s v="New York City"/>
    <x v="15"/>
    <n v="10009"/>
    <x v="3"/>
    <x v="714"/>
    <x v="2"/>
    <x v="7"/>
    <x v="713"/>
    <x v="826"/>
    <x v="4"/>
    <x v="3"/>
  </r>
  <r>
    <n v="909"/>
    <x v="432"/>
    <x v="247"/>
    <d v="2019-01-03T00:00:00"/>
    <s v="Standard Class"/>
    <x v="22"/>
    <s v="Patrick O'Donnell"/>
    <x v="0"/>
    <s v="United States"/>
    <s v="New York City"/>
    <x v="15"/>
    <n v="10009"/>
    <x v="3"/>
    <x v="715"/>
    <x v="1"/>
    <x v="8"/>
    <x v="714"/>
    <x v="827"/>
    <x v="4"/>
    <x v="3"/>
  </r>
  <r>
    <n v="910"/>
    <x v="433"/>
    <x v="264"/>
    <d v="2018-09-07T00:00:00"/>
    <s v="Standard Class"/>
    <x v="336"/>
    <s v="Bill Eplett"/>
    <x v="2"/>
    <s v="United States"/>
    <s v="Jackson"/>
    <x v="12"/>
    <n v="49201"/>
    <x v="2"/>
    <x v="716"/>
    <x v="2"/>
    <x v="7"/>
    <x v="715"/>
    <x v="828"/>
    <x v="8"/>
    <x v="3"/>
  </r>
  <r>
    <n v="911"/>
    <x v="433"/>
    <x v="264"/>
    <d v="2018-09-07T00:00:00"/>
    <s v="Standard Class"/>
    <x v="336"/>
    <s v="Bill Eplett"/>
    <x v="2"/>
    <s v="United States"/>
    <s v="Jackson"/>
    <x v="12"/>
    <n v="49201"/>
    <x v="2"/>
    <x v="717"/>
    <x v="2"/>
    <x v="11"/>
    <x v="716"/>
    <x v="829"/>
    <x v="8"/>
    <x v="3"/>
  </r>
  <r>
    <n v="912"/>
    <x v="433"/>
    <x v="264"/>
    <d v="2018-09-07T00:00:00"/>
    <s v="Standard Class"/>
    <x v="336"/>
    <s v="Bill Eplett"/>
    <x v="2"/>
    <s v="United States"/>
    <s v="Jackson"/>
    <x v="12"/>
    <n v="49201"/>
    <x v="2"/>
    <x v="718"/>
    <x v="1"/>
    <x v="4"/>
    <x v="717"/>
    <x v="830"/>
    <x v="8"/>
    <x v="3"/>
  </r>
  <r>
    <n v="913"/>
    <x v="434"/>
    <x v="70"/>
    <d v="2016-06-07T00:00:00"/>
    <s v="Standard Class"/>
    <x v="337"/>
    <s v="Sample Company A"/>
    <x v="2"/>
    <s v="United States"/>
    <s v="Norwich"/>
    <x v="29"/>
    <n v="6360"/>
    <x v="3"/>
    <x v="345"/>
    <x v="0"/>
    <x v="5"/>
    <x v="345"/>
    <x v="496"/>
    <x v="5"/>
    <x v="1"/>
  </r>
  <r>
    <n v="914"/>
    <x v="435"/>
    <x v="344"/>
    <d v="2018-11-29T00:00:00"/>
    <s v="First Class"/>
    <x v="312"/>
    <s v="Brian Moss"/>
    <x v="1"/>
    <s v="United States"/>
    <s v="Milwaukee"/>
    <x v="6"/>
    <n v="53209"/>
    <x v="2"/>
    <x v="267"/>
    <x v="0"/>
    <x v="5"/>
    <x v="267"/>
    <x v="831"/>
    <x v="0"/>
    <x v="3"/>
  </r>
  <r>
    <n v="915"/>
    <x v="435"/>
    <x v="344"/>
    <d v="2018-11-29T00:00:00"/>
    <s v="First Class"/>
    <x v="312"/>
    <s v="Brian Moss"/>
    <x v="1"/>
    <s v="United States"/>
    <s v="Milwaukee"/>
    <x v="6"/>
    <n v="53209"/>
    <x v="2"/>
    <x v="404"/>
    <x v="2"/>
    <x v="11"/>
    <x v="405"/>
    <x v="832"/>
    <x v="0"/>
    <x v="3"/>
  </r>
  <r>
    <n v="916"/>
    <x v="436"/>
    <x v="345"/>
    <d v="2015-06-21T00:00:00"/>
    <s v="Standard Class"/>
    <x v="126"/>
    <s v="Kelly Lampkin"/>
    <x v="1"/>
    <s v="United States"/>
    <s v="San Antonio"/>
    <x v="5"/>
    <n v="78207"/>
    <x v="2"/>
    <x v="719"/>
    <x v="0"/>
    <x v="3"/>
    <x v="718"/>
    <x v="833"/>
    <x v="1"/>
    <x v="2"/>
  </r>
  <r>
    <n v="917"/>
    <x v="436"/>
    <x v="345"/>
    <d v="2015-06-21T00:00:00"/>
    <s v="Standard Class"/>
    <x v="126"/>
    <s v="Kelly Lampkin"/>
    <x v="1"/>
    <s v="United States"/>
    <s v="San Antonio"/>
    <x v="5"/>
    <n v="78207"/>
    <x v="2"/>
    <x v="463"/>
    <x v="0"/>
    <x v="1"/>
    <x v="464"/>
    <x v="834"/>
    <x v="1"/>
    <x v="2"/>
  </r>
  <r>
    <n v="918"/>
    <x v="436"/>
    <x v="345"/>
    <d v="2015-06-21T00:00:00"/>
    <s v="Standard Class"/>
    <x v="126"/>
    <s v="Kelly Lampkin"/>
    <x v="1"/>
    <s v="United States"/>
    <s v="San Antonio"/>
    <x v="5"/>
    <n v="78207"/>
    <x v="2"/>
    <x v="276"/>
    <x v="1"/>
    <x v="8"/>
    <x v="276"/>
    <x v="835"/>
    <x v="1"/>
    <x v="2"/>
  </r>
  <r>
    <n v="919"/>
    <x v="437"/>
    <x v="346"/>
    <d v="2017-03-11T00:00:00"/>
    <s v="Standard Class"/>
    <x v="338"/>
    <s v="Rob Williams"/>
    <x v="1"/>
    <s v="United States"/>
    <s v="Dallas"/>
    <x v="5"/>
    <n v="75220"/>
    <x v="2"/>
    <x v="633"/>
    <x v="1"/>
    <x v="12"/>
    <x v="633"/>
    <x v="836"/>
    <x v="10"/>
    <x v="0"/>
  </r>
  <r>
    <n v="920"/>
    <x v="437"/>
    <x v="346"/>
    <d v="2017-03-11T00:00:00"/>
    <s v="Standard Class"/>
    <x v="338"/>
    <s v="Rob Williams"/>
    <x v="1"/>
    <s v="United States"/>
    <s v="Dallas"/>
    <x v="5"/>
    <n v="75220"/>
    <x v="2"/>
    <x v="720"/>
    <x v="1"/>
    <x v="4"/>
    <x v="719"/>
    <x v="837"/>
    <x v="10"/>
    <x v="0"/>
  </r>
  <r>
    <n v="921"/>
    <x v="438"/>
    <x v="29"/>
    <d v="2015-12-12T00:00:00"/>
    <s v="Standard Class"/>
    <x v="116"/>
    <s v="Roy Collins"/>
    <x v="0"/>
    <s v="United States"/>
    <s v="Alexandria"/>
    <x v="17"/>
    <n v="22304"/>
    <x v="0"/>
    <x v="576"/>
    <x v="1"/>
    <x v="4"/>
    <x v="576"/>
    <x v="332"/>
    <x v="4"/>
    <x v="2"/>
  </r>
  <r>
    <n v="922"/>
    <x v="439"/>
    <x v="347"/>
    <d v="2016-04-15T00:00:00"/>
    <s v="Standard Class"/>
    <x v="339"/>
    <s v="Sanjit Engle"/>
    <x v="0"/>
    <s v="United States"/>
    <s v="New York City"/>
    <x v="15"/>
    <n v="10009"/>
    <x v="3"/>
    <x v="721"/>
    <x v="2"/>
    <x v="11"/>
    <x v="720"/>
    <x v="838"/>
    <x v="3"/>
    <x v="1"/>
  </r>
  <r>
    <n v="923"/>
    <x v="439"/>
    <x v="347"/>
    <d v="2016-04-15T00:00:00"/>
    <s v="Standard Class"/>
    <x v="339"/>
    <s v="Sanjit Engle"/>
    <x v="0"/>
    <s v="United States"/>
    <s v="New York City"/>
    <x v="15"/>
    <n v="10009"/>
    <x v="3"/>
    <x v="722"/>
    <x v="2"/>
    <x v="7"/>
    <x v="721"/>
    <x v="839"/>
    <x v="3"/>
    <x v="1"/>
  </r>
  <r>
    <n v="924"/>
    <x v="439"/>
    <x v="347"/>
    <d v="2016-04-15T00:00:00"/>
    <s v="Standard Class"/>
    <x v="339"/>
    <s v="Sanjit Engle"/>
    <x v="0"/>
    <s v="United States"/>
    <s v="New York City"/>
    <x v="15"/>
    <n v="10009"/>
    <x v="3"/>
    <x v="723"/>
    <x v="1"/>
    <x v="9"/>
    <x v="722"/>
    <x v="840"/>
    <x v="3"/>
    <x v="1"/>
  </r>
  <r>
    <n v="925"/>
    <x v="440"/>
    <x v="306"/>
    <d v="2017-09-20T00:00:00"/>
    <s v="Standard Class"/>
    <x v="340"/>
    <s v="Adam Hart"/>
    <x v="1"/>
    <s v="United States"/>
    <s v="New York City"/>
    <x v="15"/>
    <n v="10011"/>
    <x v="3"/>
    <x v="115"/>
    <x v="1"/>
    <x v="8"/>
    <x v="115"/>
    <x v="841"/>
    <x v="8"/>
    <x v="0"/>
  </r>
  <r>
    <n v="926"/>
    <x v="441"/>
    <x v="103"/>
    <d v="2015-09-16T00:00:00"/>
    <s v="First Class"/>
    <x v="341"/>
    <s v="Jessica Myrick"/>
    <x v="0"/>
    <s v="United States"/>
    <s v="Philadelphia"/>
    <x v="9"/>
    <n v="19143"/>
    <x v="3"/>
    <x v="724"/>
    <x v="1"/>
    <x v="10"/>
    <x v="723"/>
    <x v="12"/>
    <x v="8"/>
    <x v="2"/>
  </r>
  <r>
    <n v="927"/>
    <x v="441"/>
    <x v="103"/>
    <d v="2015-09-16T00:00:00"/>
    <s v="First Class"/>
    <x v="341"/>
    <s v="Jessica Myrick"/>
    <x v="0"/>
    <s v="United States"/>
    <s v="Philadelphia"/>
    <x v="9"/>
    <n v="19143"/>
    <x v="3"/>
    <x v="725"/>
    <x v="2"/>
    <x v="11"/>
    <x v="724"/>
    <x v="842"/>
    <x v="8"/>
    <x v="2"/>
  </r>
  <r>
    <n v="928"/>
    <x v="442"/>
    <x v="348"/>
    <d v="2016-10-09T00:00:00"/>
    <s v="Standard Class"/>
    <x v="342"/>
    <s v="Joel Jenkins"/>
    <x v="2"/>
    <s v="United States"/>
    <s v="Springfield"/>
    <x v="17"/>
    <n v="22153"/>
    <x v="0"/>
    <x v="332"/>
    <x v="1"/>
    <x v="6"/>
    <x v="332"/>
    <x v="843"/>
    <x v="2"/>
    <x v="1"/>
  </r>
  <r>
    <n v="929"/>
    <x v="442"/>
    <x v="348"/>
    <d v="2016-10-09T00:00:00"/>
    <s v="Standard Class"/>
    <x v="342"/>
    <s v="Joel Jenkins"/>
    <x v="2"/>
    <s v="United States"/>
    <s v="Springfield"/>
    <x v="17"/>
    <n v="22153"/>
    <x v="0"/>
    <x v="336"/>
    <x v="1"/>
    <x v="9"/>
    <x v="336"/>
    <x v="844"/>
    <x v="2"/>
    <x v="1"/>
  </r>
  <r>
    <n v="930"/>
    <x v="443"/>
    <x v="349"/>
    <d v="2018-04-17T00:00:00"/>
    <s v="First Class"/>
    <x v="269"/>
    <s v="Alan Barnes"/>
    <x v="0"/>
    <s v="United States"/>
    <s v="Toledo"/>
    <x v="24"/>
    <n v="43615"/>
    <x v="3"/>
    <x v="487"/>
    <x v="1"/>
    <x v="6"/>
    <x v="487"/>
    <x v="845"/>
    <x v="3"/>
    <x v="3"/>
  </r>
  <r>
    <n v="931"/>
    <x v="443"/>
    <x v="349"/>
    <d v="2018-04-17T00:00:00"/>
    <s v="First Class"/>
    <x v="269"/>
    <s v="Alan Barnes"/>
    <x v="0"/>
    <s v="United States"/>
    <s v="Toledo"/>
    <x v="24"/>
    <n v="43615"/>
    <x v="3"/>
    <x v="726"/>
    <x v="1"/>
    <x v="6"/>
    <x v="725"/>
    <x v="846"/>
    <x v="3"/>
    <x v="3"/>
  </r>
  <r>
    <n v="932"/>
    <x v="443"/>
    <x v="349"/>
    <d v="2018-04-17T00:00:00"/>
    <s v="First Class"/>
    <x v="269"/>
    <s v="Alan Barnes"/>
    <x v="0"/>
    <s v="United States"/>
    <s v="Toledo"/>
    <x v="24"/>
    <n v="43615"/>
    <x v="3"/>
    <x v="609"/>
    <x v="1"/>
    <x v="10"/>
    <x v="609"/>
    <x v="847"/>
    <x v="3"/>
    <x v="3"/>
  </r>
  <r>
    <n v="933"/>
    <x v="444"/>
    <x v="264"/>
    <d v="2018-09-06T00:00:00"/>
    <s v="Standard Class"/>
    <x v="343"/>
    <s v="Ralph Kennedy"/>
    <x v="0"/>
    <s v="United States"/>
    <s v="Philadelphia"/>
    <x v="9"/>
    <n v="19140"/>
    <x v="3"/>
    <x v="727"/>
    <x v="1"/>
    <x v="10"/>
    <x v="726"/>
    <x v="848"/>
    <x v="8"/>
    <x v="3"/>
  </r>
  <r>
    <n v="934"/>
    <x v="445"/>
    <x v="23"/>
    <d v="2017-06-24T00:00:00"/>
    <s v="Standard Class"/>
    <x v="344"/>
    <s v="Catherine Glotzbach"/>
    <x v="2"/>
    <s v="United States"/>
    <s v="Philadelphia"/>
    <x v="9"/>
    <n v="19120"/>
    <x v="3"/>
    <x v="728"/>
    <x v="1"/>
    <x v="10"/>
    <x v="727"/>
    <x v="849"/>
    <x v="1"/>
    <x v="0"/>
  </r>
  <r>
    <n v="935"/>
    <x v="445"/>
    <x v="23"/>
    <d v="2017-06-24T00:00:00"/>
    <s v="Standard Class"/>
    <x v="344"/>
    <s v="Catherine Glotzbach"/>
    <x v="2"/>
    <s v="United States"/>
    <s v="Philadelphia"/>
    <x v="9"/>
    <n v="19120"/>
    <x v="3"/>
    <x v="729"/>
    <x v="1"/>
    <x v="8"/>
    <x v="728"/>
    <x v="850"/>
    <x v="1"/>
    <x v="0"/>
  </r>
  <r>
    <n v="936"/>
    <x v="445"/>
    <x v="23"/>
    <d v="2017-06-24T00:00:00"/>
    <s v="Standard Class"/>
    <x v="344"/>
    <s v="Catherine Glotzbach"/>
    <x v="2"/>
    <s v="United States"/>
    <s v="Philadelphia"/>
    <x v="9"/>
    <n v="19120"/>
    <x v="3"/>
    <x v="680"/>
    <x v="1"/>
    <x v="10"/>
    <x v="680"/>
    <x v="12"/>
    <x v="1"/>
    <x v="0"/>
  </r>
  <r>
    <n v="937"/>
    <x v="445"/>
    <x v="23"/>
    <d v="2017-06-24T00:00:00"/>
    <s v="Standard Class"/>
    <x v="344"/>
    <s v="Catherine Glotzbach"/>
    <x v="2"/>
    <s v="United States"/>
    <s v="Philadelphia"/>
    <x v="9"/>
    <n v="19120"/>
    <x v="3"/>
    <x v="137"/>
    <x v="1"/>
    <x v="9"/>
    <x v="138"/>
    <x v="851"/>
    <x v="1"/>
    <x v="0"/>
  </r>
  <r>
    <n v="938"/>
    <x v="446"/>
    <x v="60"/>
    <d v="2018-11-06T00:00:00"/>
    <s v="First Class"/>
    <x v="19"/>
    <s v="Ruben Ausman"/>
    <x v="1"/>
    <s v="United States"/>
    <s v="Farmington"/>
    <x v="27"/>
    <n v="87401"/>
    <x v="1"/>
    <x v="331"/>
    <x v="2"/>
    <x v="11"/>
    <x v="331"/>
    <x v="852"/>
    <x v="0"/>
    <x v="3"/>
  </r>
  <r>
    <n v="939"/>
    <x v="447"/>
    <x v="350"/>
    <d v="2016-12-17T00:00:00"/>
    <s v="Standard Class"/>
    <x v="345"/>
    <s v="Rachel Payne"/>
    <x v="1"/>
    <s v="United States"/>
    <s v="Riverside"/>
    <x v="1"/>
    <n v="92503"/>
    <x v="1"/>
    <x v="730"/>
    <x v="1"/>
    <x v="10"/>
    <x v="729"/>
    <x v="91"/>
    <x v="4"/>
    <x v="1"/>
  </r>
  <r>
    <n v="940"/>
    <x v="447"/>
    <x v="350"/>
    <d v="2016-12-17T00:00:00"/>
    <s v="Standard Class"/>
    <x v="345"/>
    <s v="Rachel Payne"/>
    <x v="1"/>
    <s v="United States"/>
    <s v="Riverside"/>
    <x v="1"/>
    <n v="92503"/>
    <x v="1"/>
    <x v="731"/>
    <x v="1"/>
    <x v="9"/>
    <x v="730"/>
    <x v="853"/>
    <x v="4"/>
    <x v="1"/>
  </r>
  <r>
    <n v="941"/>
    <x v="448"/>
    <x v="351"/>
    <d v="2017-06-20T00:00:00"/>
    <s v="First Class"/>
    <x v="346"/>
    <s v="Karen Carlisle"/>
    <x v="1"/>
    <s v="United States"/>
    <s v="San Francisco"/>
    <x v="1"/>
    <n v="94110"/>
    <x v="1"/>
    <x v="732"/>
    <x v="1"/>
    <x v="10"/>
    <x v="731"/>
    <x v="854"/>
    <x v="1"/>
    <x v="0"/>
  </r>
  <r>
    <n v="942"/>
    <x v="449"/>
    <x v="180"/>
    <d v="2017-12-20T00:00:00"/>
    <s v="Standard Class"/>
    <x v="338"/>
    <s v="Rob Williams"/>
    <x v="1"/>
    <s v="United States"/>
    <s v="Torrance"/>
    <x v="1"/>
    <n v="90503"/>
    <x v="1"/>
    <x v="733"/>
    <x v="1"/>
    <x v="8"/>
    <x v="732"/>
    <x v="855"/>
    <x v="4"/>
    <x v="0"/>
  </r>
  <r>
    <n v="943"/>
    <x v="449"/>
    <x v="180"/>
    <d v="2017-12-20T00:00:00"/>
    <s v="Standard Class"/>
    <x v="338"/>
    <s v="Rob Williams"/>
    <x v="1"/>
    <s v="United States"/>
    <s v="Torrance"/>
    <x v="1"/>
    <n v="90503"/>
    <x v="1"/>
    <x v="3"/>
    <x v="0"/>
    <x v="3"/>
    <x v="3"/>
    <x v="856"/>
    <x v="4"/>
    <x v="0"/>
  </r>
  <r>
    <n v="944"/>
    <x v="450"/>
    <x v="352"/>
    <d v="2016-06-03T00:00:00"/>
    <s v="Standard Class"/>
    <x v="139"/>
    <s v="John Lucas"/>
    <x v="0"/>
    <s v="United States"/>
    <s v="Seattle"/>
    <x v="4"/>
    <n v="98105"/>
    <x v="1"/>
    <x v="511"/>
    <x v="1"/>
    <x v="10"/>
    <x v="511"/>
    <x v="56"/>
    <x v="5"/>
    <x v="1"/>
  </r>
  <r>
    <n v="945"/>
    <x v="450"/>
    <x v="352"/>
    <d v="2016-06-03T00:00:00"/>
    <s v="Standard Class"/>
    <x v="139"/>
    <s v="John Lucas"/>
    <x v="0"/>
    <s v="United States"/>
    <s v="Seattle"/>
    <x v="4"/>
    <n v="98105"/>
    <x v="1"/>
    <x v="734"/>
    <x v="1"/>
    <x v="4"/>
    <x v="733"/>
    <x v="857"/>
    <x v="5"/>
    <x v="1"/>
  </r>
  <r>
    <n v="946"/>
    <x v="450"/>
    <x v="352"/>
    <d v="2016-06-03T00:00:00"/>
    <s v="Standard Class"/>
    <x v="139"/>
    <s v="John Lucas"/>
    <x v="0"/>
    <s v="United States"/>
    <s v="Seattle"/>
    <x v="4"/>
    <n v="98105"/>
    <x v="1"/>
    <x v="735"/>
    <x v="1"/>
    <x v="8"/>
    <x v="734"/>
    <x v="858"/>
    <x v="5"/>
    <x v="1"/>
  </r>
  <r>
    <n v="947"/>
    <x v="451"/>
    <x v="353"/>
    <d v="2016-07-28T00:00:00"/>
    <s v="First Class"/>
    <x v="222"/>
    <s v="Cynthia Arntzen"/>
    <x v="0"/>
    <s v="United States"/>
    <s v="Mesa"/>
    <x v="16"/>
    <n v="85204"/>
    <x v="1"/>
    <x v="736"/>
    <x v="0"/>
    <x v="3"/>
    <x v="735"/>
    <x v="859"/>
    <x v="7"/>
    <x v="1"/>
  </r>
  <r>
    <n v="948"/>
    <x v="452"/>
    <x v="354"/>
    <d v="2018-12-02T00:00:00"/>
    <s v="Standard Class"/>
    <x v="176"/>
    <s v="Ross Baird"/>
    <x v="2"/>
    <s v="United States"/>
    <s v="Philadelphia"/>
    <x v="9"/>
    <n v="19120"/>
    <x v="3"/>
    <x v="737"/>
    <x v="0"/>
    <x v="5"/>
    <x v="736"/>
    <x v="860"/>
    <x v="0"/>
    <x v="3"/>
  </r>
  <r>
    <n v="949"/>
    <x v="452"/>
    <x v="354"/>
    <d v="2018-12-02T00:00:00"/>
    <s v="Standard Class"/>
    <x v="176"/>
    <s v="Ross Baird"/>
    <x v="2"/>
    <s v="United States"/>
    <s v="Philadelphia"/>
    <x v="9"/>
    <n v="19120"/>
    <x v="3"/>
    <x v="220"/>
    <x v="0"/>
    <x v="5"/>
    <x v="221"/>
    <x v="861"/>
    <x v="0"/>
    <x v="3"/>
  </r>
  <r>
    <n v="950"/>
    <x v="452"/>
    <x v="354"/>
    <d v="2018-12-02T00:00:00"/>
    <s v="Standard Class"/>
    <x v="176"/>
    <s v="Ross Baird"/>
    <x v="2"/>
    <s v="United States"/>
    <s v="Philadelphia"/>
    <x v="9"/>
    <n v="19120"/>
    <x v="3"/>
    <x v="738"/>
    <x v="0"/>
    <x v="3"/>
    <x v="737"/>
    <x v="862"/>
    <x v="0"/>
    <x v="3"/>
  </r>
  <r>
    <n v="951"/>
    <x v="452"/>
    <x v="354"/>
    <d v="2018-12-02T00:00:00"/>
    <s v="Standard Class"/>
    <x v="176"/>
    <s v="Ross Baird"/>
    <x v="2"/>
    <s v="United States"/>
    <s v="Philadelphia"/>
    <x v="9"/>
    <n v="19120"/>
    <x v="3"/>
    <x v="739"/>
    <x v="1"/>
    <x v="10"/>
    <x v="738"/>
    <x v="12"/>
    <x v="0"/>
    <x v="3"/>
  </r>
  <r>
    <n v="952"/>
    <x v="452"/>
    <x v="354"/>
    <d v="2018-12-02T00:00:00"/>
    <s v="Standard Class"/>
    <x v="176"/>
    <s v="Ross Baird"/>
    <x v="2"/>
    <s v="United States"/>
    <s v="Philadelphia"/>
    <x v="9"/>
    <n v="19120"/>
    <x v="3"/>
    <x v="218"/>
    <x v="1"/>
    <x v="10"/>
    <x v="219"/>
    <x v="863"/>
    <x v="0"/>
    <x v="3"/>
  </r>
  <r>
    <n v="953"/>
    <x v="453"/>
    <x v="355"/>
    <d v="2018-04-07T00:00:00"/>
    <s v="Standard Class"/>
    <x v="347"/>
    <s v="Katherine Hughes"/>
    <x v="0"/>
    <s v="United States"/>
    <s v="Philadelphia"/>
    <x v="9"/>
    <n v="19143"/>
    <x v="3"/>
    <x v="740"/>
    <x v="0"/>
    <x v="5"/>
    <x v="222"/>
    <x v="864"/>
    <x v="3"/>
    <x v="3"/>
  </r>
  <r>
    <n v="954"/>
    <x v="454"/>
    <x v="116"/>
    <d v="2019-01-01T00:00:00"/>
    <s v="Standard Class"/>
    <x v="348"/>
    <s v="Greg Hansen"/>
    <x v="0"/>
    <s v="United States"/>
    <s v="Round Rock"/>
    <x v="5"/>
    <n v="78664"/>
    <x v="2"/>
    <x v="207"/>
    <x v="1"/>
    <x v="6"/>
    <x v="208"/>
    <x v="220"/>
    <x v="4"/>
    <x v="3"/>
  </r>
  <r>
    <n v="955"/>
    <x v="454"/>
    <x v="116"/>
    <d v="2019-01-01T00:00:00"/>
    <s v="Standard Class"/>
    <x v="348"/>
    <s v="Greg Hansen"/>
    <x v="0"/>
    <s v="United States"/>
    <s v="Round Rock"/>
    <x v="5"/>
    <n v="78664"/>
    <x v="2"/>
    <x v="266"/>
    <x v="0"/>
    <x v="0"/>
    <x v="266"/>
    <x v="865"/>
    <x v="4"/>
    <x v="3"/>
  </r>
  <r>
    <n v="956"/>
    <x v="455"/>
    <x v="329"/>
    <d v="2018-12-04T00:00:00"/>
    <s v="Standard Class"/>
    <x v="349"/>
    <s v="Scott Williamson"/>
    <x v="0"/>
    <s v="United States"/>
    <s v="Jackson"/>
    <x v="35"/>
    <n v="39212"/>
    <x v="0"/>
    <x v="54"/>
    <x v="1"/>
    <x v="4"/>
    <x v="54"/>
    <x v="866"/>
    <x v="0"/>
    <x v="3"/>
  </r>
  <r>
    <n v="957"/>
    <x v="456"/>
    <x v="356"/>
    <d v="2018-05-18T00:00:00"/>
    <s v="Second Class"/>
    <x v="350"/>
    <s v="Joseph Airdo"/>
    <x v="0"/>
    <s v="United States"/>
    <s v="Phoenix"/>
    <x v="16"/>
    <n v="85023"/>
    <x v="1"/>
    <x v="687"/>
    <x v="2"/>
    <x v="7"/>
    <x v="687"/>
    <x v="867"/>
    <x v="5"/>
    <x v="3"/>
  </r>
  <r>
    <n v="958"/>
    <x v="456"/>
    <x v="356"/>
    <d v="2018-05-18T00:00:00"/>
    <s v="Second Class"/>
    <x v="350"/>
    <s v="Joseph Airdo"/>
    <x v="0"/>
    <s v="United States"/>
    <s v="Phoenix"/>
    <x v="16"/>
    <n v="85023"/>
    <x v="1"/>
    <x v="741"/>
    <x v="1"/>
    <x v="8"/>
    <x v="739"/>
    <x v="320"/>
    <x v="5"/>
    <x v="3"/>
  </r>
  <r>
    <n v="959"/>
    <x v="456"/>
    <x v="356"/>
    <d v="2018-05-18T00:00:00"/>
    <s v="Second Class"/>
    <x v="350"/>
    <s v="Joseph Airdo"/>
    <x v="0"/>
    <s v="United States"/>
    <s v="Phoenix"/>
    <x v="16"/>
    <n v="85023"/>
    <x v="1"/>
    <x v="742"/>
    <x v="1"/>
    <x v="10"/>
    <x v="740"/>
    <x v="12"/>
    <x v="5"/>
    <x v="3"/>
  </r>
  <r>
    <n v="960"/>
    <x v="457"/>
    <x v="357"/>
    <d v="2016-09-22T00:00:00"/>
    <s v="Same Day"/>
    <x v="351"/>
    <s v="Daniel Lacy"/>
    <x v="0"/>
    <s v="United States"/>
    <s v="Oceanside"/>
    <x v="1"/>
    <n v="92054"/>
    <x v="1"/>
    <x v="743"/>
    <x v="0"/>
    <x v="5"/>
    <x v="741"/>
    <x v="868"/>
    <x v="8"/>
    <x v="1"/>
  </r>
  <r>
    <n v="961"/>
    <x v="458"/>
    <x v="237"/>
    <d v="2018-11-19T00:00:00"/>
    <s v="Standard Class"/>
    <x v="352"/>
    <s v="Lindsay Williams"/>
    <x v="1"/>
    <s v="United States"/>
    <s v="San Francisco"/>
    <x v="1"/>
    <n v="94110"/>
    <x v="1"/>
    <x v="228"/>
    <x v="0"/>
    <x v="1"/>
    <x v="229"/>
    <x v="243"/>
    <x v="0"/>
    <x v="3"/>
  </r>
  <r>
    <n v="962"/>
    <x v="459"/>
    <x v="154"/>
    <d v="2016-12-01T00:00:00"/>
    <s v="Standard Class"/>
    <x v="353"/>
    <s v="Thomas Brumley"/>
    <x v="2"/>
    <s v="United States"/>
    <s v="Fayetteville"/>
    <x v="36"/>
    <n v="72701"/>
    <x v="0"/>
    <x v="744"/>
    <x v="1"/>
    <x v="8"/>
    <x v="742"/>
    <x v="869"/>
    <x v="0"/>
    <x v="1"/>
  </r>
  <r>
    <n v="963"/>
    <x v="460"/>
    <x v="142"/>
    <d v="2017-09-04T00:00:00"/>
    <s v="First Class"/>
    <x v="51"/>
    <s v="Cynthia Voltz"/>
    <x v="1"/>
    <s v="United States"/>
    <s v="San Francisco"/>
    <x v="1"/>
    <n v="94110"/>
    <x v="1"/>
    <x v="466"/>
    <x v="1"/>
    <x v="12"/>
    <x v="467"/>
    <x v="870"/>
    <x v="8"/>
    <x v="0"/>
  </r>
  <r>
    <n v="964"/>
    <x v="461"/>
    <x v="358"/>
    <d v="2015-09-24T00:00:00"/>
    <s v="Second Class"/>
    <x v="333"/>
    <s v="Maribeth Schnelling"/>
    <x v="0"/>
    <s v="United States"/>
    <s v="Boca Raton"/>
    <x v="2"/>
    <n v="33433"/>
    <x v="0"/>
    <x v="745"/>
    <x v="1"/>
    <x v="2"/>
    <x v="743"/>
    <x v="871"/>
    <x v="8"/>
    <x v="2"/>
  </r>
  <r>
    <n v="965"/>
    <x v="462"/>
    <x v="359"/>
    <d v="2018-04-11T00:00:00"/>
    <s v="First Class"/>
    <x v="354"/>
    <s v="Bryan Spruell"/>
    <x v="2"/>
    <s v="United States"/>
    <s v="New York City"/>
    <x v="15"/>
    <n v="10011"/>
    <x v="3"/>
    <x v="746"/>
    <x v="1"/>
    <x v="2"/>
    <x v="744"/>
    <x v="759"/>
    <x v="3"/>
    <x v="3"/>
  </r>
  <r>
    <n v="966"/>
    <x v="462"/>
    <x v="359"/>
    <d v="2018-04-11T00:00:00"/>
    <s v="First Class"/>
    <x v="354"/>
    <s v="Bryan Spruell"/>
    <x v="2"/>
    <s v="United States"/>
    <s v="New York City"/>
    <x v="15"/>
    <n v="10011"/>
    <x v="3"/>
    <x v="369"/>
    <x v="1"/>
    <x v="6"/>
    <x v="370"/>
    <x v="872"/>
    <x v="3"/>
    <x v="3"/>
  </r>
  <r>
    <n v="967"/>
    <x v="462"/>
    <x v="359"/>
    <d v="2018-04-11T00:00:00"/>
    <s v="First Class"/>
    <x v="354"/>
    <s v="Bryan Spruell"/>
    <x v="2"/>
    <s v="United States"/>
    <s v="New York City"/>
    <x v="15"/>
    <n v="10011"/>
    <x v="3"/>
    <x v="747"/>
    <x v="1"/>
    <x v="10"/>
    <x v="745"/>
    <x v="91"/>
    <x v="3"/>
    <x v="3"/>
  </r>
  <r>
    <n v="968"/>
    <x v="462"/>
    <x v="359"/>
    <d v="2018-04-11T00:00:00"/>
    <s v="First Class"/>
    <x v="354"/>
    <s v="Bryan Spruell"/>
    <x v="2"/>
    <s v="United States"/>
    <s v="New York City"/>
    <x v="15"/>
    <n v="10011"/>
    <x v="3"/>
    <x v="748"/>
    <x v="1"/>
    <x v="10"/>
    <x v="746"/>
    <x v="873"/>
    <x v="3"/>
    <x v="3"/>
  </r>
  <r>
    <n v="969"/>
    <x v="462"/>
    <x v="359"/>
    <d v="2018-04-11T00:00:00"/>
    <s v="First Class"/>
    <x v="354"/>
    <s v="Bryan Spruell"/>
    <x v="2"/>
    <s v="United States"/>
    <s v="New York City"/>
    <x v="15"/>
    <n v="10011"/>
    <x v="3"/>
    <x v="745"/>
    <x v="1"/>
    <x v="2"/>
    <x v="743"/>
    <x v="874"/>
    <x v="3"/>
    <x v="3"/>
  </r>
  <r>
    <n v="970"/>
    <x v="462"/>
    <x v="359"/>
    <d v="2018-04-11T00:00:00"/>
    <s v="First Class"/>
    <x v="354"/>
    <s v="Bryan Spruell"/>
    <x v="2"/>
    <s v="United States"/>
    <s v="New York City"/>
    <x v="15"/>
    <n v="10011"/>
    <x v="3"/>
    <x v="749"/>
    <x v="1"/>
    <x v="4"/>
    <x v="747"/>
    <x v="875"/>
    <x v="3"/>
    <x v="3"/>
  </r>
  <r>
    <n v="971"/>
    <x v="463"/>
    <x v="360"/>
    <d v="2015-01-18T00:00:00"/>
    <s v="Second Class"/>
    <x v="111"/>
    <s v="Delfina Latchford"/>
    <x v="0"/>
    <s v="United States"/>
    <s v="Philadelphia"/>
    <x v="9"/>
    <n v="19134"/>
    <x v="3"/>
    <x v="750"/>
    <x v="0"/>
    <x v="5"/>
    <x v="748"/>
    <x v="876"/>
    <x v="9"/>
    <x v="2"/>
  </r>
  <r>
    <n v="972"/>
    <x v="463"/>
    <x v="360"/>
    <d v="2015-01-18T00:00:00"/>
    <s v="Second Class"/>
    <x v="111"/>
    <s v="Delfina Latchford"/>
    <x v="0"/>
    <s v="United States"/>
    <s v="Philadelphia"/>
    <x v="9"/>
    <n v="19134"/>
    <x v="3"/>
    <x v="302"/>
    <x v="2"/>
    <x v="7"/>
    <x v="302"/>
    <x v="29"/>
    <x v="9"/>
    <x v="2"/>
  </r>
  <r>
    <n v="973"/>
    <x v="463"/>
    <x v="360"/>
    <d v="2015-01-18T00:00:00"/>
    <s v="Second Class"/>
    <x v="111"/>
    <s v="Delfina Latchford"/>
    <x v="0"/>
    <s v="United States"/>
    <s v="Philadelphia"/>
    <x v="9"/>
    <n v="19134"/>
    <x v="3"/>
    <x v="582"/>
    <x v="1"/>
    <x v="8"/>
    <x v="582"/>
    <x v="658"/>
    <x v="9"/>
    <x v="2"/>
  </r>
  <r>
    <n v="974"/>
    <x v="463"/>
    <x v="360"/>
    <d v="2015-01-18T00:00:00"/>
    <s v="Second Class"/>
    <x v="111"/>
    <s v="Delfina Latchford"/>
    <x v="0"/>
    <s v="United States"/>
    <s v="Philadelphia"/>
    <x v="9"/>
    <n v="19134"/>
    <x v="3"/>
    <x v="300"/>
    <x v="1"/>
    <x v="2"/>
    <x v="300"/>
    <x v="877"/>
    <x v="9"/>
    <x v="2"/>
  </r>
  <r>
    <n v="975"/>
    <x v="464"/>
    <x v="361"/>
    <d v="2018-10-08T00:00:00"/>
    <s v="Second Class"/>
    <x v="285"/>
    <s v="Phillina Ober"/>
    <x v="2"/>
    <s v="United States"/>
    <s v="New York City"/>
    <x v="15"/>
    <n v="10011"/>
    <x v="3"/>
    <x v="461"/>
    <x v="2"/>
    <x v="7"/>
    <x v="462"/>
    <x v="878"/>
    <x v="2"/>
    <x v="3"/>
  </r>
  <r>
    <n v="976"/>
    <x v="464"/>
    <x v="361"/>
    <d v="2018-10-08T00:00:00"/>
    <s v="Second Class"/>
    <x v="285"/>
    <s v="Phillina Ober"/>
    <x v="2"/>
    <s v="United States"/>
    <s v="New York City"/>
    <x v="15"/>
    <n v="10011"/>
    <x v="3"/>
    <x v="351"/>
    <x v="1"/>
    <x v="8"/>
    <x v="351"/>
    <x v="373"/>
    <x v="2"/>
    <x v="3"/>
  </r>
  <r>
    <n v="977"/>
    <x v="465"/>
    <x v="362"/>
    <d v="2018-07-15T00:00:00"/>
    <s v="Standard Class"/>
    <x v="143"/>
    <s v="Tamara Dahlen"/>
    <x v="0"/>
    <s v="United States"/>
    <s v="Portland"/>
    <x v="21"/>
    <n v="97206"/>
    <x v="1"/>
    <x v="751"/>
    <x v="1"/>
    <x v="8"/>
    <x v="749"/>
    <x v="879"/>
    <x v="7"/>
    <x v="3"/>
  </r>
  <r>
    <n v="978"/>
    <x v="466"/>
    <x v="363"/>
    <d v="2018-01-10T00:00:00"/>
    <s v="First Class"/>
    <x v="308"/>
    <s v="Bart Watters"/>
    <x v="1"/>
    <s v="United States"/>
    <s v="Detroit"/>
    <x v="12"/>
    <n v="48205"/>
    <x v="2"/>
    <x v="155"/>
    <x v="2"/>
    <x v="15"/>
    <x v="156"/>
    <x v="256"/>
    <x v="9"/>
    <x v="3"/>
  </r>
  <r>
    <n v="979"/>
    <x v="467"/>
    <x v="198"/>
    <d v="2017-05-31T00:00:00"/>
    <s v="First Class"/>
    <x v="355"/>
    <s v="Robert Waldorf"/>
    <x v="0"/>
    <s v="United States"/>
    <s v="Wilmington"/>
    <x v="3"/>
    <n v="28403"/>
    <x v="0"/>
    <x v="520"/>
    <x v="1"/>
    <x v="8"/>
    <x v="520"/>
    <x v="573"/>
    <x v="5"/>
    <x v="0"/>
  </r>
  <r>
    <n v="980"/>
    <x v="468"/>
    <x v="364"/>
    <d v="2016-12-12T00:00:00"/>
    <s v="First Class"/>
    <x v="33"/>
    <s v="Ken Brennan"/>
    <x v="1"/>
    <s v="United States"/>
    <s v="Columbus"/>
    <x v="14"/>
    <n v="47201"/>
    <x v="2"/>
    <x v="752"/>
    <x v="1"/>
    <x v="10"/>
    <x v="750"/>
    <x v="880"/>
    <x v="4"/>
    <x v="1"/>
  </r>
  <r>
    <n v="981"/>
    <x v="469"/>
    <x v="339"/>
    <d v="2017-10-08T00:00:00"/>
    <s v="Standard Class"/>
    <x v="12"/>
    <s v="Emily Burns"/>
    <x v="0"/>
    <s v="United States"/>
    <s v="New York City"/>
    <x v="15"/>
    <n v="10035"/>
    <x v="3"/>
    <x v="637"/>
    <x v="0"/>
    <x v="1"/>
    <x v="637"/>
    <x v="881"/>
    <x v="2"/>
    <x v="0"/>
  </r>
  <r>
    <n v="982"/>
    <x v="470"/>
    <x v="7"/>
    <d v="2015-11-14T00:00:00"/>
    <s v="Second Class"/>
    <x v="356"/>
    <s v="Tracy Zic"/>
    <x v="0"/>
    <s v="United States"/>
    <s v="Louisville"/>
    <x v="22"/>
    <n v="80027"/>
    <x v="1"/>
    <x v="753"/>
    <x v="1"/>
    <x v="6"/>
    <x v="751"/>
    <x v="882"/>
    <x v="0"/>
    <x v="2"/>
  </r>
  <r>
    <n v="983"/>
    <x v="470"/>
    <x v="7"/>
    <d v="2015-11-14T00:00:00"/>
    <s v="Second Class"/>
    <x v="356"/>
    <s v="Tracy Zic"/>
    <x v="0"/>
    <s v="United States"/>
    <s v="Louisville"/>
    <x v="22"/>
    <n v="80027"/>
    <x v="1"/>
    <x v="754"/>
    <x v="2"/>
    <x v="7"/>
    <x v="752"/>
    <x v="883"/>
    <x v="0"/>
    <x v="2"/>
  </r>
  <r>
    <n v="984"/>
    <x v="470"/>
    <x v="7"/>
    <d v="2015-11-14T00:00:00"/>
    <s v="Second Class"/>
    <x v="356"/>
    <s v="Tracy Zic"/>
    <x v="0"/>
    <s v="United States"/>
    <s v="Louisville"/>
    <x v="22"/>
    <n v="80027"/>
    <x v="1"/>
    <x v="662"/>
    <x v="0"/>
    <x v="1"/>
    <x v="662"/>
    <x v="884"/>
    <x v="0"/>
    <x v="2"/>
  </r>
  <r>
    <n v="985"/>
    <x v="471"/>
    <x v="365"/>
    <d v="2018-10-05T00:00:00"/>
    <s v="Standard Class"/>
    <x v="357"/>
    <s v="Ann Steele"/>
    <x v="2"/>
    <s v="United States"/>
    <s v="Pasadena"/>
    <x v="5"/>
    <n v="77506"/>
    <x v="2"/>
    <x v="639"/>
    <x v="1"/>
    <x v="2"/>
    <x v="639"/>
    <x v="885"/>
    <x v="8"/>
    <x v="3"/>
  </r>
  <r>
    <n v="986"/>
    <x v="471"/>
    <x v="365"/>
    <d v="2018-10-05T00:00:00"/>
    <s v="Standard Class"/>
    <x v="357"/>
    <s v="Ann Steele"/>
    <x v="2"/>
    <s v="United States"/>
    <s v="Pasadena"/>
    <x v="5"/>
    <n v="77506"/>
    <x v="2"/>
    <x v="755"/>
    <x v="1"/>
    <x v="12"/>
    <x v="753"/>
    <x v="886"/>
    <x v="8"/>
    <x v="3"/>
  </r>
  <r>
    <n v="987"/>
    <x v="471"/>
    <x v="365"/>
    <d v="2018-10-05T00:00:00"/>
    <s v="Standard Class"/>
    <x v="357"/>
    <s v="Ann Steele"/>
    <x v="2"/>
    <s v="United States"/>
    <s v="Pasadena"/>
    <x v="5"/>
    <n v="77506"/>
    <x v="2"/>
    <x v="756"/>
    <x v="2"/>
    <x v="15"/>
    <x v="754"/>
    <x v="887"/>
    <x v="8"/>
    <x v="3"/>
  </r>
  <r>
    <n v="988"/>
    <x v="472"/>
    <x v="366"/>
    <d v="2016-03-10T00:00:00"/>
    <s v="Same Day"/>
    <x v="358"/>
    <s v="Toby Swindell"/>
    <x v="0"/>
    <s v="United States"/>
    <s v="Houston"/>
    <x v="5"/>
    <n v="77041"/>
    <x v="2"/>
    <x v="757"/>
    <x v="1"/>
    <x v="8"/>
    <x v="755"/>
    <x v="888"/>
    <x v="10"/>
    <x v="1"/>
  </r>
  <r>
    <n v="989"/>
    <x v="473"/>
    <x v="367"/>
    <d v="2018-05-26T00:00:00"/>
    <s v="Standard Class"/>
    <x v="189"/>
    <s v="John Grady"/>
    <x v="1"/>
    <s v="United States"/>
    <s v="Auburn"/>
    <x v="15"/>
    <n v="13021"/>
    <x v="3"/>
    <x v="575"/>
    <x v="0"/>
    <x v="5"/>
    <x v="575"/>
    <x v="889"/>
    <x v="5"/>
    <x v="3"/>
  </r>
  <r>
    <n v="990"/>
    <x v="473"/>
    <x v="367"/>
    <d v="2018-05-26T00:00:00"/>
    <s v="Standard Class"/>
    <x v="189"/>
    <s v="John Grady"/>
    <x v="1"/>
    <s v="United States"/>
    <s v="Auburn"/>
    <x v="15"/>
    <n v="13021"/>
    <x v="3"/>
    <x v="758"/>
    <x v="1"/>
    <x v="6"/>
    <x v="756"/>
    <x v="890"/>
    <x v="5"/>
    <x v="3"/>
  </r>
  <r>
    <n v="991"/>
    <x v="474"/>
    <x v="368"/>
    <d v="2016-03-31T00:00:00"/>
    <s v="Second Class"/>
    <x v="359"/>
    <s v="Sara Luxemburg"/>
    <x v="2"/>
    <s v="United States"/>
    <s v="Jacksonville"/>
    <x v="2"/>
    <n v="32216"/>
    <x v="0"/>
    <x v="284"/>
    <x v="0"/>
    <x v="1"/>
    <x v="284"/>
    <x v="891"/>
    <x v="10"/>
    <x v="1"/>
  </r>
  <r>
    <n v="992"/>
    <x v="475"/>
    <x v="369"/>
    <d v="2017-09-11T00:00:00"/>
    <s v="First Class"/>
    <x v="59"/>
    <s v="Troy Staebel"/>
    <x v="0"/>
    <s v="United States"/>
    <s v="New York City"/>
    <x v="15"/>
    <n v="10024"/>
    <x v="3"/>
    <x v="624"/>
    <x v="1"/>
    <x v="8"/>
    <x v="624"/>
    <x v="892"/>
    <x v="8"/>
    <x v="0"/>
  </r>
  <r>
    <n v="993"/>
    <x v="476"/>
    <x v="370"/>
    <d v="2017-08-27T00:00:00"/>
    <s v="First Class"/>
    <x v="288"/>
    <s v="Roland Fjeld"/>
    <x v="0"/>
    <s v="United States"/>
    <s v="San Jose"/>
    <x v="1"/>
    <n v="95123"/>
    <x v="1"/>
    <x v="263"/>
    <x v="1"/>
    <x v="13"/>
    <x v="263"/>
    <x v="893"/>
    <x v="6"/>
    <x v="0"/>
  </r>
  <r>
    <n v="994"/>
    <x v="476"/>
    <x v="370"/>
    <d v="2017-08-27T00:00:00"/>
    <s v="First Class"/>
    <x v="288"/>
    <s v="Roland Fjeld"/>
    <x v="0"/>
    <s v="United States"/>
    <s v="San Jose"/>
    <x v="1"/>
    <n v="95123"/>
    <x v="1"/>
    <x v="759"/>
    <x v="1"/>
    <x v="10"/>
    <x v="757"/>
    <x v="894"/>
    <x v="6"/>
    <x v="0"/>
  </r>
  <r>
    <n v="995"/>
    <x v="477"/>
    <x v="371"/>
    <d v="2015-05-25T00:00:00"/>
    <s v="Standard Class"/>
    <x v="360"/>
    <s v="Mitch Willingham"/>
    <x v="1"/>
    <s v="United States"/>
    <s v="Virginia Beach"/>
    <x v="17"/>
    <n v="23464"/>
    <x v="0"/>
    <x v="760"/>
    <x v="1"/>
    <x v="8"/>
    <x v="758"/>
    <x v="895"/>
    <x v="5"/>
    <x v="2"/>
  </r>
  <r>
    <n v="996"/>
    <x v="477"/>
    <x v="371"/>
    <d v="2015-05-25T00:00:00"/>
    <s v="Standard Class"/>
    <x v="360"/>
    <s v="Mitch Willingham"/>
    <x v="1"/>
    <s v="United States"/>
    <s v="Virginia Beach"/>
    <x v="17"/>
    <n v="23464"/>
    <x v="0"/>
    <x v="638"/>
    <x v="2"/>
    <x v="7"/>
    <x v="759"/>
    <x v="896"/>
    <x v="5"/>
    <x v="2"/>
  </r>
  <r>
    <n v="997"/>
    <x v="478"/>
    <x v="372"/>
    <d v="2016-11-03T00:00:00"/>
    <s v="Standard Class"/>
    <x v="361"/>
    <s v="Rob Dowd"/>
    <x v="0"/>
    <s v="United States"/>
    <s v="Henderson"/>
    <x v="0"/>
    <n v="42420"/>
    <x v="0"/>
    <x v="761"/>
    <x v="1"/>
    <x v="12"/>
    <x v="760"/>
    <x v="897"/>
    <x v="2"/>
    <x v="1"/>
  </r>
  <r>
    <n v="998"/>
    <x v="478"/>
    <x v="372"/>
    <d v="2016-11-03T00:00:00"/>
    <s v="Standard Class"/>
    <x v="361"/>
    <s v="Rob Dowd"/>
    <x v="0"/>
    <s v="United States"/>
    <s v="Henderson"/>
    <x v="0"/>
    <n v="42420"/>
    <x v="0"/>
    <x v="762"/>
    <x v="1"/>
    <x v="4"/>
    <x v="761"/>
    <x v="898"/>
    <x v="2"/>
    <x v="1"/>
  </r>
  <r>
    <n v="999"/>
    <x v="478"/>
    <x v="372"/>
    <d v="2016-11-03T00:00:00"/>
    <s v="Standard Class"/>
    <x v="361"/>
    <s v="Rob Dowd"/>
    <x v="0"/>
    <s v="United States"/>
    <s v="Henderson"/>
    <x v="0"/>
    <n v="42420"/>
    <x v="0"/>
    <x v="763"/>
    <x v="0"/>
    <x v="5"/>
    <x v="762"/>
    <x v="899"/>
    <x v="2"/>
    <x v="1"/>
  </r>
  <r>
    <n v="1000"/>
    <x v="478"/>
    <x v="372"/>
    <d v="2016-11-03T00:00:00"/>
    <s v="Standard Class"/>
    <x v="361"/>
    <s v="Rob Dowd"/>
    <x v="0"/>
    <s v="United States"/>
    <s v="Henderson"/>
    <x v="0"/>
    <n v="42420"/>
    <x v="0"/>
    <x v="283"/>
    <x v="0"/>
    <x v="5"/>
    <x v="283"/>
    <x v="900"/>
    <x v="2"/>
    <x v="1"/>
  </r>
  <r>
    <n v="1001"/>
    <x v="479"/>
    <x v="373"/>
    <d v="2017-11-17T00:00:00"/>
    <s v="Standard Class"/>
    <x v="86"/>
    <s v="Frank Merwin"/>
    <x v="2"/>
    <s v="United States"/>
    <s v="Vancouver"/>
    <x v="4"/>
    <n v="98661"/>
    <x v="1"/>
    <x v="666"/>
    <x v="1"/>
    <x v="6"/>
    <x v="666"/>
    <x v="901"/>
    <x v="0"/>
    <x v="0"/>
  </r>
  <r>
    <n v="1002"/>
    <x v="480"/>
    <x v="374"/>
    <d v="2016-07-31T00:00:00"/>
    <s v="Same Day"/>
    <x v="302"/>
    <s v="Rick Hansen"/>
    <x v="0"/>
    <s v="United States"/>
    <s v="New York City"/>
    <x v="15"/>
    <n v="10024"/>
    <x v="3"/>
    <x v="764"/>
    <x v="2"/>
    <x v="11"/>
    <x v="763"/>
    <x v="902"/>
    <x v="7"/>
    <x v="1"/>
  </r>
  <r>
    <n v="1003"/>
    <x v="480"/>
    <x v="374"/>
    <d v="2016-07-31T00:00:00"/>
    <s v="Same Day"/>
    <x v="302"/>
    <s v="Rick Hansen"/>
    <x v="0"/>
    <s v="United States"/>
    <s v="New York City"/>
    <x v="15"/>
    <n v="10024"/>
    <x v="3"/>
    <x v="257"/>
    <x v="0"/>
    <x v="3"/>
    <x v="258"/>
    <x v="903"/>
    <x v="7"/>
    <x v="1"/>
  </r>
  <r>
    <n v="1004"/>
    <x v="480"/>
    <x v="374"/>
    <d v="2016-07-31T00:00:00"/>
    <s v="Same Day"/>
    <x v="302"/>
    <s v="Rick Hansen"/>
    <x v="0"/>
    <s v="United States"/>
    <s v="New York City"/>
    <x v="15"/>
    <n v="10024"/>
    <x v="3"/>
    <x v="747"/>
    <x v="1"/>
    <x v="10"/>
    <x v="745"/>
    <x v="537"/>
    <x v="7"/>
    <x v="1"/>
  </r>
  <r>
    <n v="1005"/>
    <x v="481"/>
    <x v="375"/>
    <d v="2016-08-31T00:00:00"/>
    <s v="Standard Class"/>
    <x v="362"/>
    <s v="Ryan Akin"/>
    <x v="0"/>
    <s v="United States"/>
    <s v="Murrieta"/>
    <x v="1"/>
    <n v="92563"/>
    <x v="1"/>
    <x v="765"/>
    <x v="1"/>
    <x v="4"/>
    <x v="764"/>
    <x v="904"/>
    <x v="6"/>
    <x v="1"/>
  </r>
  <r>
    <n v="1006"/>
    <x v="482"/>
    <x v="50"/>
    <d v="2016-11-17T00:00:00"/>
    <s v="Standard Class"/>
    <x v="300"/>
    <s v="Joe Kamberova"/>
    <x v="0"/>
    <s v="United States"/>
    <s v="Jacksonville"/>
    <x v="3"/>
    <n v="28540"/>
    <x v="0"/>
    <x v="694"/>
    <x v="1"/>
    <x v="10"/>
    <x v="694"/>
    <x v="905"/>
    <x v="0"/>
    <x v="1"/>
  </r>
  <r>
    <n v="1007"/>
    <x v="483"/>
    <x v="376"/>
    <d v="2016-11-09T00:00:00"/>
    <s v="First Class"/>
    <x v="363"/>
    <s v="Meg Tillman"/>
    <x v="0"/>
    <s v="United States"/>
    <s v="Scottsdale"/>
    <x v="16"/>
    <n v="85254"/>
    <x v="1"/>
    <x v="111"/>
    <x v="1"/>
    <x v="12"/>
    <x v="111"/>
    <x v="906"/>
    <x v="0"/>
    <x v="1"/>
  </r>
  <r>
    <n v="1008"/>
    <x v="483"/>
    <x v="376"/>
    <d v="2016-11-09T00:00:00"/>
    <s v="First Class"/>
    <x v="363"/>
    <s v="Meg Tillman"/>
    <x v="0"/>
    <s v="United States"/>
    <s v="Scottsdale"/>
    <x v="16"/>
    <n v="85254"/>
    <x v="1"/>
    <x v="766"/>
    <x v="1"/>
    <x v="8"/>
    <x v="765"/>
    <x v="907"/>
    <x v="0"/>
    <x v="1"/>
  </r>
  <r>
    <n v="1009"/>
    <x v="484"/>
    <x v="377"/>
    <d v="2019-01-01T00:00:00"/>
    <s v="Standard Class"/>
    <x v="138"/>
    <s v="Patrick O'Brill"/>
    <x v="0"/>
    <s v="United States"/>
    <s v="Burlington"/>
    <x v="23"/>
    <n v="52601"/>
    <x v="2"/>
    <x v="422"/>
    <x v="1"/>
    <x v="10"/>
    <x v="422"/>
    <x v="908"/>
    <x v="4"/>
    <x v="3"/>
  </r>
  <r>
    <n v="1010"/>
    <x v="485"/>
    <x v="378"/>
    <d v="2018-08-03T00:00:00"/>
    <s v="First Class"/>
    <x v="247"/>
    <s v="Annie Thurman"/>
    <x v="0"/>
    <s v="United States"/>
    <s v="Chicago"/>
    <x v="10"/>
    <n v="60653"/>
    <x v="2"/>
    <x v="160"/>
    <x v="2"/>
    <x v="7"/>
    <x v="161"/>
    <x v="909"/>
    <x v="6"/>
    <x v="3"/>
  </r>
  <r>
    <n v="1011"/>
    <x v="486"/>
    <x v="156"/>
    <d v="2015-11-26T00:00:00"/>
    <s v="First Class"/>
    <x v="364"/>
    <s v="Vivek Gonzalez"/>
    <x v="0"/>
    <s v="United States"/>
    <s v="San Diego"/>
    <x v="1"/>
    <n v="92037"/>
    <x v="1"/>
    <x v="767"/>
    <x v="0"/>
    <x v="5"/>
    <x v="766"/>
    <x v="910"/>
    <x v="0"/>
    <x v="2"/>
  </r>
  <r>
    <n v="1012"/>
    <x v="487"/>
    <x v="46"/>
    <d v="2018-06-21T00:00:00"/>
    <s v="Second Class"/>
    <x v="58"/>
    <s v="Philip Fox"/>
    <x v="0"/>
    <s v="United States"/>
    <s v="Olympia"/>
    <x v="4"/>
    <n v="98502"/>
    <x v="1"/>
    <x v="28"/>
    <x v="0"/>
    <x v="5"/>
    <x v="28"/>
    <x v="911"/>
    <x v="1"/>
    <x v="3"/>
  </r>
  <r>
    <n v="1013"/>
    <x v="487"/>
    <x v="46"/>
    <d v="2018-06-21T00:00:00"/>
    <s v="Second Class"/>
    <x v="58"/>
    <s v="Philip Fox"/>
    <x v="0"/>
    <s v="United States"/>
    <s v="Olympia"/>
    <x v="4"/>
    <n v="98502"/>
    <x v="1"/>
    <x v="768"/>
    <x v="1"/>
    <x v="4"/>
    <x v="767"/>
    <x v="912"/>
    <x v="1"/>
    <x v="3"/>
  </r>
  <r>
    <n v="1014"/>
    <x v="488"/>
    <x v="379"/>
    <d v="2016-12-24T00:00:00"/>
    <s v="Second Class"/>
    <x v="365"/>
    <s v="John Stevenson"/>
    <x v="0"/>
    <s v="United States"/>
    <s v="Seattle"/>
    <x v="4"/>
    <n v="98103"/>
    <x v="1"/>
    <x v="209"/>
    <x v="0"/>
    <x v="3"/>
    <x v="210"/>
    <x v="913"/>
    <x v="4"/>
    <x v="1"/>
  </r>
  <r>
    <n v="1015"/>
    <x v="488"/>
    <x v="379"/>
    <d v="2016-12-24T00:00:00"/>
    <s v="Second Class"/>
    <x v="365"/>
    <s v="John Stevenson"/>
    <x v="0"/>
    <s v="United States"/>
    <s v="Seattle"/>
    <x v="4"/>
    <n v="98103"/>
    <x v="1"/>
    <x v="769"/>
    <x v="2"/>
    <x v="11"/>
    <x v="768"/>
    <x v="914"/>
    <x v="4"/>
    <x v="1"/>
  </r>
  <r>
    <n v="1016"/>
    <x v="489"/>
    <x v="14"/>
    <d v="2016-09-19T00:00:00"/>
    <s v="Second Class"/>
    <x v="246"/>
    <s v="Meg O'Connel"/>
    <x v="2"/>
    <s v="United States"/>
    <s v="Los Angeles"/>
    <x v="1"/>
    <n v="90036"/>
    <x v="1"/>
    <x v="260"/>
    <x v="1"/>
    <x v="10"/>
    <x v="260"/>
    <x v="56"/>
    <x v="8"/>
    <x v="1"/>
  </r>
  <r>
    <n v="1017"/>
    <x v="490"/>
    <x v="380"/>
    <d v="2016-07-10T00:00:00"/>
    <s v="Standard Class"/>
    <x v="366"/>
    <s v="Kalyca Meade"/>
    <x v="1"/>
    <s v="United States"/>
    <s v="New York City"/>
    <x v="15"/>
    <n v="10011"/>
    <x v="3"/>
    <x v="770"/>
    <x v="0"/>
    <x v="5"/>
    <x v="769"/>
    <x v="540"/>
    <x v="7"/>
    <x v="1"/>
  </r>
  <r>
    <n v="1018"/>
    <x v="490"/>
    <x v="380"/>
    <d v="2016-07-10T00:00:00"/>
    <s v="Standard Class"/>
    <x v="366"/>
    <s v="Kalyca Meade"/>
    <x v="1"/>
    <s v="United States"/>
    <s v="New York City"/>
    <x v="15"/>
    <n v="10011"/>
    <x v="3"/>
    <x v="689"/>
    <x v="0"/>
    <x v="5"/>
    <x v="689"/>
    <x v="816"/>
    <x v="7"/>
    <x v="1"/>
  </r>
  <r>
    <n v="1019"/>
    <x v="490"/>
    <x v="380"/>
    <d v="2016-07-10T00:00:00"/>
    <s v="Standard Class"/>
    <x v="366"/>
    <s v="Kalyca Meade"/>
    <x v="1"/>
    <s v="United States"/>
    <s v="New York City"/>
    <x v="15"/>
    <n v="10011"/>
    <x v="3"/>
    <x v="771"/>
    <x v="2"/>
    <x v="7"/>
    <x v="770"/>
    <x v="915"/>
    <x v="7"/>
    <x v="1"/>
  </r>
  <r>
    <n v="1020"/>
    <x v="490"/>
    <x v="380"/>
    <d v="2016-07-10T00:00:00"/>
    <s v="Standard Class"/>
    <x v="366"/>
    <s v="Kalyca Meade"/>
    <x v="1"/>
    <s v="United States"/>
    <s v="New York City"/>
    <x v="15"/>
    <n v="10011"/>
    <x v="3"/>
    <x v="772"/>
    <x v="1"/>
    <x v="4"/>
    <x v="771"/>
    <x v="916"/>
    <x v="7"/>
    <x v="1"/>
  </r>
  <r>
    <n v="1021"/>
    <x v="491"/>
    <x v="381"/>
    <d v="2016-05-03T00:00:00"/>
    <s v="Standard Class"/>
    <x v="218"/>
    <s v="Greg Tran"/>
    <x v="0"/>
    <s v="United States"/>
    <s v="Washington"/>
    <x v="40"/>
    <n v="20016"/>
    <x v="3"/>
    <x v="773"/>
    <x v="1"/>
    <x v="6"/>
    <x v="772"/>
    <x v="917"/>
    <x v="3"/>
    <x v="1"/>
  </r>
  <r>
    <n v="1022"/>
    <x v="491"/>
    <x v="381"/>
    <d v="2016-05-03T00:00:00"/>
    <s v="Standard Class"/>
    <x v="218"/>
    <s v="Greg Tran"/>
    <x v="0"/>
    <s v="United States"/>
    <s v="Washington"/>
    <x v="40"/>
    <n v="20016"/>
    <x v="3"/>
    <x v="774"/>
    <x v="0"/>
    <x v="1"/>
    <x v="773"/>
    <x v="918"/>
    <x v="3"/>
    <x v="1"/>
  </r>
  <r>
    <n v="1023"/>
    <x v="491"/>
    <x v="381"/>
    <d v="2016-05-03T00:00:00"/>
    <s v="Standard Class"/>
    <x v="218"/>
    <s v="Greg Tran"/>
    <x v="0"/>
    <s v="United States"/>
    <s v="Washington"/>
    <x v="40"/>
    <n v="20016"/>
    <x v="3"/>
    <x v="775"/>
    <x v="2"/>
    <x v="15"/>
    <x v="774"/>
    <x v="919"/>
    <x v="3"/>
    <x v="1"/>
  </r>
  <r>
    <n v="1024"/>
    <x v="492"/>
    <x v="382"/>
    <d v="2016-06-20T00:00:00"/>
    <s v="Standard Class"/>
    <x v="171"/>
    <s v="Philip Brown"/>
    <x v="0"/>
    <s v="United States"/>
    <s v="Philadelphia"/>
    <x v="9"/>
    <n v="19134"/>
    <x v="3"/>
    <x v="776"/>
    <x v="1"/>
    <x v="12"/>
    <x v="775"/>
    <x v="920"/>
    <x v="1"/>
    <x v="1"/>
  </r>
  <r>
    <n v="1025"/>
    <x v="493"/>
    <x v="94"/>
    <d v="2018-12-20T00:00:00"/>
    <s v="First Class"/>
    <x v="367"/>
    <s v="Hallie Redmond"/>
    <x v="2"/>
    <s v="United States"/>
    <s v="Los Angeles"/>
    <x v="1"/>
    <n v="90045"/>
    <x v="1"/>
    <x v="777"/>
    <x v="1"/>
    <x v="8"/>
    <x v="776"/>
    <x v="921"/>
    <x v="4"/>
    <x v="3"/>
  </r>
  <r>
    <n v="1026"/>
    <x v="494"/>
    <x v="383"/>
    <d v="2017-01-13T00:00:00"/>
    <s v="Second Class"/>
    <x v="368"/>
    <s v="Deanra Eno"/>
    <x v="2"/>
    <s v="United States"/>
    <s v="Springfield"/>
    <x v="24"/>
    <n v="45503"/>
    <x v="3"/>
    <x v="778"/>
    <x v="1"/>
    <x v="10"/>
    <x v="777"/>
    <x v="12"/>
    <x v="9"/>
    <x v="0"/>
  </r>
  <r>
    <n v="1027"/>
    <x v="494"/>
    <x v="383"/>
    <d v="2017-01-13T00:00:00"/>
    <s v="Second Class"/>
    <x v="368"/>
    <s v="Deanra Eno"/>
    <x v="2"/>
    <s v="United States"/>
    <s v="Springfield"/>
    <x v="24"/>
    <n v="45503"/>
    <x v="3"/>
    <x v="779"/>
    <x v="1"/>
    <x v="10"/>
    <x v="778"/>
    <x v="922"/>
    <x v="9"/>
    <x v="0"/>
  </r>
  <r>
    <n v="1028"/>
    <x v="494"/>
    <x v="383"/>
    <d v="2017-01-13T00:00:00"/>
    <s v="Second Class"/>
    <x v="368"/>
    <s v="Deanra Eno"/>
    <x v="2"/>
    <s v="United States"/>
    <s v="Springfield"/>
    <x v="24"/>
    <n v="45503"/>
    <x v="3"/>
    <x v="780"/>
    <x v="2"/>
    <x v="7"/>
    <x v="779"/>
    <x v="923"/>
    <x v="9"/>
    <x v="0"/>
  </r>
  <r>
    <n v="1029"/>
    <x v="495"/>
    <x v="384"/>
    <d v="2015-07-15T00:00:00"/>
    <s v="Standard Class"/>
    <x v="156"/>
    <s v="Laura Armstrong"/>
    <x v="1"/>
    <s v="United States"/>
    <s v="Hackensack"/>
    <x v="30"/>
    <n v="7601"/>
    <x v="3"/>
    <x v="258"/>
    <x v="1"/>
    <x v="10"/>
    <x v="33"/>
    <x v="924"/>
    <x v="7"/>
    <x v="2"/>
  </r>
  <r>
    <n v="1030"/>
    <x v="495"/>
    <x v="384"/>
    <d v="2015-07-15T00:00:00"/>
    <s v="Standard Class"/>
    <x v="156"/>
    <s v="Laura Armstrong"/>
    <x v="1"/>
    <s v="United States"/>
    <s v="Hackensack"/>
    <x v="30"/>
    <n v="7601"/>
    <x v="3"/>
    <x v="781"/>
    <x v="2"/>
    <x v="7"/>
    <x v="780"/>
    <x v="925"/>
    <x v="7"/>
    <x v="2"/>
  </r>
  <r>
    <n v="1031"/>
    <x v="495"/>
    <x v="384"/>
    <d v="2015-07-15T00:00:00"/>
    <s v="Standard Class"/>
    <x v="156"/>
    <s v="Laura Armstrong"/>
    <x v="1"/>
    <s v="United States"/>
    <s v="Hackensack"/>
    <x v="30"/>
    <n v="7601"/>
    <x v="3"/>
    <x v="463"/>
    <x v="0"/>
    <x v="1"/>
    <x v="464"/>
    <x v="926"/>
    <x v="7"/>
    <x v="2"/>
  </r>
  <r>
    <n v="1032"/>
    <x v="495"/>
    <x v="384"/>
    <d v="2015-07-15T00:00:00"/>
    <s v="Standard Class"/>
    <x v="156"/>
    <s v="Laura Armstrong"/>
    <x v="1"/>
    <s v="United States"/>
    <s v="Hackensack"/>
    <x v="30"/>
    <n v="7601"/>
    <x v="3"/>
    <x v="93"/>
    <x v="0"/>
    <x v="5"/>
    <x v="93"/>
    <x v="927"/>
    <x v="7"/>
    <x v="2"/>
  </r>
  <r>
    <n v="1033"/>
    <x v="495"/>
    <x v="384"/>
    <d v="2015-07-15T00:00:00"/>
    <s v="Standard Class"/>
    <x v="156"/>
    <s v="Laura Armstrong"/>
    <x v="1"/>
    <s v="United States"/>
    <s v="Hackensack"/>
    <x v="30"/>
    <n v="7601"/>
    <x v="3"/>
    <x v="782"/>
    <x v="1"/>
    <x v="2"/>
    <x v="781"/>
    <x v="928"/>
    <x v="7"/>
    <x v="2"/>
  </r>
  <r>
    <n v="1034"/>
    <x v="496"/>
    <x v="73"/>
    <d v="2017-11-22T00:00:00"/>
    <s v="First Class"/>
    <x v="369"/>
    <s v="Allen Goldenen"/>
    <x v="0"/>
    <s v="United States"/>
    <s v="Cincinnati"/>
    <x v="24"/>
    <n v="45231"/>
    <x v="3"/>
    <x v="783"/>
    <x v="1"/>
    <x v="10"/>
    <x v="782"/>
    <x v="929"/>
    <x v="0"/>
    <x v="0"/>
  </r>
  <r>
    <n v="1035"/>
    <x v="496"/>
    <x v="73"/>
    <d v="2017-11-22T00:00:00"/>
    <s v="First Class"/>
    <x v="369"/>
    <s v="Allen Goldenen"/>
    <x v="0"/>
    <s v="United States"/>
    <s v="Cincinnati"/>
    <x v="24"/>
    <n v="45231"/>
    <x v="3"/>
    <x v="236"/>
    <x v="1"/>
    <x v="8"/>
    <x v="237"/>
    <x v="930"/>
    <x v="0"/>
    <x v="0"/>
  </r>
  <r>
    <n v="1036"/>
    <x v="496"/>
    <x v="73"/>
    <d v="2017-11-22T00:00:00"/>
    <s v="First Class"/>
    <x v="369"/>
    <s v="Allen Goldenen"/>
    <x v="0"/>
    <s v="United States"/>
    <s v="Cincinnati"/>
    <x v="24"/>
    <n v="45231"/>
    <x v="3"/>
    <x v="27"/>
    <x v="1"/>
    <x v="8"/>
    <x v="27"/>
    <x v="931"/>
    <x v="0"/>
    <x v="0"/>
  </r>
  <r>
    <n v="1037"/>
    <x v="497"/>
    <x v="183"/>
    <d v="2017-04-26T00:00:00"/>
    <s v="Standard Class"/>
    <x v="330"/>
    <s v="Ed Ludwig"/>
    <x v="2"/>
    <s v="United States"/>
    <s v="Jefferson City"/>
    <x v="25"/>
    <n v="65109"/>
    <x v="2"/>
    <x v="784"/>
    <x v="0"/>
    <x v="5"/>
    <x v="783"/>
    <x v="932"/>
    <x v="3"/>
    <x v="0"/>
  </r>
  <r>
    <n v="1038"/>
    <x v="498"/>
    <x v="385"/>
    <d v="2016-06-14T00:00:00"/>
    <s v="First Class"/>
    <x v="370"/>
    <s v="Jennifer Jackson"/>
    <x v="0"/>
    <s v="United States"/>
    <s v="Los Angeles"/>
    <x v="1"/>
    <n v="90004"/>
    <x v="1"/>
    <x v="785"/>
    <x v="1"/>
    <x v="8"/>
    <x v="784"/>
    <x v="933"/>
    <x v="1"/>
    <x v="1"/>
  </r>
  <r>
    <n v="1039"/>
    <x v="499"/>
    <x v="225"/>
    <d v="2018-11-21T00:00:00"/>
    <s v="First Class"/>
    <x v="371"/>
    <s v="Jennifer Halladay"/>
    <x v="0"/>
    <s v="United States"/>
    <s v="Burlington"/>
    <x v="3"/>
    <n v="27217"/>
    <x v="0"/>
    <x v="786"/>
    <x v="1"/>
    <x v="6"/>
    <x v="785"/>
    <x v="934"/>
    <x v="0"/>
    <x v="3"/>
  </r>
  <r>
    <n v="1040"/>
    <x v="499"/>
    <x v="225"/>
    <d v="2018-11-21T00:00:00"/>
    <s v="First Class"/>
    <x v="371"/>
    <s v="Jennifer Halladay"/>
    <x v="0"/>
    <s v="United States"/>
    <s v="Burlington"/>
    <x v="3"/>
    <n v="27217"/>
    <x v="0"/>
    <x v="787"/>
    <x v="1"/>
    <x v="6"/>
    <x v="772"/>
    <x v="935"/>
    <x v="0"/>
    <x v="3"/>
  </r>
  <r>
    <n v="1041"/>
    <x v="500"/>
    <x v="231"/>
    <d v="2017-03-24T00:00:00"/>
    <s v="Standard Class"/>
    <x v="372"/>
    <s v="Robert Dilbeck"/>
    <x v="2"/>
    <s v="United States"/>
    <s v="Saint Peters"/>
    <x v="25"/>
    <n v="63376"/>
    <x v="2"/>
    <x v="616"/>
    <x v="0"/>
    <x v="3"/>
    <x v="616"/>
    <x v="936"/>
    <x v="10"/>
    <x v="0"/>
  </r>
  <r>
    <n v="1042"/>
    <x v="501"/>
    <x v="47"/>
    <d v="2017-09-09T00:00:00"/>
    <s v="Second Class"/>
    <x v="373"/>
    <s v="Mary O'Rourke"/>
    <x v="0"/>
    <s v="United States"/>
    <s v="New York City"/>
    <x v="15"/>
    <n v="10035"/>
    <x v="3"/>
    <x v="788"/>
    <x v="2"/>
    <x v="11"/>
    <x v="786"/>
    <x v="937"/>
    <x v="8"/>
    <x v="0"/>
  </r>
  <r>
    <n v="1043"/>
    <x v="501"/>
    <x v="47"/>
    <d v="2017-09-09T00:00:00"/>
    <s v="Second Class"/>
    <x v="373"/>
    <s v="Mary O'Rourke"/>
    <x v="0"/>
    <s v="United States"/>
    <s v="New York City"/>
    <x v="15"/>
    <n v="10035"/>
    <x v="3"/>
    <x v="789"/>
    <x v="0"/>
    <x v="0"/>
    <x v="787"/>
    <x v="938"/>
    <x v="8"/>
    <x v="0"/>
  </r>
  <r>
    <n v="1044"/>
    <x v="502"/>
    <x v="362"/>
    <d v="2018-07-12T00:00:00"/>
    <s v="First Class"/>
    <x v="374"/>
    <s v="Noel Staavos"/>
    <x v="1"/>
    <s v="United States"/>
    <s v="Chicago"/>
    <x v="10"/>
    <n v="60610"/>
    <x v="2"/>
    <x v="790"/>
    <x v="1"/>
    <x v="6"/>
    <x v="788"/>
    <x v="939"/>
    <x v="7"/>
    <x v="3"/>
  </r>
  <r>
    <n v="1045"/>
    <x v="502"/>
    <x v="362"/>
    <d v="2018-07-12T00:00:00"/>
    <s v="First Class"/>
    <x v="374"/>
    <s v="Noel Staavos"/>
    <x v="1"/>
    <s v="United States"/>
    <s v="Chicago"/>
    <x v="10"/>
    <n v="60610"/>
    <x v="2"/>
    <x v="791"/>
    <x v="1"/>
    <x v="9"/>
    <x v="789"/>
    <x v="940"/>
    <x v="7"/>
    <x v="3"/>
  </r>
  <r>
    <n v="1046"/>
    <x v="503"/>
    <x v="386"/>
    <d v="2018-10-16T00:00:00"/>
    <s v="Standard Class"/>
    <x v="17"/>
    <s v="Steve Nguyen"/>
    <x v="2"/>
    <s v="United States"/>
    <s v="Rockford"/>
    <x v="10"/>
    <n v="61107"/>
    <x v="2"/>
    <x v="792"/>
    <x v="0"/>
    <x v="1"/>
    <x v="790"/>
    <x v="941"/>
    <x v="2"/>
    <x v="3"/>
  </r>
  <r>
    <n v="1047"/>
    <x v="504"/>
    <x v="387"/>
    <d v="2017-03-13T00:00:00"/>
    <s v="Standard Class"/>
    <x v="233"/>
    <s v="Zuschuss Carroll"/>
    <x v="0"/>
    <s v="United States"/>
    <s v="Miami"/>
    <x v="2"/>
    <n v="33142"/>
    <x v="0"/>
    <x v="638"/>
    <x v="2"/>
    <x v="7"/>
    <x v="638"/>
    <x v="738"/>
    <x v="10"/>
    <x v="0"/>
  </r>
  <r>
    <n v="1048"/>
    <x v="504"/>
    <x v="387"/>
    <d v="2017-03-13T00:00:00"/>
    <s v="Standard Class"/>
    <x v="233"/>
    <s v="Zuschuss Carroll"/>
    <x v="0"/>
    <s v="United States"/>
    <s v="Miami"/>
    <x v="2"/>
    <n v="33142"/>
    <x v="0"/>
    <x v="101"/>
    <x v="0"/>
    <x v="5"/>
    <x v="101"/>
    <x v="102"/>
    <x v="10"/>
    <x v="0"/>
  </r>
  <r>
    <n v="1049"/>
    <x v="505"/>
    <x v="279"/>
    <d v="2015-06-01T00:00:00"/>
    <s v="Second Class"/>
    <x v="62"/>
    <s v="Lena Creighton"/>
    <x v="0"/>
    <s v="United States"/>
    <s v="San Francisco"/>
    <x v="1"/>
    <n v="94109"/>
    <x v="1"/>
    <x v="39"/>
    <x v="2"/>
    <x v="7"/>
    <x v="39"/>
    <x v="942"/>
    <x v="5"/>
    <x v="2"/>
  </r>
  <r>
    <n v="1050"/>
    <x v="505"/>
    <x v="279"/>
    <d v="2015-06-01T00:00:00"/>
    <s v="Second Class"/>
    <x v="62"/>
    <s v="Lena Creighton"/>
    <x v="0"/>
    <s v="United States"/>
    <s v="San Francisco"/>
    <x v="1"/>
    <n v="94109"/>
    <x v="1"/>
    <x v="590"/>
    <x v="2"/>
    <x v="11"/>
    <x v="590"/>
    <x v="311"/>
    <x v="5"/>
    <x v="2"/>
  </r>
  <r>
    <n v="1051"/>
    <x v="506"/>
    <x v="230"/>
    <d v="2016-07-05T00:00:00"/>
    <s v="First Class"/>
    <x v="375"/>
    <s v="Deirdre Greer"/>
    <x v="1"/>
    <s v="United States"/>
    <s v="Philadelphia"/>
    <x v="9"/>
    <n v="19134"/>
    <x v="3"/>
    <x v="793"/>
    <x v="0"/>
    <x v="5"/>
    <x v="791"/>
    <x v="943"/>
    <x v="7"/>
    <x v="1"/>
  </r>
  <r>
    <n v="1052"/>
    <x v="506"/>
    <x v="230"/>
    <d v="2016-07-05T00:00:00"/>
    <s v="First Class"/>
    <x v="375"/>
    <s v="Deirdre Greer"/>
    <x v="1"/>
    <s v="United States"/>
    <s v="Philadelphia"/>
    <x v="9"/>
    <n v="19134"/>
    <x v="3"/>
    <x v="794"/>
    <x v="1"/>
    <x v="10"/>
    <x v="792"/>
    <x v="944"/>
    <x v="7"/>
    <x v="1"/>
  </r>
  <r>
    <n v="1053"/>
    <x v="506"/>
    <x v="230"/>
    <d v="2016-07-05T00:00:00"/>
    <s v="First Class"/>
    <x v="375"/>
    <s v="Deirdre Greer"/>
    <x v="1"/>
    <s v="United States"/>
    <s v="Philadelphia"/>
    <x v="9"/>
    <n v="19134"/>
    <x v="3"/>
    <x v="795"/>
    <x v="0"/>
    <x v="5"/>
    <x v="793"/>
    <x v="945"/>
    <x v="7"/>
    <x v="1"/>
  </r>
  <r>
    <n v="1054"/>
    <x v="507"/>
    <x v="388"/>
    <d v="2016-04-08T00:00:00"/>
    <s v="Standard Class"/>
    <x v="376"/>
    <s v="Nicole Fjeld"/>
    <x v="2"/>
    <s v="United States"/>
    <s v="New York City"/>
    <x v="15"/>
    <n v="10009"/>
    <x v="3"/>
    <x v="796"/>
    <x v="1"/>
    <x v="6"/>
    <x v="794"/>
    <x v="946"/>
    <x v="3"/>
    <x v="1"/>
  </r>
  <r>
    <n v="1055"/>
    <x v="507"/>
    <x v="388"/>
    <d v="2016-04-08T00:00:00"/>
    <s v="Standard Class"/>
    <x v="376"/>
    <s v="Nicole Fjeld"/>
    <x v="2"/>
    <s v="United States"/>
    <s v="New York City"/>
    <x v="15"/>
    <n v="10009"/>
    <x v="3"/>
    <x v="797"/>
    <x v="0"/>
    <x v="5"/>
    <x v="795"/>
    <x v="947"/>
    <x v="3"/>
    <x v="1"/>
  </r>
  <r>
    <n v="1056"/>
    <x v="507"/>
    <x v="388"/>
    <d v="2016-04-08T00:00:00"/>
    <s v="Standard Class"/>
    <x v="376"/>
    <s v="Nicole Fjeld"/>
    <x v="2"/>
    <s v="United States"/>
    <s v="New York City"/>
    <x v="15"/>
    <n v="10009"/>
    <x v="3"/>
    <x v="141"/>
    <x v="1"/>
    <x v="8"/>
    <x v="142"/>
    <x v="948"/>
    <x v="3"/>
    <x v="1"/>
  </r>
  <r>
    <n v="1057"/>
    <x v="507"/>
    <x v="388"/>
    <d v="2016-04-08T00:00:00"/>
    <s v="Standard Class"/>
    <x v="376"/>
    <s v="Nicole Fjeld"/>
    <x v="2"/>
    <s v="United States"/>
    <s v="New York City"/>
    <x v="15"/>
    <n v="10009"/>
    <x v="3"/>
    <x v="798"/>
    <x v="1"/>
    <x v="8"/>
    <x v="796"/>
    <x v="949"/>
    <x v="3"/>
    <x v="1"/>
  </r>
  <r>
    <n v="1058"/>
    <x v="508"/>
    <x v="389"/>
    <d v="2018-12-17T00:00:00"/>
    <s v="Standard Class"/>
    <x v="130"/>
    <s v="Ben Peterman"/>
    <x v="1"/>
    <s v="United States"/>
    <s v="San Diego"/>
    <x v="1"/>
    <n v="92037"/>
    <x v="1"/>
    <x v="799"/>
    <x v="1"/>
    <x v="8"/>
    <x v="797"/>
    <x v="950"/>
    <x v="4"/>
    <x v="3"/>
  </r>
  <r>
    <n v="1059"/>
    <x v="508"/>
    <x v="389"/>
    <d v="2018-12-17T00:00:00"/>
    <s v="Standard Class"/>
    <x v="130"/>
    <s v="Ben Peterman"/>
    <x v="1"/>
    <s v="United States"/>
    <s v="San Diego"/>
    <x v="1"/>
    <n v="92037"/>
    <x v="1"/>
    <x v="800"/>
    <x v="1"/>
    <x v="8"/>
    <x v="798"/>
    <x v="951"/>
    <x v="4"/>
    <x v="3"/>
  </r>
  <r>
    <n v="1060"/>
    <x v="509"/>
    <x v="390"/>
    <d v="2017-12-01T00:00:00"/>
    <s v="Standard Class"/>
    <x v="377"/>
    <s v="Matthew Grinstein"/>
    <x v="2"/>
    <s v="United States"/>
    <s v="Philadelphia"/>
    <x v="9"/>
    <n v="19143"/>
    <x v="3"/>
    <x v="801"/>
    <x v="1"/>
    <x v="13"/>
    <x v="799"/>
    <x v="952"/>
    <x v="0"/>
    <x v="0"/>
  </r>
  <r>
    <n v="1061"/>
    <x v="510"/>
    <x v="391"/>
    <d v="2016-03-29T00:00:00"/>
    <s v="Standard Class"/>
    <x v="148"/>
    <s v="Julia Dunbar"/>
    <x v="0"/>
    <s v="United States"/>
    <s v="Houston"/>
    <x v="5"/>
    <n v="77095"/>
    <x v="2"/>
    <x v="389"/>
    <x v="0"/>
    <x v="1"/>
    <x v="390"/>
    <x v="953"/>
    <x v="10"/>
    <x v="1"/>
  </r>
  <r>
    <n v="1062"/>
    <x v="511"/>
    <x v="392"/>
    <d v="2016-04-21T00:00:00"/>
    <s v="Standard Class"/>
    <x v="378"/>
    <s v="Theresa Swint"/>
    <x v="1"/>
    <s v="United States"/>
    <s v="Toledo"/>
    <x v="24"/>
    <n v="43615"/>
    <x v="3"/>
    <x v="551"/>
    <x v="1"/>
    <x v="9"/>
    <x v="550"/>
    <x v="954"/>
    <x v="3"/>
    <x v="1"/>
  </r>
  <r>
    <n v="1063"/>
    <x v="511"/>
    <x v="392"/>
    <d v="2016-04-21T00:00:00"/>
    <s v="Standard Class"/>
    <x v="378"/>
    <s v="Theresa Swint"/>
    <x v="1"/>
    <s v="United States"/>
    <s v="Toledo"/>
    <x v="24"/>
    <n v="43615"/>
    <x v="3"/>
    <x v="802"/>
    <x v="1"/>
    <x v="13"/>
    <x v="800"/>
    <x v="955"/>
    <x v="3"/>
    <x v="1"/>
  </r>
  <r>
    <n v="1064"/>
    <x v="511"/>
    <x v="392"/>
    <d v="2016-04-21T00:00:00"/>
    <s v="Standard Class"/>
    <x v="378"/>
    <s v="Theresa Swint"/>
    <x v="1"/>
    <s v="United States"/>
    <s v="Toledo"/>
    <x v="24"/>
    <n v="43615"/>
    <x v="3"/>
    <x v="346"/>
    <x v="1"/>
    <x v="6"/>
    <x v="346"/>
    <x v="956"/>
    <x v="3"/>
    <x v="1"/>
  </r>
  <r>
    <n v="1065"/>
    <x v="511"/>
    <x v="392"/>
    <d v="2016-04-21T00:00:00"/>
    <s v="Standard Class"/>
    <x v="378"/>
    <s v="Theresa Swint"/>
    <x v="1"/>
    <s v="United States"/>
    <s v="Toledo"/>
    <x v="24"/>
    <n v="43615"/>
    <x v="3"/>
    <x v="803"/>
    <x v="2"/>
    <x v="7"/>
    <x v="801"/>
    <x v="957"/>
    <x v="3"/>
    <x v="1"/>
  </r>
  <r>
    <n v="1066"/>
    <x v="511"/>
    <x v="392"/>
    <d v="2016-04-21T00:00:00"/>
    <s v="Standard Class"/>
    <x v="378"/>
    <s v="Theresa Swint"/>
    <x v="1"/>
    <s v="United States"/>
    <s v="Toledo"/>
    <x v="24"/>
    <n v="43615"/>
    <x v="3"/>
    <x v="804"/>
    <x v="1"/>
    <x v="13"/>
    <x v="802"/>
    <x v="958"/>
    <x v="3"/>
    <x v="1"/>
  </r>
  <r>
    <n v="1067"/>
    <x v="511"/>
    <x v="392"/>
    <d v="2016-04-21T00:00:00"/>
    <s v="Standard Class"/>
    <x v="378"/>
    <s v="Theresa Swint"/>
    <x v="1"/>
    <s v="United States"/>
    <s v="Toledo"/>
    <x v="24"/>
    <n v="43615"/>
    <x v="3"/>
    <x v="805"/>
    <x v="1"/>
    <x v="8"/>
    <x v="803"/>
    <x v="959"/>
    <x v="3"/>
    <x v="1"/>
  </r>
  <r>
    <n v="1068"/>
    <x v="512"/>
    <x v="393"/>
    <d v="2017-10-02T00:00:00"/>
    <s v="First Class"/>
    <x v="379"/>
    <s v="Brian DeCherney"/>
    <x v="0"/>
    <s v="United States"/>
    <s v="San Francisco"/>
    <x v="1"/>
    <n v="94122"/>
    <x v="1"/>
    <x v="64"/>
    <x v="0"/>
    <x v="1"/>
    <x v="64"/>
    <x v="960"/>
    <x v="2"/>
    <x v="0"/>
  </r>
  <r>
    <n v="1069"/>
    <x v="513"/>
    <x v="394"/>
    <d v="2018-09-30T00:00:00"/>
    <s v="Second Class"/>
    <x v="380"/>
    <s v="Charles McCrossin"/>
    <x v="0"/>
    <s v="United States"/>
    <s v="Brownsville"/>
    <x v="5"/>
    <n v="78521"/>
    <x v="2"/>
    <x v="482"/>
    <x v="1"/>
    <x v="14"/>
    <x v="327"/>
    <x v="961"/>
    <x v="8"/>
    <x v="3"/>
  </r>
  <r>
    <n v="1070"/>
    <x v="514"/>
    <x v="395"/>
    <d v="2016-07-29T00:00:00"/>
    <s v="Standard Class"/>
    <x v="176"/>
    <s v="Ross Baird"/>
    <x v="2"/>
    <s v="United States"/>
    <s v="Philadelphia"/>
    <x v="9"/>
    <n v="19143"/>
    <x v="3"/>
    <x v="301"/>
    <x v="1"/>
    <x v="8"/>
    <x v="301"/>
    <x v="962"/>
    <x v="7"/>
    <x v="1"/>
  </r>
  <r>
    <n v="1071"/>
    <x v="515"/>
    <x v="312"/>
    <d v="2016-11-26T00:00:00"/>
    <s v="Standard Class"/>
    <x v="381"/>
    <s v="Skye Norling"/>
    <x v="2"/>
    <s v="United States"/>
    <s v="Los Angeles"/>
    <x v="1"/>
    <n v="90008"/>
    <x v="1"/>
    <x v="324"/>
    <x v="1"/>
    <x v="6"/>
    <x v="324"/>
    <x v="21"/>
    <x v="0"/>
    <x v="1"/>
  </r>
  <r>
    <n v="1072"/>
    <x v="516"/>
    <x v="236"/>
    <d v="2017-05-02T00:00:00"/>
    <s v="Standard Class"/>
    <x v="382"/>
    <s v="Erica Hernandez"/>
    <x v="2"/>
    <s v="United States"/>
    <s v="Denver"/>
    <x v="22"/>
    <n v="80219"/>
    <x v="1"/>
    <x v="314"/>
    <x v="1"/>
    <x v="10"/>
    <x v="314"/>
    <x v="34"/>
    <x v="3"/>
    <x v="0"/>
  </r>
  <r>
    <n v="1073"/>
    <x v="517"/>
    <x v="237"/>
    <d v="2018-11-19T00:00:00"/>
    <s v="Standard Class"/>
    <x v="383"/>
    <s v="Frank Olsen"/>
    <x v="0"/>
    <s v="United States"/>
    <s v="New York City"/>
    <x v="15"/>
    <n v="10035"/>
    <x v="3"/>
    <x v="806"/>
    <x v="1"/>
    <x v="8"/>
    <x v="804"/>
    <x v="874"/>
    <x v="0"/>
    <x v="3"/>
  </r>
  <r>
    <n v="1074"/>
    <x v="518"/>
    <x v="396"/>
    <d v="2017-11-19T00:00:00"/>
    <s v="Standard Class"/>
    <x v="384"/>
    <s v="Maurice Satty"/>
    <x v="0"/>
    <s v="United States"/>
    <s v="Mesa"/>
    <x v="16"/>
    <n v="85204"/>
    <x v="1"/>
    <x v="807"/>
    <x v="1"/>
    <x v="8"/>
    <x v="805"/>
    <x v="963"/>
    <x v="0"/>
    <x v="0"/>
  </r>
  <r>
    <n v="1075"/>
    <x v="518"/>
    <x v="396"/>
    <d v="2017-11-19T00:00:00"/>
    <s v="Standard Class"/>
    <x v="384"/>
    <s v="Maurice Satty"/>
    <x v="0"/>
    <s v="United States"/>
    <s v="Mesa"/>
    <x v="16"/>
    <n v="85204"/>
    <x v="1"/>
    <x v="255"/>
    <x v="1"/>
    <x v="8"/>
    <x v="256"/>
    <x v="964"/>
    <x v="0"/>
    <x v="0"/>
  </r>
  <r>
    <n v="1076"/>
    <x v="518"/>
    <x v="396"/>
    <d v="2017-11-19T00:00:00"/>
    <s v="Standard Class"/>
    <x v="384"/>
    <s v="Maurice Satty"/>
    <x v="0"/>
    <s v="United States"/>
    <s v="Mesa"/>
    <x v="16"/>
    <n v="85204"/>
    <x v="1"/>
    <x v="808"/>
    <x v="2"/>
    <x v="11"/>
    <x v="806"/>
    <x v="236"/>
    <x v="0"/>
    <x v="0"/>
  </r>
  <r>
    <n v="1077"/>
    <x v="519"/>
    <x v="321"/>
    <d v="2017-09-30T00:00:00"/>
    <s v="First Class"/>
    <x v="385"/>
    <s v="Chad Cunningham"/>
    <x v="2"/>
    <s v="United States"/>
    <s v="Columbus"/>
    <x v="14"/>
    <n v="47201"/>
    <x v="2"/>
    <x v="809"/>
    <x v="1"/>
    <x v="6"/>
    <x v="807"/>
    <x v="965"/>
    <x v="8"/>
    <x v="0"/>
  </r>
  <r>
    <n v="1078"/>
    <x v="520"/>
    <x v="397"/>
    <d v="2018-09-25T00:00:00"/>
    <s v="Second Class"/>
    <x v="386"/>
    <s v="Don Weiss"/>
    <x v="0"/>
    <s v="United States"/>
    <s v="Seattle"/>
    <x v="4"/>
    <n v="98105"/>
    <x v="1"/>
    <x v="810"/>
    <x v="1"/>
    <x v="9"/>
    <x v="808"/>
    <x v="664"/>
    <x v="8"/>
    <x v="3"/>
  </r>
  <r>
    <n v="1079"/>
    <x v="520"/>
    <x v="397"/>
    <d v="2018-09-25T00:00:00"/>
    <s v="Second Class"/>
    <x v="386"/>
    <s v="Don Weiss"/>
    <x v="0"/>
    <s v="United States"/>
    <s v="Seattle"/>
    <x v="4"/>
    <n v="98105"/>
    <x v="1"/>
    <x v="470"/>
    <x v="1"/>
    <x v="4"/>
    <x v="471"/>
    <x v="966"/>
    <x v="8"/>
    <x v="3"/>
  </r>
  <r>
    <n v="1080"/>
    <x v="520"/>
    <x v="397"/>
    <d v="2018-09-25T00:00:00"/>
    <s v="Second Class"/>
    <x v="386"/>
    <s v="Don Weiss"/>
    <x v="0"/>
    <s v="United States"/>
    <s v="Seattle"/>
    <x v="4"/>
    <n v="98105"/>
    <x v="1"/>
    <x v="480"/>
    <x v="1"/>
    <x v="8"/>
    <x v="481"/>
    <x v="967"/>
    <x v="8"/>
    <x v="3"/>
  </r>
  <r>
    <n v="1081"/>
    <x v="521"/>
    <x v="239"/>
    <d v="2016-12-04T00:00:00"/>
    <s v="Standard Class"/>
    <x v="387"/>
    <s v="Bill Tyler"/>
    <x v="1"/>
    <s v="United States"/>
    <s v="Detroit"/>
    <x v="12"/>
    <n v="48227"/>
    <x v="2"/>
    <x v="811"/>
    <x v="1"/>
    <x v="10"/>
    <x v="33"/>
    <x v="544"/>
    <x v="0"/>
    <x v="1"/>
  </r>
  <r>
    <n v="1082"/>
    <x v="521"/>
    <x v="239"/>
    <d v="2016-12-04T00:00:00"/>
    <s v="Standard Class"/>
    <x v="387"/>
    <s v="Bill Tyler"/>
    <x v="1"/>
    <s v="United States"/>
    <s v="Detroit"/>
    <x v="12"/>
    <n v="48227"/>
    <x v="2"/>
    <x v="812"/>
    <x v="0"/>
    <x v="1"/>
    <x v="809"/>
    <x v="968"/>
    <x v="0"/>
    <x v="1"/>
  </r>
  <r>
    <n v="1083"/>
    <x v="522"/>
    <x v="398"/>
    <d v="2017-03-05T00:00:00"/>
    <s v="Standard Class"/>
    <x v="30"/>
    <s v="Karen Daniels"/>
    <x v="0"/>
    <s v="United States"/>
    <s v="Yonkers"/>
    <x v="15"/>
    <n v="10701"/>
    <x v="3"/>
    <x v="616"/>
    <x v="0"/>
    <x v="3"/>
    <x v="616"/>
    <x v="969"/>
    <x v="10"/>
    <x v="0"/>
  </r>
  <r>
    <n v="1084"/>
    <x v="522"/>
    <x v="398"/>
    <d v="2017-03-05T00:00:00"/>
    <s v="Standard Class"/>
    <x v="30"/>
    <s v="Karen Daniels"/>
    <x v="0"/>
    <s v="United States"/>
    <s v="Yonkers"/>
    <x v="15"/>
    <n v="10701"/>
    <x v="3"/>
    <x v="813"/>
    <x v="1"/>
    <x v="10"/>
    <x v="33"/>
    <x v="970"/>
    <x v="10"/>
    <x v="0"/>
  </r>
  <r>
    <n v="1085"/>
    <x v="522"/>
    <x v="398"/>
    <d v="2017-03-05T00:00:00"/>
    <s v="Standard Class"/>
    <x v="30"/>
    <s v="Karen Daniels"/>
    <x v="0"/>
    <s v="United States"/>
    <s v="Yonkers"/>
    <x v="15"/>
    <n v="10701"/>
    <x v="3"/>
    <x v="245"/>
    <x v="1"/>
    <x v="4"/>
    <x v="246"/>
    <x v="971"/>
    <x v="10"/>
    <x v="0"/>
  </r>
  <r>
    <n v="1086"/>
    <x v="522"/>
    <x v="398"/>
    <d v="2017-03-05T00:00:00"/>
    <s v="Standard Class"/>
    <x v="30"/>
    <s v="Karen Daniels"/>
    <x v="0"/>
    <s v="United States"/>
    <s v="Yonkers"/>
    <x v="15"/>
    <n v="10701"/>
    <x v="3"/>
    <x v="814"/>
    <x v="2"/>
    <x v="15"/>
    <x v="810"/>
    <x v="972"/>
    <x v="10"/>
    <x v="0"/>
  </r>
  <r>
    <n v="1087"/>
    <x v="523"/>
    <x v="399"/>
    <d v="2017-08-12T00:00:00"/>
    <s v="Same Day"/>
    <x v="48"/>
    <s v="Lena Cacioppo"/>
    <x v="0"/>
    <s v="United States"/>
    <s v="Des Moines"/>
    <x v="23"/>
    <n v="50315"/>
    <x v="2"/>
    <x v="815"/>
    <x v="1"/>
    <x v="10"/>
    <x v="811"/>
    <x v="90"/>
    <x v="6"/>
    <x v="0"/>
  </r>
  <r>
    <n v="1088"/>
    <x v="524"/>
    <x v="243"/>
    <d v="2017-08-20T00:00:00"/>
    <s v="Second Class"/>
    <x v="388"/>
    <s v="Craig Yedwab"/>
    <x v="1"/>
    <s v="United States"/>
    <s v="Oakland"/>
    <x v="1"/>
    <n v="94601"/>
    <x v="1"/>
    <x v="173"/>
    <x v="2"/>
    <x v="7"/>
    <x v="174"/>
    <x v="973"/>
    <x v="6"/>
    <x v="0"/>
  </r>
  <r>
    <n v="1089"/>
    <x v="524"/>
    <x v="243"/>
    <d v="2017-08-20T00:00:00"/>
    <s v="Second Class"/>
    <x v="388"/>
    <s v="Craig Yedwab"/>
    <x v="1"/>
    <s v="United States"/>
    <s v="Oakland"/>
    <x v="1"/>
    <n v="94601"/>
    <x v="1"/>
    <x v="816"/>
    <x v="1"/>
    <x v="2"/>
    <x v="812"/>
    <x v="974"/>
    <x v="6"/>
    <x v="0"/>
  </r>
  <r>
    <n v="1090"/>
    <x v="525"/>
    <x v="400"/>
    <d v="2018-06-10T00:00:00"/>
    <s v="Standard Class"/>
    <x v="352"/>
    <s v="Lindsay Williams"/>
    <x v="1"/>
    <s v="United States"/>
    <s v="Monroe"/>
    <x v="3"/>
    <n v="28110"/>
    <x v="0"/>
    <x v="296"/>
    <x v="0"/>
    <x v="5"/>
    <x v="296"/>
    <x v="236"/>
    <x v="1"/>
    <x v="3"/>
  </r>
  <r>
    <n v="1091"/>
    <x v="525"/>
    <x v="400"/>
    <d v="2018-06-10T00:00:00"/>
    <s v="Standard Class"/>
    <x v="352"/>
    <s v="Lindsay Williams"/>
    <x v="1"/>
    <s v="United States"/>
    <s v="Monroe"/>
    <x v="3"/>
    <n v="28110"/>
    <x v="0"/>
    <x v="817"/>
    <x v="2"/>
    <x v="7"/>
    <x v="813"/>
    <x v="975"/>
    <x v="1"/>
    <x v="3"/>
  </r>
  <r>
    <n v="1092"/>
    <x v="526"/>
    <x v="401"/>
    <d v="2016-12-13T00:00:00"/>
    <s v="Standard Class"/>
    <x v="268"/>
    <s v="Naresj Patel"/>
    <x v="0"/>
    <s v="United States"/>
    <s v="San Diego"/>
    <x v="1"/>
    <n v="92105"/>
    <x v="1"/>
    <x v="818"/>
    <x v="1"/>
    <x v="6"/>
    <x v="814"/>
    <x v="976"/>
    <x v="4"/>
    <x v="1"/>
  </r>
  <r>
    <n v="1093"/>
    <x v="526"/>
    <x v="401"/>
    <d v="2016-12-13T00:00:00"/>
    <s v="Standard Class"/>
    <x v="268"/>
    <s v="Naresj Patel"/>
    <x v="0"/>
    <s v="United States"/>
    <s v="San Diego"/>
    <x v="1"/>
    <n v="92105"/>
    <x v="1"/>
    <x v="819"/>
    <x v="2"/>
    <x v="7"/>
    <x v="815"/>
    <x v="977"/>
    <x v="4"/>
    <x v="1"/>
  </r>
  <r>
    <n v="1094"/>
    <x v="527"/>
    <x v="17"/>
    <d v="2016-12-31T00:00:00"/>
    <s v="Standard Class"/>
    <x v="389"/>
    <s v="Brad Thomas"/>
    <x v="2"/>
    <s v="United States"/>
    <s v="Clinton"/>
    <x v="39"/>
    <n v="20735"/>
    <x v="3"/>
    <x v="820"/>
    <x v="1"/>
    <x v="10"/>
    <x v="816"/>
    <x v="978"/>
    <x v="4"/>
    <x v="1"/>
  </r>
  <r>
    <n v="1095"/>
    <x v="527"/>
    <x v="17"/>
    <d v="2016-12-31T00:00:00"/>
    <s v="Standard Class"/>
    <x v="389"/>
    <s v="Brad Thomas"/>
    <x v="2"/>
    <s v="United States"/>
    <s v="Clinton"/>
    <x v="39"/>
    <n v="20735"/>
    <x v="3"/>
    <x v="159"/>
    <x v="1"/>
    <x v="9"/>
    <x v="160"/>
    <x v="979"/>
    <x v="4"/>
    <x v="1"/>
  </r>
  <r>
    <n v="1096"/>
    <x v="528"/>
    <x v="276"/>
    <d v="2018-01-26T00:00:00"/>
    <s v="Standard Class"/>
    <x v="390"/>
    <s v="Penelope Sewall"/>
    <x v="2"/>
    <s v="United States"/>
    <s v="Charlotte"/>
    <x v="3"/>
    <n v="28205"/>
    <x v="0"/>
    <x v="821"/>
    <x v="1"/>
    <x v="4"/>
    <x v="817"/>
    <x v="980"/>
    <x v="9"/>
    <x v="3"/>
  </r>
  <r>
    <n v="1097"/>
    <x v="528"/>
    <x v="276"/>
    <d v="2018-01-26T00:00:00"/>
    <s v="Standard Class"/>
    <x v="390"/>
    <s v="Penelope Sewall"/>
    <x v="2"/>
    <s v="United States"/>
    <s v="Charlotte"/>
    <x v="3"/>
    <n v="28205"/>
    <x v="0"/>
    <x v="822"/>
    <x v="1"/>
    <x v="8"/>
    <x v="818"/>
    <x v="981"/>
    <x v="9"/>
    <x v="3"/>
  </r>
  <r>
    <n v="1098"/>
    <x v="529"/>
    <x v="402"/>
    <d v="2015-06-28T00:00:00"/>
    <s v="First Class"/>
    <x v="374"/>
    <s v="Noel Staavos"/>
    <x v="1"/>
    <s v="United States"/>
    <s v="Los Angeles"/>
    <x v="1"/>
    <n v="90049"/>
    <x v="1"/>
    <x v="823"/>
    <x v="0"/>
    <x v="3"/>
    <x v="819"/>
    <x v="982"/>
    <x v="1"/>
    <x v="2"/>
  </r>
  <r>
    <n v="1099"/>
    <x v="530"/>
    <x v="403"/>
    <d v="2017-06-17T00:00:00"/>
    <s v="First Class"/>
    <x v="391"/>
    <s v="Paul Van Hugh"/>
    <x v="2"/>
    <s v="United States"/>
    <s v="San Francisco"/>
    <x v="1"/>
    <n v="94122"/>
    <x v="1"/>
    <x v="824"/>
    <x v="1"/>
    <x v="6"/>
    <x v="820"/>
    <x v="983"/>
    <x v="1"/>
    <x v="0"/>
  </r>
  <r>
    <n v="1100"/>
    <x v="530"/>
    <x v="403"/>
    <d v="2017-06-17T00:00:00"/>
    <s v="First Class"/>
    <x v="391"/>
    <s v="Paul Van Hugh"/>
    <x v="2"/>
    <s v="United States"/>
    <s v="San Francisco"/>
    <x v="1"/>
    <n v="94122"/>
    <x v="1"/>
    <x v="396"/>
    <x v="0"/>
    <x v="5"/>
    <x v="397"/>
    <x v="984"/>
    <x v="1"/>
    <x v="0"/>
  </r>
  <r>
    <n v="1101"/>
    <x v="530"/>
    <x v="403"/>
    <d v="2017-06-17T00:00:00"/>
    <s v="First Class"/>
    <x v="391"/>
    <s v="Paul Van Hugh"/>
    <x v="2"/>
    <s v="United States"/>
    <s v="San Francisco"/>
    <x v="1"/>
    <n v="94122"/>
    <x v="1"/>
    <x v="825"/>
    <x v="2"/>
    <x v="11"/>
    <x v="821"/>
    <x v="985"/>
    <x v="1"/>
    <x v="0"/>
  </r>
  <r>
    <n v="1102"/>
    <x v="530"/>
    <x v="403"/>
    <d v="2017-06-17T00:00:00"/>
    <s v="First Class"/>
    <x v="391"/>
    <s v="Paul Van Hugh"/>
    <x v="2"/>
    <s v="United States"/>
    <s v="San Francisco"/>
    <x v="1"/>
    <n v="94122"/>
    <x v="1"/>
    <x v="826"/>
    <x v="1"/>
    <x v="6"/>
    <x v="822"/>
    <x v="874"/>
    <x v="1"/>
    <x v="0"/>
  </r>
  <r>
    <n v="1103"/>
    <x v="531"/>
    <x v="81"/>
    <d v="2018-04-27T00:00:00"/>
    <s v="Standard Class"/>
    <x v="261"/>
    <s v="Resi Pölking"/>
    <x v="0"/>
    <s v="United States"/>
    <s v="Houston"/>
    <x v="5"/>
    <n v="77041"/>
    <x v="2"/>
    <x v="307"/>
    <x v="1"/>
    <x v="8"/>
    <x v="307"/>
    <x v="986"/>
    <x v="3"/>
    <x v="3"/>
  </r>
  <r>
    <n v="1104"/>
    <x v="531"/>
    <x v="81"/>
    <d v="2018-04-27T00:00:00"/>
    <s v="Standard Class"/>
    <x v="261"/>
    <s v="Resi Pölking"/>
    <x v="0"/>
    <s v="United States"/>
    <s v="Houston"/>
    <x v="5"/>
    <n v="77041"/>
    <x v="2"/>
    <x v="766"/>
    <x v="1"/>
    <x v="8"/>
    <x v="765"/>
    <x v="987"/>
    <x v="3"/>
    <x v="3"/>
  </r>
  <r>
    <n v="1105"/>
    <x v="532"/>
    <x v="147"/>
    <d v="2017-10-27T00:00:00"/>
    <s v="Standard Class"/>
    <x v="392"/>
    <s v="Neoma Murray"/>
    <x v="0"/>
    <s v="United States"/>
    <s v="Riverside"/>
    <x v="1"/>
    <n v="92503"/>
    <x v="1"/>
    <x v="827"/>
    <x v="1"/>
    <x v="10"/>
    <x v="823"/>
    <x v="988"/>
    <x v="2"/>
    <x v="0"/>
  </r>
  <r>
    <n v="1106"/>
    <x v="533"/>
    <x v="258"/>
    <d v="2017-11-24T00:00:00"/>
    <s v="Standard Class"/>
    <x v="13"/>
    <s v="Eric Hoffmann"/>
    <x v="0"/>
    <s v="United States"/>
    <s v="Houston"/>
    <x v="5"/>
    <n v="77041"/>
    <x v="2"/>
    <x v="193"/>
    <x v="1"/>
    <x v="4"/>
    <x v="194"/>
    <x v="989"/>
    <x v="0"/>
    <x v="0"/>
  </r>
  <r>
    <n v="1107"/>
    <x v="533"/>
    <x v="258"/>
    <d v="2017-11-24T00:00:00"/>
    <s v="Standard Class"/>
    <x v="13"/>
    <s v="Eric Hoffmann"/>
    <x v="0"/>
    <s v="United States"/>
    <s v="Houston"/>
    <x v="5"/>
    <n v="77041"/>
    <x v="2"/>
    <x v="396"/>
    <x v="0"/>
    <x v="5"/>
    <x v="397"/>
    <x v="990"/>
    <x v="0"/>
    <x v="0"/>
  </r>
  <r>
    <n v="1108"/>
    <x v="533"/>
    <x v="258"/>
    <d v="2017-11-24T00:00:00"/>
    <s v="Standard Class"/>
    <x v="13"/>
    <s v="Eric Hoffmann"/>
    <x v="0"/>
    <s v="United States"/>
    <s v="Houston"/>
    <x v="5"/>
    <n v="77041"/>
    <x v="2"/>
    <x v="828"/>
    <x v="1"/>
    <x v="8"/>
    <x v="824"/>
    <x v="991"/>
    <x v="0"/>
    <x v="0"/>
  </r>
  <r>
    <n v="1109"/>
    <x v="533"/>
    <x v="258"/>
    <d v="2017-11-24T00:00:00"/>
    <s v="Standard Class"/>
    <x v="13"/>
    <s v="Eric Hoffmann"/>
    <x v="0"/>
    <s v="United States"/>
    <s v="Houston"/>
    <x v="5"/>
    <n v="77041"/>
    <x v="2"/>
    <x v="829"/>
    <x v="1"/>
    <x v="13"/>
    <x v="128"/>
    <x v="992"/>
    <x v="0"/>
    <x v="0"/>
  </r>
  <r>
    <n v="1110"/>
    <x v="533"/>
    <x v="258"/>
    <d v="2017-11-24T00:00:00"/>
    <s v="Standard Class"/>
    <x v="13"/>
    <s v="Eric Hoffmann"/>
    <x v="0"/>
    <s v="United States"/>
    <s v="Houston"/>
    <x v="5"/>
    <n v="77041"/>
    <x v="2"/>
    <x v="830"/>
    <x v="1"/>
    <x v="12"/>
    <x v="825"/>
    <x v="993"/>
    <x v="0"/>
    <x v="0"/>
  </r>
  <r>
    <n v="1111"/>
    <x v="533"/>
    <x v="258"/>
    <d v="2017-11-24T00:00:00"/>
    <s v="Standard Class"/>
    <x v="13"/>
    <s v="Eric Hoffmann"/>
    <x v="0"/>
    <s v="United States"/>
    <s v="Houston"/>
    <x v="5"/>
    <n v="77041"/>
    <x v="2"/>
    <x v="831"/>
    <x v="2"/>
    <x v="7"/>
    <x v="826"/>
    <x v="994"/>
    <x v="0"/>
    <x v="0"/>
  </r>
  <r>
    <n v="1112"/>
    <x v="533"/>
    <x v="258"/>
    <d v="2017-11-24T00:00:00"/>
    <s v="Standard Class"/>
    <x v="13"/>
    <s v="Eric Hoffmann"/>
    <x v="0"/>
    <s v="United States"/>
    <s v="Houston"/>
    <x v="5"/>
    <n v="77041"/>
    <x v="2"/>
    <x v="832"/>
    <x v="1"/>
    <x v="10"/>
    <x v="827"/>
    <x v="559"/>
    <x v="0"/>
    <x v="0"/>
  </r>
  <r>
    <n v="1113"/>
    <x v="533"/>
    <x v="258"/>
    <d v="2017-11-24T00:00:00"/>
    <s v="Standard Class"/>
    <x v="13"/>
    <s v="Eric Hoffmann"/>
    <x v="0"/>
    <s v="United States"/>
    <s v="Houston"/>
    <x v="5"/>
    <n v="77041"/>
    <x v="2"/>
    <x v="98"/>
    <x v="1"/>
    <x v="8"/>
    <x v="98"/>
    <x v="995"/>
    <x v="0"/>
    <x v="0"/>
  </r>
  <r>
    <n v="1114"/>
    <x v="534"/>
    <x v="404"/>
    <d v="2018-12-23T00:00:00"/>
    <s v="Second Class"/>
    <x v="154"/>
    <s v="Russell Applegate"/>
    <x v="0"/>
    <s v="United States"/>
    <s v="Encinitas"/>
    <x v="1"/>
    <n v="92024"/>
    <x v="1"/>
    <x v="705"/>
    <x v="1"/>
    <x v="8"/>
    <x v="705"/>
    <x v="996"/>
    <x v="4"/>
    <x v="3"/>
  </r>
  <r>
    <n v="1115"/>
    <x v="534"/>
    <x v="404"/>
    <d v="2018-12-23T00:00:00"/>
    <s v="Second Class"/>
    <x v="154"/>
    <s v="Russell Applegate"/>
    <x v="0"/>
    <s v="United States"/>
    <s v="Encinitas"/>
    <x v="1"/>
    <n v="92024"/>
    <x v="1"/>
    <x v="833"/>
    <x v="0"/>
    <x v="0"/>
    <x v="828"/>
    <x v="997"/>
    <x v="4"/>
    <x v="3"/>
  </r>
  <r>
    <n v="1116"/>
    <x v="534"/>
    <x v="404"/>
    <d v="2018-12-23T00:00:00"/>
    <s v="Second Class"/>
    <x v="154"/>
    <s v="Russell Applegate"/>
    <x v="0"/>
    <s v="United States"/>
    <s v="Encinitas"/>
    <x v="1"/>
    <n v="92024"/>
    <x v="1"/>
    <x v="603"/>
    <x v="2"/>
    <x v="11"/>
    <x v="603"/>
    <x v="998"/>
    <x v="4"/>
    <x v="3"/>
  </r>
  <r>
    <n v="1117"/>
    <x v="535"/>
    <x v="405"/>
    <d v="2017-07-24T00:00:00"/>
    <s v="Second Class"/>
    <x v="393"/>
    <s v="Dionis Lloyd"/>
    <x v="1"/>
    <s v="United States"/>
    <s v="San Francisco"/>
    <x v="1"/>
    <n v="94110"/>
    <x v="1"/>
    <x v="365"/>
    <x v="1"/>
    <x v="2"/>
    <x v="365"/>
    <x v="685"/>
    <x v="7"/>
    <x v="0"/>
  </r>
  <r>
    <n v="1118"/>
    <x v="536"/>
    <x v="406"/>
    <d v="2016-09-08T00:00:00"/>
    <s v="Standard Class"/>
    <x v="394"/>
    <s v="Christine Sundaresam"/>
    <x v="0"/>
    <s v="United States"/>
    <s v="Roswell"/>
    <x v="32"/>
    <n v="30076"/>
    <x v="0"/>
    <x v="314"/>
    <x v="1"/>
    <x v="10"/>
    <x v="366"/>
    <x v="999"/>
    <x v="8"/>
    <x v="1"/>
  </r>
  <r>
    <n v="1119"/>
    <x v="536"/>
    <x v="406"/>
    <d v="2016-09-08T00:00:00"/>
    <s v="Standard Class"/>
    <x v="394"/>
    <s v="Christine Sundaresam"/>
    <x v="0"/>
    <s v="United States"/>
    <s v="Roswell"/>
    <x v="32"/>
    <n v="30076"/>
    <x v="0"/>
    <x v="695"/>
    <x v="2"/>
    <x v="11"/>
    <x v="695"/>
    <x v="1000"/>
    <x v="8"/>
    <x v="1"/>
  </r>
  <r>
    <n v="1120"/>
    <x v="536"/>
    <x v="406"/>
    <d v="2016-09-08T00:00:00"/>
    <s v="Standard Class"/>
    <x v="394"/>
    <s v="Christine Sundaresam"/>
    <x v="0"/>
    <s v="United States"/>
    <s v="Roswell"/>
    <x v="32"/>
    <n v="30076"/>
    <x v="0"/>
    <x v="834"/>
    <x v="1"/>
    <x v="10"/>
    <x v="829"/>
    <x v="1001"/>
    <x v="8"/>
    <x v="1"/>
  </r>
  <r>
    <n v="1121"/>
    <x v="536"/>
    <x v="406"/>
    <d v="2016-09-08T00:00:00"/>
    <s v="Standard Class"/>
    <x v="394"/>
    <s v="Christine Sundaresam"/>
    <x v="0"/>
    <s v="United States"/>
    <s v="Roswell"/>
    <x v="32"/>
    <n v="30076"/>
    <x v="0"/>
    <x v="661"/>
    <x v="1"/>
    <x v="12"/>
    <x v="661"/>
    <x v="764"/>
    <x v="8"/>
    <x v="1"/>
  </r>
  <r>
    <n v="1122"/>
    <x v="537"/>
    <x v="407"/>
    <d v="2015-01-26T00:00:00"/>
    <s v="Standard Class"/>
    <x v="332"/>
    <s v="Hunter Lopez"/>
    <x v="0"/>
    <s v="United States"/>
    <s v="Jonesboro"/>
    <x v="36"/>
    <n v="72401"/>
    <x v="0"/>
    <x v="835"/>
    <x v="2"/>
    <x v="7"/>
    <x v="830"/>
    <x v="1002"/>
    <x v="9"/>
    <x v="2"/>
  </r>
  <r>
    <n v="1123"/>
    <x v="537"/>
    <x v="407"/>
    <d v="2015-01-26T00:00:00"/>
    <s v="Standard Class"/>
    <x v="332"/>
    <s v="Hunter Lopez"/>
    <x v="0"/>
    <s v="United States"/>
    <s v="Jonesboro"/>
    <x v="36"/>
    <n v="72401"/>
    <x v="0"/>
    <x v="836"/>
    <x v="1"/>
    <x v="6"/>
    <x v="831"/>
    <x v="1003"/>
    <x v="9"/>
    <x v="2"/>
  </r>
  <r>
    <n v="1124"/>
    <x v="537"/>
    <x v="407"/>
    <d v="2015-01-26T00:00:00"/>
    <s v="Standard Class"/>
    <x v="332"/>
    <s v="Hunter Lopez"/>
    <x v="0"/>
    <s v="United States"/>
    <s v="Jonesboro"/>
    <x v="36"/>
    <n v="72401"/>
    <x v="0"/>
    <x v="76"/>
    <x v="0"/>
    <x v="5"/>
    <x v="76"/>
    <x v="1004"/>
    <x v="9"/>
    <x v="2"/>
  </r>
  <r>
    <n v="1125"/>
    <x v="537"/>
    <x v="407"/>
    <d v="2015-01-26T00:00:00"/>
    <s v="Standard Class"/>
    <x v="332"/>
    <s v="Hunter Lopez"/>
    <x v="0"/>
    <s v="United States"/>
    <s v="Jonesboro"/>
    <x v="36"/>
    <n v="72401"/>
    <x v="0"/>
    <x v="453"/>
    <x v="1"/>
    <x v="6"/>
    <x v="454"/>
    <x v="153"/>
    <x v="9"/>
    <x v="2"/>
  </r>
  <r>
    <n v="1126"/>
    <x v="537"/>
    <x v="407"/>
    <d v="2015-01-26T00:00:00"/>
    <s v="Standard Class"/>
    <x v="332"/>
    <s v="Hunter Lopez"/>
    <x v="0"/>
    <s v="United States"/>
    <s v="Jonesboro"/>
    <x v="36"/>
    <n v="72401"/>
    <x v="0"/>
    <x v="837"/>
    <x v="1"/>
    <x v="12"/>
    <x v="153"/>
    <x v="1005"/>
    <x v="9"/>
    <x v="2"/>
  </r>
  <r>
    <n v="1127"/>
    <x v="537"/>
    <x v="407"/>
    <d v="2015-01-26T00:00:00"/>
    <s v="Standard Class"/>
    <x v="332"/>
    <s v="Hunter Lopez"/>
    <x v="0"/>
    <s v="United States"/>
    <s v="Jonesboro"/>
    <x v="36"/>
    <n v="72401"/>
    <x v="0"/>
    <x v="406"/>
    <x v="0"/>
    <x v="1"/>
    <x v="407"/>
    <x v="1006"/>
    <x v="9"/>
    <x v="2"/>
  </r>
  <r>
    <n v="1128"/>
    <x v="538"/>
    <x v="56"/>
    <d v="2016-03-07T00:00:00"/>
    <s v="Standard Class"/>
    <x v="50"/>
    <s v="Pete Armstrong"/>
    <x v="2"/>
    <s v="United States"/>
    <s v="Richmond"/>
    <x v="14"/>
    <n v="47374"/>
    <x v="2"/>
    <x v="400"/>
    <x v="1"/>
    <x v="6"/>
    <x v="401"/>
    <x v="1007"/>
    <x v="10"/>
    <x v="1"/>
  </r>
  <r>
    <n v="1129"/>
    <x v="538"/>
    <x v="56"/>
    <d v="2016-03-07T00:00:00"/>
    <s v="Standard Class"/>
    <x v="50"/>
    <s v="Pete Armstrong"/>
    <x v="2"/>
    <s v="United States"/>
    <s v="Richmond"/>
    <x v="14"/>
    <n v="47374"/>
    <x v="2"/>
    <x v="618"/>
    <x v="1"/>
    <x v="12"/>
    <x v="618"/>
    <x v="1008"/>
    <x v="10"/>
    <x v="1"/>
  </r>
  <r>
    <n v="1130"/>
    <x v="539"/>
    <x v="408"/>
    <d v="2017-04-16T00:00:00"/>
    <s v="Standard Class"/>
    <x v="205"/>
    <s v="Brian Dahlen"/>
    <x v="0"/>
    <s v="United States"/>
    <s v="Springfield"/>
    <x v="17"/>
    <n v="22153"/>
    <x v="0"/>
    <x v="838"/>
    <x v="0"/>
    <x v="3"/>
    <x v="832"/>
    <x v="1009"/>
    <x v="3"/>
    <x v="0"/>
  </r>
  <r>
    <n v="1131"/>
    <x v="539"/>
    <x v="408"/>
    <d v="2017-04-16T00:00:00"/>
    <s v="Standard Class"/>
    <x v="205"/>
    <s v="Brian Dahlen"/>
    <x v="0"/>
    <s v="United States"/>
    <s v="Springfield"/>
    <x v="17"/>
    <n v="22153"/>
    <x v="0"/>
    <x v="839"/>
    <x v="1"/>
    <x v="10"/>
    <x v="833"/>
    <x v="1010"/>
    <x v="3"/>
    <x v="0"/>
  </r>
  <r>
    <n v="1132"/>
    <x v="539"/>
    <x v="408"/>
    <d v="2017-04-16T00:00:00"/>
    <s v="Standard Class"/>
    <x v="205"/>
    <s v="Brian Dahlen"/>
    <x v="0"/>
    <s v="United States"/>
    <s v="Springfield"/>
    <x v="17"/>
    <n v="22153"/>
    <x v="0"/>
    <x v="118"/>
    <x v="1"/>
    <x v="12"/>
    <x v="118"/>
    <x v="1011"/>
    <x v="3"/>
    <x v="0"/>
  </r>
  <r>
    <n v="1133"/>
    <x v="540"/>
    <x v="409"/>
    <d v="2017-12-07T00:00:00"/>
    <s v="First Class"/>
    <x v="55"/>
    <s v="Greg Guthrie"/>
    <x v="1"/>
    <s v="United States"/>
    <s v="Antioch"/>
    <x v="1"/>
    <n v="94509"/>
    <x v="1"/>
    <x v="260"/>
    <x v="1"/>
    <x v="10"/>
    <x v="260"/>
    <x v="537"/>
    <x v="4"/>
    <x v="0"/>
  </r>
  <r>
    <n v="1134"/>
    <x v="541"/>
    <x v="410"/>
    <d v="2017-06-09T00:00:00"/>
    <s v="Standard Class"/>
    <x v="185"/>
    <s v="Joni Sundaresam"/>
    <x v="2"/>
    <s v="United States"/>
    <s v="Philadelphia"/>
    <x v="9"/>
    <n v="19134"/>
    <x v="3"/>
    <x v="41"/>
    <x v="1"/>
    <x v="4"/>
    <x v="41"/>
    <x v="1012"/>
    <x v="1"/>
    <x v="0"/>
  </r>
  <r>
    <n v="1135"/>
    <x v="541"/>
    <x v="410"/>
    <d v="2017-06-09T00:00:00"/>
    <s v="Standard Class"/>
    <x v="185"/>
    <s v="Joni Sundaresam"/>
    <x v="2"/>
    <s v="United States"/>
    <s v="Philadelphia"/>
    <x v="9"/>
    <n v="19134"/>
    <x v="3"/>
    <x v="840"/>
    <x v="1"/>
    <x v="2"/>
    <x v="834"/>
    <x v="261"/>
    <x v="1"/>
    <x v="0"/>
  </r>
  <r>
    <n v="1136"/>
    <x v="542"/>
    <x v="25"/>
    <d v="2017-12-11T00:00:00"/>
    <s v="Same Day"/>
    <x v="235"/>
    <s v="Lena Radford"/>
    <x v="0"/>
    <s v="United States"/>
    <s v="Homestead"/>
    <x v="2"/>
    <n v="33030"/>
    <x v="0"/>
    <x v="841"/>
    <x v="1"/>
    <x v="4"/>
    <x v="835"/>
    <x v="1013"/>
    <x v="4"/>
    <x v="0"/>
  </r>
  <r>
    <n v="1137"/>
    <x v="543"/>
    <x v="396"/>
    <d v="2017-11-15T00:00:00"/>
    <s v="Second Class"/>
    <x v="395"/>
    <s v="Frank Hawley"/>
    <x v="1"/>
    <s v="United States"/>
    <s v="La Porte"/>
    <x v="14"/>
    <n v="46350"/>
    <x v="2"/>
    <x v="842"/>
    <x v="1"/>
    <x v="12"/>
    <x v="836"/>
    <x v="1014"/>
    <x v="0"/>
    <x v="0"/>
  </r>
  <r>
    <n v="1138"/>
    <x v="543"/>
    <x v="396"/>
    <d v="2017-11-15T00:00:00"/>
    <s v="Second Class"/>
    <x v="395"/>
    <s v="Frank Hawley"/>
    <x v="1"/>
    <s v="United States"/>
    <s v="La Porte"/>
    <x v="14"/>
    <n v="46350"/>
    <x v="2"/>
    <x v="551"/>
    <x v="1"/>
    <x v="9"/>
    <x v="550"/>
    <x v="1015"/>
    <x v="0"/>
    <x v="0"/>
  </r>
  <r>
    <n v="1139"/>
    <x v="543"/>
    <x v="396"/>
    <d v="2017-11-15T00:00:00"/>
    <s v="Second Class"/>
    <x v="395"/>
    <s v="Frank Hawley"/>
    <x v="1"/>
    <s v="United States"/>
    <s v="La Porte"/>
    <x v="14"/>
    <n v="46350"/>
    <x v="2"/>
    <x v="843"/>
    <x v="1"/>
    <x v="10"/>
    <x v="837"/>
    <x v="1016"/>
    <x v="0"/>
    <x v="0"/>
  </r>
  <r>
    <n v="1140"/>
    <x v="543"/>
    <x v="396"/>
    <d v="2017-11-15T00:00:00"/>
    <s v="Second Class"/>
    <x v="395"/>
    <s v="Frank Hawley"/>
    <x v="1"/>
    <s v="United States"/>
    <s v="La Porte"/>
    <x v="14"/>
    <n v="46350"/>
    <x v="2"/>
    <x v="501"/>
    <x v="1"/>
    <x v="6"/>
    <x v="501"/>
    <x v="1017"/>
    <x v="0"/>
    <x v="0"/>
  </r>
  <r>
    <n v="1141"/>
    <x v="543"/>
    <x v="396"/>
    <d v="2017-11-15T00:00:00"/>
    <s v="Second Class"/>
    <x v="395"/>
    <s v="Frank Hawley"/>
    <x v="1"/>
    <s v="United States"/>
    <s v="La Porte"/>
    <x v="14"/>
    <n v="46350"/>
    <x v="2"/>
    <x v="844"/>
    <x v="1"/>
    <x v="8"/>
    <x v="838"/>
    <x v="1018"/>
    <x v="0"/>
    <x v="0"/>
  </r>
  <r>
    <n v="1142"/>
    <x v="544"/>
    <x v="411"/>
    <d v="2015-10-03T00:00:00"/>
    <s v="Standard Class"/>
    <x v="275"/>
    <s v="Arthur Prichep"/>
    <x v="0"/>
    <s v="United States"/>
    <s v="Los Angeles"/>
    <x v="1"/>
    <n v="90045"/>
    <x v="1"/>
    <x v="743"/>
    <x v="0"/>
    <x v="5"/>
    <x v="741"/>
    <x v="868"/>
    <x v="8"/>
    <x v="2"/>
  </r>
  <r>
    <n v="1143"/>
    <x v="544"/>
    <x v="411"/>
    <d v="2015-10-03T00:00:00"/>
    <s v="Standard Class"/>
    <x v="275"/>
    <s v="Arthur Prichep"/>
    <x v="0"/>
    <s v="United States"/>
    <s v="Los Angeles"/>
    <x v="1"/>
    <n v="90045"/>
    <x v="1"/>
    <x v="845"/>
    <x v="1"/>
    <x v="13"/>
    <x v="839"/>
    <x v="521"/>
    <x v="8"/>
    <x v="2"/>
  </r>
  <r>
    <n v="1144"/>
    <x v="544"/>
    <x v="411"/>
    <d v="2015-10-03T00:00:00"/>
    <s v="Standard Class"/>
    <x v="275"/>
    <s v="Arthur Prichep"/>
    <x v="0"/>
    <s v="United States"/>
    <s v="Los Angeles"/>
    <x v="1"/>
    <n v="90045"/>
    <x v="1"/>
    <x v="272"/>
    <x v="1"/>
    <x v="10"/>
    <x v="272"/>
    <x v="90"/>
    <x v="8"/>
    <x v="2"/>
  </r>
  <r>
    <n v="1145"/>
    <x v="544"/>
    <x v="411"/>
    <d v="2015-10-03T00:00:00"/>
    <s v="Standard Class"/>
    <x v="275"/>
    <s v="Arthur Prichep"/>
    <x v="0"/>
    <s v="United States"/>
    <s v="Los Angeles"/>
    <x v="1"/>
    <n v="90045"/>
    <x v="1"/>
    <x v="846"/>
    <x v="2"/>
    <x v="15"/>
    <x v="840"/>
    <x v="1019"/>
    <x v="8"/>
    <x v="2"/>
  </r>
  <r>
    <n v="1146"/>
    <x v="544"/>
    <x v="411"/>
    <d v="2015-10-03T00:00:00"/>
    <s v="Standard Class"/>
    <x v="275"/>
    <s v="Arthur Prichep"/>
    <x v="0"/>
    <s v="United States"/>
    <s v="Los Angeles"/>
    <x v="1"/>
    <n v="90045"/>
    <x v="1"/>
    <x v="821"/>
    <x v="1"/>
    <x v="4"/>
    <x v="817"/>
    <x v="1020"/>
    <x v="8"/>
    <x v="2"/>
  </r>
  <r>
    <n v="1147"/>
    <x v="545"/>
    <x v="388"/>
    <d v="2016-04-04T00:00:00"/>
    <s v="Same Day"/>
    <x v="396"/>
    <s v="Nat Carroll"/>
    <x v="0"/>
    <s v="United States"/>
    <s v="Lansing"/>
    <x v="12"/>
    <n v="48911"/>
    <x v="2"/>
    <x v="847"/>
    <x v="1"/>
    <x v="9"/>
    <x v="841"/>
    <x v="1021"/>
    <x v="3"/>
    <x v="1"/>
  </r>
  <r>
    <n v="1148"/>
    <x v="545"/>
    <x v="388"/>
    <d v="2016-04-04T00:00:00"/>
    <s v="Same Day"/>
    <x v="396"/>
    <s v="Nat Carroll"/>
    <x v="0"/>
    <s v="United States"/>
    <s v="Lansing"/>
    <x v="12"/>
    <n v="48911"/>
    <x v="2"/>
    <x v="848"/>
    <x v="1"/>
    <x v="13"/>
    <x v="128"/>
    <x v="568"/>
    <x v="3"/>
    <x v="1"/>
  </r>
  <r>
    <n v="1149"/>
    <x v="545"/>
    <x v="388"/>
    <d v="2016-04-04T00:00:00"/>
    <s v="Same Day"/>
    <x v="396"/>
    <s v="Nat Carroll"/>
    <x v="0"/>
    <s v="United States"/>
    <s v="Lansing"/>
    <x v="12"/>
    <n v="48911"/>
    <x v="2"/>
    <x v="849"/>
    <x v="1"/>
    <x v="8"/>
    <x v="842"/>
    <x v="1022"/>
    <x v="3"/>
    <x v="1"/>
  </r>
  <r>
    <n v="1150"/>
    <x v="545"/>
    <x v="388"/>
    <d v="2016-04-04T00:00:00"/>
    <s v="Same Day"/>
    <x v="396"/>
    <s v="Nat Carroll"/>
    <x v="0"/>
    <s v="United States"/>
    <s v="Lansing"/>
    <x v="12"/>
    <n v="48911"/>
    <x v="2"/>
    <x v="850"/>
    <x v="2"/>
    <x v="7"/>
    <x v="843"/>
    <x v="1023"/>
    <x v="3"/>
    <x v="1"/>
  </r>
  <r>
    <n v="1151"/>
    <x v="545"/>
    <x v="388"/>
    <d v="2016-04-04T00:00:00"/>
    <s v="Same Day"/>
    <x v="396"/>
    <s v="Nat Carroll"/>
    <x v="0"/>
    <s v="United States"/>
    <s v="Lansing"/>
    <x v="12"/>
    <n v="48911"/>
    <x v="2"/>
    <x v="851"/>
    <x v="2"/>
    <x v="16"/>
    <x v="844"/>
    <x v="1024"/>
    <x v="3"/>
    <x v="1"/>
  </r>
  <r>
    <n v="1152"/>
    <x v="546"/>
    <x v="412"/>
    <d v="2016-05-14T00:00:00"/>
    <s v="Standard Class"/>
    <x v="118"/>
    <s v="Claudia Bergmann"/>
    <x v="1"/>
    <s v="United States"/>
    <s v="Cuyahoga Falls"/>
    <x v="24"/>
    <n v="44221"/>
    <x v="3"/>
    <x v="852"/>
    <x v="0"/>
    <x v="5"/>
    <x v="845"/>
    <x v="1025"/>
    <x v="5"/>
    <x v="1"/>
  </r>
  <r>
    <n v="1153"/>
    <x v="547"/>
    <x v="413"/>
    <d v="2018-01-06T00:00:00"/>
    <s v="Standard Class"/>
    <x v="126"/>
    <s v="Kelly Lampkin"/>
    <x v="1"/>
    <s v="United States"/>
    <s v="Reno"/>
    <x v="33"/>
    <n v="89502"/>
    <x v="1"/>
    <x v="853"/>
    <x v="1"/>
    <x v="6"/>
    <x v="846"/>
    <x v="1026"/>
    <x v="4"/>
    <x v="0"/>
  </r>
  <r>
    <n v="1154"/>
    <x v="547"/>
    <x v="413"/>
    <d v="2018-01-06T00:00:00"/>
    <s v="Standard Class"/>
    <x v="126"/>
    <s v="Kelly Lampkin"/>
    <x v="1"/>
    <s v="United States"/>
    <s v="Reno"/>
    <x v="33"/>
    <n v="89502"/>
    <x v="1"/>
    <x v="697"/>
    <x v="1"/>
    <x v="8"/>
    <x v="697"/>
    <x v="1027"/>
    <x v="4"/>
    <x v="0"/>
  </r>
  <r>
    <n v="1155"/>
    <x v="548"/>
    <x v="414"/>
    <d v="2015-12-21T00:00:00"/>
    <s v="First Class"/>
    <x v="390"/>
    <s v="Penelope Sewall"/>
    <x v="2"/>
    <s v="United States"/>
    <s v="Harrisonburg"/>
    <x v="17"/>
    <n v="22801"/>
    <x v="0"/>
    <x v="854"/>
    <x v="1"/>
    <x v="4"/>
    <x v="847"/>
    <x v="1028"/>
    <x v="4"/>
    <x v="2"/>
  </r>
  <r>
    <n v="1156"/>
    <x v="548"/>
    <x v="414"/>
    <d v="2015-12-21T00:00:00"/>
    <s v="First Class"/>
    <x v="390"/>
    <s v="Penelope Sewall"/>
    <x v="2"/>
    <s v="United States"/>
    <s v="Harrisonburg"/>
    <x v="17"/>
    <n v="22801"/>
    <x v="0"/>
    <x v="855"/>
    <x v="0"/>
    <x v="3"/>
    <x v="848"/>
    <x v="1029"/>
    <x v="4"/>
    <x v="2"/>
  </r>
  <r>
    <n v="1157"/>
    <x v="548"/>
    <x v="414"/>
    <d v="2015-12-21T00:00:00"/>
    <s v="First Class"/>
    <x v="390"/>
    <s v="Penelope Sewall"/>
    <x v="2"/>
    <s v="United States"/>
    <s v="Harrisonburg"/>
    <x v="17"/>
    <n v="22801"/>
    <x v="0"/>
    <x v="350"/>
    <x v="1"/>
    <x v="8"/>
    <x v="350"/>
    <x v="1030"/>
    <x v="4"/>
    <x v="2"/>
  </r>
  <r>
    <n v="1158"/>
    <x v="548"/>
    <x v="414"/>
    <d v="2015-12-21T00:00:00"/>
    <s v="First Class"/>
    <x v="390"/>
    <s v="Penelope Sewall"/>
    <x v="2"/>
    <s v="United States"/>
    <s v="Harrisonburg"/>
    <x v="17"/>
    <n v="22801"/>
    <x v="0"/>
    <x v="342"/>
    <x v="0"/>
    <x v="3"/>
    <x v="342"/>
    <x v="1031"/>
    <x v="4"/>
    <x v="2"/>
  </r>
  <r>
    <n v="1159"/>
    <x v="549"/>
    <x v="415"/>
    <d v="2017-07-07T00:00:00"/>
    <s v="Second Class"/>
    <x v="334"/>
    <s v="George Bell"/>
    <x v="1"/>
    <s v="United States"/>
    <s v="Los Angeles"/>
    <x v="1"/>
    <n v="90004"/>
    <x v="1"/>
    <x v="856"/>
    <x v="0"/>
    <x v="1"/>
    <x v="849"/>
    <x v="1032"/>
    <x v="7"/>
    <x v="0"/>
  </r>
  <r>
    <n v="1160"/>
    <x v="550"/>
    <x v="222"/>
    <d v="2018-07-04T00:00:00"/>
    <s v="Standard Class"/>
    <x v="397"/>
    <s v="Alex Avila"/>
    <x v="0"/>
    <s v="United States"/>
    <s v="Minneapolis"/>
    <x v="11"/>
    <n v="55407"/>
    <x v="2"/>
    <x v="643"/>
    <x v="1"/>
    <x v="9"/>
    <x v="850"/>
    <x v="1033"/>
    <x v="1"/>
    <x v="3"/>
  </r>
  <r>
    <n v="1161"/>
    <x v="550"/>
    <x v="222"/>
    <d v="2018-07-04T00:00:00"/>
    <s v="Standard Class"/>
    <x v="397"/>
    <s v="Alex Avila"/>
    <x v="0"/>
    <s v="United States"/>
    <s v="Minneapolis"/>
    <x v="11"/>
    <n v="55407"/>
    <x v="2"/>
    <x v="68"/>
    <x v="1"/>
    <x v="8"/>
    <x v="68"/>
    <x v="1034"/>
    <x v="1"/>
    <x v="3"/>
  </r>
  <r>
    <n v="1162"/>
    <x v="551"/>
    <x v="416"/>
    <d v="2015-09-05T00:00:00"/>
    <s v="Second Class"/>
    <x v="398"/>
    <s v="Larry Tron"/>
    <x v="0"/>
    <s v="United States"/>
    <s v="Escondido"/>
    <x v="1"/>
    <n v="92025"/>
    <x v="1"/>
    <x v="30"/>
    <x v="1"/>
    <x v="6"/>
    <x v="30"/>
    <x v="1035"/>
    <x v="8"/>
    <x v="2"/>
  </r>
  <r>
    <n v="1163"/>
    <x v="552"/>
    <x v="223"/>
    <d v="2015-03-08T00:00:00"/>
    <s v="Standard Class"/>
    <x v="399"/>
    <s v="Anne Pryor"/>
    <x v="2"/>
    <s v="United States"/>
    <s v="New York City"/>
    <x v="15"/>
    <n v="10035"/>
    <x v="3"/>
    <x v="857"/>
    <x v="2"/>
    <x v="7"/>
    <x v="851"/>
    <x v="1036"/>
    <x v="10"/>
    <x v="2"/>
  </r>
  <r>
    <n v="1164"/>
    <x v="552"/>
    <x v="223"/>
    <d v="2015-03-08T00:00:00"/>
    <s v="Standard Class"/>
    <x v="399"/>
    <s v="Anne Pryor"/>
    <x v="2"/>
    <s v="United States"/>
    <s v="New York City"/>
    <x v="15"/>
    <n v="10035"/>
    <x v="3"/>
    <x v="270"/>
    <x v="1"/>
    <x v="8"/>
    <x v="270"/>
    <x v="1037"/>
    <x v="10"/>
    <x v="2"/>
  </r>
  <r>
    <n v="1165"/>
    <x v="552"/>
    <x v="223"/>
    <d v="2015-03-08T00:00:00"/>
    <s v="Standard Class"/>
    <x v="399"/>
    <s v="Anne Pryor"/>
    <x v="2"/>
    <s v="United States"/>
    <s v="New York City"/>
    <x v="15"/>
    <n v="10035"/>
    <x v="3"/>
    <x v="858"/>
    <x v="1"/>
    <x v="8"/>
    <x v="852"/>
    <x v="1038"/>
    <x v="10"/>
    <x v="2"/>
  </r>
  <r>
    <n v="1166"/>
    <x v="553"/>
    <x v="417"/>
    <d v="2015-05-08T00:00:00"/>
    <s v="Standard Class"/>
    <x v="400"/>
    <s v="Paul MacIntyre"/>
    <x v="0"/>
    <s v="United States"/>
    <s v="Jackson"/>
    <x v="12"/>
    <n v="49201"/>
    <x v="2"/>
    <x v="673"/>
    <x v="1"/>
    <x v="8"/>
    <x v="673"/>
    <x v="1039"/>
    <x v="5"/>
    <x v="2"/>
  </r>
  <r>
    <n v="1167"/>
    <x v="554"/>
    <x v="121"/>
    <d v="2016-11-02T00:00:00"/>
    <s v="Same Day"/>
    <x v="110"/>
    <s v="Kelly Collister"/>
    <x v="0"/>
    <s v="United States"/>
    <s v="Seattle"/>
    <x v="4"/>
    <n v="98115"/>
    <x v="1"/>
    <x v="100"/>
    <x v="2"/>
    <x v="11"/>
    <x v="100"/>
    <x v="1040"/>
    <x v="0"/>
    <x v="1"/>
  </r>
  <r>
    <n v="1168"/>
    <x v="555"/>
    <x v="166"/>
    <d v="2018-12-10T00:00:00"/>
    <s v="Second Class"/>
    <x v="111"/>
    <s v="Delfina Latchford"/>
    <x v="0"/>
    <s v="United States"/>
    <s v="New York City"/>
    <x v="15"/>
    <n v="10035"/>
    <x v="3"/>
    <x v="859"/>
    <x v="0"/>
    <x v="5"/>
    <x v="853"/>
    <x v="1041"/>
    <x v="4"/>
    <x v="3"/>
  </r>
  <r>
    <n v="1169"/>
    <x v="555"/>
    <x v="166"/>
    <d v="2018-12-10T00:00:00"/>
    <s v="Second Class"/>
    <x v="111"/>
    <s v="Delfina Latchford"/>
    <x v="0"/>
    <s v="United States"/>
    <s v="New York City"/>
    <x v="15"/>
    <n v="10035"/>
    <x v="3"/>
    <x v="72"/>
    <x v="1"/>
    <x v="4"/>
    <x v="72"/>
    <x v="1042"/>
    <x v="4"/>
    <x v="3"/>
  </r>
  <r>
    <n v="1170"/>
    <x v="555"/>
    <x v="166"/>
    <d v="2018-12-10T00:00:00"/>
    <s v="Second Class"/>
    <x v="111"/>
    <s v="Delfina Latchford"/>
    <x v="0"/>
    <s v="United States"/>
    <s v="New York City"/>
    <x v="15"/>
    <n v="10035"/>
    <x v="3"/>
    <x v="860"/>
    <x v="1"/>
    <x v="10"/>
    <x v="854"/>
    <x v="537"/>
    <x v="4"/>
    <x v="3"/>
  </r>
  <r>
    <n v="1171"/>
    <x v="555"/>
    <x v="166"/>
    <d v="2018-12-10T00:00:00"/>
    <s v="Second Class"/>
    <x v="111"/>
    <s v="Delfina Latchford"/>
    <x v="0"/>
    <s v="United States"/>
    <s v="New York City"/>
    <x v="15"/>
    <n v="10035"/>
    <x v="3"/>
    <x v="861"/>
    <x v="1"/>
    <x v="4"/>
    <x v="855"/>
    <x v="1043"/>
    <x v="4"/>
    <x v="3"/>
  </r>
  <r>
    <n v="1172"/>
    <x v="556"/>
    <x v="418"/>
    <d v="2015-03-14T00:00:00"/>
    <s v="Standard Class"/>
    <x v="349"/>
    <s v="Scott Williamson"/>
    <x v="0"/>
    <s v="United States"/>
    <s v="Royal Oak"/>
    <x v="12"/>
    <n v="48073"/>
    <x v="2"/>
    <x v="862"/>
    <x v="1"/>
    <x v="10"/>
    <x v="856"/>
    <x v="1044"/>
    <x v="10"/>
    <x v="2"/>
  </r>
  <r>
    <n v="1173"/>
    <x v="557"/>
    <x v="419"/>
    <d v="2015-04-25T00:00:00"/>
    <s v="Standard Class"/>
    <x v="211"/>
    <s v="Allen Armold"/>
    <x v="0"/>
    <s v="United States"/>
    <s v="Los Angeles"/>
    <x v="1"/>
    <n v="90008"/>
    <x v="1"/>
    <x v="863"/>
    <x v="1"/>
    <x v="8"/>
    <x v="857"/>
    <x v="1045"/>
    <x v="3"/>
    <x v="2"/>
  </r>
  <r>
    <n v="1174"/>
    <x v="558"/>
    <x v="420"/>
    <d v="2016-10-26T00:00:00"/>
    <s v="Standard Class"/>
    <x v="299"/>
    <s v="Liz Thompson"/>
    <x v="0"/>
    <s v="United States"/>
    <s v="Bloomington"/>
    <x v="10"/>
    <n v="61701"/>
    <x v="2"/>
    <x v="625"/>
    <x v="1"/>
    <x v="8"/>
    <x v="625"/>
    <x v="1046"/>
    <x v="2"/>
    <x v="1"/>
  </r>
  <r>
    <n v="1175"/>
    <x v="559"/>
    <x v="421"/>
    <d v="2016-08-25T00:00:00"/>
    <s v="First Class"/>
    <x v="317"/>
    <s v="Dave Poirier"/>
    <x v="1"/>
    <s v="United States"/>
    <s v="New York City"/>
    <x v="15"/>
    <n v="10035"/>
    <x v="3"/>
    <x v="864"/>
    <x v="1"/>
    <x v="8"/>
    <x v="858"/>
    <x v="1047"/>
    <x v="6"/>
    <x v="1"/>
  </r>
  <r>
    <n v="1176"/>
    <x v="560"/>
    <x v="48"/>
    <d v="2017-09-03T00:00:00"/>
    <s v="Standard Class"/>
    <x v="144"/>
    <s v="Adam Bellavance"/>
    <x v="2"/>
    <s v="United States"/>
    <s v="Concord"/>
    <x v="38"/>
    <n v="3301"/>
    <x v="3"/>
    <x v="660"/>
    <x v="1"/>
    <x v="14"/>
    <x v="660"/>
    <x v="1048"/>
    <x v="6"/>
    <x v="0"/>
  </r>
  <r>
    <n v="1177"/>
    <x v="561"/>
    <x v="422"/>
    <d v="2015-12-30T00:00:00"/>
    <s v="Second Class"/>
    <x v="401"/>
    <s v="Alyssa Tate"/>
    <x v="2"/>
    <s v="United States"/>
    <s v="Los Angeles"/>
    <x v="1"/>
    <n v="90004"/>
    <x v="1"/>
    <x v="865"/>
    <x v="1"/>
    <x v="2"/>
    <x v="859"/>
    <x v="1049"/>
    <x v="4"/>
    <x v="2"/>
  </r>
  <r>
    <n v="1178"/>
    <x v="562"/>
    <x v="49"/>
    <d v="2017-12-05T00:00:00"/>
    <s v="Standard Class"/>
    <x v="32"/>
    <s v="Joel Eaton"/>
    <x v="0"/>
    <s v="United States"/>
    <s v="Rockville"/>
    <x v="39"/>
    <n v="20852"/>
    <x v="3"/>
    <x v="866"/>
    <x v="0"/>
    <x v="1"/>
    <x v="860"/>
    <x v="1050"/>
    <x v="4"/>
    <x v="0"/>
  </r>
  <r>
    <n v="1179"/>
    <x v="562"/>
    <x v="49"/>
    <d v="2017-12-05T00:00:00"/>
    <s v="Standard Class"/>
    <x v="32"/>
    <s v="Joel Eaton"/>
    <x v="0"/>
    <s v="United States"/>
    <s v="Rockville"/>
    <x v="39"/>
    <n v="20852"/>
    <x v="3"/>
    <x v="160"/>
    <x v="2"/>
    <x v="7"/>
    <x v="161"/>
    <x v="686"/>
    <x v="4"/>
    <x v="0"/>
  </r>
  <r>
    <n v="1180"/>
    <x v="563"/>
    <x v="423"/>
    <d v="2017-04-27T00:00:00"/>
    <s v="Second Class"/>
    <x v="402"/>
    <s v="Cathy Armstrong"/>
    <x v="2"/>
    <s v="United States"/>
    <s v="Houston"/>
    <x v="5"/>
    <n v="77070"/>
    <x v="2"/>
    <x v="619"/>
    <x v="2"/>
    <x v="11"/>
    <x v="619"/>
    <x v="1051"/>
    <x v="3"/>
    <x v="0"/>
  </r>
  <r>
    <n v="1181"/>
    <x v="564"/>
    <x v="261"/>
    <d v="2015-06-25T00:00:00"/>
    <s v="Standard Class"/>
    <x v="72"/>
    <s v="Dave Brooks"/>
    <x v="0"/>
    <s v="United States"/>
    <s v="Lakewood"/>
    <x v="30"/>
    <n v="8701"/>
    <x v="3"/>
    <x v="867"/>
    <x v="2"/>
    <x v="7"/>
    <x v="861"/>
    <x v="1052"/>
    <x v="1"/>
    <x v="2"/>
  </r>
  <r>
    <n v="1182"/>
    <x v="564"/>
    <x v="261"/>
    <d v="2015-06-25T00:00:00"/>
    <s v="Standard Class"/>
    <x v="72"/>
    <s v="Dave Brooks"/>
    <x v="0"/>
    <s v="United States"/>
    <s v="Lakewood"/>
    <x v="30"/>
    <n v="8701"/>
    <x v="3"/>
    <x v="868"/>
    <x v="1"/>
    <x v="6"/>
    <x v="862"/>
    <x v="1053"/>
    <x v="1"/>
    <x v="2"/>
  </r>
  <r>
    <n v="1183"/>
    <x v="565"/>
    <x v="424"/>
    <d v="2018-01-15T00:00:00"/>
    <s v="First Class"/>
    <x v="262"/>
    <s v="Rob Beeghly"/>
    <x v="0"/>
    <s v="United States"/>
    <s v="Jacksonville"/>
    <x v="3"/>
    <n v="28540"/>
    <x v="0"/>
    <x v="113"/>
    <x v="1"/>
    <x v="12"/>
    <x v="113"/>
    <x v="196"/>
    <x v="9"/>
    <x v="3"/>
  </r>
  <r>
    <n v="1184"/>
    <x v="565"/>
    <x v="424"/>
    <d v="2018-01-15T00:00:00"/>
    <s v="First Class"/>
    <x v="262"/>
    <s v="Rob Beeghly"/>
    <x v="0"/>
    <s v="United States"/>
    <s v="Jacksonville"/>
    <x v="3"/>
    <n v="28540"/>
    <x v="0"/>
    <x v="869"/>
    <x v="2"/>
    <x v="7"/>
    <x v="863"/>
    <x v="1054"/>
    <x v="9"/>
    <x v="3"/>
  </r>
  <r>
    <n v="1185"/>
    <x v="566"/>
    <x v="156"/>
    <d v="2015-11-30T00:00:00"/>
    <s v="Standard Class"/>
    <x v="403"/>
    <s v="Harold Ryan"/>
    <x v="1"/>
    <s v="United States"/>
    <s v="Seattle"/>
    <x v="4"/>
    <n v="98103"/>
    <x v="1"/>
    <x v="870"/>
    <x v="1"/>
    <x v="8"/>
    <x v="864"/>
    <x v="1055"/>
    <x v="0"/>
    <x v="2"/>
  </r>
  <r>
    <n v="1186"/>
    <x v="566"/>
    <x v="156"/>
    <d v="2015-11-30T00:00:00"/>
    <s v="Standard Class"/>
    <x v="403"/>
    <s v="Harold Ryan"/>
    <x v="1"/>
    <s v="United States"/>
    <s v="Seattle"/>
    <x v="4"/>
    <n v="98103"/>
    <x v="1"/>
    <x v="871"/>
    <x v="1"/>
    <x v="4"/>
    <x v="865"/>
    <x v="1056"/>
    <x v="0"/>
    <x v="2"/>
  </r>
  <r>
    <n v="1187"/>
    <x v="566"/>
    <x v="156"/>
    <d v="2015-11-30T00:00:00"/>
    <s v="Standard Class"/>
    <x v="403"/>
    <s v="Harold Ryan"/>
    <x v="1"/>
    <s v="United States"/>
    <s v="Seattle"/>
    <x v="4"/>
    <n v="98103"/>
    <x v="1"/>
    <x v="585"/>
    <x v="1"/>
    <x v="10"/>
    <x v="585"/>
    <x v="233"/>
    <x v="0"/>
    <x v="2"/>
  </r>
  <r>
    <n v="1188"/>
    <x v="566"/>
    <x v="156"/>
    <d v="2015-11-30T00:00:00"/>
    <s v="Standard Class"/>
    <x v="403"/>
    <s v="Harold Ryan"/>
    <x v="1"/>
    <s v="United States"/>
    <s v="Seattle"/>
    <x v="4"/>
    <n v="98103"/>
    <x v="1"/>
    <x v="595"/>
    <x v="1"/>
    <x v="4"/>
    <x v="595"/>
    <x v="1057"/>
    <x v="0"/>
    <x v="2"/>
  </r>
  <r>
    <n v="1189"/>
    <x v="567"/>
    <x v="425"/>
    <d v="2018-02-28T00:00:00"/>
    <s v="Second Class"/>
    <x v="404"/>
    <s v="Bradley Talbott"/>
    <x v="2"/>
    <s v="United States"/>
    <s v="Los Angeles"/>
    <x v="1"/>
    <n v="90036"/>
    <x v="1"/>
    <x v="564"/>
    <x v="1"/>
    <x v="9"/>
    <x v="564"/>
    <x v="1058"/>
    <x v="11"/>
    <x v="3"/>
  </r>
  <r>
    <n v="1190"/>
    <x v="567"/>
    <x v="425"/>
    <d v="2018-02-28T00:00:00"/>
    <s v="Second Class"/>
    <x v="404"/>
    <s v="Bradley Talbott"/>
    <x v="2"/>
    <s v="United States"/>
    <s v="Los Angeles"/>
    <x v="1"/>
    <n v="90036"/>
    <x v="1"/>
    <x v="872"/>
    <x v="2"/>
    <x v="7"/>
    <x v="866"/>
    <x v="1059"/>
    <x v="11"/>
    <x v="3"/>
  </r>
  <r>
    <n v="1191"/>
    <x v="567"/>
    <x v="425"/>
    <d v="2018-02-28T00:00:00"/>
    <s v="Second Class"/>
    <x v="404"/>
    <s v="Bradley Talbott"/>
    <x v="2"/>
    <s v="United States"/>
    <s v="Los Angeles"/>
    <x v="1"/>
    <n v="90036"/>
    <x v="1"/>
    <x v="873"/>
    <x v="0"/>
    <x v="1"/>
    <x v="867"/>
    <x v="1060"/>
    <x v="11"/>
    <x v="3"/>
  </r>
  <r>
    <n v="1192"/>
    <x v="567"/>
    <x v="425"/>
    <d v="2018-02-28T00:00:00"/>
    <s v="Second Class"/>
    <x v="404"/>
    <s v="Bradley Talbott"/>
    <x v="2"/>
    <s v="United States"/>
    <s v="Los Angeles"/>
    <x v="1"/>
    <n v="90036"/>
    <x v="1"/>
    <x v="314"/>
    <x v="1"/>
    <x v="10"/>
    <x v="366"/>
    <x v="1061"/>
    <x v="11"/>
    <x v="3"/>
  </r>
  <r>
    <n v="1193"/>
    <x v="567"/>
    <x v="425"/>
    <d v="2018-02-28T00:00:00"/>
    <s v="Second Class"/>
    <x v="404"/>
    <s v="Bradley Talbott"/>
    <x v="2"/>
    <s v="United States"/>
    <s v="Los Angeles"/>
    <x v="1"/>
    <n v="90036"/>
    <x v="1"/>
    <x v="874"/>
    <x v="1"/>
    <x v="10"/>
    <x v="868"/>
    <x v="1062"/>
    <x v="11"/>
    <x v="3"/>
  </r>
  <r>
    <n v="1194"/>
    <x v="568"/>
    <x v="426"/>
    <d v="2016-09-15T00:00:00"/>
    <s v="Same Day"/>
    <x v="243"/>
    <s v="Nat Gilpin"/>
    <x v="1"/>
    <s v="United States"/>
    <s v="Coral Springs"/>
    <x v="2"/>
    <n v="33065"/>
    <x v="0"/>
    <x v="289"/>
    <x v="1"/>
    <x v="10"/>
    <x v="289"/>
    <x v="12"/>
    <x v="8"/>
    <x v="1"/>
  </r>
  <r>
    <n v="1195"/>
    <x v="568"/>
    <x v="426"/>
    <d v="2016-09-15T00:00:00"/>
    <s v="Same Day"/>
    <x v="243"/>
    <s v="Nat Gilpin"/>
    <x v="1"/>
    <s v="United States"/>
    <s v="Coral Springs"/>
    <x v="2"/>
    <n v="33065"/>
    <x v="0"/>
    <x v="875"/>
    <x v="0"/>
    <x v="5"/>
    <x v="869"/>
    <x v="577"/>
    <x v="8"/>
    <x v="1"/>
  </r>
  <r>
    <n v="1196"/>
    <x v="568"/>
    <x v="426"/>
    <d v="2016-09-15T00:00:00"/>
    <s v="Same Day"/>
    <x v="243"/>
    <s v="Nat Gilpin"/>
    <x v="1"/>
    <s v="United States"/>
    <s v="Coral Springs"/>
    <x v="2"/>
    <n v="33065"/>
    <x v="0"/>
    <x v="421"/>
    <x v="1"/>
    <x v="4"/>
    <x v="421"/>
    <x v="1063"/>
    <x v="8"/>
    <x v="1"/>
  </r>
  <r>
    <n v="1197"/>
    <x v="568"/>
    <x v="426"/>
    <d v="2016-09-15T00:00:00"/>
    <s v="Same Day"/>
    <x v="243"/>
    <s v="Nat Gilpin"/>
    <x v="1"/>
    <s v="United States"/>
    <s v="Coral Springs"/>
    <x v="2"/>
    <n v="33065"/>
    <x v="0"/>
    <x v="583"/>
    <x v="0"/>
    <x v="5"/>
    <x v="583"/>
    <x v="1064"/>
    <x v="8"/>
    <x v="1"/>
  </r>
  <r>
    <n v="1198"/>
    <x v="569"/>
    <x v="143"/>
    <d v="2017-04-12T00:00:00"/>
    <s v="Standard Class"/>
    <x v="233"/>
    <s v="Zuschuss Carroll"/>
    <x v="0"/>
    <s v="United States"/>
    <s v="Houston"/>
    <x v="5"/>
    <n v="77041"/>
    <x v="2"/>
    <x v="876"/>
    <x v="2"/>
    <x v="11"/>
    <x v="870"/>
    <x v="1065"/>
    <x v="3"/>
    <x v="0"/>
  </r>
  <r>
    <n v="1199"/>
    <x v="569"/>
    <x v="143"/>
    <d v="2017-04-12T00:00:00"/>
    <s v="Standard Class"/>
    <x v="233"/>
    <s v="Zuschuss Carroll"/>
    <x v="0"/>
    <s v="United States"/>
    <s v="Houston"/>
    <x v="5"/>
    <n v="77041"/>
    <x v="2"/>
    <x v="877"/>
    <x v="0"/>
    <x v="1"/>
    <x v="871"/>
    <x v="909"/>
    <x v="3"/>
    <x v="0"/>
  </r>
  <r>
    <n v="1200"/>
    <x v="569"/>
    <x v="143"/>
    <d v="2017-04-12T00:00:00"/>
    <s v="Standard Class"/>
    <x v="233"/>
    <s v="Zuschuss Carroll"/>
    <x v="0"/>
    <s v="United States"/>
    <s v="Houston"/>
    <x v="5"/>
    <n v="77041"/>
    <x v="2"/>
    <x v="316"/>
    <x v="1"/>
    <x v="8"/>
    <x v="316"/>
    <x v="1066"/>
    <x v="3"/>
    <x v="0"/>
  </r>
  <r>
    <n v="1201"/>
    <x v="570"/>
    <x v="427"/>
    <d v="2017-07-24T00:00:00"/>
    <s v="Standard Class"/>
    <x v="322"/>
    <s v="Linda Southworth"/>
    <x v="1"/>
    <s v="United States"/>
    <s v="Denver"/>
    <x v="22"/>
    <n v="80219"/>
    <x v="1"/>
    <x v="629"/>
    <x v="0"/>
    <x v="1"/>
    <x v="629"/>
    <x v="724"/>
    <x v="7"/>
    <x v="0"/>
  </r>
  <r>
    <n v="1202"/>
    <x v="570"/>
    <x v="427"/>
    <d v="2017-07-24T00:00:00"/>
    <s v="Standard Class"/>
    <x v="322"/>
    <s v="Linda Southworth"/>
    <x v="1"/>
    <s v="United States"/>
    <s v="Denver"/>
    <x v="22"/>
    <n v="80219"/>
    <x v="1"/>
    <x v="255"/>
    <x v="1"/>
    <x v="8"/>
    <x v="256"/>
    <x v="1067"/>
    <x v="7"/>
    <x v="0"/>
  </r>
  <r>
    <n v="1203"/>
    <x v="570"/>
    <x v="427"/>
    <d v="2017-07-24T00:00:00"/>
    <s v="Standard Class"/>
    <x v="322"/>
    <s v="Linda Southworth"/>
    <x v="1"/>
    <s v="United States"/>
    <s v="Denver"/>
    <x v="22"/>
    <n v="80219"/>
    <x v="1"/>
    <x v="406"/>
    <x v="0"/>
    <x v="1"/>
    <x v="407"/>
    <x v="1068"/>
    <x v="7"/>
    <x v="0"/>
  </r>
  <r>
    <n v="1204"/>
    <x v="570"/>
    <x v="427"/>
    <d v="2017-07-24T00:00:00"/>
    <s v="Standard Class"/>
    <x v="322"/>
    <s v="Linda Southworth"/>
    <x v="1"/>
    <s v="United States"/>
    <s v="Denver"/>
    <x v="22"/>
    <n v="80219"/>
    <x v="1"/>
    <x v="878"/>
    <x v="1"/>
    <x v="4"/>
    <x v="872"/>
    <x v="1069"/>
    <x v="7"/>
    <x v="0"/>
  </r>
  <r>
    <n v="1205"/>
    <x v="570"/>
    <x v="427"/>
    <d v="2017-07-24T00:00:00"/>
    <s v="Standard Class"/>
    <x v="322"/>
    <s v="Linda Southworth"/>
    <x v="1"/>
    <s v="United States"/>
    <s v="Denver"/>
    <x v="22"/>
    <n v="80219"/>
    <x v="1"/>
    <x v="426"/>
    <x v="1"/>
    <x v="4"/>
    <x v="426"/>
    <x v="1070"/>
    <x v="7"/>
    <x v="0"/>
  </r>
  <r>
    <n v="1206"/>
    <x v="571"/>
    <x v="378"/>
    <d v="2018-08-04T00:00:00"/>
    <s v="First Class"/>
    <x v="405"/>
    <s v="Larry Hughes"/>
    <x v="0"/>
    <s v="United States"/>
    <s v="Charlotte"/>
    <x v="3"/>
    <n v="28205"/>
    <x v="0"/>
    <x v="704"/>
    <x v="2"/>
    <x v="7"/>
    <x v="704"/>
    <x v="1071"/>
    <x v="6"/>
    <x v="3"/>
  </r>
  <r>
    <n v="1207"/>
    <x v="572"/>
    <x v="216"/>
    <d v="2017-07-18T00:00:00"/>
    <s v="Second Class"/>
    <x v="406"/>
    <s v="Steven Ward"/>
    <x v="1"/>
    <s v="United States"/>
    <s v="New York City"/>
    <x v="15"/>
    <n v="10009"/>
    <x v="3"/>
    <x v="602"/>
    <x v="1"/>
    <x v="4"/>
    <x v="602"/>
    <x v="1072"/>
    <x v="7"/>
    <x v="0"/>
  </r>
  <r>
    <n v="1208"/>
    <x v="572"/>
    <x v="216"/>
    <d v="2017-07-18T00:00:00"/>
    <s v="Second Class"/>
    <x v="406"/>
    <s v="Steven Ward"/>
    <x v="1"/>
    <s v="United States"/>
    <s v="New York City"/>
    <x v="15"/>
    <n v="10009"/>
    <x v="3"/>
    <x v="315"/>
    <x v="1"/>
    <x v="8"/>
    <x v="315"/>
    <x v="1073"/>
    <x v="7"/>
    <x v="0"/>
  </r>
  <r>
    <n v="1209"/>
    <x v="572"/>
    <x v="216"/>
    <d v="2017-07-18T00:00:00"/>
    <s v="Second Class"/>
    <x v="406"/>
    <s v="Steven Ward"/>
    <x v="1"/>
    <s v="United States"/>
    <s v="New York City"/>
    <x v="15"/>
    <n v="10009"/>
    <x v="3"/>
    <x v="131"/>
    <x v="1"/>
    <x v="13"/>
    <x v="132"/>
    <x v="1074"/>
    <x v="7"/>
    <x v="0"/>
  </r>
  <r>
    <n v="1210"/>
    <x v="572"/>
    <x v="216"/>
    <d v="2017-07-18T00:00:00"/>
    <s v="Second Class"/>
    <x v="406"/>
    <s v="Steven Ward"/>
    <x v="1"/>
    <s v="United States"/>
    <s v="New York City"/>
    <x v="15"/>
    <n v="10009"/>
    <x v="3"/>
    <x v="879"/>
    <x v="1"/>
    <x v="6"/>
    <x v="873"/>
    <x v="1075"/>
    <x v="7"/>
    <x v="0"/>
  </r>
  <r>
    <n v="1211"/>
    <x v="572"/>
    <x v="216"/>
    <d v="2017-07-18T00:00:00"/>
    <s v="Second Class"/>
    <x v="406"/>
    <s v="Steven Ward"/>
    <x v="1"/>
    <s v="United States"/>
    <s v="New York City"/>
    <x v="15"/>
    <n v="10009"/>
    <x v="3"/>
    <x v="880"/>
    <x v="1"/>
    <x v="8"/>
    <x v="874"/>
    <x v="1076"/>
    <x v="7"/>
    <x v="0"/>
  </r>
  <r>
    <n v="1212"/>
    <x v="572"/>
    <x v="216"/>
    <d v="2017-07-18T00:00:00"/>
    <s v="Second Class"/>
    <x v="406"/>
    <s v="Steven Ward"/>
    <x v="1"/>
    <s v="United States"/>
    <s v="New York City"/>
    <x v="15"/>
    <n v="10009"/>
    <x v="3"/>
    <x v="199"/>
    <x v="0"/>
    <x v="0"/>
    <x v="200"/>
    <x v="1077"/>
    <x v="7"/>
    <x v="0"/>
  </r>
  <r>
    <n v="1213"/>
    <x v="573"/>
    <x v="428"/>
    <d v="2018-09-13T00:00:00"/>
    <s v="Standard Class"/>
    <x v="407"/>
    <s v="Stefania Perrino"/>
    <x v="1"/>
    <s v="United States"/>
    <s v="Philadelphia"/>
    <x v="9"/>
    <n v="19134"/>
    <x v="3"/>
    <x v="211"/>
    <x v="0"/>
    <x v="1"/>
    <x v="212"/>
    <x v="1078"/>
    <x v="8"/>
    <x v="3"/>
  </r>
  <r>
    <n v="1214"/>
    <x v="573"/>
    <x v="428"/>
    <d v="2018-09-13T00:00:00"/>
    <s v="Standard Class"/>
    <x v="407"/>
    <s v="Stefania Perrino"/>
    <x v="1"/>
    <s v="United States"/>
    <s v="Philadelphia"/>
    <x v="9"/>
    <n v="19134"/>
    <x v="3"/>
    <x v="881"/>
    <x v="1"/>
    <x v="8"/>
    <x v="875"/>
    <x v="1079"/>
    <x v="8"/>
    <x v="3"/>
  </r>
  <r>
    <n v="1215"/>
    <x v="573"/>
    <x v="428"/>
    <d v="2018-09-13T00:00:00"/>
    <s v="Standard Class"/>
    <x v="407"/>
    <s v="Stefania Perrino"/>
    <x v="1"/>
    <s v="United States"/>
    <s v="Philadelphia"/>
    <x v="9"/>
    <n v="19134"/>
    <x v="3"/>
    <x v="491"/>
    <x v="1"/>
    <x v="8"/>
    <x v="491"/>
    <x v="1080"/>
    <x v="8"/>
    <x v="3"/>
  </r>
  <r>
    <n v="1216"/>
    <x v="573"/>
    <x v="428"/>
    <d v="2018-09-13T00:00:00"/>
    <s v="Standard Class"/>
    <x v="407"/>
    <s v="Stefania Perrino"/>
    <x v="1"/>
    <s v="United States"/>
    <s v="Philadelphia"/>
    <x v="9"/>
    <n v="19134"/>
    <x v="3"/>
    <x v="241"/>
    <x v="1"/>
    <x v="6"/>
    <x v="242"/>
    <x v="1081"/>
    <x v="8"/>
    <x v="3"/>
  </r>
  <r>
    <n v="1217"/>
    <x v="573"/>
    <x v="428"/>
    <d v="2018-09-13T00:00:00"/>
    <s v="Standard Class"/>
    <x v="407"/>
    <s v="Stefania Perrino"/>
    <x v="1"/>
    <s v="United States"/>
    <s v="Philadelphia"/>
    <x v="9"/>
    <n v="19134"/>
    <x v="3"/>
    <x v="240"/>
    <x v="2"/>
    <x v="11"/>
    <x v="241"/>
    <x v="1082"/>
    <x v="8"/>
    <x v="3"/>
  </r>
  <r>
    <n v="1218"/>
    <x v="573"/>
    <x v="428"/>
    <d v="2018-09-13T00:00:00"/>
    <s v="Standard Class"/>
    <x v="407"/>
    <s v="Stefania Perrino"/>
    <x v="1"/>
    <s v="United States"/>
    <s v="Philadelphia"/>
    <x v="9"/>
    <n v="19134"/>
    <x v="3"/>
    <x v="882"/>
    <x v="0"/>
    <x v="5"/>
    <x v="876"/>
    <x v="1083"/>
    <x v="8"/>
    <x v="3"/>
  </r>
  <r>
    <n v="1219"/>
    <x v="573"/>
    <x v="428"/>
    <d v="2018-09-13T00:00:00"/>
    <s v="Standard Class"/>
    <x v="407"/>
    <s v="Stefania Perrino"/>
    <x v="1"/>
    <s v="United States"/>
    <s v="Philadelphia"/>
    <x v="9"/>
    <n v="19134"/>
    <x v="3"/>
    <x v="619"/>
    <x v="2"/>
    <x v="11"/>
    <x v="619"/>
    <x v="1051"/>
    <x v="8"/>
    <x v="3"/>
  </r>
  <r>
    <n v="1220"/>
    <x v="573"/>
    <x v="428"/>
    <d v="2018-09-13T00:00:00"/>
    <s v="Standard Class"/>
    <x v="407"/>
    <s v="Stefania Perrino"/>
    <x v="1"/>
    <s v="United States"/>
    <s v="Philadelphia"/>
    <x v="9"/>
    <n v="19134"/>
    <x v="3"/>
    <x v="883"/>
    <x v="2"/>
    <x v="7"/>
    <x v="877"/>
    <x v="1084"/>
    <x v="8"/>
    <x v="3"/>
  </r>
  <r>
    <n v="1221"/>
    <x v="574"/>
    <x v="136"/>
    <d v="2015-07-16T00:00:00"/>
    <s v="Standard Class"/>
    <x v="408"/>
    <s v="Ben Ferrer"/>
    <x v="2"/>
    <s v="United States"/>
    <s v="Los Angeles"/>
    <x v="1"/>
    <n v="90036"/>
    <x v="1"/>
    <x v="17"/>
    <x v="1"/>
    <x v="4"/>
    <x v="17"/>
    <x v="1085"/>
    <x v="7"/>
    <x v="2"/>
  </r>
  <r>
    <n v="1222"/>
    <x v="574"/>
    <x v="136"/>
    <d v="2015-07-16T00:00:00"/>
    <s v="Standard Class"/>
    <x v="408"/>
    <s v="Ben Ferrer"/>
    <x v="2"/>
    <s v="United States"/>
    <s v="Los Angeles"/>
    <x v="1"/>
    <n v="90036"/>
    <x v="1"/>
    <x v="884"/>
    <x v="2"/>
    <x v="7"/>
    <x v="878"/>
    <x v="1086"/>
    <x v="7"/>
    <x v="2"/>
  </r>
  <r>
    <n v="1223"/>
    <x v="575"/>
    <x v="429"/>
    <d v="2017-12-05T00:00:00"/>
    <s v="First Class"/>
    <x v="78"/>
    <s v="Becky Martin"/>
    <x v="0"/>
    <s v="United States"/>
    <s v="New York City"/>
    <x v="15"/>
    <n v="10024"/>
    <x v="3"/>
    <x v="767"/>
    <x v="0"/>
    <x v="5"/>
    <x v="766"/>
    <x v="1087"/>
    <x v="4"/>
    <x v="0"/>
  </r>
  <r>
    <n v="1224"/>
    <x v="575"/>
    <x v="429"/>
    <d v="2017-12-05T00:00:00"/>
    <s v="First Class"/>
    <x v="78"/>
    <s v="Becky Martin"/>
    <x v="0"/>
    <s v="United States"/>
    <s v="New York City"/>
    <x v="15"/>
    <n v="10024"/>
    <x v="3"/>
    <x v="475"/>
    <x v="2"/>
    <x v="11"/>
    <x v="476"/>
    <x v="1088"/>
    <x v="4"/>
    <x v="0"/>
  </r>
  <r>
    <n v="1225"/>
    <x v="575"/>
    <x v="429"/>
    <d v="2017-12-05T00:00:00"/>
    <s v="First Class"/>
    <x v="78"/>
    <s v="Becky Martin"/>
    <x v="0"/>
    <s v="United States"/>
    <s v="New York City"/>
    <x v="15"/>
    <n v="10024"/>
    <x v="3"/>
    <x v="870"/>
    <x v="1"/>
    <x v="8"/>
    <x v="864"/>
    <x v="1089"/>
    <x v="4"/>
    <x v="0"/>
  </r>
  <r>
    <n v="1226"/>
    <x v="575"/>
    <x v="429"/>
    <d v="2017-12-05T00:00:00"/>
    <s v="First Class"/>
    <x v="78"/>
    <s v="Becky Martin"/>
    <x v="0"/>
    <s v="United States"/>
    <s v="New York City"/>
    <x v="15"/>
    <n v="10024"/>
    <x v="3"/>
    <x v="885"/>
    <x v="1"/>
    <x v="10"/>
    <x v="33"/>
    <x v="1090"/>
    <x v="4"/>
    <x v="0"/>
  </r>
  <r>
    <n v="1227"/>
    <x v="575"/>
    <x v="429"/>
    <d v="2017-12-05T00:00:00"/>
    <s v="First Class"/>
    <x v="78"/>
    <s v="Becky Martin"/>
    <x v="0"/>
    <s v="United States"/>
    <s v="New York City"/>
    <x v="15"/>
    <n v="10024"/>
    <x v="3"/>
    <x v="886"/>
    <x v="1"/>
    <x v="4"/>
    <x v="879"/>
    <x v="1091"/>
    <x v="4"/>
    <x v="0"/>
  </r>
  <r>
    <n v="1228"/>
    <x v="575"/>
    <x v="429"/>
    <d v="2017-12-05T00:00:00"/>
    <s v="First Class"/>
    <x v="78"/>
    <s v="Becky Martin"/>
    <x v="0"/>
    <s v="United States"/>
    <s v="New York City"/>
    <x v="15"/>
    <n v="10024"/>
    <x v="3"/>
    <x v="887"/>
    <x v="1"/>
    <x v="4"/>
    <x v="880"/>
    <x v="1092"/>
    <x v="4"/>
    <x v="0"/>
  </r>
  <r>
    <n v="1229"/>
    <x v="576"/>
    <x v="44"/>
    <d v="2018-11-11T00:00:00"/>
    <s v="Standard Class"/>
    <x v="233"/>
    <s v="Zuschuss Carroll"/>
    <x v="0"/>
    <s v="United States"/>
    <s v="Los Angeles"/>
    <x v="1"/>
    <n v="90045"/>
    <x v="1"/>
    <x v="588"/>
    <x v="1"/>
    <x v="12"/>
    <x v="588"/>
    <x v="764"/>
    <x v="0"/>
    <x v="3"/>
  </r>
  <r>
    <n v="1230"/>
    <x v="576"/>
    <x v="44"/>
    <d v="2018-11-11T00:00:00"/>
    <s v="Standard Class"/>
    <x v="233"/>
    <s v="Zuschuss Carroll"/>
    <x v="0"/>
    <s v="United States"/>
    <s v="Los Angeles"/>
    <x v="1"/>
    <n v="90045"/>
    <x v="1"/>
    <x v="698"/>
    <x v="0"/>
    <x v="5"/>
    <x v="698"/>
    <x v="984"/>
    <x v="0"/>
    <x v="3"/>
  </r>
  <r>
    <n v="1231"/>
    <x v="576"/>
    <x v="44"/>
    <d v="2018-11-11T00:00:00"/>
    <s v="Standard Class"/>
    <x v="233"/>
    <s v="Zuschuss Carroll"/>
    <x v="0"/>
    <s v="United States"/>
    <s v="Los Angeles"/>
    <x v="1"/>
    <n v="90045"/>
    <x v="1"/>
    <x v="888"/>
    <x v="1"/>
    <x v="6"/>
    <x v="881"/>
    <x v="1093"/>
    <x v="0"/>
    <x v="3"/>
  </r>
  <r>
    <n v="1232"/>
    <x v="577"/>
    <x v="89"/>
    <d v="2016-11-02T00:00:00"/>
    <s v="Second Class"/>
    <x v="409"/>
    <s v="Kean Thornton"/>
    <x v="0"/>
    <s v="United States"/>
    <s v="Buffalo"/>
    <x v="15"/>
    <n v="14215"/>
    <x v="3"/>
    <x v="381"/>
    <x v="1"/>
    <x v="6"/>
    <x v="382"/>
    <x v="1094"/>
    <x v="2"/>
    <x v="1"/>
  </r>
  <r>
    <n v="1233"/>
    <x v="577"/>
    <x v="89"/>
    <d v="2016-11-02T00:00:00"/>
    <s v="Second Class"/>
    <x v="409"/>
    <s v="Kean Thornton"/>
    <x v="0"/>
    <s v="United States"/>
    <s v="Buffalo"/>
    <x v="15"/>
    <n v="14215"/>
    <x v="3"/>
    <x v="889"/>
    <x v="1"/>
    <x v="12"/>
    <x v="882"/>
    <x v="1095"/>
    <x v="2"/>
    <x v="1"/>
  </r>
  <r>
    <n v="1234"/>
    <x v="578"/>
    <x v="198"/>
    <d v="2017-06-01T00:00:00"/>
    <s v="First Class"/>
    <x v="410"/>
    <s v="Brooke Gillingham"/>
    <x v="1"/>
    <s v="United States"/>
    <s v="Cincinnati"/>
    <x v="24"/>
    <n v="45231"/>
    <x v="3"/>
    <x v="890"/>
    <x v="2"/>
    <x v="16"/>
    <x v="883"/>
    <x v="1096"/>
    <x v="5"/>
    <x v="0"/>
  </r>
  <r>
    <n v="1235"/>
    <x v="579"/>
    <x v="99"/>
    <d v="2017-10-28T00:00:00"/>
    <s v="Same Day"/>
    <x v="310"/>
    <s v="Patrick Gardner"/>
    <x v="0"/>
    <s v="United States"/>
    <s v="Boynton Beach"/>
    <x v="2"/>
    <n v="33437"/>
    <x v="0"/>
    <x v="891"/>
    <x v="0"/>
    <x v="5"/>
    <x v="884"/>
    <x v="1097"/>
    <x v="2"/>
    <x v="0"/>
  </r>
  <r>
    <n v="1236"/>
    <x v="579"/>
    <x v="99"/>
    <d v="2017-10-28T00:00:00"/>
    <s v="Same Day"/>
    <x v="310"/>
    <s v="Patrick Gardner"/>
    <x v="0"/>
    <s v="United States"/>
    <s v="Boynton Beach"/>
    <x v="2"/>
    <n v="33437"/>
    <x v="0"/>
    <x v="691"/>
    <x v="1"/>
    <x v="8"/>
    <x v="691"/>
    <x v="1098"/>
    <x v="2"/>
    <x v="0"/>
  </r>
  <r>
    <n v="1237"/>
    <x v="579"/>
    <x v="99"/>
    <d v="2017-10-28T00:00:00"/>
    <s v="Same Day"/>
    <x v="310"/>
    <s v="Patrick Gardner"/>
    <x v="0"/>
    <s v="United States"/>
    <s v="Boynton Beach"/>
    <x v="2"/>
    <n v="33437"/>
    <x v="0"/>
    <x v="892"/>
    <x v="0"/>
    <x v="5"/>
    <x v="885"/>
    <x v="1099"/>
    <x v="2"/>
    <x v="0"/>
  </r>
  <r>
    <n v="1238"/>
    <x v="579"/>
    <x v="99"/>
    <d v="2017-10-28T00:00:00"/>
    <s v="Same Day"/>
    <x v="310"/>
    <s v="Patrick Gardner"/>
    <x v="0"/>
    <s v="United States"/>
    <s v="Boynton Beach"/>
    <x v="2"/>
    <n v="33437"/>
    <x v="0"/>
    <x v="568"/>
    <x v="0"/>
    <x v="5"/>
    <x v="568"/>
    <x v="1100"/>
    <x v="2"/>
    <x v="0"/>
  </r>
  <r>
    <n v="1239"/>
    <x v="580"/>
    <x v="430"/>
    <d v="2015-08-15T00:00:00"/>
    <s v="Standard Class"/>
    <x v="411"/>
    <s v="Greg Matthias"/>
    <x v="0"/>
    <s v="United States"/>
    <s v="Seattle"/>
    <x v="4"/>
    <n v="98105"/>
    <x v="1"/>
    <x v="893"/>
    <x v="0"/>
    <x v="5"/>
    <x v="886"/>
    <x v="1101"/>
    <x v="6"/>
    <x v="2"/>
  </r>
  <r>
    <n v="1240"/>
    <x v="580"/>
    <x v="430"/>
    <d v="2015-08-15T00:00:00"/>
    <s v="Standard Class"/>
    <x v="411"/>
    <s v="Greg Matthias"/>
    <x v="0"/>
    <s v="United States"/>
    <s v="Seattle"/>
    <x v="4"/>
    <n v="98105"/>
    <x v="1"/>
    <x v="894"/>
    <x v="1"/>
    <x v="6"/>
    <x v="887"/>
    <x v="1102"/>
    <x v="6"/>
    <x v="2"/>
  </r>
  <r>
    <n v="1241"/>
    <x v="580"/>
    <x v="430"/>
    <d v="2015-08-15T00:00:00"/>
    <s v="Standard Class"/>
    <x v="411"/>
    <s v="Greg Matthias"/>
    <x v="0"/>
    <s v="United States"/>
    <s v="Seattle"/>
    <x v="4"/>
    <n v="98105"/>
    <x v="1"/>
    <x v="271"/>
    <x v="1"/>
    <x v="13"/>
    <x v="271"/>
    <x v="1003"/>
    <x v="6"/>
    <x v="2"/>
  </r>
  <r>
    <n v="1242"/>
    <x v="581"/>
    <x v="48"/>
    <d v="2017-09-04T00:00:00"/>
    <s v="Standard Class"/>
    <x v="246"/>
    <s v="Meg O'Connel"/>
    <x v="2"/>
    <s v="United States"/>
    <s v="New York City"/>
    <x v="15"/>
    <n v="10024"/>
    <x v="3"/>
    <x v="895"/>
    <x v="2"/>
    <x v="7"/>
    <x v="888"/>
    <x v="1103"/>
    <x v="6"/>
    <x v="0"/>
  </r>
  <r>
    <n v="1243"/>
    <x v="582"/>
    <x v="431"/>
    <d v="2017-02-22T00:00:00"/>
    <s v="Standard Class"/>
    <x v="310"/>
    <s v="Patrick Gardner"/>
    <x v="0"/>
    <s v="United States"/>
    <s v="New York City"/>
    <x v="15"/>
    <n v="10009"/>
    <x v="3"/>
    <x v="896"/>
    <x v="1"/>
    <x v="8"/>
    <x v="889"/>
    <x v="1104"/>
    <x v="11"/>
    <x v="0"/>
  </r>
  <r>
    <n v="1244"/>
    <x v="582"/>
    <x v="431"/>
    <d v="2017-02-22T00:00:00"/>
    <s v="Standard Class"/>
    <x v="310"/>
    <s v="Patrick Gardner"/>
    <x v="0"/>
    <s v="United States"/>
    <s v="New York City"/>
    <x v="15"/>
    <n v="10009"/>
    <x v="3"/>
    <x v="52"/>
    <x v="1"/>
    <x v="13"/>
    <x v="52"/>
    <x v="521"/>
    <x v="11"/>
    <x v="0"/>
  </r>
  <r>
    <n v="1245"/>
    <x v="583"/>
    <x v="304"/>
    <d v="2018-05-21T00:00:00"/>
    <s v="Standard Class"/>
    <x v="412"/>
    <s v="Eva Jacobs"/>
    <x v="0"/>
    <s v="United States"/>
    <s v="Gulfport"/>
    <x v="35"/>
    <n v="39503"/>
    <x v="0"/>
    <x v="897"/>
    <x v="1"/>
    <x v="12"/>
    <x v="890"/>
    <x v="1105"/>
    <x v="5"/>
    <x v="3"/>
  </r>
  <r>
    <n v="1246"/>
    <x v="584"/>
    <x v="432"/>
    <d v="2015-12-14T00:00:00"/>
    <s v="Second Class"/>
    <x v="413"/>
    <s v="Nora Preis"/>
    <x v="0"/>
    <s v="United States"/>
    <s v="Fresno"/>
    <x v="1"/>
    <n v="93727"/>
    <x v="1"/>
    <x v="898"/>
    <x v="0"/>
    <x v="3"/>
    <x v="891"/>
    <x v="1106"/>
    <x v="4"/>
    <x v="2"/>
  </r>
  <r>
    <n v="1247"/>
    <x v="584"/>
    <x v="432"/>
    <d v="2015-12-14T00:00:00"/>
    <s v="Second Class"/>
    <x v="413"/>
    <s v="Nora Preis"/>
    <x v="0"/>
    <s v="United States"/>
    <s v="Fresno"/>
    <x v="1"/>
    <n v="93727"/>
    <x v="1"/>
    <x v="215"/>
    <x v="0"/>
    <x v="3"/>
    <x v="216"/>
    <x v="1107"/>
    <x v="4"/>
    <x v="2"/>
  </r>
  <r>
    <n v="1248"/>
    <x v="584"/>
    <x v="432"/>
    <d v="2015-12-14T00:00:00"/>
    <s v="Second Class"/>
    <x v="413"/>
    <s v="Nora Preis"/>
    <x v="0"/>
    <s v="United States"/>
    <s v="Fresno"/>
    <x v="1"/>
    <n v="93727"/>
    <x v="1"/>
    <x v="899"/>
    <x v="0"/>
    <x v="0"/>
    <x v="892"/>
    <x v="1108"/>
    <x v="4"/>
    <x v="2"/>
  </r>
  <r>
    <n v="1249"/>
    <x v="585"/>
    <x v="404"/>
    <d v="2018-12-24T00:00:00"/>
    <s v="Standard Class"/>
    <x v="264"/>
    <s v="Doug Jacobs"/>
    <x v="0"/>
    <s v="United States"/>
    <s v="New York City"/>
    <x v="15"/>
    <n v="10009"/>
    <x v="3"/>
    <x v="900"/>
    <x v="1"/>
    <x v="6"/>
    <x v="772"/>
    <x v="1109"/>
    <x v="4"/>
    <x v="3"/>
  </r>
  <r>
    <n v="1250"/>
    <x v="585"/>
    <x v="404"/>
    <d v="2018-12-24T00:00:00"/>
    <s v="Standard Class"/>
    <x v="264"/>
    <s v="Doug Jacobs"/>
    <x v="0"/>
    <s v="United States"/>
    <s v="New York City"/>
    <x v="15"/>
    <n v="10009"/>
    <x v="3"/>
    <x v="901"/>
    <x v="0"/>
    <x v="1"/>
    <x v="893"/>
    <x v="1110"/>
    <x v="4"/>
    <x v="3"/>
  </r>
  <r>
    <n v="1251"/>
    <x v="585"/>
    <x v="404"/>
    <d v="2018-12-24T00:00:00"/>
    <s v="Standard Class"/>
    <x v="264"/>
    <s v="Doug Jacobs"/>
    <x v="0"/>
    <s v="United States"/>
    <s v="New York City"/>
    <x v="15"/>
    <n v="10009"/>
    <x v="3"/>
    <x v="164"/>
    <x v="1"/>
    <x v="9"/>
    <x v="165"/>
    <x v="1111"/>
    <x v="4"/>
    <x v="3"/>
  </r>
  <r>
    <n v="1252"/>
    <x v="585"/>
    <x v="404"/>
    <d v="2018-12-24T00:00:00"/>
    <s v="Standard Class"/>
    <x v="264"/>
    <s v="Doug Jacobs"/>
    <x v="0"/>
    <s v="United States"/>
    <s v="New York City"/>
    <x v="15"/>
    <n v="10009"/>
    <x v="3"/>
    <x v="902"/>
    <x v="1"/>
    <x v="6"/>
    <x v="894"/>
    <x v="1112"/>
    <x v="4"/>
    <x v="3"/>
  </r>
  <r>
    <n v="1253"/>
    <x v="586"/>
    <x v="433"/>
    <d v="2016-07-09T00:00:00"/>
    <s v="Standard Class"/>
    <x v="5"/>
    <s v="Irene Maddox"/>
    <x v="0"/>
    <s v="United States"/>
    <s v="Milwaukee"/>
    <x v="6"/>
    <n v="53209"/>
    <x v="2"/>
    <x v="903"/>
    <x v="2"/>
    <x v="7"/>
    <x v="895"/>
    <x v="1113"/>
    <x v="7"/>
    <x v="1"/>
  </r>
  <r>
    <n v="1254"/>
    <x v="587"/>
    <x v="434"/>
    <d v="2018-03-14T00:00:00"/>
    <s v="Standard Class"/>
    <x v="414"/>
    <s v="Mick Hernandez"/>
    <x v="2"/>
    <s v="United States"/>
    <s v="Chester"/>
    <x v="9"/>
    <n v="19013"/>
    <x v="3"/>
    <x v="686"/>
    <x v="1"/>
    <x v="6"/>
    <x v="686"/>
    <x v="791"/>
    <x v="10"/>
    <x v="3"/>
  </r>
  <r>
    <n v="1255"/>
    <x v="587"/>
    <x v="434"/>
    <d v="2018-03-14T00:00:00"/>
    <s v="Standard Class"/>
    <x v="414"/>
    <s v="Mick Hernandez"/>
    <x v="2"/>
    <s v="United States"/>
    <s v="Chester"/>
    <x v="9"/>
    <n v="19013"/>
    <x v="3"/>
    <x v="424"/>
    <x v="2"/>
    <x v="7"/>
    <x v="424"/>
    <x v="382"/>
    <x v="10"/>
    <x v="3"/>
  </r>
  <r>
    <n v="1256"/>
    <x v="587"/>
    <x v="434"/>
    <d v="2018-03-14T00:00:00"/>
    <s v="Standard Class"/>
    <x v="414"/>
    <s v="Mick Hernandez"/>
    <x v="2"/>
    <s v="United States"/>
    <s v="Chester"/>
    <x v="9"/>
    <n v="19013"/>
    <x v="3"/>
    <x v="904"/>
    <x v="0"/>
    <x v="5"/>
    <x v="896"/>
    <x v="1114"/>
    <x v="10"/>
    <x v="3"/>
  </r>
  <r>
    <n v="1257"/>
    <x v="587"/>
    <x v="434"/>
    <d v="2018-03-14T00:00:00"/>
    <s v="Standard Class"/>
    <x v="414"/>
    <s v="Mick Hernandez"/>
    <x v="2"/>
    <s v="United States"/>
    <s v="Chester"/>
    <x v="9"/>
    <n v="19013"/>
    <x v="3"/>
    <x v="905"/>
    <x v="0"/>
    <x v="5"/>
    <x v="897"/>
    <x v="1115"/>
    <x v="10"/>
    <x v="3"/>
  </r>
  <r>
    <n v="1258"/>
    <x v="588"/>
    <x v="435"/>
    <d v="2017-12-28T00:00:00"/>
    <s v="Second Class"/>
    <x v="176"/>
    <s v="Ross Baird"/>
    <x v="2"/>
    <s v="United States"/>
    <s v="Charlotte"/>
    <x v="3"/>
    <n v="28205"/>
    <x v="0"/>
    <x v="582"/>
    <x v="1"/>
    <x v="8"/>
    <x v="582"/>
    <x v="1116"/>
    <x v="4"/>
    <x v="0"/>
  </r>
  <r>
    <n v="1259"/>
    <x v="588"/>
    <x v="435"/>
    <d v="2017-12-28T00:00:00"/>
    <s v="Second Class"/>
    <x v="176"/>
    <s v="Ross Baird"/>
    <x v="2"/>
    <s v="United States"/>
    <s v="Charlotte"/>
    <x v="3"/>
    <n v="28205"/>
    <x v="0"/>
    <x v="906"/>
    <x v="1"/>
    <x v="4"/>
    <x v="898"/>
    <x v="1117"/>
    <x v="4"/>
    <x v="0"/>
  </r>
  <r>
    <n v="1260"/>
    <x v="588"/>
    <x v="435"/>
    <d v="2017-12-28T00:00:00"/>
    <s v="Second Class"/>
    <x v="176"/>
    <s v="Ross Baird"/>
    <x v="2"/>
    <s v="United States"/>
    <s v="Charlotte"/>
    <x v="3"/>
    <n v="28205"/>
    <x v="0"/>
    <x v="240"/>
    <x v="2"/>
    <x v="11"/>
    <x v="241"/>
    <x v="1118"/>
    <x v="4"/>
    <x v="0"/>
  </r>
  <r>
    <n v="1261"/>
    <x v="589"/>
    <x v="436"/>
    <d v="2018-10-27T00:00:00"/>
    <s v="Standard Class"/>
    <x v="415"/>
    <s v="Jocasta Rupert"/>
    <x v="0"/>
    <s v="United States"/>
    <s v="Jacksonville"/>
    <x v="2"/>
    <n v="32216"/>
    <x v="0"/>
    <x v="907"/>
    <x v="2"/>
    <x v="7"/>
    <x v="899"/>
    <x v="1119"/>
    <x v="2"/>
    <x v="3"/>
  </r>
  <r>
    <n v="1262"/>
    <x v="590"/>
    <x v="99"/>
    <d v="2017-11-04T00:00:00"/>
    <s v="Standard Class"/>
    <x v="416"/>
    <s v="Suzanne McNair"/>
    <x v="1"/>
    <s v="United States"/>
    <s v="Greenville"/>
    <x v="3"/>
    <n v="27834"/>
    <x v="0"/>
    <x v="908"/>
    <x v="1"/>
    <x v="8"/>
    <x v="900"/>
    <x v="1120"/>
    <x v="2"/>
    <x v="0"/>
  </r>
  <r>
    <n v="1263"/>
    <x v="591"/>
    <x v="437"/>
    <d v="2018-07-09T00:00:00"/>
    <s v="Second Class"/>
    <x v="394"/>
    <s v="Christine Sundaresam"/>
    <x v="0"/>
    <s v="United States"/>
    <s v="Long Beach"/>
    <x v="15"/>
    <n v="11561"/>
    <x v="3"/>
    <x v="24"/>
    <x v="1"/>
    <x v="8"/>
    <x v="24"/>
    <x v="1121"/>
    <x v="7"/>
    <x v="3"/>
  </r>
  <r>
    <n v="1264"/>
    <x v="592"/>
    <x v="393"/>
    <d v="2017-10-02T00:00:00"/>
    <s v="First Class"/>
    <x v="417"/>
    <s v="Chris Cortes"/>
    <x v="0"/>
    <s v="United States"/>
    <s v="La Porte"/>
    <x v="14"/>
    <n v="46350"/>
    <x v="2"/>
    <x v="139"/>
    <x v="2"/>
    <x v="7"/>
    <x v="140"/>
    <x v="1122"/>
    <x v="2"/>
    <x v="0"/>
  </r>
  <r>
    <n v="1265"/>
    <x v="592"/>
    <x v="393"/>
    <d v="2017-10-02T00:00:00"/>
    <s v="First Class"/>
    <x v="417"/>
    <s v="Chris Cortes"/>
    <x v="0"/>
    <s v="United States"/>
    <s v="La Porte"/>
    <x v="14"/>
    <n v="46350"/>
    <x v="2"/>
    <x v="904"/>
    <x v="0"/>
    <x v="5"/>
    <x v="896"/>
    <x v="1123"/>
    <x v="2"/>
    <x v="0"/>
  </r>
  <r>
    <n v="1266"/>
    <x v="593"/>
    <x v="264"/>
    <d v="2018-09-07T00:00:00"/>
    <s v="Standard Class"/>
    <x v="418"/>
    <s v="Phillip Flathmann"/>
    <x v="0"/>
    <s v="United States"/>
    <s v="San Francisco"/>
    <x v="1"/>
    <n v="94122"/>
    <x v="1"/>
    <x v="909"/>
    <x v="1"/>
    <x v="6"/>
    <x v="901"/>
    <x v="1124"/>
    <x v="8"/>
    <x v="3"/>
  </r>
  <r>
    <n v="1267"/>
    <x v="594"/>
    <x v="163"/>
    <d v="2015-12-29T00:00:00"/>
    <s v="Standard Class"/>
    <x v="36"/>
    <s v="Julie Creighton"/>
    <x v="1"/>
    <s v="United States"/>
    <s v="Los Angeles"/>
    <x v="1"/>
    <n v="90045"/>
    <x v="1"/>
    <x v="384"/>
    <x v="1"/>
    <x v="4"/>
    <x v="385"/>
    <x v="1125"/>
    <x v="4"/>
    <x v="2"/>
  </r>
  <r>
    <n v="1268"/>
    <x v="594"/>
    <x v="163"/>
    <d v="2015-12-29T00:00:00"/>
    <s v="Standard Class"/>
    <x v="36"/>
    <s v="Julie Creighton"/>
    <x v="1"/>
    <s v="United States"/>
    <s v="Los Angeles"/>
    <x v="1"/>
    <n v="90045"/>
    <x v="1"/>
    <x v="64"/>
    <x v="0"/>
    <x v="1"/>
    <x v="64"/>
    <x v="1126"/>
    <x v="4"/>
    <x v="2"/>
  </r>
  <r>
    <n v="1269"/>
    <x v="595"/>
    <x v="397"/>
    <d v="2018-09-27T00:00:00"/>
    <s v="Standard Class"/>
    <x v="410"/>
    <s v="Brooke Gillingham"/>
    <x v="1"/>
    <s v="United States"/>
    <s v="Louisville"/>
    <x v="22"/>
    <n v="80027"/>
    <x v="1"/>
    <x v="390"/>
    <x v="0"/>
    <x v="5"/>
    <x v="391"/>
    <x v="1127"/>
    <x v="8"/>
    <x v="3"/>
  </r>
  <r>
    <n v="1270"/>
    <x v="596"/>
    <x v="400"/>
    <d v="2018-06-08T00:00:00"/>
    <s v="Standard Class"/>
    <x v="419"/>
    <s v="Dan Campbell"/>
    <x v="0"/>
    <s v="United States"/>
    <s v="Florence"/>
    <x v="19"/>
    <n v="35630"/>
    <x v="0"/>
    <x v="910"/>
    <x v="1"/>
    <x v="10"/>
    <x v="902"/>
    <x v="1128"/>
    <x v="1"/>
    <x v="3"/>
  </r>
  <r>
    <n v="1271"/>
    <x v="597"/>
    <x v="438"/>
    <d v="2017-04-26T00:00:00"/>
    <s v="Standard Class"/>
    <x v="259"/>
    <s v="Sibella Parks"/>
    <x v="1"/>
    <s v="United States"/>
    <s v="Chicago"/>
    <x v="10"/>
    <n v="60623"/>
    <x v="2"/>
    <x v="911"/>
    <x v="1"/>
    <x v="4"/>
    <x v="903"/>
    <x v="1129"/>
    <x v="3"/>
    <x v="0"/>
  </r>
  <r>
    <n v="1272"/>
    <x v="597"/>
    <x v="438"/>
    <d v="2017-04-26T00:00:00"/>
    <s v="Standard Class"/>
    <x v="259"/>
    <s v="Sibella Parks"/>
    <x v="1"/>
    <s v="United States"/>
    <s v="Chicago"/>
    <x v="10"/>
    <n v="60623"/>
    <x v="2"/>
    <x v="723"/>
    <x v="1"/>
    <x v="9"/>
    <x v="722"/>
    <x v="1130"/>
    <x v="3"/>
    <x v="0"/>
  </r>
  <r>
    <n v="1273"/>
    <x v="597"/>
    <x v="438"/>
    <d v="2017-04-26T00:00:00"/>
    <s v="Standard Class"/>
    <x v="259"/>
    <s v="Sibella Parks"/>
    <x v="1"/>
    <s v="United States"/>
    <s v="Chicago"/>
    <x v="10"/>
    <n v="60623"/>
    <x v="2"/>
    <x v="912"/>
    <x v="1"/>
    <x v="8"/>
    <x v="904"/>
    <x v="1131"/>
    <x v="3"/>
    <x v="0"/>
  </r>
  <r>
    <n v="1274"/>
    <x v="598"/>
    <x v="439"/>
    <d v="2017-05-26T00:00:00"/>
    <s v="Same Day"/>
    <x v="384"/>
    <s v="Maurice Satty"/>
    <x v="0"/>
    <s v="United States"/>
    <s v="Fort Worth"/>
    <x v="5"/>
    <n v="76106"/>
    <x v="2"/>
    <x v="747"/>
    <x v="1"/>
    <x v="10"/>
    <x v="745"/>
    <x v="559"/>
    <x v="5"/>
    <x v="0"/>
  </r>
  <r>
    <n v="1275"/>
    <x v="598"/>
    <x v="439"/>
    <d v="2017-05-26T00:00:00"/>
    <s v="Same Day"/>
    <x v="384"/>
    <s v="Maurice Satty"/>
    <x v="0"/>
    <s v="United States"/>
    <s v="Fort Worth"/>
    <x v="5"/>
    <n v="76106"/>
    <x v="2"/>
    <x v="913"/>
    <x v="0"/>
    <x v="1"/>
    <x v="905"/>
    <x v="1132"/>
    <x v="5"/>
    <x v="0"/>
  </r>
  <r>
    <n v="1276"/>
    <x v="598"/>
    <x v="439"/>
    <d v="2017-05-26T00:00:00"/>
    <s v="Same Day"/>
    <x v="384"/>
    <s v="Maurice Satty"/>
    <x v="0"/>
    <s v="United States"/>
    <s v="Fort Worth"/>
    <x v="5"/>
    <n v="76106"/>
    <x v="2"/>
    <x v="99"/>
    <x v="1"/>
    <x v="10"/>
    <x v="99"/>
    <x v="642"/>
    <x v="5"/>
    <x v="0"/>
  </r>
  <r>
    <n v="1277"/>
    <x v="598"/>
    <x v="439"/>
    <d v="2017-05-26T00:00:00"/>
    <s v="Same Day"/>
    <x v="384"/>
    <s v="Maurice Satty"/>
    <x v="0"/>
    <s v="United States"/>
    <s v="Fort Worth"/>
    <x v="5"/>
    <n v="76106"/>
    <x v="2"/>
    <x v="914"/>
    <x v="2"/>
    <x v="11"/>
    <x v="906"/>
    <x v="1133"/>
    <x v="5"/>
    <x v="0"/>
  </r>
  <r>
    <n v="1278"/>
    <x v="599"/>
    <x v="440"/>
    <d v="2017-05-07T00:00:00"/>
    <s v="Standard Class"/>
    <x v="420"/>
    <s v="Bryan Davis"/>
    <x v="0"/>
    <s v="United States"/>
    <s v="Houston"/>
    <x v="5"/>
    <n v="77070"/>
    <x v="2"/>
    <x v="915"/>
    <x v="1"/>
    <x v="6"/>
    <x v="907"/>
    <x v="1134"/>
    <x v="5"/>
    <x v="0"/>
  </r>
  <r>
    <n v="1279"/>
    <x v="600"/>
    <x v="78"/>
    <d v="2015-09-11T00:00:00"/>
    <s v="First Class"/>
    <x v="346"/>
    <s v="Karen Carlisle"/>
    <x v="1"/>
    <s v="United States"/>
    <s v="Macon"/>
    <x v="32"/>
    <n v="31204"/>
    <x v="0"/>
    <x v="916"/>
    <x v="2"/>
    <x v="11"/>
    <x v="908"/>
    <x v="1135"/>
    <x v="8"/>
    <x v="2"/>
  </r>
  <r>
    <n v="1280"/>
    <x v="600"/>
    <x v="78"/>
    <d v="2015-09-11T00:00:00"/>
    <s v="First Class"/>
    <x v="346"/>
    <s v="Karen Carlisle"/>
    <x v="1"/>
    <s v="United States"/>
    <s v="Macon"/>
    <x v="32"/>
    <n v="31204"/>
    <x v="0"/>
    <x v="917"/>
    <x v="2"/>
    <x v="11"/>
    <x v="909"/>
    <x v="1136"/>
    <x v="8"/>
    <x v="2"/>
  </r>
  <r>
    <n v="1281"/>
    <x v="601"/>
    <x v="64"/>
    <d v="2017-09-06T00:00:00"/>
    <s v="First Class"/>
    <x v="309"/>
    <s v="Toby Ritter"/>
    <x v="0"/>
    <s v="United States"/>
    <s v="Cedar Rapids"/>
    <x v="23"/>
    <n v="52402"/>
    <x v="2"/>
    <x v="918"/>
    <x v="2"/>
    <x v="7"/>
    <x v="910"/>
    <x v="1137"/>
    <x v="8"/>
    <x v="0"/>
  </r>
  <r>
    <n v="1282"/>
    <x v="602"/>
    <x v="359"/>
    <d v="2018-04-11T00:00:00"/>
    <s v="First Class"/>
    <x v="193"/>
    <s v="Sue Ann Reed"/>
    <x v="0"/>
    <s v="United States"/>
    <s v="Jacksonville"/>
    <x v="2"/>
    <n v="32216"/>
    <x v="0"/>
    <x v="919"/>
    <x v="1"/>
    <x v="2"/>
    <x v="911"/>
    <x v="1138"/>
    <x v="3"/>
    <x v="3"/>
  </r>
  <r>
    <n v="1283"/>
    <x v="602"/>
    <x v="359"/>
    <d v="2018-04-11T00:00:00"/>
    <s v="First Class"/>
    <x v="193"/>
    <s v="Sue Ann Reed"/>
    <x v="0"/>
    <s v="United States"/>
    <s v="Jacksonville"/>
    <x v="2"/>
    <n v="32216"/>
    <x v="0"/>
    <x v="920"/>
    <x v="1"/>
    <x v="8"/>
    <x v="912"/>
    <x v="1139"/>
    <x v="3"/>
    <x v="3"/>
  </r>
  <r>
    <n v="1284"/>
    <x v="602"/>
    <x v="359"/>
    <d v="2018-04-11T00:00:00"/>
    <s v="First Class"/>
    <x v="193"/>
    <s v="Sue Ann Reed"/>
    <x v="0"/>
    <s v="United States"/>
    <s v="Jacksonville"/>
    <x v="2"/>
    <n v="32216"/>
    <x v="0"/>
    <x v="921"/>
    <x v="1"/>
    <x v="10"/>
    <x v="913"/>
    <x v="1140"/>
    <x v="3"/>
    <x v="3"/>
  </r>
  <r>
    <n v="1285"/>
    <x v="603"/>
    <x v="401"/>
    <d v="2016-12-12T00:00:00"/>
    <s v="Standard Class"/>
    <x v="147"/>
    <s v="Katrina Willman"/>
    <x v="0"/>
    <s v="United States"/>
    <s v="Austin"/>
    <x v="5"/>
    <n v="78745"/>
    <x v="2"/>
    <x v="922"/>
    <x v="1"/>
    <x v="8"/>
    <x v="914"/>
    <x v="1141"/>
    <x v="4"/>
    <x v="1"/>
  </r>
  <r>
    <n v="1286"/>
    <x v="604"/>
    <x v="190"/>
    <d v="2017-07-03T00:00:00"/>
    <s v="Standard Class"/>
    <x v="421"/>
    <s v="Gene McClure"/>
    <x v="0"/>
    <s v="United States"/>
    <s v="Providence"/>
    <x v="34"/>
    <n v="2908"/>
    <x v="3"/>
    <x v="383"/>
    <x v="1"/>
    <x v="4"/>
    <x v="384"/>
    <x v="81"/>
    <x v="1"/>
    <x v="0"/>
  </r>
  <r>
    <n v="1287"/>
    <x v="605"/>
    <x v="433"/>
    <d v="2016-07-08T00:00:00"/>
    <s v="Standard Class"/>
    <x v="57"/>
    <s v="Alan Dominguez"/>
    <x v="2"/>
    <s v="United States"/>
    <s v="New York City"/>
    <x v="15"/>
    <n v="10035"/>
    <x v="3"/>
    <x v="923"/>
    <x v="1"/>
    <x v="6"/>
    <x v="915"/>
    <x v="1142"/>
    <x v="7"/>
    <x v="1"/>
  </r>
  <r>
    <n v="1288"/>
    <x v="606"/>
    <x v="441"/>
    <d v="2017-11-26T00:00:00"/>
    <s v="Standard Class"/>
    <x v="422"/>
    <s v="Todd Boyes"/>
    <x v="1"/>
    <s v="United States"/>
    <s v="New York City"/>
    <x v="15"/>
    <n v="10009"/>
    <x v="3"/>
    <x v="63"/>
    <x v="0"/>
    <x v="5"/>
    <x v="63"/>
    <x v="1143"/>
    <x v="0"/>
    <x v="0"/>
  </r>
  <r>
    <n v="1289"/>
    <x v="606"/>
    <x v="441"/>
    <d v="2017-11-26T00:00:00"/>
    <s v="Standard Class"/>
    <x v="422"/>
    <s v="Todd Boyes"/>
    <x v="1"/>
    <s v="United States"/>
    <s v="New York City"/>
    <x v="15"/>
    <n v="10009"/>
    <x v="3"/>
    <x v="536"/>
    <x v="1"/>
    <x v="8"/>
    <x v="536"/>
    <x v="848"/>
    <x v="0"/>
    <x v="0"/>
  </r>
  <r>
    <n v="1290"/>
    <x v="606"/>
    <x v="441"/>
    <d v="2017-11-26T00:00:00"/>
    <s v="Standard Class"/>
    <x v="422"/>
    <s v="Todd Boyes"/>
    <x v="1"/>
    <s v="United States"/>
    <s v="New York City"/>
    <x v="15"/>
    <n v="10009"/>
    <x v="3"/>
    <x v="924"/>
    <x v="1"/>
    <x v="6"/>
    <x v="916"/>
    <x v="1144"/>
    <x v="0"/>
    <x v="0"/>
  </r>
  <r>
    <n v="1291"/>
    <x v="607"/>
    <x v="338"/>
    <d v="2017-11-12T00:00:00"/>
    <s v="First Class"/>
    <x v="254"/>
    <s v="Chuck Clark"/>
    <x v="2"/>
    <s v="United States"/>
    <s v="San Francisco"/>
    <x v="1"/>
    <n v="94122"/>
    <x v="1"/>
    <x v="925"/>
    <x v="1"/>
    <x v="8"/>
    <x v="917"/>
    <x v="1145"/>
    <x v="0"/>
    <x v="0"/>
  </r>
  <r>
    <n v="1292"/>
    <x v="607"/>
    <x v="338"/>
    <d v="2017-11-12T00:00:00"/>
    <s v="First Class"/>
    <x v="254"/>
    <s v="Chuck Clark"/>
    <x v="2"/>
    <s v="United States"/>
    <s v="San Francisco"/>
    <x v="1"/>
    <n v="94122"/>
    <x v="1"/>
    <x v="860"/>
    <x v="1"/>
    <x v="10"/>
    <x v="854"/>
    <x v="56"/>
    <x v="0"/>
    <x v="0"/>
  </r>
  <r>
    <n v="1293"/>
    <x v="608"/>
    <x v="375"/>
    <d v="2016-09-01T00:00:00"/>
    <s v="Standard Class"/>
    <x v="58"/>
    <s v="Philip Fox"/>
    <x v="0"/>
    <s v="United States"/>
    <s v="San Diego"/>
    <x v="1"/>
    <n v="92105"/>
    <x v="1"/>
    <x v="133"/>
    <x v="1"/>
    <x v="14"/>
    <x v="134"/>
    <x v="1146"/>
    <x v="6"/>
    <x v="1"/>
  </r>
  <r>
    <n v="1294"/>
    <x v="608"/>
    <x v="375"/>
    <d v="2016-09-01T00:00:00"/>
    <s v="Standard Class"/>
    <x v="58"/>
    <s v="Philip Fox"/>
    <x v="0"/>
    <s v="United States"/>
    <s v="San Diego"/>
    <x v="1"/>
    <n v="92105"/>
    <x v="1"/>
    <x v="926"/>
    <x v="1"/>
    <x v="10"/>
    <x v="918"/>
    <x v="1147"/>
    <x v="6"/>
    <x v="1"/>
  </r>
  <r>
    <n v="1295"/>
    <x v="608"/>
    <x v="375"/>
    <d v="2016-09-01T00:00:00"/>
    <s v="Standard Class"/>
    <x v="58"/>
    <s v="Philip Fox"/>
    <x v="0"/>
    <s v="United States"/>
    <s v="San Diego"/>
    <x v="1"/>
    <n v="92105"/>
    <x v="1"/>
    <x v="85"/>
    <x v="1"/>
    <x v="2"/>
    <x v="85"/>
    <x v="1148"/>
    <x v="6"/>
    <x v="1"/>
  </r>
  <r>
    <n v="1296"/>
    <x v="609"/>
    <x v="442"/>
    <d v="2016-05-29T00:00:00"/>
    <s v="Standard Class"/>
    <x v="423"/>
    <s v="Justin Hirsh"/>
    <x v="0"/>
    <s v="United States"/>
    <s v="Pueblo"/>
    <x v="22"/>
    <n v="81001"/>
    <x v="1"/>
    <x v="723"/>
    <x v="1"/>
    <x v="9"/>
    <x v="722"/>
    <x v="1149"/>
    <x v="5"/>
    <x v="1"/>
  </r>
  <r>
    <n v="1297"/>
    <x v="610"/>
    <x v="247"/>
    <d v="2019-01-03T00:00:00"/>
    <s v="Standard Class"/>
    <x v="424"/>
    <s v="Erica Bern"/>
    <x v="1"/>
    <s v="United States"/>
    <s v="Fairfield"/>
    <x v="1"/>
    <n v="94533"/>
    <x v="1"/>
    <x v="530"/>
    <x v="1"/>
    <x v="8"/>
    <x v="530"/>
    <x v="1150"/>
    <x v="4"/>
    <x v="3"/>
  </r>
  <r>
    <n v="1298"/>
    <x v="610"/>
    <x v="247"/>
    <d v="2019-01-03T00:00:00"/>
    <s v="Standard Class"/>
    <x v="424"/>
    <s v="Erica Bern"/>
    <x v="1"/>
    <s v="United States"/>
    <s v="Fairfield"/>
    <x v="1"/>
    <n v="94533"/>
    <x v="1"/>
    <x v="569"/>
    <x v="1"/>
    <x v="8"/>
    <x v="919"/>
    <x v="1151"/>
    <x v="4"/>
    <x v="3"/>
  </r>
  <r>
    <n v="1299"/>
    <x v="611"/>
    <x v="16"/>
    <d v="2017-12-12T00:00:00"/>
    <s v="Second Class"/>
    <x v="425"/>
    <s v="Quincy Jones"/>
    <x v="1"/>
    <s v="United States"/>
    <s v="Saint Paul"/>
    <x v="11"/>
    <n v="55106"/>
    <x v="2"/>
    <x v="461"/>
    <x v="2"/>
    <x v="7"/>
    <x v="462"/>
    <x v="1152"/>
    <x v="4"/>
    <x v="0"/>
  </r>
  <r>
    <n v="1300"/>
    <x v="612"/>
    <x v="242"/>
    <d v="2016-10-07T00:00:00"/>
    <s v="First Class"/>
    <x v="397"/>
    <s v="Alex Avila"/>
    <x v="0"/>
    <s v="United States"/>
    <s v="San Francisco"/>
    <x v="1"/>
    <n v="94109"/>
    <x v="1"/>
    <x v="146"/>
    <x v="1"/>
    <x v="4"/>
    <x v="147"/>
    <x v="1153"/>
    <x v="2"/>
    <x v="1"/>
  </r>
  <r>
    <n v="1301"/>
    <x v="613"/>
    <x v="443"/>
    <d v="2017-12-25T00:00:00"/>
    <s v="Second Class"/>
    <x v="95"/>
    <s v="Logan Currie"/>
    <x v="0"/>
    <s v="United States"/>
    <s v="Springfield"/>
    <x v="17"/>
    <n v="22153"/>
    <x v="0"/>
    <x v="35"/>
    <x v="0"/>
    <x v="5"/>
    <x v="35"/>
    <x v="1154"/>
    <x v="4"/>
    <x v="0"/>
  </r>
  <r>
    <n v="1302"/>
    <x v="613"/>
    <x v="443"/>
    <d v="2017-12-25T00:00:00"/>
    <s v="Second Class"/>
    <x v="95"/>
    <s v="Logan Currie"/>
    <x v="0"/>
    <s v="United States"/>
    <s v="Springfield"/>
    <x v="17"/>
    <n v="22153"/>
    <x v="0"/>
    <x v="35"/>
    <x v="0"/>
    <x v="5"/>
    <x v="35"/>
    <x v="1155"/>
    <x v="4"/>
    <x v="0"/>
  </r>
  <r>
    <n v="1303"/>
    <x v="614"/>
    <x v="444"/>
    <d v="2016-09-24T00:00:00"/>
    <s v="Second Class"/>
    <x v="426"/>
    <s v="Tracy Collins"/>
    <x v="2"/>
    <s v="United States"/>
    <s v="Arlington"/>
    <x v="17"/>
    <n v="22204"/>
    <x v="0"/>
    <x v="927"/>
    <x v="0"/>
    <x v="0"/>
    <x v="920"/>
    <x v="1156"/>
    <x v="8"/>
    <x v="1"/>
  </r>
  <r>
    <n v="1304"/>
    <x v="615"/>
    <x v="445"/>
    <d v="2018-07-07T00:00:00"/>
    <s v="Standard Class"/>
    <x v="427"/>
    <s v="Chuck Sachs"/>
    <x v="0"/>
    <s v="United States"/>
    <s v="Columbus"/>
    <x v="32"/>
    <n v="31907"/>
    <x v="0"/>
    <x v="928"/>
    <x v="0"/>
    <x v="5"/>
    <x v="921"/>
    <x v="1157"/>
    <x v="7"/>
    <x v="3"/>
  </r>
  <r>
    <n v="1305"/>
    <x v="615"/>
    <x v="445"/>
    <d v="2018-07-07T00:00:00"/>
    <s v="Standard Class"/>
    <x v="427"/>
    <s v="Chuck Sachs"/>
    <x v="0"/>
    <s v="United States"/>
    <s v="Columbus"/>
    <x v="32"/>
    <n v="31907"/>
    <x v="0"/>
    <x v="664"/>
    <x v="2"/>
    <x v="7"/>
    <x v="664"/>
    <x v="1158"/>
    <x v="7"/>
    <x v="3"/>
  </r>
  <r>
    <n v="1306"/>
    <x v="616"/>
    <x v="216"/>
    <d v="2017-07-16T00:00:00"/>
    <s v="Second Class"/>
    <x v="298"/>
    <s v="Bryan Mills"/>
    <x v="0"/>
    <s v="United States"/>
    <s v="Houston"/>
    <x v="5"/>
    <n v="77036"/>
    <x v="2"/>
    <x v="929"/>
    <x v="2"/>
    <x v="7"/>
    <x v="922"/>
    <x v="1159"/>
    <x v="7"/>
    <x v="0"/>
  </r>
  <r>
    <n v="1307"/>
    <x v="617"/>
    <x v="23"/>
    <d v="2017-06-21T00:00:00"/>
    <s v="First Class"/>
    <x v="116"/>
    <s v="Roy Collins"/>
    <x v="0"/>
    <s v="United States"/>
    <s v="Pasadena"/>
    <x v="1"/>
    <n v="91104"/>
    <x v="1"/>
    <x v="481"/>
    <x v="1"/>
    <x v="10"/>
    <x v="482"/>
    <x v="1160"/>
    <x v="1"/>
    <x v="0"/>
  </r>
  <r>
    <n v="1308"/>
    <x v="617"/>
    <x v="23"/>
    <d v="2017-06-21T00:00:00"/>
    <s v="First Class"/>
    <x v="116"/>
    <s v="Roy Collins"/>
    <x v="0"/>
    <s v="United States"/>
    <s v="Pasadena"/>
    <x v="1"/>
    <n v="91104"/>
    <x v="1"/>
    <x v="777"/>
    <x v="1"/>
    <x v="8"/>
    <x v="776"/>
    <x v="1161"/>
    <x v="1"/>
    <x v="0"/>
  </r>
  <r>
    <n v="1309"/>
    <x v="617"/>
    <x v="23"/>
    <d v="2017-06-21T00:00:00"/>
    <s v="First Class"/>
    <x v="116"/>
    <s v="Roy Collins"/>
    <x v="0"/>
    <s v="United States"/>
    <s v="Pasadena"/>
    <x v="1"/>
    <n v="91104"/>
    <x v="1"/>
    <x v="930"/>
    <x v="1"/>
    <x v="9"/>
    <x v="923"/>
    <x v="1162"/>
    <x v="1"/>
    <x v="0"/>
  </r>
  <r>
    <n v="1310"/>
    <x v="617"/>
    <x v="23"/>
    <d v="2017-06-21T00:00:00"/>
    <s v="First Class"/>
    <x v="116"/>
    <s v="Roy Collins"/>
    <x v="0"/>
    <s v="United States"/>
    <s v="Pasadena"/>
    <x v="1"/>
    <n v="91104"/>
    <x v="1"/>
    <x v="398"/>
    <x v="1"/>
    <x v="4"/>
    <x v="399"/>
    <x v="424"/>
    <x v="1"/>
    <x v="0"/>
  </r>
  <r>
    <n v="1311"/>
    <x v="617"/>
    <x v="23"/>
    <d v="2017-06-21T00:00:00"/>
    <s v="First Class"/>
    <x v="116"/>
    <s v="Roy Collins"/>
    <x v="0"/>
    <s v="United States"/>
    <s v="Pasadena"/>
    <x v="1"/>
    <n v="91104"/>
    <x v="1"/>
    <x v="931"/>
    <x v="0"/>
    <x v="1"/>
    <x v="924"/>
    <x v="224"/>
    <x v="1"/>
    <x v="0"/>
  </r>
  <r>
    <n v="1312"/>
    <x v="618"/>
    <x v="10"/>
    <d v="2017-12-13T00:00:00"/>
    <s v="Standard Class"/>
    <x v="248"/>
    <s v="Fred McMath"/>
    <x v="0"/>
    <s v="United States"/>
    <s v="Lawrence"/>
    <x v="31"/>
    <n v="1841"/>
    <x v="3"/>
    <x v="932"/>
    <x v="1"/>
    <x v="2"/>
    <x v="925"/>
    <x v="1163"/>
    <x v="4"/>
    <x v="0"/>
  </r>
  <r>
    <n v="1313"/>
    <x v="618"/>
    <x v="10"/>
    <d v="2017-12-13T00:00:00"/>
    <s v="Standard Class"/>
    <x v="248"/>
    <s v="Fred McMath"/>
    <x v="0"/>
    <s v="United States"/>
    <s v="Lawrence"/>
    <x v="31"/>
    <n v="1841"/>
    <x v="3"/>
    <x v="933"/>
    <x v="1"/>
    <x v="2"/>
    <x v="926"/>
    <x v="1164"/>
    <x v="4"/>
    <x v="0"/>
  </r>
  <r>
    <n v="1314"/>
    <x v="619"/>
    <x v="446"/>
    <d v="2017-10-01T00:00:00"/>
    <s v="Standard Class"/>
    <x v="7"/>
    <s v="Pete Kriz"/>
    <x v="0"/>
    <s v="United States"/>
    <s v="Columbus"/>
    <x v="24"/>
    <n v="43229"/>
    <x v="3"/>
    <x v="637"/>
    <x v="0"/>
    <x v="1"/>
    <x v="637"/>
    <x v="1165"/>
    <x v="8"/>
    <x v="0"/>
  </r>
  <r>
    <n v="1315"/>
    <x v="620"/>
    <x v="122"/>
    <d v="2017-12-23T00:00:00"/>
    <s v="Standard Class"/>
    <x v="428"/>
    <s v="Henry Goldwyn"/>
    <x v="1"/>
    <s v="United States"/>
    <s v="Los Angeles"/>
    <x v="1"/>
    <n v="90032"/>
    <x v="1"/>
    <x v="934"/>
    <x v="1"/>
    <x v="10"/>
    <x v="927"/>
    <x v="783"/>
    <x v="4"/>
    <x v="0"/>
  </r>
  <r>
    <n v="1316"/>
    <x v="620"/>
    <x v="122"/>
    <d v="2017-12-23T00:00:00"/>
    <s v="Standard Class"/>
    <x v="428"/>
    <s v="Henry Goldwyn"/>
    <x v="1"/>
    <s v="United States"/>
    <s v="Los Angeles"/>
    <x v="1"/>
    <n v="90032"/>
    <x v="1"/>
    <x v="935"/>
    <x v="0"/>
    <x v="5"/>
    <x v="928"/>
    <x v="1166"/>
    <x v="4"/>
    <x v="0"/>
  </r>
  <r>
    <n v="1317"/>
    <x v="620"/>
    <x v="122"/>
    <d v="2017-12-23T00:00:00"/>
    <s v="Standard Class"/>
    <x v="428"/>
    <s v="Henry Goldwyn"/>
    <x v="1"/>
    <s v="United States"/>
    <s v="Los Angeles"/>
    <x v="1"/>
    <n v="90032"/>
    <x v="1"/>
    <x v="413"/>
    <x v="1"/>
    <x v="14"/>
    <x v="413"/>
    <x v="1167"/>
    <x v="4"/>
    <x v="0"/>
  </r>
  <r>
    <n v="1318"/>
    <x v="621"/>
    <x v="389"/>
    <d v="2018-12-14T00:00:00"/>
    <s v="Standard Class"/>
    <x v="66"/>
    <s v="Helen Andreada"/>
    <x v="0"/>
    <s v="United States"/>
    <s v="Philadelphia"/>
    <x v="9"/>
    <n v="19120"/>
    <x v="3"/>
    <x v="936"/>
    <x v="2"/>
    <x v="11"/>
    <x v="929"/>
    <x v="1168"/>
    <x v="4"/>
    <x v="3"/>
  </r>
  <r>
    <n v="1319"/>
    <x v="622"/>
    <x v="268"/>
    <d v="2015-07-05T00:00:00"/>
    <s v="Standard Class"/>
    <x v="429"/>
    <s v="Laurel Workman"/>
    <x v="1"/>
    <s v="United States"/>
    <s v="Deltona"/>
    <x v="2"/>
    <n v="32725"/>
    <x v="0"/>
    <x v="907"/>
    <x v="2"/>
    <x v="7"/>
    <x v="899"/>
    <x v="1169"/>
    <x v="7"/>
    <x v="2"/>
  </r>
  <r>
    <n v="1320"/>
    <x v="622"/>
    <x v="268"/>
    <d v="2015-07-05T00:00:00"/>
    <s v="Standard Class"/>
    <x v="429"/>
    <s v="Laurel Workman"/>
    <x v="1"/>
    <s v="United States"/>
    <s v="Deltona"/>
    <x v="2"/>
    <n v="32725"/>
    <x v="0"/>
    <x v="614"/>
    <x v="1"/>
    <x v="8"/>
    <x v="614"/>
    <x v="1170"/>
    <x v="7"/>
    <x v="2"/>
  </r>
  <r>
    <n v="1321"/>
    <x v="623"/>
    <x v="447"/>
    <d v="2018-02-08T00:00:00"/>
    <s v="Standard Class"/>
    <x v="430"/>
    <s v="Matt Collins"/>
    <x v="0"/>
    <s v="United States"/>
    <s v="Cincinnati"/>
    <x v="24"/>
    <n v="45231"/>
    <x v="3"/>
    <x v="699"/>
    <x v="1"/>
    <x v="8"/>
    <x v="699"/>
    <x v="1171"/>
    <x v="11"/>
    <x v="3"/>
  </r>
  <r>
    <n v="1322"/>
    <x v="623"/>
    <x v="447"/>
    <d v="2018-02-08T00:00:00"/>
    <s v="Standard Class"/>
    <x v="430"/>
    <s v="Matt Collins"/>
    <x v="0"/>
    <s v="United States"/>
    <s v="Cincinnati"/>
    <x v="24"/>
    <n v="45231"/>
    <x v="3"/>
    <x v="518"/>
    <x v="1"/>
    <x v="4"/>
    <x v="518"/>
    <x v="1172"/>
    <x v="11"/>
    <x v="3"/>
  </r>
  <r>
    <n v="1323"/>
    <x v="624"/>
    <x v="448"/>
    <d v="2018-03-08T00:00:00"/>
    <s v="Standard Class"/>
    <x v="431"/>
    <s v="Liz Preis"/>
    <x v="0"/>
    <s v="United States"/>
    <s v="Murray"/>
    <x v="0"/>
    <n v="42071"/>
    <x v="0"/>
    <x v="937"/>
    <x v="1"/>
    <x v="9"/>
    <x v="930"/>
    <x v="1173"/>
    <x v="10"/>
    <x v="3"/>
  </r>
  <r>
    <n v="1324"/>
    <x v="625"/>
    <x v="449"/>
    <d v="2018-10-10T00:00:00"/>
    <s v="First Class"/>
    <x v="432"/>
    <s v="Evan Bailliet"/>
    <x v="0"/>
    <s v="United States"/>
    <s v="Wilmington"/>
    <x v="3"/>
    <n v="28403"/>
    <x v="0"/>
    <x v="938"/>
    <x v="1"/>
    <x v="10"/>
    <x v="931"/>
    <x v="1174"/>
    <x v="2"/>
    <x v="3"/>
  </r>
  <r>
    <n v="1325"/>
    <x v="626"/>
    <x v="450"/>
    <d v="2015-10-03T00:00:00"/>
    <s v="Standard Class"/>
    <x v="433"/>
    <s v="George Zrebassa"/>
    <x v="1"/>
    <s v="United States"/>
    <s v="Lawrence"/>
    <x v="31"/>
    <n v="1841"/>
    <x v="3"/>
    <x v="421"/>
    <x v="1"/>
    <x v="4"/>
    <x v="421"/>
    <x v="193"/>
    <x v="8"/>
    <x v="2"/>
  </r>
  <r>
    <n v="1326"/>
    <x v="627"/>
    <x v="279"/>
    <d v="2015-05-30T00:00:00"/>
    <s v="First Class"/>
    <x v="97"/>
    <s v="Laurel Elliston"/>
    <x v="0"/>
    <s v="United States"/>
    <s v="Chicago"/>
    <x v="10"/>
    <n v="60653"/>
    <x v="2"/>
    <x v="939"/>
    <x v="1"/>
    <x v="8"/>
    <x v="932"/>
    <x v="45"/>
    <x v="5"/>
    <x v="2"/>
  </r>
  <r>
    <n v="1327"/>
    <x v="628"/>
    <x v="451"/>
    <d v="2016-06-18T00:00:00"/>
    <s v="Standard Class"/>
    <x v="57"/>
    <s v="Alan Dominguez"/>
    <x v="2"/>
    <s v="United States"/>
    <s v="Philadelphia"/>
    <x v="9"/>
    <n v="19120"/>
    <x v="3"/>
    <x v="882"/>
    <x v="0"/>
    <x v="5"/>
    <x v="876"/>
    <x v="1175"/>
    <x v="1"/>
    <x v="1"/>
  </r>
  <r>
    <n v="1328"/>
    <x v="629"/>
    <x v="452"/>
    <d v="2017-04-01T00:00:00"/>
    <s v="First Class"/>
    <x v="434"/>
    <s v="Cathy Prescott"/>
    <x v="1"/>
    <s v="United States"/>
    <s v="Norwich"/>
    <x v="29"/>
    <n v="6360"/>
    <x v="3"/>
    <x v="752"/>
    <x v="1"/>
    <x v="10"/>
    <x v="750"/>
    <x v="1176"/>
    <x v="10"/>
    <x v="0"/>
  </r>
  <r>
    <n v="1329"/>
    <x v="630"/>
    <x v="453"/>
    <d v="2018-10-18T00:00:00"/>
    <s v="Second Class"/>
    <x v="435"/>
    <s v="Frank Gastineau"/>
    <x v="2"/>
    <s v="United States"/>
    <s v="San Francisco"/>
    <x v="1"/>
    <n v="94110"/>
    <x v="1"/>
    <x v="940"/>
    <x v="1"/>
    <x v="6"/>
    <x v="933"/>
    <x v="1177"/>
    <x v="2"/>
    <x v="3"/>
  </r>
  <r>
    <n v="1330"/>
    <x v="631"/>
    <x v="454"/>
    <d v="2017-05-27T00:00:00"/>
    <s v="Standard Class"/>
    <x v="436"/>
    <s v="Lisa DeCherney"/>
    <x v="0"/>
    <s v="United States"/>
    <s v="San Francisco"/>
    <x v="1"/>
    <n v="94109"/>
    <x v="1"/>
    <x v="893"/>
    <x v="0"/>
    <x v="5"/>
    <x v="886"/>
    <x v="1178"/>
    <x v="5"/>
    <x v="0"/>
  </r>
  <r>
    <n v="1331"/>
    <x v="632"/>
    <x v="455"/>
    <d v="2018-06-06T00:00:00"/>
    <s v="Standard Class"/>
    <x v="437"/>
    <s v="Alejandro Ballentine"/>
    <x v="2"/>
    <s v="United States"/>
    <s v="Lorain"/>
    <x v="24"/>
    <n v="44052"/>
    <x v="3"/>
    <x v="500"/>
    <x v="2"/>
    <x v="7"/>
    <x v="500"/>
    <x v="1179"/>
    <x v="1"/>
    <x v="3"/>
  </r>
  <r>
    <n v="1332"/>
    <x v="632"/>
    <x v="455"/>
    <d v="2018-06-06T00:00:00"/>
    <s v="Standard Class"/>
    <x v="437"/>
    <s v="Alejandro Ballentine"/>
    <x v="2"/>
    <s v="United States"/>
    <s v="Lorain"/>
    <x v="24"/>
    <n v="44052"/>
    <x v="3"/>
    <x v="456"/>
    <x v="1"/>
    <x v="4"/>
    <x v="457"/>
    <x v="1180"/>
    <x v="1"/>
    <x v="3"/>
  </r>
  <r>
    <n v="1333"/>
    <x v="633"/>
    <x v="456"/>
    <d v="2015-02-21T00:00:00"/>
    <s v="Standard Class"/>
    <x v="438"/>
    <s v="Michael Nguyen"/>
    <x v="0"/>
    <s v="United States"/>
    <s v="Dallas"/>
    <x v="5"/>
    <n v="75220"/>
    <x v="2"/>
    <x v="751"/>
    <x v="1"/>
    <x v="8"/>
    <x v="749"/>
    <x v="879"/>
    <x v="11"/>
    <x v="2"/>
  </r>
  <r>
    <n v="1334"/>
    <x v="633"/>
    <x v="456"/>
    <d v="2015-02-21T00:00:00"/>
    <s v="Standard Class"/>
    <x v="438"/>
    <s v="Michael Nguyen"/>
    <x v="0"/>
    <s v="United States"/>
    <s v="Dallas"/>
    <x v="5"/>
    <n v="75220"/>
    <x v="2"/>
    <x v="941"/>
    <x v="1"/>
    <x v="9"/>
    <x v="934"/>
    <x v="1181"/>
    <x v="11"/>
    <x v="2"/>
  </r>
  <r>
    <n v="1335"/>
    <x v="634"/>
    <x v="457"/>
    <d v="2015-05-10T00:00:00"/>
    <s v="Standard Class"/>
    <x v="6"/>
    <s v="Harold Pawlan"/>
    <x v="2"/>
    <s v="United States"/>
    <s v="Los Angeles"/>
    <x v="1"/>
    <n v="90049"/>
    <x v="1"/>
    <x v="715"/>
    <x v="1"/>
    <x v="8"/>
    <x v="714"/>
    <x v="1182"/>
    <x v="5"/>
    <x v="2"/>
  </r>
  <r>
    <n v="1336"/>
    <x v="635"/>
    <x v="458"/>
    <d v="2017-05-23T00:00:00"/>
    <s v="Standard Class"/>
    <x v="439"/>
    <s v="Jim Radford"/>
    <x v="0"/>
    <s v="United States"/>
    <s v="Middletown"/>
    <x v="29"/>
    <n v="6457"/>
    <x v="3"/>
    <x v="942"/>
    <x v="1"/>
    <x v="4"/>
    <x v="935"/>
    <x v="1183"/>
    <x v="5"/>
    <x v="0"/>
  </r>
  <r>
    <n v="1337"/>
    <x v="636"/>
    <x v="459"/>
    <d v="2018-04-07T00:00:00"/>
    <s v="Standard Class"/>
    <x v="440"/>
    <s v="Jamie Frazer"/>
    <x v="0"/>
    <s v="United States"/>
    <s v="Los Angeles"/>
    <x v="1"/>
    <n v="90008"/>
    <x v="1"/>
    <x v="904"/>
    <x v="0"/>
    <x v="5"/>
    <x v="896"/>
    <x v="1184"/>
    <x v="3"/>
    <x v="3"/>
  </r>
  <r>
    <n v="1338"/>
    <x v="637"/>
    <x v="185"/>
    <d v="2018-04-02T00:00:00"/>
    <s v="Second Class"/>
    <x v="441"/>
    <s v="Chad McGuire"/>
    <x v="0"/>
    <s v="United States"/>
    <s v="New York City"/>
    <x v="15"/>
    <n v="10011"/>
    <x v="3"/>
    <x v="943"/>
    <x v="0"/>
    <x v="5"/>
    <x v="936"/>
    <x v="1185"/>
    <x v="10"/>
    <x v="3"/>
  </r>
  <r>
    <n v="1339"/>
    <x v="637"/>
    <x v="185"/>
    <d v="2018-04-02T00:00:00"/>
    <s v="Second Class"/>
    <x v="441"/>
    <s v="Chad McGuire"/>
    <x v="0"/>
    <s v="United States"/>
    <s v="New York City"/>
    <x v="15"/>
    <n v="10011"/>
    <x v="3"/>
    <x v="944"/>
    <x v="2"/>
    <x v="7"/>
    <x v="937"/>
    <x v="1186"/>
    <x v="10"/>
    <x v="3"/>
  </r>
  <r>
    <n v="1340"/>
    <x v="637"/>
    <x v="185"/>
    <d v="2018-04-02T00:00:00"/>
    <s v="Second Class"/>
    <x v="441"/>
    <s v="Chad McGuire"/>
    <x v="0"/>
    <s v="United States"/>
    <s v="New York City"/>
    <x v="15"/>
    <n v="10011"/>
    <x v="3"/>
    <x v="945"/>
    <x v="1"/>
    <x v="10"/>
    <x v="938"/>
    <x v="1187"/>
    <x v="10"/>
    <x v="3"/>
  </r>
  <r>
    <n v="1341"/>
    <x v="638"/>
    <x v="460"/>
    <d v="2018-01-04T00:00:00"/>
    <s v="First Class"/>
    <x v="442"/>
    <s v="Aaron Smayling"/>
    <x v="1"/>
    <s v="United States"/>
    <s v="Jacksonville"/>
    <x v="3"/>
    <n v="28540"/>
    <x v="0"/>
    <x v="946"/>
    <x v="2"/>
    <x v="15"/>
    <x v="939"/>
    <x v="1188"/>
    <x v="9"/>
    <x v="3"/>
  </r>
  <r>
    <n v="1342"/>
    <x v="638"/>
    <x v="460"/>
    <d v="2018-01-04T00:00:00"/>
    <s v="First Class"/>
    <x v="442"/>
    <s v="Aaron Smayling"/>
    <x v="1"/>
    <s v="United States"/>
    <s v="Jacksonville"/>
    <x v="3"/>
    <n v="28540"/>
    <x v="0"/>
    <x v="864"/>
    <x v="1"/>
    <x v="8"/>
    <x v="858"/>
    <x v="1189"/>
    <x v="9"/>
    <x v="3"/>
  </r>
  <r>
    <n v="1343"/>
    <x v="638"/>
    <x v="460"/>
    <d v="2018-01-04T00:00:00"/>
    <s v="First Class"/>
    <x v="442"/>
    <s v="Aaron Smayling"/>
    <x v="1"/>
    <s v="United States"/>
    <s v="Jacksonville"/>
    <x v="3"/>
    <n v="28540"/>
    <x v="0"/>
    <x v="27"/>
    <x v="1"/>
    <x v="8"/>
    <x v="27"/>
    <x v="1190"/>
    <x v="9"/>
    <x v="3"/>
  </r>
  <r>
    <n v="1344"/>
    <x v="639"/>
    <x v="71"/>
    <d v="2016-06-01T00:00:00"/>
    <s v="Standard Class"/>
    <x v="41"/>
    <s v="Karl Braun"/>
    <x v="0"/>
    <s v="United States"/>
    <s v="Freeport"/>
    <x v="15"/>
    <n v="11520"/>
    <x v="3"/>
    <x v="947"/>
    <x v="1"/>
    <x v="6"/>
    <x v="940"/>
    <x v="1191"/>
    <x v="5"/>
    <x v="1"/>
  </r>
  <r>
    <n v="1345"/>
    <x v="639"/>
    <x v="71"/>
    <d v="2016-06-01T00:00:00"/>
    <s v="Standard Class"/>
    <x v="41"/>
    <s v="Karl Braun"/>
    <x v="0"/>
    <s v="United States"/>
    <s v="Freeport"/>
    <x v="15"/>
    <n v="11520"/>
    <x v="3"/>
    <x v="948"/>
    <x v="1"/>
    <x v="2"/>
    <x v="941"/>
    <x v="1192"/>
    <x v="5"/>
    <x v="1"/>
  </r>
  <r>
    <n v="1346"/>
    <x v="640"/>
    <x v="461"/>
    <d v="2015-03-24T00:00:00"/>
    <s v="Standard Class"/>
    <x v="202"/>
    <s v="Bradley Nguyen"/>
    <x v="0"/>
    <s v="United States"/>
    <s v="Lakeville"/>
    <x v="11"/>
    <n v="55044"/>
    <x v="2"/>
    <x v="589"/>
    <x v="1"/>
    <x v="9"/>
    <x v="589"/>
    <x v="1193"/>
    <x v="10"/>
    <x v="2"/>
  </r>
  <r>
    <n v="1347"/>
    <x v="640"/>
    <x v="461"/>
    <d v="2015-03-24T00:00:00"/>
    <s v="Standard Class"/>
    <x v="202"/>
    <s v="Bradley Nguyen"/>
    <x v="0"/>
    <s v="United States"/>
    <s v="Lakeville"/>
    <x v="11"/>
    <n v="55044"/>
    <x v="2"/>
    <x v="949"/>
    <x v="1"/>
    <x v="10"/>
    <x v="942"/>
    <x v="1194"/>
    <x v="10"/>
    <x v="2"/>
  </r>
  <r>
    <n v="1348"/>
    <x v="640"/>
    <x v="461"/>
    <d v="2015-03-24T00:00:00"/>
    <s v="Standard Class"/>
    <x v="202"/>
    <s v="Bradley Nguyen"/>
    <x v="0"/>
    <s v="United States"/>
    <s v="Lakeville"/>
    <x v="11"/>
    <n v="55044"/>
    <x v="2"/>
    <x v="950"/>
    <x v="1"/>
    <x v="6"/>
    <x v="943"/>
    <x v="1195"/>
    <x v="10"/>
    <x v="2"/>
  </r>
  <r>
    <n v="1349"/>
    <x v="640"/>
    <x v="461"/>
    <d v="2015-03-24T00:00:00"/>
    <s v="Standard Class"/>
    <x v="202"/>
    <s v="Bradley Nguyen"/>
    <x v="0"/>
    <s v="United States"/>
    <s v="Lakeville"/>
    <x v="11"/>
    <n v="55044"/>
    <x v="2"/>
    <x v="951"/>
    <x v="1"/>
    <x v="8"/>
    <x v="944"/>
    <x v="1196"/>
    <x v="10"/>
    <x v="2"/>
  </r>
  <r>
    <n v="1350"/>
    <x v="640"/>
    <x v="461"/>
    <d v="2015-03-24T00:00:00"/>
    <s v="Standard Class"/>
    <x v="202"/>
    <s v="Bradley Nguyen"/>
    <x v="0"/>
    <s v="United States"/>
    <s v="Lakeville"/>
    <x v="11"/>
    <n v="55044"/>
    <x v="2"/>
    <x v="952"/>
    <x v="1"/>
    <x v="8"/>
    <x v="945"/>
    <x v="1197"/>
    <x v="10"/>
    <x v="2"/>
  </r>
  <r>
    <n v="1351"/>
    <x v="641"/>
    <x v="462"/>
    <d v="2015-10-08T00:00:00"/>
    <s v="Second Class"/>
    <x v="443"/>
    <s v="Beth Paige"/>
    <x v="0"/>
    <s v="United States"/>
    <s v="Evanston"/>
    <x v="10"/>
    <n v="60201"/>
    <x v="2"/>
    <x v="812"/>
    <x v="0"/>
    <x v="1"/>
    <x v="809"/>
    <x v="1198"/>
    <x v="2"/>
    <x v="2"/>
  </r>
  <r>
    <n v="1352"/>
    <x v="642"/>
    <x v="463"/>
    <d v="2017-03-31T00:00:00"/>
    <s v="First Class"/>
    <x v="442"/>
    <s v="Aaron Smayling"/>
    <x v="1"/>
    <s v="United States"/>
    <s v="Arlington"/>
    <x v="17"/>
    <n v="22204"/>
    <x v="0"/>
    <x v="953"/>
    <x v="1"/>
    <x v="4"/>
    <x v="946"/>
    <x v="809"/>
    <x v="10"/>
    <x v="0"/>
  </r>
  <r>
    <n v="1353"/>
    <x v="643"/>
    <x v="464"/>
    <d v="2018-05-09T00:00:00"/>
    <s v="Standard Class"/>
    <x v="352"/>
    <s v="Lindsay Williams"/>
    <x v="1"/>
    <s v="United States"/>
    <s v="San Francisco"/>
    <x v="1"/>
    <n v="94109"/>
    <x v="1"/>
    <x v="521"/>
    <x v="2"/>
    <x v="7"/>
    <x v="521"/>
    <x v="1199"/>
    <x v="5"/>
    <x v="3"/>
  </r>
  <r>
    <n v="1354"/>
    <x v="643"/>
    <x v="464"/>
    <d v="2018-05-09T00:00:00"/>
    <s v="Standard Class"/>
    <x v="352"/>
    <s v="Lindsay Williams"/>
    <x v="1"/>
    <s v="United States"/>
    <s v="San Francisco"/>
    <x v="1"/>
    <n v="94109"/>
    <x v="1"/>
    <x v="707"/>
    <x v="1"/>
    <x v="10"/>
    <x v="706"/>
    <x v="1200"/>
    <x v="5"/>
    <x v="3"/>
  </r>
  <r>
    <n v="1355"/>
    <x v="643"/>
    <x v="464"/>
    <d v="2018-05-09T00:00:00"/>
    <s v="Standard Class"/>
    <x v="352"/>
    <s v="Lindsay Williams"/>
    <x v="1"/>
    <s v="United States"/>
    <s v="San Francisco"/>
    <x v="1"/>
    <n v="94109"/>
    <x v="1"/>
    <x v="215"/>
    <x v="0"/>
    <x v="3"/>
    <x v="216"/>
    <x v="1201"/>
    <x v="5"/>
    <x v="3"/>
  </r>
  <r>
    <n v="1356"/>
    <x v="644"/>
    <x v="260"/>
    <d v="2015-07-05T00:00:00"/>
    <s v="Same Day"/>
    <x v="419"/>
    <s v="Dan Campbell"/>
    <x v="0"/>
    <s v="United States"/>
    <s v="Houston"/>
    <x v="5"/>
    <n v="77036"/>
    <x v="2"/>
    <x v="196"/>
    <x v="1"/>
    <x v="4"/>
    <x v="197"/>
    <x v="1202"/>
    <x v="7"/>
    <x v="2"/>
  </r>
  <r>
    <n v="1357"/>
    <x v="644"/>
    <x v="260"/>
    <d v="2015-07-05T00:00:00"/>
    <s v="Same Day"/>
    <x v="419"/>
    <s v="Dan Campbell"/>
    <x v="0"/>
    <s v="United States"/>
    <s v="Houston"/>
    <x v="5"/>
    <n v="77036"/>
    <x v="2"/>
    <x v="911"/>
    <x v="1"/>
    <x v="4"/>
    <x v="903"/>
    <x v="1203"/>
    <x v="7"/>
    <x v="2"/>
  </r>
  <r>
    <n v="1358"/>
    <x v="645"/>
    <x v="465"/>
    <d v="2017-05-07T00:00:00"/>
    <s v="First Class"/>
    <x v="444"/>
    <s v="Natalie DeCherney"/>
    <x v="0"/>
    <s v="United States"/>
    <s v="Louisville"/>
    <x v="0"/>
    <n v="40214"/>
    <x v="0"/>
    <x v="954"/>
    <x v="1"/>
    <x v="10"/>
    <x v="947"/>
    <x v="1204"/>
    <x v="5"/>
    <x v="0"/>
  </r>
  <r>
    <n v="1359"/>
    <x v="646"/>
    <x v="466"/>
    <d v="2018-04-27T00:00:00"/>
    <s v="First Class"/>
    <x v="445"/>
    <s v="Larry Blacks"/>
    <x v="0"/>
    <s v="United States"/>
    <s v="Fort Worth"/>
    <x v="5"/>
    <n v="76106"/>
    <x v="2"/>
    <x v="527"/>
    <x v="0"/>
    <x v="5"/>
    <x v="527"/>
    <x v="1205"/>
    <x v="3"/>
    <x v="3"/>
  </r>
  <r>
    <n v="1360"/>
    <x v="647"/>
    <x v="467"/>
    <d v="2015-10-01T00:00:00"/>
    <s v="Second Class"/>
    <x v="446"/>
    <s v="Kean Takahito"/>
    <x v="0"/>
    <s v="United States"/>
    <s v="Los Angeles"/>
    <x v="1"/>
    <n v="90049"/>
    <x v="1"/>
    <x v="955"/>
    <x v="0"/>
    <x v="1"/>
    <x v="948"/>
    <x v="1206"/>
    <x v="8"/>
    <x v="2"/>
  </r>
  <r>
    <n v="1361"/>
    <x v="648"/>
    <x v="15"/>
    <d v="2018-10-25T00:00:00"/>
    <s v="Standard Class"/>
    <x v="447"/>
    <s v="Harry Marie"/>
    <x v="1"/>
    <s v="United States"/>
    <s v="Philadelphia"/>
    <x v="9"/>
    <n v="19120"/>
    <x v="3"/>
    <x v="666"/>
    <x v="1"/>
    <x v="6"/>
    <x v="666"/>
    <x v="1207"/>
    <x v="2"/>
    <x v="3"/>
  </r>
  <r>
    <n v="1362"/>
    <x v="648"/>
    <x v="15"/>
    <d v="2018-10-25T00:00:00"/>
    <s v="Standard Class"/>
    <x v="447"/>
    <s v="Harry Marie"/>
    <x v="1"/>
    <s v="United States"/>
    <s v="Philadelphia"/>
    <x v="9"/>
    <n v="19120"/>
    <x v="3"/>
    <x v="956"/>
    <x v="1"/>
    <x v="10"/>
    <x v="949"/>
    <x v="208"/>
    <x v="2"/>
    <x v="3"/>
  </r>
  <r>
    <n v="1363"/>
    <x v="648"/>
    <x v="15"/>
    <d v="2018-10-25T00:00:00"/>
    <s v="Standard Class"/>
    <x v="447"/>
    <s v="Harry Marie"/>
    <x v="1"/>
    <s v="United States"/>
    <s v="Philadelphia"/>
    <x v="9"/>
    <n v="19120"/>
    <x v="3"/>
    <x v="957"/>
    <x v="2"/>
    <x v="7"/>
    <x v="950"/>
    <x v="1208"/>
    <x v="2"/>
    <x v="3"/>
  </r>
  <r>
    <n v="1364"/>
    <x v="649"/>
    <x v="468"/>
    <d v="2018-11-11T00:00:00"/>
    <s v="First Class"/>
    <x v="448"/>
    <s v="Ann Blume"/>
    <x v="1"/>
    <s v="United States"/>
    <s v="Tucson"/>
    <x v="16"/>
    <n v="85705"/>
    <x v="1"/>
    <x v="624"/>
    <x v="1"/>
    <x v="8"/>
    <x v="624"/>
    <x v="1209"/>
    <x v="0"/>
    <x v="3"/>
  </r>
  <r>
    <n v="1365"/>
    <x v="649"/>
    <x v="468"/>
    <d v="2018-11-11T00:00:00"/>
    <s v="First Class"/>
    <x v="448"/>
    <s v="Ann Blume"/>
    <x v="1"/>
    <s v="United States"/>
    <s v="Tucson"/>
    <x v="16"/>
    <n v="85705"/>
    <x v="1"/>
    <x v="958"/>
    <x v="2"/>
    <x v="15"/>
    <x v="951"/>
    <x v="1210"/>
    <x v="0"/>
    <x v="3"/>
  </r>
  <r>
    <n v="1366"/>
    <x v="649"/>
    <x v="468"/>
    <d v="2018-11-11T00:00:00"/>
    <s v="First Class"/>
    <x v="448"/>
    <s v="Ann Blume"/>
    <x v="1"/>
    <s v="United States"/>
    <s v="Tucson"/>
    <x v="16"/>
    <n v="85705"/>
    <x v="1"/>
    <x v="959"/>
    <x v="2"/>
    <x v="11"/>
    <x v="952"/>
    <x v="1211"/>
    <x v="0"/>
    <x v="3"/>
  </r>
  <r>
    <n v="1367"/>
    <x v="649"/>
    <x v="468"/>
    <d v="2018-11-11T00:00:00"/>
    <s v="First Class"/>
    <x v="448"/>
    <s v="Ann Blume"/>
    <x v="1"/>
    <s v="United States"/>
    <s v="Tucson"/>
    <x v="16"/>
    <n v="85705"/>
    <x v="1"/>
    <x v="202"/>
    <x v="2"/>
    <x v="7"/>
    <x v="203"/>
    <x v="1212"/>
    <x v="0"/>
    <x v="3"/>
  </r>
  <r>
    <n v="1368"/>
    <x v="649"/>
    <x v="468"/>
    <d v="2018-11-11T00:00:00"/>
    <s v="First Class"/>
    <x v="448"/>
    <s v="Ann Blume"/>
    <x v="1"/>
    <s v="United States"/>
    <s v="Tucson"/>
    <x v="16"/>
    <n v="85705"/>
    <x v="1"/>
    <x v="299"/>
    <x v="0"/>
    <x v="1"/>
    <x v="299"/>
    <x v="185"/>
    <x v="0"/>
    <x v="3"/>
  </r>
  <r>
    <n v="1369"/>
    <x v="650"/>
    <x v="141"/>
    <d v="2018-07-11T00:00:00"/>
    <s v="First Class"/>
    <x v="449"/>
    <s v="Sam Zeldin"/>
    <x v="2"/>
    <s v="United States"/>
    <s v="Pico Rivera"/>
    <x v="1"/>
    <n v="90660"/>
    <x v="1"/>
    <x v="287"/>
    <x v="0"/>
    <x v="5"/>
    <x v="287"/>
    <x v="1213"/>
    <x v="7"/>
    <x v="3"/>
  </r>
  <r>
    <n v="1370"/>
    <x v="651"/>
    <x v="100"/>
    <d v="2016-12-28T00:00:00"/>
    <s v="Standard Class"/>
    <x v="439"/>
    <s v="Jim Radford"/>
    <x v="0"/>
    <s v="United States"/>
    <s v="Colorado Springs"/>
    <x v="22"/>
    <n v="80906"/>
    <x v="1"/>
    <x v="178"/>
    <x v="0"/>
    <x v="0"/>
    <x v="179"/>
    <x v="1214"/>
    <x v="4"/>
    <x v="1"/>
  </r>
  <r>
    <n v="1371"/>
    <x v="651"/>
    <x v="100"/>
    <d v="2016-12-28T00:00:00"/>
    <s v="Standard Class"/>
    <x v="439"/>
    <s v="Jim Radford"/>
    <x v="0"/>
    <s v="United States"/>
    <s v="Colorado Springs"/>
    <x v="22"/>
    <n v="80906"/>
    <x v="1"/>
    <x v="628"/>
    <x v="1"/>
    <x v="6"/>
    <x v="628"/>
    <x v="1215"/>
    <x v="4"/>
    <x v="1"/>
  </r>
  <r>
    <n v="1372"/>
    <x v="652"/>
    <x v="469"/>
    <d v="2018-03-12T00:00:00"/>
    <s v="Standard Class"/>
    <x v="450"/>
    <s v="Michael Granlund"/>
    <x v="2"/>
    <s v="United States"/>
    <s v="Clinton"/>
    <x v="39"/>
    <n v="20735"/>
    <x v="3"/>
    <x v="960"/>
    <x v="2"/>
    <x v="11"/>
    <x v="953"/>
    <x v="1216"/>
    <x v="10"/>
    <x v="3"/>
  </r>
  <r>
    <n v="1373"/>
    <x v="653"/>
    <x v="470"/>
    <d v="2015-04-06T00:00:00"/>
    <s v="Second Class"/>
    <x v="27"/>
    <s v="Kunst Miller"/>
    <x v="0"/>
    <s v="United States"/>
    <s v="Vallejo"/>
    <x v="1"/>
    <n v="94591"/>
    <x v="1"/>
    <x v="579"/>
    <x v="1"/>
    <x v="2"/>
    <x v="579"/>
    <x v="458"/>
    <x v="3"/>
    <x v="2"/>
  </r>
  <r>
    <n v="1374"/>
    <x v="653"/>
    <x v="470"/>
    <d v="2015-04-06T00:00:00"/>
    <s v="Second Class"/>
    <x v="27"/>
    <s v="Kunst Miller"/>
    <x v="0"/>
    <s v="United States"/>
    <s v="Vallejo"/>
    <x v="1"/>
    <n v="94591"/>
    <x v="1"/>
    <x v="961"/>
    <x v="1"/>
    <x v="8"/>
    <x v="954"/>
    <x v="1217"/>
    <x v="3"/>
    <x v="2"/>
  </r>
  <r>
    <n v="1375"/>
    <x v="654"/>
    <x v="471"/>
    <d v="2016-09-19T00:00:00"/>
    <s v="Standard Class"/>
    <x v="244"/>
    <s v="Christina Anderson"/>
    <x v="0"/>
    <s v="United States"/>
    <s v="Provo"/>
    <x v="7"/>
    <n v="84604"/>
    <x v="1"/>
    <x v="962"/>
    <x v="0"/>
    <x v="3"/>
    <x v="955"/>
    <x v="1218"/>
    <x v="8"/>
    <x v="1"/>
  </r>
  <r>
    <n v="1376"/>
    <x v="655"/>
    <x v="472"/>
    <d v="2015-08-09T00:00:00"/>
    <s v="Second Class"/>
    <x v="104"/>
    <s v="Valerie Dominguez"/>
    <x v="0"/>
    <s v="United States"/>
    <s v="Pleasant Grove"/>
    <x v="7"/>
    <n v="84062"/>
    <x v="1"/>
    <x v="963"/>
    <x v="1"/>
    <x v="9"/>
    <x v="956"/>
    <x v="1219"/>
    <x v="6"/>
    <x v="2"/>
  </r>
  <r>
    <n v="1377"/>
    <x v="655"/>
    <x v="472"/>
    <d v="2015-08-09T00:00:00"/>
    <s v="Second Class"/>
    <x v="104"/>
    <s v="Valerie Dominguez"/>
    <x v="0"/>
    <s v="United States"/>
    <s v="Pleasant Grove"/>
    <x v="7"/>
    <n v="84062"/>
    <x v="1"/>
    <x v="964"/>
    <x v="1"/>
    <x v="10"/>
    <x v="957"/>
    <x v="982"/>
    <x v="6"/>
    <x v="2"/>
  </r>
  <r>
    <n v="1378"/>
    <x v="655"/>
    <x v="472"/>
    <d v="2015-08-09T00:00:00"/>
    <s v="Second Class"/>
    <x v="104"/>
    <s v="Valerie Dominguez"/>
    <x v="0"/>
    <s v="United States"/>
    <s v="Pleasant Grove"/>
    <x v="7"/>
    <n v="84062"/>
    <x v="1"/>
    <x v="965"/>
    <x v="1"/>
    <x v="6"/>
    <x v="958"/>
    <x v="1220"/>
    <x v="6"/>
    <x v="2"/>
  </r>
  <r>
    <n v="1379"/>
    <x v="655"/>
    <x v="472"/>
    <d v="2015-08-09T00:00:00"/>
    <s v="Second Class"/>
    <x v="104"/>
    <s v="Valerie Dominguez"/>
    <x v="0"/>
    <s v="United States"/>
    <s v="Pleasant Grove"/>
    <x v="7"/>
    <n v="84062"/>
    <x v="1"/>
    <x v="966"/>
    <x v="2"/>
    <x v="7"/>
    <x v="959"/>
    <x v="1221"/>
    <x v="6"/>
    <x v="2"/>
  </r>
  <r>
    <n v="1380"/>
    <x v="655"/>
    <x v="472"/>
    <d v="2015-08-09T00:00:00"/>
    <s v="Second Class"/>
    <x v="104"/>
    <s v="Valerie Dominguez"/>
    <x v="0"/>
    <s v="United States"/>
    <s v="Pleasant Grove"/>
    <x v="7"/>
    <n v="84062"/>
    <x v="1"/>
    <x v="967"/>
    <x v="1"/>
    <x v="4"/>
    <x v="960"/>
    <x v="1222"/>
    <x v="6"/>
    <x v="2"/>
  </r>
  <r>
    <n v="1381"/>
    <x v="655"/>
    <x v="472"/>
    <d v="2015-08-09T00:00:00"/>
    <s v="Second Class"/>
    <x v="104"/>
    <s v="Valerie Dominguez"/>
    <x v="0"/>
    <s v="United States"/>
    <s v="Pleasant Grove"/>
    <x v="7"/>
    <n v="84062"/>
    <x v="1"/>
    <x v="91"/>
    <x v="1"/>
    <x v="8"/>
    <x v="91"/>
    <x v="1223"/>
    <x v="6"/>
    <x v="2"/>
  </r>
  <r>
    <n v="1382"/>
    <x v="656"/>
    <x v="323"/>
    <d v="2017-09-09T00:00:00"/>
    <s v="Standard Class"/>
    <x v="451"/>
    <s v="Julie Kriz"/>
    <x v="2"/>
    <s v="United States"/>
    <s v="Aurora"/>
    <x v="10"/>
    <n v="60505"/>
    <x v="2"/>
    <x v="583"/>
    <x v="0"/>
    <x v="5"/>
    <x v="583"/>
    <x v="1224"/>
    <x v="8"/>
    <x v="0"/>
  </r>
  <r>
    <n v="1383"/>
    <x v="657"/>
    <x v="473"/>
    <d v="2017-02-05T00:00:00"/>
    <s v="Same Day"/>
    <x v="452"/>
    <s v="Paul Prost"/>
    <x v="2"/>
    <s v="United States"/>
    <s v="Smyrna"/>
    <x v="32"/>
    <n v="30080"/>
    <x v="0"/>
    <x v="871"/>
    <x v="1"/>
    <x v="4"/>
    <x v="865"/>
    <x v="1225"/>
    <x v="11"/>
    <x v="0"/>
  </r>
  <r>
    <n v="1384"/>
    <x v="657"/>
    <x v="473"/>
    <d v="2017-02-05T00:00:00"/>
    <s v="Same Day"/>
    <x v="452"/>
    <s v="Paul Prost"/>
    <x v="2"/>
    <s v="United States"/>
    <s v="Smyrna"/>
    <x v="32"/>
    <n v="30080"/>
    <x v="0"/>
    <x v="968"/>
    <x v="1"/>
    <x v="10"/>
    <x v="961"/>
    <x v="1226"/>
    <x v="11"/>
    <x v="0"/>
  </r>
  <r>
    <n v="1385"/>
    <x v="657"/>
    <x v="473"/>
    <d v="2017-02-05T00:00:00"/>
    <s v="Same Day"/>
    <x v="452"/>
    <s v="Paul Prost"/>
    <x v="2"/>
    <s v="United States"/>
    <s v="Smyrna"/>
    <x v="32"/>
    <n v="30080"/>
    <x v="0"/>
    <x v="969"/>
    <x v="1"/>
    <x v="13"/>
    <x v="962"/>
    <x v="1227"/>
    <x v="11"/>
    <x v="0"/>
  </r>
  <r>
    <n v="1386"/>
    <x v="657"/>
    <x v="473"/>
    <d v="2017-02-05T00:00:00"/>
    <s v="Same Day"/>
    <x v="452"/>
    <s v="Paul Prost"/>
    <x v="2"/>
    <s v="United States"/>
    <s v="Smyrna"/>
    <x v="32"/>
    <n v="30080"/>
    <x v="0"/>
    <x v="267"/>
    <x v="0"/>
    <x v="5"/>
    <x v="963"/>
    <x v="605"/>
    <x v="11"/>
    <x v="0"/>
  </r>
  <r>
    <n v="1387"/>
    <x v="657"/>
    <x v="473"/>
    <d v="2017-02-05T00:00:00"/>
    <s v="Same Day"/>
    <x v="452"/>
    <s v="Paul Prost"/>
    <x v="2"/>
    <s v="United States"/>
    <s v="Smyrna"/>
    <x v="32"/>
    <n v="30080"/>
    <x v="0"/>
    <x v="574"/>
    <x v="0"/>
    <x v="0"/>
    <x v="574"/>
    <x v="1228"/>
    <x v="11"/>
    <x v="0"/>
  </r>
  <r>
    <n v="1388"/>
    <x v="657"/>
    <x v="473"/>
    <d v="2017-02-05T00:00:00"/>
    <s v="Same Day"/>
    <x v="452"/>
    <s v="Paul Prost"/>
    <x v="2"/>
    <s v="United States"/>
    <s v="Smyrna"/>
    <x v="32"/>
    <n v="30080"/>
    <x v="0"/>
    <x v="970"/>
    <x v="1"/>
    <x v="12"/>
    <x v="964"/>
    <x v="1229"/>
    <x v="11"/>
    <x v="0"/>
  </r>
  <r>
    <n v="1389"/>
    <x v="657"/>
    <x v="473"/>
    <d v="2017-02-05T00:00:00"/>
    <s v="Same Day"/>
    <x v="452"/>
    <s v="Paul Prost"/>
    <x v="2"/>
    <s v="United States"/>
    <s v="Smyrna"/>
    <x v="32"/>
    <n v="30080"/>
    <x v="0"/>
    <x v="139"/>
    <x v="2"/>
    <x v="7"/>
    <x v="140"/>
    <x v="1230"/>
    <x v="11"/>
    <x v="0"/>
  </r>
  <r>
    <n v="1390"/>
    <x v="657"/>
    <x v="473"/>
    <d v="2017-02-05T00:00:00"/>
    <s v="Same Day"/>
    <x v="452"/>
    <s v="Paul Prost"/>
    <x v="2"/>
    <s v="United States"/>
    <s v="Smyrna"/>
    <x v="32"/>
    <n v="30080"/>
    <x v="0"/>
    <x v="297"/>
    <x v="2"/>
    <x v="7"/>
    <x v="297"/>
    <x v="1231"/>
    <x v="11"/>
    <x v="0"/>
  </r>
  <r>
    <n v="1391"/>
    <x v="657"/>
    <x v="473"/>
    <d v="2017-02-05T00:00:00"/>
    <s v="Same Day"/>
    <x v="452"/>
    <s v="Paul Prost"/>
    <x v="2"/>
    <s v="United States"/>
    <s v="Smyrna"/>
    <x v="32"/>
    <n v="30080"/>
    <x v="0"/>
    <x v="447"/>
    <x v="1"/>
    <x v="10"/>
    <x v="447"/>
    <x v="1232"/>
    <x v="11"/>
    <x v="0"/>
  </r>
  <r>
    <n v="1392"/>
    <x v="657"/>
    <x v="473"/>
    <d v="2017-02-05T00:00:00"/>
    <s v="Same Day"/>
    <x v="452"/>
    <s v="Paul Prost"/>
    <x v="2"/>
    <s v="United States"/>
    <s v="Smyrna"/>
    <x v="32"/>
    <n v="30080"/>
    <x v="0"/>
    <x v="232"/>
    <x v="1"/>
    <x v="4"/>
    <x v="233"/>
    <x v="1233"/>
    <x v="11"/>
    <x v="0"/>
  </r>
  <r>
    <n v="1393"/>
    <x v="657"/>
    <x v="473"/>
    <d v="2017-02-05T00:00:00"/>
    <s v="Same Day"/>
    <x v="452"/>
    <s v="Paul Prost"/>
    <x v="2"/>
    <s v="United States"/>
    <s v="Smyrna"/>
    <x v="32"/>
    <n v="30080"/>
    <x v="0"/>
    <x v="62"/>
    <x v="1"/>
    <x v="10"/>
    <x v="62"/>
    <x v="1234"/>
    <x v="11"/>
    <x v="0"/>
  </r>
  <r>
    <n v="1394"/>
    <x v="658"/>
    <x v="445"/>
    <d v="2018-07-04T00:00:00"/>
    <s v="First Class"/>
    <x v="453"/>
    <s v="Yana Sorensen"/>
    <x v="1"/>
    <s v="United States"/>
    <s v="Burlington"/>
    <x v="3"/>
    <n v="27217"/>
    <x v="0"/>
    <x v="181"/>
    <x v="1"/>
    <x v="6"/>
    <x v="182"/>
    <x v="1235"/>
    <x v="7"/>
    <x v="3"/>
  </r>
  <r>
    <n v="1395"/>
    <x v="659"/>
    <x v="449"/>
    <d v="2018-10-14T00:00:00"/>
    <s v="Standard Class"/>
    <x v="316"/>
    <s v="Cyma Kinney"/>
    <x v="1"/>
    <s v="United States"/>
    <s v="Aurora"/>
    <x v="10"/>
    <n v="60505"/>
    <x v="2"/>
    <x v="971"/>
    <x v="0"/>
    <x v="3"/>
    <x v="965"/>
    <x v="1236"/>
    <x v="2"/>
    <x v="3"/>
  </r>
  <r>
    <n v="1396"/>
    <x v="659"/>
    <x v="449"/>
    <d v="2018-10-14T00:00:00"/>
    <s v="Standard Class"/>
    <x v="316"/>
    <s v="Cyma Kinney"/>
    <x v="1"/>
    <s v="United States"/>
    <s v="Aurora"/>
    <x v="10"/>
    <n v="60505"/>
    <x v="2"/>
    <x v="972"/>
    <x v="0"/>
    <x v="3"/>
    <x v="966"/>
    <x v="1237"/>
    <x v="2"/>
    <x v="3"/>
  </r>
  <r>
    <n v="1397"/>
    <x v="660"/>
    <x v="390"/>
    <d v="2017-11-26T00:00:00"/>
    <s v="First Class"/>
    <x v="396"/>
    <s v="Nat Carroll"/>
    <x v="0"/>
    <s v="United States"/>
    <s v="New York City"/>
    <x v="15"/>
    <n v="10035"/>
    <x v="3"/>
    <x v="973"/>
    <x v="1"/>
    <x v="8"/>
    <x v="967"/>
    <x v="1238"/>
    <x v="0"/>
    <x v="0"/>
  </r>
  <r>
    <n v="1398"/>
    <x v="660"/>
    <x v="390"/>
    <d v="2017-11-26T00:00:00"/>
    <s v="First Class"/>
    <x v="396"/>
    <s v="Nat Carroll"/>
    <x v="0"/>
    <s v="United States"/>
    <s v="New York City"/>
    <x v="15"/>
    <n v="10035"/>
    <x v="3"/>
    <x v="609"/>
    <x v="1"/>
    <x v="10"/>
    <x v="609"/>
    <x v="1049"/>
    <x v="0"/>
    <x v="0"/>
  </r>
  <r>
    <n v="1399"/>
    <x v="660"/>
    <x v="390"/>
    <d v="2017-11-26T00:00:00"/>
    <s v="First Class"/>
    <x v="396"/>
    <s v="Nat Carroll"/>
    <x v="0"/>
    <s v="United States"/>
    <s v="New York City"/>
    <x v="15"/>
    <n v="10035"/>
    <x v="3"/>
    <x v="176"/>
    <x v="2"/>
    <x v="11"/>
    <x v="177"/>
    <x v="1239"/>
    <x v="0"/>
    <x v="0"/>
  </r>
  <r>
    <n v="1400"/>
    <x v="660"/>
    <x v="390"/>
    <d v="2017-11-26T00:00:00"/>
    <s v="First Class"/>
    <x v="396"/>
    <s v="Nat Carroll"/>
    <x v="0"/>
    <s v="United States"/>
    <s v="New York City"/>
    <x v="15"/>
    <n v="10035"/>
    <x v="3"/>
    <x v="974"/>
    <x v="1"/>
    <x v="10"/>
    <x v="968"/>
    <x v="90"/>
    <x v="0"/>
    <x v="0"/>
  </r>
  <r>
    <n v="1401"/>
    <x v="661"/>
    <x v="474"/>
    <d v="2017-11-05T00:00:00"/>
    <s v="Standard Class"/>
    <x v="454"/>
    <s v="Katherine Murray"/>
    <x v="2"/>
    <s v="United States"/>
    <s v="Salem"/>
    <x v="17"/>
    <n v="24153"/>
    <x v="0"/>
    <x v="47"/>
    <x v="2"/>
    <x v="7"/>
    <x v="47"/>
    <x v="48"/>
    <x v="0"/>
    <x v="0"/>
  </r>
  <r>
    <n v="1402"/>
    <x v="661"/>
    <x v="474"/>
    <d v="2017-11-05T00:00:00"/>
    <s v="Standard Class"/>
    <x v="454"/>
    <s v="Katherine Murray"/>
    <x v="2"/>
    <s v="United States"/>
    <s v="Salem"/>
    <x v="17"/>
    <n v="24153"/>
    <x v="0"/>
    <x v="556"/>
    <x v="1"/>
    <x v="12"/>
    <x v="555"/>
    <x v="1240"/>
    <x v="0"/>
    <x v="0"/>
  </r>
  <r>
    <n v="1403"/>
    <x v="662"/>
    <x v="475"/>
    <d v="2017-04-25T00:00:00"/>
    <s v="Standard Class"/>
    <x v="39"/>
    <s v="Gary Mitchum"/>
    <x v="2"/>
    <s v="United States"/>
    <s v="Columbus"/>
    <x v="24"/>
    <n v="43229"/>
    <x v="3"/>
    <x v="975"/>
    <x v="0"/>
    <x v="3"/>
    <x v="969"/>
    <x v="1241"/>
    <x v="3"/>
    <x v="0"/>
  </r>
  <r>
    <n v="1404"/>
    <x v="662"/>
    <x v="475"/>
    <d v="2017-04-25T00:00:00"/>
    <s v="Standard Class"/>
    <x v="39"/>
    <s v="Gary Mitchum"/>
    <x v="2"/>
    <s v="United States"/>
    <s v="Columbus"/>
    <x v="24"/>
    <n v="43229"/>
    <x v="3"/>
    <x v="976"/>
    <x v="1"/>
    <x v="10"/>
    <x v="970"/>
    <x v="1242"/>
    <x v="3"/>
    <x v="0"/>
  </r>
  <r>
    <n v="1405"/>
    <x v="663"/>
    <x v="322"/>
    <d v="2015-04-08T00:00:00"/>
    <s v="First Class"/>
    <x v="174"/>
    <s v="Shirley Daniels"/>
    <x v="2"/>
    <s v="United States"/>
    <s v="Philadelphia"/>
    <x v="9"/>
    <n v="19143"/>
    <x v="3"/>
    <x v="505"/>
    <x v="1"/>
    <x v="14"/>
    <x v="505"/>
    <x v="1243"/>
    <x v="3"/>
    <x v="2"/>
  </r>
  <r>
    <n v="1406"/>
    <x v="663"/>
    <x v="322"/>
    <d v="2015-04-08T00:00:00"/>
    <s v="First Class"/>
    <x v="174"/>
    <s v="Shirley Daniels"/>
    <x v="2"/>
    <s v="United States"/>
    <s v="Philadelphia"/>
    <x v="9"/>
    <n v="19143"/>
    <x v="3"/>
    <x v="977"/>
    <x v="0"/>
    <x v="3"/>
    <x v="832"/>
    <x v="1244"/>
    <x v="3"/>
    <x v="2"/>
  </r>
  <r>
    <n v="1407"/>
    <x v="663"/>
    <x v="322"/>
    <d v="2015-04-08T00:00:00"/>
    <s v="First Class"/>
    <x v="174"/>
    <s v="Shirley Daniels"/>
    <x v="2"/>
    <s v="United States"/>
    <s v="Philadelphia"/>
    <x v="9"/>
    <n v="19143"/>
    <x v="3"/>
    <x v="171"/>
    <x v="2"/>
    <x v="11"/>
    <x v="172"/>
    <x v="1245"/>
    <x v="3"/>
    <x v="2"/>
  </r>
  <r>
    <n v="1408"/>
    <x v="664"/>
    <x v="476"/>
    <d v="2017-09-06T00:00:00"/>
    <s v="Standard Class"/>
    <x v="30"/>
    <s v="Karen Daniels"/>
    <x v="0"/>
    <s v="United States"/>
    <s v="New York City"/>
    <x v="15"/>
    <n v="10024"/>
    <x v="3"/>
    <x v="978"/>
    <x v="1"/>
    <x v="6"/>
    <x v="971"/>
    <x v="1246"/>
    <x v="8"/>
    <x v="0"/>
  </r>
  <r>
    <n v="1409"/>
    <x v="664"/>
    <x v="476"/>
    <d v="2017-09-06T00:00:00"/>
    <s v="Standard Class"/>
    <x v="30"/>
    <s v="Karen Daniels"/>
    <x v="0"/>
    <s v="United States"/>
    <s v="New York City"/>
    <x v="15"/>
    <n v="10024"/>
    <x v="3"/>
    <x v="296"/>
    <x v="0"/>
    <x v="5"/>
    <x v="296"/>
    <x v="369"/>
    <x v="8"/>
    <x v="0"/>
  </r>
  <r>
    <n v="1410"/>
    <x v="665"/>
    <x v="477"/>
    <d v="2017-09-30T00:00:00"/>
    <s v="Standard Class"/>
    <x v="455"/>
    <s v="Adrian Barton"/>
    <x v="0"/>
    <s v="United States"/>
    <s v="Phoenix"/>
    <x v="16"/>
    <n v="85023"/>
    <x v="1"/>
    <x v="736"/>
    <x v="0"/>
    <x v="3"/>
    <x v="735"/>
    <x v="859"/>
    <x v="8"/>
    <x v="0"/>
  </r>
  <r>
    <n v="1411"/>
    <x v="666"/>
    <x v="259"/>
    <d v="2018-11-11T00:00:00"/>
    <s v="Standard Class"/>
    <x v="449"/>
    <s v="Sam Zeldin"/>
    <x v="2"/>
    <s v="United States"/>
    <s v="Grand Prairie"/>
    <x v="5"/>
    <n v="75051"/>
    <x v="2"/>
    <x v="429"/>
    <x v="1"/>
    <x v="2"/>
    <x v="429"/>
    <x v="208"/>
    <x v="0"/>
    <x v="3"/>
  </r>
  <r>
    <n v="1412"/>
    <x v="667"/>
    <x v="478"/>
    <d v="2017-07-13T00:00:00"/>
    <s v="Standard Class"/>
    <x v="63"/>
    <s v="Jonathan Doherty"/>
    <x v="1"/>
    <s v="United States"/>
    <s v="New York City"/>
    <x v="15"/>
    <n v="10035"/>
    <x v="3"/>
    <x v="629"/>
    <x v="0"/>
    <x v="1"/>
    <x v="629"/>
    <x v="1247"/>
    <x v="7"/>
    <x v="0"/>
  </r>
  <r>
    <n v="1413"/>
    <x v="667"/>
    <x v="478"/>
    <d v="2017-07-13T00:00:00"/>
    <s v="Standard Class"/>
    <x v="63"/>
    <s v="Jonathan Doherty"/>
    <x v="1"/>
    <s v="United States"/>
    <s v="New York City"/>
    <x v="15"/>
    <n v="10035"/>
    <x v="3"/>
    <x v="479"/>
    <x v="0"/>
    <x v="5"/>
    <x v="480"/>
    <x v="1248"/>
    <x v="7"/>
    <x v="0"/>
  </r>
  <r>
    <n v="1414"/>
    <x v="668"/>
    <x v="479"/>
    <d v="2015-07-05T00:00:00"/>
    <s v="Standard Class"/>
    <x v="456"/>
    <s v="Helen Abelman"/>
    <x v="0"/>
    <s v="United States"/>
    <s v="New York City"/>
    <x v="15"/>
    <n v="10024"/>
    <x v="3"/>
    <x v="979"/>
    <x v="1"/>
    <x v="8"/>
    <x v="972"/>
    <x v="1249"/>
    <x v="1"/>
    <x v="2"/>
  </r>
  <r>
    <n v="1415"/>
    <x v="669"/>
    <x v="480"/>
    <d v="2018-01-31T00:00:00"/>
    <s v="Second Class"/>
    <x v="457"/>
    <s v="Beth Thompson"/>
    <x v="2"/>
    <s v="United States"/>
    <s v="Costa Mesa"/>
    <x v="1"/>
    <n v="92627"/>
    <x v="1"/>
    <x v="914"/>
    <x v="2"/>
    <x v="11"/>
    <x v="906"/>
    <x v="758"/>
    <x v="9"/>
    <x v="3"/>
  </r>
  <r>
    <n v="1416"/>
    <x v="669"/>
    <x v="480"/>
    <d v="2018-01-31T00:00:00"/>
    <s v="Second Class"/>
    <x v="457"/>
    <s v="Beth Thompson"/>
    <x v="2"/>
    <s v="United States"/>
    <s v="Costa Mesa"/>
    <x v="1"/>
    <n v="92627"/>
    <x v="1"/>
    <x v="980"/>
    <x v="0"/>
    <x v="5"/>
    <x v="973"/>
    <x v="1250"/>
    <x v="9"/>
    <x v="3"/>
  </r>
  <r>
    <n v="1417"/>
    <x v="670"/>
    <x v="481"/>
    <d v="2016-09-24T00:00:00"/>
    <s v="First Class"/>
    <x v="458"/>
    <s v="Stuart Van"/>
    <x v="1"/>
    <s v="United States"/>
    <s v="Houston"/>
    <x v="5"/>
    <n v="77041"/>
    <x v="2"/>
    <x v="981"/>
    <x v="2"/>
    <x v="7"/>
    <x v="974"/>
    <x v="1251"/>
    <x v="8"/>
    <x v="1"/>
  </r>
  <r>
    <n v="1418"/>
    <x v="670"/>
    <x v="481"/>
    <d v="2016-09-24T00:00:00"/>
    <s v="First Class"/>
    <x v="458"/>
    <s v="Stuart Van"/>
    <x v="1"/>
    <s v="United States"/>
    <s v="Houston"/>
    <x v="5"/>
    <n v="77041"/>
    <x v="2"/>
    <x v="725"/>
    <x v="2"/>
    <x v="11"/>
    <x v="724"/>
    <x v="1252"/>
    <x v="8"/>
    <x v="1"/>
  </r>
  <r>
    <n v="1419"/>
    <x v="670"/>
    <x v="481"/>
    <d v="2016-09-24T00:00:00"/>
    <s v="First Class"/>
    <x v="458"/>
    <s v="Stuart Van"/>
    <x v="1"/>
    <s v="United States"/>
    <s v="Houston"/>
    <x v="5"/>
    <n v="77041"/>
    <x v="2"/>
    <x v="50"/>
    <x v="0"/>
    <x v="5"/>
    <x v="50"/>
    <x v="1253"/>
    <x v="8"/>
    <x v="1"/>
  </r>
  <r>
    <n v="1420"/>
    <x v="671"/>
    <x v="120"/>
    <d v="2016-09-30T00:00:00"/>
    <s v="Standard Class"/>
    <x v="459"/>
    <s v="Rick Wilson"/>
    <x v="1"/>
    <s v="United States"/>
    <s v="Mesa"/>
    <x v="16"/>
    <n v="85204"/>
    <x v="1"/>
    <x v="982"/>
    <x v="1"/>
    <x v="10"/>
    <x v="975"/>
    <x v="1254"/>
    <x v="8"/>
    <x v="1"/>
  </r>
  <r>
    <n v="1421"/>
    <x v="671"/>
    <x v="120"/>
    <d v="2016-09-30T00:00:00"/>
    <s v="Standard Class"/>
    <x v="459"/>
    <s v="Rick Wilson"/>
    <x v="1"/>
    <s v="United States"/>
    <s v="Mesa"/>
    <x v="16"/>
    <n v="85204"/>
    <x v="1"/>
    <x v="261"/>
    <x v="1"/>
    <x v="8"/>
    <x v="261"/>
    <x v="1255"/>
    <x v="8"/>
    <x v="1"/>
  </r>
  <r>
    <n v="1422"/>
    <x v="671"/>
    <x v="120"/>
    <d v="2016-09-30T00:00:00"/>
    <s v="Standard Class"/>
    <x v="459"/>
    <s v="Rick Wilson"/>
    <x v="1"/>
    <s v="United States"/>
    <s v="Mesa"/>
    <x v="16"/>
    <n v="85204"/>
    <x v="1"/>
    <x v="983"/>
    <x v="1"/>
    <x v="9"/>
    <x v="976"/>
    <x v="1256"/>
    <x v="8"/>
    <x v="1"/>
  </r>
  <r>
    <n v="1423"/>
    <x v="671"/>
    <x v="120"/>
    <d v="2016-09-30T00:00:00"/>
    <s v="Standard Class"/>
    <x v="459"/>
    <s v="Rick Wilson"/>
    <x v="1"/>
    <s v="United States"/>
    <s v="Mesa"/>
    <x v="16"/>
    <n v="85204"/>
    <x v="1"/>
    <x v="697"/>
    <x v="1"/>
    <x v="8"/>
    <x v="697"/>
    <x v="1257"/>
    <x v="8"/>
    <x v="1"/>
  </r>
  <r>
    <n v="1424"/>
    <x v="671"/>
    <x v="120"/>
    <d v="2016-09-30T00:00:00"/>
    <s v="Standard Class"/>
    <x v="459"/>
    <s v="Rick Wilson"/>
    <x v="1"/>
    <s v="United States"/>
    <s v="Mesa"/>
    <x v="16"/>
    <n v="85204"/>
    <x v="1"/>
    <x v="352"/>
    <x v="1"/>
    <x v="4"/>
    <x v="352"/>
    <x v="1258"/>
    <x v="8"/>
    <x v="1"/>
  </r>
  <r>
    <n v="1425"/>
    <x v="671"/>
    <x v="120"/>
    <d v="2016-09-30T00:00:00"/>
    <s v="Standard Class"/>
    <x v="459"/>
    <s v="Rick Wilson"/>
    <x v="1"/>
    <s v="United States"/>
    <s v="Mesa"/>
    <x v="16"/>
    <n v="85204"/>
    <x v="1"/>
    <x v="984"/>
    <x v="2"/>
    <x v="7"/>
    <x v="977"/>
    <x v="1259"/>
    <x v="8"/>
    <x v="1"/>
  </r>
  <r>
    <n v="1426"/>
    <x v="671"/>
    <x v="120"/>
    <d v="2016-09-30T00:00:00"/>
    <s v="Standard Class"/>
    <x v="459"/>
    <s v="Rick Wilson"/>
    <x v="1"/>
    <s v="United States"/>
    <s v="Mesa"/>
    <x v="16"/>
    <n v="85204"/>
    <x v="1"/>
    <x v="418"/>
    <x v="1"/>
    <x v="4"/>
    <x v="418"/>
    <x v="1260"/>
    <x v="8"/>
    <x v="1"/>
  </r>
  <r>
    <n v="1427"/>
    <x v="672"/>
    <x v="89"/>
    <d v="2016-11-04T00:00:00"/>
    <s v="Second Class"/>
    <x v="460"/>
    <s v="Damala Kotsonis"/>
    <x v="1"/>
    <s v="United States"/>
    <s v="Salinas"/>
    <x v="1"/>
    <n v="93905"/>
    <x v="1"/>
    <x v="525"/>
    <x v="1"/>
    <x v="8"/>
    <x v="525"/>
    <x v="1261"/>
    <x v="2"/>
    <x v="1"/>
  </r>
  <r>
    <n v="1428"/>
    <x v="672"/>
    <x v="89"/>
    <d v="2016-11-04T00:00:00"/>
    <s v="Second Class"/>
    <x v="460"/>
    <s v="Damala Kotsonis"/>
    <x v="1"/>
    <s v="United States"/>
    <s v="Salinas"/>
    <x v="1"/>
    <n v="93905"/>
    <x v="1"/>
    <x v="111"/>
    <x v="1"/>
    <x v="12"/>
    <x v="111"/>
    <x v="1262"/>
    <x v="2"/>
    <x v="1"/>
  </r>
  <r>
    <n v="1429"/>
    <x v="672"/>
    <x v="89"/>
    <d v="2016-11-04T00:00:00"/>
    <s v="Second Class"/>
    <x v="460"/>
    <s v="Damala Kotsonis"/>
    <x v="1"/>
    <s v="United States"/>
    <s v="Salinas"/>
    <x v="1"/>
    <n v="93905"/>
    <x v="1"/>
    <x v="985"/>
    <x v="1"/>
    <x v="8"/>
    <x v="978"/>
    <x v="1263"/>
    <x v="2"/>
    <x v="1"/>
  </r>
  <r>
    <n v="1430"/>
    <x v="672"/>
    <x v="89"/>
    <d v="2016-11-04T00:00:00"/>
    <s v="Second Class"/>
    <x v="460"/>
    <s v="Damala Kotsonis"/>
    <x v="1"/>
    <s v="United States"/>
    <s v="Salinas"/>
    <x v="1"/>
    <n v="93905"/>
    <x v="1"/>
    <x v="580"/>
    <x v="1"/>
    <x v="2"/>
    <x v="580"/>
    <x v="1264"/>
    <x v="2"/>
    <x v="1"/>
  </r>
  <r>
    <n v="1431"/>
    <x v="673"/>
    <x v="200"/>
    <d v="2018-11-30T00:00:00"/>
    <s v="Standard Class"/>
    <x v="299"/>
    <s v="Liz Thompson"/>
    <x v="0"/>
    <s v="United States"/>
    <s v="Columbus"/>
    <x v="24"/>
    <n v="43229"/>
    <x v="3"/>
    <x v="521"/>
    <x v="2"/>
    <x v="7"/>
    <x v="521"/>
    <x v="1265"/>
    <x v="0"/>
    <x v="3"/>
  </r>
  <r>
    <n v="1432"/>
    <x v="674"/>
    <x v="174"/>
    <d v="2015-12-21T00:00:00"/>
    <s v="Second Class"/>
    <x v="5"/>
    <s v="Irene Maddox"/>
    <x v="0"/>
    <s v="United States"/>
    <s v="Florence"/>
    <x v="19"/>
    <n v="35630"/>
    <x v="0"/>
    <x v="986"/>
    <x v="1"/>
    <x v="8"/>
    <x v="979"/>
    <x v="1266"/>
    <x v="4"/>
    <x v="2"/>
  </r>
  <r>
    <n v="1433"/>
    <x v="674"/>
    <x v="174"/>
    <d v="2015-12-21T00:00:00"/>
    <s v="Second Class"/>
    <x v="5"/>
    <s v="Irene Maddox"/>
    <x v="0"/>
    <s v="United States"/>
    <s v="Florence"/>
    <x v="19"/>
    <n v="35630"/>
    <x v="0"/>
    <x v="515"/>
    <x v="1"/>
    <x v="14"/>
    <x v="515"/>
    <x v="1267"/>
    <x v="4"/>
    <x v="2"/>
  </r>
  <r>
    <n v="1434"/>
    <x v="674"/>
    <x v="174"/>
    <d v="2015-12-21T00:00:00"/>
    <s v="Second Class"/>
    <x v="5"/>
    <s v="Irene Maddox"/>
    <x v="0"/>
    <s v="United States"/>
    <s v="Florence"/>
    <x v="19"/>
    <n v="35630"/>
    <x v="0"/>
    <x v="70"/>
    <x v="0"/>
    <x v="1"/>
    <x v="70"/>
    <x v="1268"/>
    <x v="4"/>
    <x v="2"/>
  </r>
  <r>
    <n v="1435"/>
    <x v="675"/>
    <x v="482"/>
    <d v="2017-12-30T00:00:00"/>
    <s v="Standard Class"/>
    <x v="224"/>
    <s v="Frank Preis"/>
    <x v="0"/>
    <s v="United States"/>
    <s v="Seattle"/>
    <x v="4"/>
    <n v="98105"/>
    <x v="1"/>
    <x v="987"/>
    <x v="1"/>
    <x v="10"/>
    <x v="980"/>
    <x v="1269"/>
    <x v="4"/>
    <x v="0"/>
  </r>
  <r>
    <n v="1436"/>
    <x v="676"/>
    <x v="308"/>
    <d v="2018-06-27T00:00:00"/>
    <s v="Standard Class"/>
    <x v="461"/>
    <s v="Shui Tom"/>
    <x v="0"/>
    <s v="United States"/>
    <s v="Parma"/>
    <x v="24"/>
    <n v="44134"/>
    <x v="3"/>
    <x v="988"/>
    <x v="1"/>
    <x v="10"/>
    <x v="981"/>
    <x v="276"/>
    <x v="1"/>
    <x v="3"/>
  </r>
  <r>
    <n v="1437"/>
    <x v="676"/>
    <x v="308"/>
    <d v="2018-06-27T00:00:00"/>
    <s v="Standard Class"/>
    <x v="461"/>
    <s v="Shui Tom"/>
    <x v="0"/>
    <s v="United States"/>
    <s v="Parma"/>
    <x v="24"/>
    <n v="44134"/>
    <x v="3"/>
    <x v="950"/>
    <x v="1"/>
    <x v="6"/>
    <x v="943"/>
    <x v="791"/>
    <x v="1"/>
    <x v="3"/>
  </r>
  <r>
    <n v="1438"/>
    <x v="677"/>
    <x v="52"/>
    <d v="2016-10-15T00:00:00"/>
    <s v="Same Day"/>
    <x v="32"/>
    <s v="Joel Eaton"/>
    <x v="0"/>
    <s v="United States"/>
    <s v="Amarillo"/>
    <x v="5"/>
    <n v="79109"/>
    <x v="2"/>
    <x v="989"/>
    <x v="2"/>
    <x v="11"/>
    <x v="982"/>
    <x v="425"/>
    <x v="2"/>
    <x v="1"/>
  </r>
  <r>
    <n v="1439"/>
    <x v="677"/>
    <x v="52"/>
    <d v="2016-10-15T00:00:00"/>
    <s v="Same Day"/>
    <x v="32"/>
    <s v="Joel Eaton"/>
    <x v="0"/>
    <s v="United States"/>
    <s v="Amarillo"/>
    <x v="5"/>
    <n v="79109"/>
    <x v="2"/>
    <x v="483"/>
    <x v="0"/>
    <x v="1"/>
    <x v="483"/>
    <x v="1270"/>
    <x v="2"/>
    <x v="1"/>
  </r>
  <r>
    <n v="1440"/>
    <x v="678"/>
    <x v="483"/>
    <d v="2018-04-15T00:00:00"/>
    <s v="Second Class"/>
    <x v="217"/>
    <s v="Bill Donatelli"/>
    <x v="0"/>
    <s v="United States"/>
    <s v="Providence"/>
    <x v="34"/>
    <n v="2908"/>
    <x v="3"/>
    <x v="990"/>
    <x v="1"/>
    <x v="8"/>
    <x v="305"/>
    <x v="1271"/>
    <x v="3"/>
    <x v="3"/>
  </r>
  <r>
    <n v="1441"/>
    <x v="678"/>
    <x v="483"/>
    <d v="2018-04-15T00:00:00"/>
    <s v="Second Class"/>
    <x v="217"/>
    <s v="Bill Donatelli"/>
    <x v="0"/>
    <s v="United States"/>
    <s v="Providence"/>
    <x v="34"/>
    <n v="2908"/>
    <x v="3"/>
    <x v="991"/>
    <x v="1"/>
    <x v="10"/>
    <x v="983"/>
    <x v="786"/>
    <x v="3"/>
    <x v="3"/>
  </r>
  <r>
    <n v="1442"/>
    <x v="679"/>
    <x v="484"/>
    <d v="2018-12-24T00:00:00"/>
    <s v="Second Class"/>
    <x v="462"/>
    <s v="Michael Moore"/>
    <x v="0"/>
    <s v="United States"/>
    <s v="San Francisco"/>
    <x v="1"/>
    <n v="94110"/>
    <x v="1"/>
    <x v="710"/>
    <x v="1"/>
    <x v="8"/>
    <x v="709"/>
    <x v="1272"/>
    <x v="4"/>
    <x v="3"/>
  </r>
  <r>
    <n v="1443"/>
    <x v="680"/>
    <x v="485"/>
    <d v="2018-08-08T00:00:00"/>
    <s v="First Class"/>
    <x v="463"/>
    <s v="Pauline Webber"/>
    <x v="1"/>
    <s v="United States"/>
    <s v="Richmond"/>
    <x v="0"/>
    <n v="40475"/>
    <x v="0"/>
    <x v="320"/>
    <x v="1"/>
    <x v="10"/>
    <x v="320"/>
    <x v="1273"/>
    <x v="6"/>
    <x v="3"/>
  </r>
  <r>
    <n v="1444"/>
    <x v="681"/>
    <x v="486"/>
    <d v="2016-10-06T00:00:00"/>
    <s v="Standard Class"/>
    <x v="464"/>
    <s v="Shaun Chance"/>
    <x v="1"/>
    <s v="United States"/>
    <s v="Aurora"/>
    <x v="22"/>
    <n v="80013"/>
    <x v="1"/>
    <x v="123"/>
    <x v="1"/>
    <x v="4"/>
    <x v="123"/>
    <x v="1274"/>
    <x v="2"/>
    <x v="1"/>
  </r>
  <r>
    <n v="1445"/>
    <x v="682"/>
    <x v="454"/>
    <d v="2017-05-28T00:00:00"/>
    <s v="Standard Class"/>
    <x v="107"/>
    <s v="Ken Lonsdale"/>
    <x v="0"/>
    <s v="United States"/>
    <s v="Chicago"/>
    <x v="10"/>
    <n v="60623"/>
    <x v="2"/>
    <x v="903"/>
    <x v="2"/>
    <x v="7"/>
    <x v="895"/>
    <x v="1275"/>
    <x v="5"/>
    <x v="0"/>
  </r>
  <r>
    <n v="1446"/>
    <x v="683"/>
    <x v="487"/>
    <d v="2018-06-16T00:00:00"/>
    <s v="First Class"/>
    <x v="174"/>
    <s v="Shirley Daniels"/>
    <x v="2"/>
    <s v="United States"/>
    <s v="Chicago"/>
    <x v="10"/>
    <n v="60653"/>
    <x v="2"/>
    <x v="232"/>
    <x v="1"/>
    <x v="4"/>
    <x v="233"/>
    <x v="1276"/>
    <x v="1"/>
    <x v="3"/>
  </r>
  <r>
    <n v="1447"/>
    <x v="683"/>
    <x v="487"/>
    <d v="2018-06-16T00:00:00"/>
    <s v="First Class"/>
    <x v="174"/>
    <s v="Shirley Daniels"/>
    <x v="2"/>
    <s v="United States"/>
    <s v="Chicago"/>
    <x v="10"/>
    <n v="60653"/>
    <x v="2"/>
    <x v="992"/>
    <x v="0"/>
    <x v="1"/>
    <x v="984"/>
    <x v="1277"/>
    <x v="1"/>
    <x v="3"/>
  </r>
  <r>
    <n v="1448"/>
    <x v="683"/>
    <x v="487"/>
    <d v="2018-06-16T00:00:00"/>
    <s v="First Class"/>
    <x v="174"/>
    <s v="Shirley Daniels"/>
    <x v="2"/>
    <s v="United States"/>
    <s v="Chicago"/>
    <x v="10"/>
    <n v="60653"/>
    <x v="2"/>
    <x v="993"/>
    <x v="2"/>
    <x v="7"/>
    <x v="985"/>
    <x v="730"/>
    <x v="1"/>
    <x v="3"/>
  </r>
  <r>
    <n v="1449"/>
    <x v="684"/>
    <x v="488"/>
    <d v="2015-04-24T00:00:00"/>
    <s v="First Class"/>
    <x v="378"/>
    <s v="Theresa Swint"/>
    <x v="1"/>
    <s v="United States"/>
    <s v="Philadelphia"/>
    <x v="9"/>
    <n v="19134"/>
    <x v="3"/>
    <x v="994"/>
    <x v="1"/>
    <x v="8"/>
    <x v="986"/>
    <x v="1278"/>
    <x v="3"/>
    <x v="2"/>
  </r>
  <r>
    <n v="1450"/>
    <x v="685"/>
    <x v="489"/>
    <d v="2016-05-07T00:00:00"/>
    <s v="Standard Class"/>
    <x v="80"/>
    <s v="Jennifer Braxton"/>
    <x v="1"/>
    <s v="United States"/>
    <s v="Los Angeles"/>
    <x v="1"/>
    <n v="90008"/>
    <x v="1"/>
    <x v="995"/>
    <x v="2"/>
    <x v="7"/>
    <x v="987"/>
    <x v="1279"/>
    <x v="5"/>
    <x v="1"/>
  </r>
  <r>
    <n v="1451"/>
    <x v="686"/>
    <x v="490"/>
    <d v="2016-07-20T00:00:00"/>
    <s v="First Class"/>
    <x v="465"/>
    <s v="Thais Sissman"/>
    <x v="0"/>
    <s v="United States"/>
    <s v="Phoenix"/>
    <x v="16"/>
    <n v="85023"/>
    <x v="1"/>
    <x v="996"/>
    <x v="1"/>
    <x v="8"/>
    <x v="988"/>
    <x v="1280"/>
    <x v="7"/>
    <x v="1"/>
  </r>
  <r>
    <n v="1452"/>
    <x v="687"/>
    <x v="491"/>
    <d v="2017-11-29T00:00:00"/>
    <s v="First Class"/>
    <x v="466"/>
    <s v="Mark Cousins"/>
    <x v="1"/>
    <s v="United States"/>
    <s v="Mobile"/>
    <x v="19"/>
    <n v="36608"/>
    <x v="0"/>
    <x v="885"/>
    <x v="1"/>
    <x v="10"/>
    <x v="33"/>
    <x v="554"/>
    <x v="0"/>
    <x v="0"/>
  </r>
  <r>
    <n v="1453"/>
    <x v="687"/>
    <x v="491"/>
    <d v="2017-11-29T00:00:00"/>
    <s v="First Class"/>
    <x v="466"/>
    <s v="Mark Cousins"/>
    <x v="1"/>
    <s v="United States"/>
    <s v="Mobile"/>
    <x v="19"/>
    <n v="36608"/>
    <x v="0"/>
    <x v="997"/>
    <x v="1"/>
    <x v="8"/>
    <x v="989"/>
    <x v="1281"/>
    <x v="0"/>
    <x v="0"/>
  </r>
  <r>
    <n v="1454"/>
    <x v="687"/>
    <x v="491"/>
    <d v="2017-11-29T00:00:00"/>
    <s v="First Class"/>
    <x v="466"/>
    <s v="Mark Cousins"/>
    <x v="1"/>
    <s v="United States"/>
    <s v="Mobile"/>
    <x v="19"/>
    <n v="36608"/>
    <x v="0"/>
    <x v="996"/>
    <x v="1"/>
    <x v="8"/>
    <x v="988"/>
    <x v="1282"/>
    <x v="0"/>
    <x v="0"/>
  </r>
  <r>
    <n v="1455"/>
    <x v="687"/>
    <x v="491"/>
    <d v="2017-11-29T00:00:00"/>
    <s v="First Class"/>
    <x v="466"/>
    <s v="Mark Cousins"/>
    <x v="1"/>
    <s v="United States"/>
    <s v="Mobile"/>
    <x v="19"/>
    <n v="36608"/>
    <x v="0"/>
    <x v="998"/>
    <x v="2"/>
    <x v="15"/>
    <x v="990"/>
    <x v="1283"/>
    <x v="0"/>
    <x v="0"/>
  </r>
  <r>
    <n v="1456"/>
    <x v="688"/>
    <x v="492"/>
    <d v="2018-06-19T00:00:00"/>
    <s v="Standard Class"/>
    <x v="467"/>
    <s v="Maria Etezadi"/>
    <x v="2"/>
    <s v="United States"/>
    <s v="Columbus"/>
    <x v="32"/>
    <n v="31907"/>
    <x v="0"/>
    <x v="999"/>
    <x v="1"/>
    <x v="8"/>
    <x v="991"/>
    <x v="1284"/>
    <x v="1"/>
    <x v="3"/>
  </r>
  <r>
    <n v="1457"/>
    <x v="688"/>
    <x v="492"/>
    <d v="2018-06-19T00:00:00"/>
    <s v="Standard Class"/>
    <x v="467"/>
    <s v="Maria Etezadi"/>
    <x v="2"/>
    <s v="United States"/>
    <s v="Columbus"/>
    <x v="32"/>
    <n v="31907"/>
    <x v="0"/>
    <x v="1000"/>
    <x v="0"/>
    <x v="3"/>
    <x v="992"/>
    <x v="1285"/>
    <x v="1"/>
    <x v="3"/>
  </r>
  <r>
    <n v="1458"/>
    <x v="689"/>
    <x v="493"/>
    <d v="2016-08-21T00:00:00"/>
    <s v="Standard Class"/>
    <x v="464"/>
    <s v="Shaun Chance"/>
    <x v="1"/>
    <s v="United States"/>
    <s v="New Bedford"/>
    <x v="31"/>
    <n v="2740"/>
    <x v="3"/>
    <x v="326"/>
    <x v="1"/>
    <x v="8"/>
    <x v="326"/>
    <x v="1286"/>
    <x v="6"/>
    <x v="1"/>
  </r>
  <r>
    <n v="1459"/>
    <x v="690"/>
    <x v="477"/>
    <d v="2017-10-01T00:00:00"/>
    <s v="Standard Class"/>
    <x v="468"/>
    <s v="Nicole Hansen"/>
    <x v="1"/>
    <s v="United States"/>
    <s v="Irving"/>
    <x v="5"/>
    <n v="75061"/>
    <x v="2"/>
    <x v="639"/>
    <x v="1"/>
    <x v="2"/>
    <x v="639"/>
    <x v="795"/>
    <x v="8"/>
    <x v="0"/>
  </r>
  <r>
    <n v="1460"/>
    <x v="691"/>
    <x v="417"/>
    <d v="2015-05-04T00:00:00"/>
    <s v="Same Day"/>
    <x v="4"/>
    <s v="Andrew Allen"/>
    <x v="0"/>
    <s v="United States"/>
    <s v="Middletown"/>
    <x v="29"/>
    <n v="6457"/>
    <x v="3"/>
    <x v="1001"/>
    <x v="0"/>
    <x v="5"/>
    <x v="993"/>
    <x v="1287"/>
    <x v="5"/>
    <x v="2"/>
  </r>
  <r>
    <n v="1461"/>
    <x v="692"/>
    <x v="494"/>
    <d v="2016-12-08T00:00:00"/>
    <s v="Standard Class"/>
    <x v="95"/>
    <s v="Logan Currie"/>
    <x v="0"/>
    <s v="United States"/>
    <s v="Seattle"/>
    <x v="4"/>
    <n v="98103"/>
    <x v="1"/>
    <x v="1002"/>
    <x v="1"/>
    <x v="8"/>
    <x v="994"/>
    <x v="1288"/>
    <x v="4"/>
    <x v="1"/>
  </r>
  <r>
    <n v="1462"/>
    <x v="693"/>
    <x v="21"/>
    <d v="2017-03-15T00:00:00"/>
    <s v="Standard Class"/>
    <x v="469"/>
    <s v="Mick Brown"/>
    <x v="0"/>
    <s v="United States"/>
    <s v="Vineland"/>
    <x v="30"/>
    <n v="8360"/>
    <x v="3"/>
    <x v="616"/>
    <x v="0"/>
    <x v="3"/>
    <x v="616"/>
    <x v="1289"/>
    <x v="10"/>
    <x v="0"/>
  </r>
  <r>
    <n v="1463"/>
    <x v="694"/>
    <x v="370"/>
    <d v="2017-08-28T00:00:00"/>
    <s v="First Class"/>
    <x v="18"/>
    <s v="Linda Cazamias"/>
    <x v="1"/>
    <s v="United States"/>
    <s v="Pasadena"/>
    <x v="5"/>
    <n v="77506"/>
    <x v="2"/>
    <x v="409"/>
    <x v="2"/>
    <x v="11"/>
    <x v="409"/>
    <x v="1290"/>
    <x v="6"/>
    <x v="0"/>
  </r>
  <r>
    <n v="1464"/>
    <x v="694"/>
    <x v="370"/>
    <d v="2017-08-28T00:00:00"/>
    <s v="First Class"/>
    <x v="18"/>
    <s v="Linda Cazamias"/>
    <x v="1"/>
    <s v="United States"/>
    <s v="Pasadena"/>
    <x v="5"/>
    <n v="77506"/>
    <x v="2"/>
    <x v="856"/>
    <x v="0"/>
    <x v="1"/>
    <x v="849"/>
    <x v="1291"/>
    <x v="6"/>
    <x v="0"/>
  </r>
  <r>
    <n v="1465"/>
    <x v="695"/>
    <x v="186"/>
    <d v="2017-12-19T00:00:00"/>
    <s v="First Class"/>
    <x v="470"/>
    <s v="Keith Dawkins"/>
    <x v="1"/>
    <s v="United States"/>
    <s v="New York City"/>
    <x v="15"/>
    <n v="10009"/>
    <x v="3"/>
    <x v="801"/>
    <x v="1"/>
    <x v="13"/>
    <x v="799"/>
    <x v="1292"/>
    <x v="4"/>
    <x v="0"/>
  </r>
  <r>
    <n v="1466"/>
    <x v="696"/>
    <x v="233"/>
    <d v="2015-08-14T00:00:00"/>
    <s v="Standard Class"/>
    <x v="93"/>
    <s v="Maria Bertelson"/>
    <x v="0"/>
    <s v="United States"/>
    <s v="Glendale"/>
    <x v="16"/>
    <n v="85301"/>
    <x v="1"/>
    <x v="767"/>
    <x v="0"/>
    <x v="5"/>
    <x v="766"/>
    <x v="1293"/>
    <x v="6"/>
    <x v="2"/>
  </r>
  <r>
    <n v="1467"/>
    <x v="696"/>
    <x v="233"/>
    <d v="2015-08-14T00:00:00"/>
    <s v="Standard Class"/>
    <x v="93"/>
    <s v="Maria Bertelson"/>
    <x v="0"/>
    <s v="United States"/>
    <s v="Glendale"/>
    <x v="16"/>
    <n v="85301"/>
    <x v="1"/>
    <x v="97"/>
    <x v="2"/>
    <x v="11"/>
    <x v="97"/>
    <x v="98"/>
    <x v="6"/>
    <x v="2"/>
  </r>
  <r>
    <n v="1468"/>
    <x v="697"/>
    <x v="495"/>
    <d v="2016-05-16T00:00:00"/>
    <s v="Same Day"/>
    <x v="274"/>
    <s v="Tracy Hopkins"/>
    <x v="2"/>
    <s v="United States"/>
    <s v="Jacksonville"/>
    <x v="2"/>
    <n v="32216"/>
    <x v="0"/>
    <x v="657"/>
    <x v="2"/>
    <x v="11"/>
    <x v="657"/>
    <x v="1294"/>
    <x v="5"/>
    <x v="1"/>
  </r>
  <r>
    <n v="1469"/>
    <x v="698"/>
    <x v="34"/>
    <d v="2018-12-13T00:00:00"/>
    <s v="Standard Class"/>
    <x v="460"/>
    <s v="Damala Kotsonis"/>
    <x v="1"/>
    <s v="United States"/>
    <s v="Detroit"/>
    <x v="12"/>
    <n v="48234"/>
    <x v="2"/>
    <x v="1003"/>
    <x v="0"/>
    <x v="1"/>
    <x v="995"/>
    <x v="1295"/>
    <x v="4"/>
    <x v="3"/>
  </r>
  <r>
    <n v="1470"/>
    <x v="698"/>
    <x v="34"/>
    <d v="2018-12-13T00:00:00"/>
    <s v="Standard Class"/>
    <x v="460"/>
    <s v="Damala Kotsonis"/>
    <x v="1"/>
    <s v="United States"/>
    <s v="Detroit"/>
    <x v="12"/>
    <n v="48234"/>
    <x v="2"/>
    <x v="350"/>
    <x v="1"/>
    <x v="8"/>
    <x v="350"/>
    <x v="1296"/>
    <x v="4"/>
    <x v="3"/>
  </r>
  <r>
    <n v="1471"/>
    <x v="698"/>
    <x v="34"/>
    <d v="2018-12-13T00:00:00"/>
    <s v="Standard Class"/>
    <x v="460"/>
    <s v="Damala Kotsonis"/>
    <x v="1"/>
    <s v="United States"/>
    <s v="Detroit"/>
    <x v="12"/>
    <n v="48234"/>
    <x v="2"/>
    <x v="1004"/>
    <x v="1"/>
    <x v="10"/>
    <x v="996"/>
    <x v="91"/>
    <x v="4"/>
    <x v="3"/>
  </r>
  <r>
    <n v="1472"/>
    <x v="699"/>
    <x v="496"/>
    <d v="2016-09-27T00:00:00"/>
    <s v="Second Class"/>
    <x v="21"/>
    <s v="Odella Nelson"/>
    <x v="1"/>
    <s v="United States"/>
    <s v="Philadelphia"/>
    <x v="9"/>
    <n v="19120"/>
    <x v="3"/>
    <x v="1005"/>
    <x v="1"/>
    <x v="6"/>
    <x v="997"/>
    <x v="1297"/>
    <x v="8"/>
    <x v="1"/>
  </r>
  <r>
    <n v="1473"/>
    <x v="700"/>
    <x v="497"/>
    <d v="2018-07-15T00:00:00"/>
    <s v="Standard Class"/>
    <x v="471"/>
    <s v="Katherine Nockton"/>
    <x v="1"/>
    <s v="United States"/>
    <s v="Los Angeles"/>
    <x v="1"/>
    <n v="90004"/>
    <x v="1"/>
    <x v="688"/>
    <x v="1"/>
    <x v="2"/>
    <x v="688"/>
    <x v="1298"/>
    <x v="7"/>
    <x v="3"/>
  </r>
  <r>
    <n v="1474"/>
    <x v="701"/>
    <x v="494"/>
    <d v="2016-12-02T00:00:00"/>
    <s v="Same Day"/>
    <x v="392"/>
    <s v="Neoma Murray"/>
    <x v="0"/>
    <s v="United States"/>
    <s v="Houston"/>
    <x v="5"/>
    <n v="77036"/>
    <x v="2"/>
    <x v="1006"/>
    <x v="0"/>
    <x v="5"/>
    <x v="998"/>
    <x v="1299"/>
    <x v="4"/>
    <x v="1"/>
  </r>
  <r>
    <n v="1475"/>
    <x v="702"/>
    <x v="258"/>
    <d v="2017-11-25T00:00:00"/>
    <s v="Standard Class"/>
    <x v="472"/>
    <s v="Nora Pelletier"/>
    <x v="2"/>
    <s v="United States"/>
    <s v="Niagara Falls"/>
    <x v="15"/>
    <n v="14304"/>
    <x v="3"/>
    <x v="1007"/>
    <x v="1"/>
    <x v="6"/>
    <x v="999"/>
    <x v="1300"/>
    <x v="0"/>
    <x v="0"/>
  </r>
  <r>
    <n v="1476"/>
    <x v="702"/>
    <x v="258"/>
    <d v="2017-11-25T00:00:00"/>
    <s v="Standard Class"/>
    <x v="472"/>
    <s v="Nora Pelletier"/>
    <x v="2"/>
    <s v="United States"/>
    <s v="Niagara Falls"/>
    <x v="15"/>
    <n v="14304"/>
    <x v="3"/>
    <x v="777"/>
    <x v="1"/>
    <x v="8"/>
    <x v="776"/>
    <x v="1161"/>
    <x v="0"/>
    <x v="0"/>
  </r>
  <r>
    <n v="1477"/>
    <x v="703"/>
    <x v="498"/>
    <d v="2018-03-24T00:00:00"/>
    <s v="Standard Class"/>
    <x v="344"/>
    <s v="Catherine Glotzbach"/>
    <x v="2"/>
    <s v="United States"/>
    <s v="New York City"/>
    <x v="15"/>
    <n v="10024"/>
    <x v="3"/>
    <x v="1008"/>
    <x v="1"/>
    <x v="2"/>
    <x v="1000"/>
    <x v="1301"/>
    <x v="10"/>
    <x v="3"/>
  </r>
  <r>
    <n v="1478"/>
    <x v="704"/>
    <x v="373"/>
    <d v="2017-11-17T00:00:00"/>
    <s v="Standard Class"/>
    <x v="473"/>
    <s v="Cindy Stewart"/>
    <x v="0"/>
    <s v="United States"/>
    <s v="Thomasville"/>
    <x v="3"/>
    <n v="27360"/>
    <x v="0"/>
    <x v="660"/>
    <x v="1"/>
    <x v="14"/>
    <x v="660"/>
    <x v="1302"/>
    <x v="0"/>
    <x v="0"/>
  </r>
  <r>
    <n v="1479"/>
    <x v="705"/>
    <x v="123"/>
    <d v="2018-11-20T00:00:00"/>
    <s v="First Class"/>
    <x v="44"/>
    <s v="Katherine Ducich"/>
    <x v="0"/>
    <s v="United States"/>
    <s v="Westminster"/>
    <x v="1"/>
    <n v="92683"/>
    <x v="1"/>
    <x v="433"/>
    <x v="2"/>
    <x v="7"/>
    <x v="433"/>
    <x v="1303"/>
    <x v="0"/>
    <x v="3"/>
  </r>
  <r>
    <n v="1480"/>
    <x v="706"/>
    <x v="499"/>
    <d v="2017-12-08T00:00:00"/>
    <s v="Standard Class"/>
    <x v="177"/>
    <s v="Mike Kennedy"/>
    <x v="0"/>
    <s v="United States"/>
    <s v="San Francisco"/>
    <x v="1"/>
    <n v="94122"/>
    <x v="1"/>
    <x v="1009"/>
    <x v="1"/>
    <x v="10"/>
    <x v="1001"/>
    <x v="233"/>
    <x v="4"/>
    <x v="0"/>
  </r>
  <r>
    <n v="1481"/>
    <x v="706"/>
    <x v="499"/>
    <d v="2017-12-08T00:00:00"/>
    <s v="Standard Class"/>
    <x v="177"/>
    <s v="Mike Kennedy"/>
    <x v="0"/>
    <s v="United States"/>
    <s v="San Francisco"/>
    <x v="1"/>
    <n v="94122"/>
    <x v="1"/>
    <x v="1010"/>
    <x v="1"/>
    <x v="10"/>
    <x v="1002"/>
    <x v="1304"/>
    <x v="4"/>
    <x v="0"/>
  </r>
  <r>
    <n v="1482"/>
    <x v="706"/>
    <x v="499"/>
    <d v="2017-12-08T00:00:00"/>
    <s v="Standard Class"/>
    <x v="177"/>
    <s v="Mike Kennedy"/>
    <x v="0"/>
    <s v="United States"/>
    <s v="San Francisco"/>
    <x v="1"/>
    <n v="94122"/>
    <x v="1"/>
    <x v="1011"/>
    <x v="1"/>
    <x v="4"/>
    <x v="1003"/>
    <x v="1305"/>
    <x v="4"/>
    <x v="0"/>
  </r>
  <r>
    <n v="1483"/>
    <x v="707"/>
    <x v="326"/>
    <d v="2018-08-28T00:00:00"/>
    <s v="Second Class"/>
    <x v="386"/>
    <s v="Don Weiss"/>
    <x v="0"/>
    <s v="United States"/>
    <s v="Jackson"/>
    <x v="18"/>
    <n v="38301"/>
    <x v="0"/>
    <x v="487"/>
    <x v="1"/>
    <x v="6"/>
    <x v="487"/>
    <x v="1261"/>
    <x v="6"/>
    <x v="3"/>
  </r>
  <r>
    <n v="1484"/>
    <x v="707"/>
    <x v="326"/>
    <d v="2018-08-28T00:00:00"/>
    <s v="Second Class"/>
    <x v="386"/>
    <s v="Don Weiss"/>
    <x v="0"/>
    <s v="United States"/>
    <s v="Jackson"/>
    <x v="18"/>
    <n v="38301"/>
    <x v="0"/>
    <x v="1012"/>
    <x v="1"/>
    <x v="10"/>
    <x v="1004"/>
    <x v="1306"/>
    <x v="6"/>
    <x v="3"/>
  </r>
  <r>
    <n v="1485"/>
    <x v="708"/>
    <x v="500"/>
    <d v="2017-10-18T00:00:00"/>
    <s v="Standard Class"/>
    <x v="291"/>
    <s v="Christine Phan"/>
    <x v="1"/>
    <s v="United States"/>
    <s v="Seattle"/>
    <x v="4"/>
    <n v="98115"/>
    <x v="1"/>
    <x v="1013"/>
    <x v="2"/>
    <x v="11"/>
    <x v="1005"/>
    <x v="1307"/>
    <x v="2"/>
    <x v="0"/>
  </r>
  <r>
    <n v="1486"/>
    <x v="709"/>
    <x v="501"/>
    <d v="2015-12-03T00:00:00"/>
    <s v="Standard Class"/>
    <x v="474"/>
    <s v="Maxwell Schwartz"/>
    <x v="0"/>
    <s v="United States"/>
    <s v="New York City"/>
    <x v="15"/>
    <n v="10035"/>
    <x v="3"/>
    <x v="1014"/>
    <x v="1"/>
    <x v="13"/>
    <x v="128"/>
    <x v="1053"/>
    <x v="0"/>
    <x v="2"/>
  </r>
  <r>
    <n v="1487"/>
    <x v="710"/>
    <x v="502"/>
    <d v="2016-11-07T00:00:00"/>
    <s v="Standard Class"/>
    <x v="475"/>
    <s v="Corinna Mitchell"/>
    <x v="2"/>
    <s v="United States"/>
    <s v="Los Angeles"/>
    <x v="1"/>
    <n v="90008"/>
    <x v="1"/>
    <x v="1015"/>
    <x v="2"/>
    <x v="7"/>
    <x v="1006"/>
    <x v="1308"/>
    <x v="0"/>
    <x v="1"/>
  </r>
  <r>
    <n v="1488"/>
    <x v="710"/>
    <x v="502"/>
    <d v="2016-11-07T00:00:00"/>
    <s v="Standard Class"/>
    <x v="475"/>
    <s v="Corinna Mitchell"/>
    <x v="2"/>
    <s v="United States"/>
    <s v="Los Angeles"/>
    <x v="1"/>
    <n v="90008"/>
    <x v="1"/>
    <x v="1016"/>
    <x v="2"/>
    <x v="11"/>
    <x v="1007"/>
    <x v="1309"/>
    <x v="0"/>
    <x v="1"/>
  </r>
  <r>
    <n v="1489"/>
    <x v="710"/>
    <x v="502"/>
    <d v="2016-11-07T00:00:00"/>
    <s v="Standard Class"/>
    <x v="475"/>
    <s v="Corinna Mitchell"/>
    <x v="2"/>
    <s v="United States"/>
    <s v="Los Angeles"/>
    <x v="1"/>
    <n v="90008"/>
    <x v="1"/>
    <x v="378"/>
    <x v="0"/>
    <x v="5"/>
    <x v="379"/>
    <x v="528"/>
    <x v="0"/>
    <x v="1"/>
  </r>
  <r>
    <n v="1490"/>
    <x v="711"/>
    <x v="503"/>
    <d v="2015-12-06T00:00:00"/>
    <s v="Standard Class"/>
    <x v="476"/>
    <s v="Corey-Lock"/>
    <x v="0"/>
    <s v="United States"/>
    <s v="Philadelphia"/>
    <x v="9"/>
    <n v="19143"/>
    <x v="3"/>
    <x v="816"/>
    <x v="1"/>
    <x v="2"/>
    <x v="812"/>
    <x v="1310"/>
    <x v="0"/>
    <x v="2"/>
  </r>
  <r>
    <n v="1491"/>
    <x v="712"/>
    <x v="504"/>
    <d v="2018-05-05T00:00:00"/>
    <s v="Second Class"/>
    <x v="393"/>
    <s v="Dionis Lloyd"/>
    <x v="1"/>
    <s v="United States"/>
    <s v="New York City"/>
    <x v="15"/>
    <n v="10024"/>
    <x v="3"/>
    <x v="36"/>
    <x v="1"/>
    <x v="12"/>
    <x v="36"/>
    <x v="1311"/>
    <x v="3"/>
    <x v="3"/>
  </r>
  <r>
    <n v="1492"/>
    <x v="713"/>
    <x v="221"/>
    <d v="2018-11-28T00:00:00"/>
    <s v="Standard Class"/>
    <x v="477"/>
    <s v="Todd Sumrall"/>
    <x v="1"/>
    <s v="United States"/>
    <s v="New York City"/>
    <x v="15"/>
    <n v="10035"/>
    <x v="3"/>
    <x v="1017"/>
    <x v="1"/>
    <x v="10"/>
    <x v="1008"/>
    <x v="486"/>
    <x v="0"/>
    <x v="3"/>
  </r>
  <r>
    <n v="1493"/>
    <x v="713"/>
    <x v="221"/>
    <d v="2018-11-28T00:00:00"/>
    <s v="Standard Class"/>
    <x v="477"/>
    <s v="Todd Sumrall"/>
    <x v="1"/>
    <s v="United States"/>
    <s v="New York City"/>
    <x v="15"/>
    <n v="10035"/>
    <x v="3"/>
    <x v="323"/>
    <x v="0"/>
    <x v="1"/>
    <x v="323"/>
    <x v="1312"/>
    <x v="0"/>
    <x v="3"/>
  </r>
  <r>
    <n v="1494"/>
    <x v="714"/>
    <x v="505"/>
    <d v="2018-11-03T00:00:00"/>
    <s v="Standard Class"/>
    <x v="478"/>
    <s v="Jane Waco"/>
    <x v="1"/>
    <s v="United States"/>
    <s v="Vancouver"/>
    <x v="4"/>
    <n v="98661"/>
    <x v="1"/>
    <x v="763"/>
    <x v="0"/>
    <x v="5"/>
    <x v="762"/>
    <x v="1313"/>
    <x v="2"/>
    <x v="3"/>
  </r>
  <r>
    <n v="1495"/>
    <x v="715"/>
    <x v="506"/>
    <d v="2015-12-19T00:00:00"/>
    <s v="Second Class"/>
    <x v="167"/>
    <s v="Roy Französisch"/>
    <x v="0"/>
    <s v="United States"/>
    <s v="Columbus"/>
    <x v="32"/>
    <n v="31907"/>
    <x v="0"/>
    <x v="818"/>
    <x v="1"/>
    <x v="6"/>
    <x v="814"/>
    <x v="1314"/>
    <x v="4"/>
    <x v="2"/>
  </r>
  <r>
    <n v="1496"/>
    <x v="716"/>
    <x v="507"/>
    <d v="2018-09-08T00:00:00"/>
    <s v="Standard Class"/>
    <x v="479"/>
    <s v="John Dryer"/>
    <x v="0"/>
    <s v="United States"/>
    <s v="Coppell"/>
    <x v="5"/>
    <n v="75019"/>
    <x v="2"/>
    <x v="853"/>
    <x v="1"/>
    <x v="6"/>
    <x v="846"/>
    <x v="1315"/>
    <x v="8"/>
    <x v="3"/>
  </r>
  <r>
    <n v="1497"/>
    <x v="716"/>
    <x v="507"/>
    <d v="2018-09-08T00:00:00"/>
    <s v="Standard Class"/>
    <x v="479"/>
    <s v="John Dryer"/>
    <x v="0"/>
    <s v="United States"/>
    <s v="Coppell"/>
    <x v="5"/>
    <n v="75019"/>
    <x v="2"/>
    <x v="1018"/>
    <x v="1"/>
    <x v="4"/>
    <x v="1009"/>
    <x v="1316"/>
    <x v="8"/>
    <x v="3"/>
  </r>
  <r>
    <n v="1498"/>
    <x v="716"/>
    <x v="507"/>
    <d v="2018-09-08T00:00:00"/>
    <s v="Standard Class"/>
    <x v="479"/>
    <s v="John Dryer"/>
    <x v="0"/>
    <s v="United States"/>
    <s v="Coppell"/>
    <x v="5"/>
    <n v="75019"/>
    <x v="2"/>
    <x v="169"/>
    <x v="1"/>
    <x v="6"/>
    <x v="170"/>
    <x v="1317"/>
    <x v="8"/>
    <x v="3"/>
  </r>
  <r>
    <n v="1499"/>
    <x v="717"/>
    <x v="508"/>
    <d v="2017-10-20T00:00:00"/>
    <s v="First Class"/>
    <x v="71"/>
    <s v="Neil Knudson"/>
    <x v="2"/>
    <s v="United States"/>
    <s v="San Francisco"/>
    <x v="1"/>
    <n v="94122"/>
    <x v="1"/>
    <x v="109"/>
    <x v="1"/>
    <x v="8"/>
    <x v="109"/>
    <x v="1318"/>
    <x v="2"/>
    <x v="0"/>
  </r>
  <r>
    <n v="1500"/>
    <x v="718"/>
    <x v="105"/>
    <d v="2018-11-18T00:00:00"/>
    <s v="Standard Class"/>
    <x v="159"/>
    <s v="Nathan Gelder"/>
    <x v="0"/>
    <s v="United States"/>
    <s v="Austin"/>
    <x v="5"/>
    <n v="78745"/>
    <x v="2"/>
    <x v="186"/>
    <x v="1"/>
    <x v="10"/>
    <x v="187"/>
    <x v="195"/>
    <x v="0"/>
    <x v="3"/>
  </r>
  <r>
    <n v="1501"/>
    <x v="718"/>
    <x v="105"/>
    <d v="2018-11-18T00:00:00"/>
    <s v="Standard Class"/>
    <x v="159"/>
    <s v="Nathan Gelder"/>
    <x v="0"/>
    <s v="United States"/>
    <s v="Austin"/>
    <x v="5"/>
    <n v="78745"/>
    <x v="2"/>
    <x v="1019"/>
    <x v="1"/>
    <x v="10"/>
    <x v="1010"/>
    <x v="1319"/>
    <x v="0"/>
    <x v="3"/>
  </r>
  <r>
    <n v="1502"/>
    <x v="718"/>
    <x v="105"/>
    <d v="2018-11-18T00:00:00"/>
    <s v="Standard Class"/>
    <x v="159"/>
    <s v="Nathan Gelder"/>
    <x v="0"/>
    <s v="United States"/>
    <s v="Austin"/>
    <x v="5"/>
    <n v="78745"/>
    <x v="2"/>
    <x v="906"/>
    <x v="1"/>
    <x v="4"/>
    <x v="898"/>
    <x v="1117"/>
    <x v="0"/>
    <x v="3"/>
  </r>
  <r>
    <n v="1503"/>
    <x v="719"/>
    <x v="390"/>
    <d v="2017-12-01T00:00:00"/>
    <s v="Standard Class"/>
    <x v="401"/>
    <s v="Alyssa Tate"/>
    <x v="2"/>
    <s v="United States"/>
    <s v="Los Angeles"/>
    <x v="1"/>
    <n v="90045"/>
    <x v="1"/>
    <x v="1020"/>
    <x v="2"/>
    <x v="7"/>
    <x v="1011"/>
    <x v="1320"/>
    <x v="0"/>
    <x v="0"/>
  </r>
  <r>
    <n v="1504"/>
    <x v="719"/>
    <x v="390"/>
    <d v="2017-12-01T00:00:00"/>
    <s v="Standard Class"/>
    <x v="401"/>
    <s v="Alyssa Tate"/>
    <x v="2"/>
    <s v="United States"/>
    <s v="Los Angeles"/>
    <x v="1"/>
    <n v="90045"/>
    <x v="1"/>
    <x v="527"/>
    <x v="0"/>
    <x v="5"/>
    <x v="527"/>
    <x v="583"/>
    <x v="0"/>
    <x v="0"/>
  </r>
  <r>
    <n v="1505"/>
    <x v="720"/>
    <x v="509"/>
    <d v="2016-08-07T00:00:00"/>
    <s v="Standard Class"/>
    <x v="480"/>
    <s v="Pauline Chand"/>
    <x v="2"/>
    <s v="United States"/>
    <s v="Los Angeles"/>
    <x v="1"/>
    <n v="90004"/>
    <x v="1"/>
    <x v="59"/>
    <x v="1"/>
    <x v="6"/>
    <x v="59"/>
    <x v="944"/>
    <x v="6"/>
    <x v="1"/>
  </r>
  <r>
    <n v="1506"/>
    <x v="720"/>
    <x v="509"/>
    <d v="2016-08-07T00:00:00"/>
    <s v="Standard Class"/>
    <x v="480"/>
    <s v="Pauline Chand"/>
    <x v="2"/>
    <s v="United States"/>
    <s v="Los Angeles"/>
    <x v="1"/>
    <n v="90004"/>
    <x v="1"/>
    <x v="1021"/>
    <x v="0"/>
    <x v="3"/>
    <x v="1012"/>
    <x v="1321"/>
    <x v="6"/>
    <x v="1"/>
  </r>
  <r>
    <n v="1507"/>
    <x v="721"/>
    <x v="165"/>
    <d v="2018-12-29T00:00:00"/>
    <s v="Standard Class"/>
    <x v="481"/>
    <s v="Andy Reiter"/>
    <x v="0"/>
    <s v="United States"/>
    <s v="New York City"/>
    <x v="15"/>
    <n v="10024"/>
    <x v="3"/>
    <x v="985"/>
    <x v="1"/>
    <x v="8"/>
    <x v="978"/>
    <x v="598"/>
    <x v="4"/>
    <x v="3"/>
  </r>
  <r>
    <n v="1508"/>
    <x v="722"/>
    <x v="42"/>
    <d v="2017-09-23T00:00:00"/>
    <s v="Standard Class"/>
    <x v="473"/>
    <s v="Cindy Stewart"/>
    <x v="0"/>
    <s v="United States"/>
    <s v="Columbus"/>
    <x v="32"/>
    <n v="31907"/>
    <x v="0"/>
    <x v="1022"/>
    <x v="2"/>
    <x v="15"/>
    <x v="1013"/>
    <x v="1322"/>
    <x v="8"/>
    <x v="0"/>
  </r>
  <r>
    <n v="1509"/>
    <x v="723"/>
    <x v="389"/>
    <d v="2018-12-10T00:00:00"/>
    <s v="Same Day"/>
    <x v="60"/>
    <s v="Lindsay Shagiari"/>
    <x v="2"/>
    <s v="United States"/>
    <s v="Omaha"/>
    <x v="8"/>
    <n v="68104"/>
    <x v="2"/>
    <x v="1023"/>
    <x v="1"/>
    <x v="8"/>
    <x v="1014"/>
    <x v="1323"/>
    <x v="4"/>
    <x v="3"/>
  </r>
  <r>
    <n v="1510"/>
    <x v="724"/>
    <x v="510"/>
    <d v="2018-09-15T00:00:00"/>
    <s v="First Class"/>
    <x v="341"/>
    <s v="Jessica Myrick"/>
    <x v="0"/>
    <s v="United States"/>
    <s v="Los Angeles"/>
    <x v="1"/>
    <n v="90036"/>
    <x v="1"/>
    <x v="1006"/>
    <x v="0"/>
    <x v="5"/>
    <x v="998"/>
    <x v="1324"/>
    <x v="8"/>
    <x v="3"/>
  </r>
  <r>
    <n v="1511"/>
    <x v="725"/>
    <x v="92"/>
    <d v="2018-07-01T00:00:00"/>
    <s v="Standard Class"/>
    <x v="468"/>
    <s v="Nicole Hansen"/>
    <x v="1"/>
    <s v="United States"/>
    <s v="Pomona"/>
    <x v="1"/>
    <n v="91767"/>
    <x v="1"/>
    <x v="281"/>
    <x v="1"/>
    <x v="6"/>
    <x v="281"/>
    <x v="1325"/>
    <x v="1"/>
    <x v="3"/>
  </r>
  <r>
    <n v="1512"/>
    <x v="725"/>
    <x v="92"/>
    <d v="2018-07-01T00:00:00"/>
    <s v="Standard Class"/>
    <x v="468"/>
    <s v="Nicole Hansen"/>
    <x v="1"/>
    <s v="United States"/>
    <s v="Pomona"/>
    <x v="1"/>
    <n v="91767"/>
    <x v="1"/>
    <x v="181"/>
    <x v="1"/>
    <x v="6"/>
    <x v="182"/>
    <x v="1326"/>
    <x v="1"/>
    <x v="3"/>
  </r>
  <r>
    <n v="1513"/>
    <x v="726"/>
    <x v="238"/>
    <d v="2018-08-22T00:00:00"/>
    <s v="Standard Class"/>
    <x v="154"/>
    <s v="Russell Applegate"/>
    <x v="0"/>
    <s v="United States"/>
    <s v="Dallas"/>
    <x v="5"/>
    <n v="75220"/>
    <x v="2"/>
    <x v="225"/>
    <x v="1"/>
    <x v="4"/>
    <x v="226"/>
    <x v="1327"/>
    <x v="6"/>
    <x v="3"/>
  </r>
  <r>
    <n v="1514"/>
    <x v="726"/>
    <x v="238"/>
    <d v="2018-08-22T00:00:00"/>
    <s v="Standard Class"/>
    <x v="154"/>
    <s v="Russell Applegate"/>
    <x v="0"/>
    <s v="United States"/>
    <s v="Dallas"/>
    <x v="5"/>
    <n v="75220"/>
    <x v="2"/>
    <x v="410"/>
    <x v="1"/>
    <x v="8"/>
    <x v="410"/>
    <x v="1328"/>
    <x v="6"/>
    <x v="3"/>
  </r>
  <r>
    <n v="1515"/>
    <x v="726"/>
    <x v="238"/>
    <d v="2018-08-22T00:00:00"/>
    <s v="Standard Class"/>
    <x v="154"/>
    <s v="Russell Applegate"/>
    <x v="0"/>
    <s v="United States"/>
    <s v="Dallas"/>
    <x v="5"/>
    <n v="75220"/>
    <x v="2"/>
    <x v="674"/>
    <x v="1"/>
    <x v="8"/>
    <x v="674"/>
    <x v="1329"/>
    <x v="6"/>
    <x v="3"/>
  </r>
  <r>
    <n v="1516"/>
    <x v="727"/>
    <x v="157"/>
    <d v="2018-12-17T00:00:00"/>
    <s v="Standard Class"/>
    <x v="482"/>
    <s v="Arianne Irving"/>
    <x v="0"/>
    <s v="United States"/>
    <s v="Philadelphia"/>
    <x v="9"/>
    <n v="19120"/>
    <x v="3"/>
    <x v="955"/>
    <x v="0"/>
    <x v="1"/>
    <x v="948"/>
    <x v="1330"/>
    <x v="4"/>
    <x v="3"/>
  </r>
  <r>
    <n v="1517"/>
    <x v="728"/>
    <x v="389"/>
    <d v="2018-12-14T00:00:00"/>
    <s v="Second Class"/>
    <x v="266"/>
    <s v="Michael Chen"/>
    <x v="0"/>
    <s v="United States"/>
    <s v="North Las Vegas"/>
    <x v="33"/>
    <n v="89031"/>
    <x v="1"/>
    <x v="489"/>
    <x v="0"/>
    <x v="3"/>
    <x v="489"/>
    <x v="1331"/>
    <x v="4"/>
    <x v="3"/>
  </r>
  <r>
    <n v="1518"/>
    <x v="729"/>
    <x v="511"/>
    <d v="2015-02-06T00:00:00"/>
    <s v="Second Class"/>
    <x v="483"/>
    <s v="Tom Boeckenhauer"/>
    <x v="0"/>
    <s v="United States"/>
    <s v="Seattle"/>
    <x v="4"/>
    <n v="98105"/>
    <x v="1"/>
    <x v="270"/>
    <x v="1"/>
    <x v="8"/>
    <x v="270"/>
    <x v="1332"/>
    <x v="11"/>
    <x v="2"/>
  </r>
  <r>
    <n v="1519"/>
    <x v="729"/>
    <x v="511"/>
    <d v="2015-02-06T00:00:00"/>
    <s v="Second Class"/>
    <x v="483"/>
    <s v="Tom Boeckenhauer"/>
    <x v="0"/>
    <s v="United States"/>
    <s v="Seattle"/>
    <x v="4"/>
    <n v="98105"/>
    <x v="1"/>
    <x v="555"/>
    <x v="1"/>
    <x v="8"/>
    <x v="554"/>
    <x v="1333"/>
    <x v="11"/>
    <x v="2"/>
  </r>
  <r>
    <n v="1520"/>
    <x v="730"/>
    <x v="512"/>
    <d v="2018-02-14T00:00:00"/>
    <s v="Second Class"/>
    <x v="100"/>
    <s v="Victoria Wilson"/>
    <x v="1"/>
    <s v="United States"/>
    <s v="San Francisco"/>
    <x v="1"/>
    <n v="94110"/>
    <x v="1"/>
    <x v="733"/>
    <x v="1"/>
    <x v="8"/>
    <x v="732"/>
    <x v="1334"/>
    <x v="11"/>
    <x v="3"/>
  </r>
  <r>
    <n v="1521"/>
    <x v="731"/>
    <x v="513"/>
    <d v="2018-04-21T00:00:00"/>
    <s v="Standard Class"/>
    <x v="484"/>
    <s v="Paul Lucas"/>
    <x v="2"/>
    <s v="United States"/>
    <s v="Chicago"/>
    <x v="10"/>
    <n v="60610"/>
    <x v="2"/>
    <x v="1024"/>
    <x v="1"/>
    <x v="6"/>
    <x v="1015"/>
    <x v="1045"/>
    <x v="3"/>
    <x v="3"/>
  </r>
  <r>
    <n v="1522"/>
    <x v="732"/>
    <x v="401"/>
    <d v="2016-12-11T00:00:00"/>
    <s v="Standard Class"/>
    <x v="485"/>
    <s v="Gary Hwang"/>
    <x v="0"/>
    <s v="United States"/>
    <s v="Tucson"/>
    <x v="16"/>
    <n v="85705"/>
    <x v="1"/>
    <x v="592"/>
    <x v="0"/>
    <x v="5"/>
    <x v="592"/>
    <x v="1335"/>
    <x v="4"/>
    <x v="1"/>
  </r>
  <r>
    <n v="1523"/>
    <x v="732"/>
    <x v="401"/>
    <d v="2016-12-11T00:00:00"/>
    <s v="Standard Class"/>
    <x v="485"/>
    <s v="Gary Hwang"/>
    <x v="0"/>
    <s v="United States"/>
    <s v="Tucson"/>
    <x v="16"/>
    <n v="85705"/>
    <x v="1"/>
    <x v="1025"/>
    <x v="1"/>
    <x v="10"/>
    <x v="1016"/>
    <x v="544"/>
    <x v="4"/>
    <x v="1"/>
  </r>
  <r>
    <n v="1524"/>
    <x v="732"/>
    <x v="401"/>
    <d v="2016-12-11T00:00:00"/>
    <s v="Standard Class"/>
    <x v="485"/>
    <s v="Gary Hwang"/>
    <x v="0"/>
    <s v="United States"/>
    <s v="Tucson"/>
    <x v="16"/>
    <n v="85705"/>
    <x v="1"/>
    <x v="334"/>
    <x v="1"/>
    <x v="10"/>
    <x v="334"/>
    <x v="654"/>
    <x v="4"/>
    <x v="1"/>
  </r>
  <r>
    <n v="1525"/>
    <x v="732"/>
    <x v="401"/>
    <d v="2016-12-11T00:00:00"/>
    <s v="Standard Class"/>
    <x v="485"/>
    <s v="Gary Hwang"/>
    <x v="0"/>
    <s v="United States"/>
    <s v="Tucson"/>
    <x v="16"/>
    <n v="85705"/>
    <x v="1"/>
    <x v="232"/>
    <x v="1"/>
    <x v="4"/>
    <x v="233"/>
    <x v="1336"/>
    <x v="4"/>
    <x v="1"/>
  </r>
  <r>
    <n v="1526"/>
    <x v="732"/>
    <x v="401"/>
    <d v="2016-12-11T00:00:00"/>
    <s v="Standard Class"/>
    <x v="485"/>
    <s v="Gary Hwang"/>
    <x v="0"/>
    <s v="United States"/>
    <s v="Tucson"/>
    <x v="16"/>
    <n v="85705"/>
    <x v="1"/>
    <x v="30"/>
    <x v="1"/>
    <x v="6"/>
    <x v="30"/>
    <x v="31"/>
    <x v="4"/>
    <x v="1"/>
  </r>
  <r>
    <n v="1527"/>
    <x v="733"/>
    <x v="405"/>
    <d v="2017-07-27T00:00:00"/>
    <s v="Standard Class"/>
    <x v="170"/>
    <s v="Caroline Jumper"/>
    <x v="0"/>
    <s v="United States"/>
    <s v="Allentown"/>
    <x v="9"/>
    <n v="18103"/>
    <x v="3"/>
    <x v="1026"/>
    <x v="1"/>
    <x v="6"/>
    <x v="1017"/>
    <x v="1337"/>
    <x v="7"/>
    <x v="0"/>
  </r>
  <r>
    <n v="1528"/>
    <x v="733"/>
    <x v="405"/>
    <d v="2017-07-27T00:00:00"/>
    <s v="Standard Class"/>
    <x v="170"/>
    <s v="Caroline Jumper"/>
    <x v="0"/>
    <s v="United States"/>
    <s v="Allentown"/>
    <x v="9"/>
    <n v="18103"/>
    <x v="3"/>
    <x v="1027"/>
    <x v="0"/>
    <x v="5"/>
    <x v="1018"/>
    <x v="25"/>
    <x v="7"/>
    <x v="0"/>
  </r>
  <r>
    <n v="1529"/>
    <x v="734"/>
    <x v="209"/>
    <d v="2016-11-10T00:00:00"/>
    <s v="Second Class"/>
    <x v="305"/>
    <s v="Mike Caudle"/>
    <x v="1"/>
    <s v="United States"/>
    <s v="Newark"/>
    <x v="13"/>
    <n v="19711"/>
    <x v="3"/>
    <x v="1028"/>
    <x v="1"/>
    <x v="13"/>
    <x v="1019"/>
    <x v="1338"/>
    <x v="0"/>
    <x v="1"/>
  </r>
  <r>
    <n v="1530"/>
    <x v="734"/>
    <x v="209"/>
    <d v="2016-11-10T00:00:00"/>
    <s v="Second Class"/>
    <x v="305"/>
    <s v="Mike Caudle"/>
    <x v="1"/>
    <s v="United States"/>
    <s v="Newark"/>
    <x v="13"/>
    <n v="19711"/>
    <x v="3"/>
    <x v="1029"/>
    <x v="1"/>
    <x v="10"/>
    <x v="1020"/>
    <x v="545"/>
    <x v="0"/>
    <x v="1"/>
  </r>
  <r>
    <n v="1531"/>
    <x v="735"/>
    <x v="514"/>
    <d v="2016-03-31T00:00:00"/>
    <s v="Standard Class"/>
    <x v="296"/>
    <s v="Benjamin Venier"/>
    <x v="1"/>
    <s v="United States"/>
    <s v="Miami"/>
    <x v="2"/>
    <n v="33142"/>
    <x v="0"/>
    <x v="1030"/>
    <x v="1"/>
    <x v="10"/>
    <x v="1021"/>
    <x v="1339"/>
    <x v="10"/>
    <x v="1"/>
  </r>
  <r>
    <n v="1532"/>
    <x v="736"/>
    <x v="515"/>
    <d v="2018-09-05T00:00:00"/>
    <s v="Standard Class"/>
    <x v="223"/>
    <s v="Jeremy Farry"/>
    <x v="0"/>
    <s v="United States"/>
    <s v="Tempe"/>
    <x v="16"/>
    <n v="85281"/>
    <x v="1"/>
    <x v="1031"/>
    <x v="1"/>
    <x v="4"/>
    <x v="1022"/>
    <x v="1340"/>
    <x v="6"/>
    <x v="3"/>
  </r>
  <r>
    <n v="1533"/>
    <x v="736"/>
    <x v="515"/>
    <d v="2018-09-05T00:00:00"/>
    <s v="Standard Class"/>
    <x v="223"/>
    <s v="Jeremy Farry"/>
    <x v="0"/>
    <s v="United States"/>
    <s v="Tempe"/>
    <x v="16"/>
    <n v="85281"/>
    <x v="1"/>
    <x v="203"/>
    <x v="1"/>
    <x v="13"/>
    <x v="204"/>
    <x v="1341"/>
    <x v="6"/>
    <x v="3"/>
  </r>
  <r>
    <n v="1534"/>
    <x v="737"/>
    <x v="429"/>
    <d v="2017-12-08T00:00:00"/>
    <s v="Standard Class"/>
    <x v="225"/>
    <s v="Ellis Ballard"/>
    <x v="1"/>
    <s v="United States"/>
    <s v="New York City"/>
    <x v="15"/>
    <n v="10035"/>
    <x v="3"/>
    <x v="1032"/>
    <x v="1"/>
    <x v="4"/>
    <x v="1023"/>
    <x v="1342"/>
    <x v="4"/>
    <x v="0"/>
  </r>
  <r>
    <n v="1535"/>
    <x v="738"/>
    <x v="516"/>
    <d v="2018-02-14T00:00:00"/>
    <s v="Standard Class"/>
    <x v="486"/>
    <s v="Mike Pelletier"/>
    <x v="2"/>
    <s v="United States"/>
    <s v="Laguna Niguel"/>
    <x v="1"/>
    <n v="92677"/>
    <x v="1"/>
    <x v="574"/>
    <x v="0"/>
    <x v="0"/>
    <x v="574"/>
    <x v="1343"/>
    <x v="11"/>
    <x v="3"/>
  </r>
  <r>
    <n v="1536"/>
    <x v="739"/>
    <x v="517"/>
    <d v="2017-11-02T00:00:00"/>
    <s v="Standard Class"/>
    <x v="487"/>
    <s v="Jim Mitchum"/>
    <x v="1"/>
    <s v="United States"/>
    <s v="Bridgeton"/>
    <x v="30"/>
    <n v="8302"/>
    <x v="3"/>
    <x v="1033"/>
    <x v="1"/>
    <x v="4"/>
    <x v="1024"/>
    <x v="1344"/>
    <x v="2"/>
    <x v="0"/>
  </r>
  <r>
    <n v="1537"/>
    <x v="739"/>
    <x v="517"/>
    <d v="2017-11-02T00:00:00"/>
    <s v="Standard Class"/>
    <x v="487"/>
    <s v="Jim Mitchum"/>
    <x v="1"/>
    <s v="United States"/>
    <s v="Bridgeton"/>
    <x v="30"/>
    <n v="8302"/>
    <x v="3"/>
    <x v="1034"/>
    <x v="1"/>
    <x v="9"/>
    <x v="1025"/>
    <x v="1345"/>
    <x v="2"/>
    <x v="0"/>
  </r>
  <r>
    <n v="1538"/>
    <x v="740"/>
    <x v="175"/>
    <d v="2018-09-17T00:00:00"/>
    <s v="Second Class"/>
    <x v="488"/>
    <s v="Carl Ludwig"/>
    <x v="0"/>
    <s v="United States"/>
    <s v="Everett"/>
    <x v="31"/>
    <n v="2149"/>
    <x v="3"/>
    <x v="884"/>
    <x v="2"/>
    <x v="7"/>
    <x v="878"/>
    <x v="1346"/>
    <x v="8"/>
    <x v="3"/>
  </r>
  <r>
    <n v="1539"/>
    <x v="740"/>
    <x v="175"/>
    <d v="2018-09-17T00:00:00"/>
    <s v="Second Class"/>
    <x v="488"/>
    <s v="Carl Ludwig"/>
    <x v="0"/>
    <s v="United States"/>
    <s v="Everett"/>
    <x v="31"/>
    <n v="2149"/>
    <x v="3"/>
    <x v="359"/>
    <x v="1"/>
    <x v="6"/>
    <x v="359"/>
    <x v="1347"/>
    <x v="8"/>
    <x v="3"/>
  </r>
  <r>
    <n v="1540"/>
    <x v="740"/>
    <x v="175"/>
    <d v="2018-09-17T00:00:00"/>
    <s v="Second Class"/>
    <x v="488"/>
    <s v="Carl Ludwig"/>
    <x v="0"/>
    <s v="United States"/>
    <s v="Everett"/>
    <x v="31"/>
    <n v="2149"/>
    <x v="3"/>
    <x v="37"/>
    <x v="0"/>
    <x v="0"/>
    <x v="37"/>
    <x v="1348"/>
    <x v="8"/>
    <x v="3"/>
  </r>
  <r>
    <n v="1541"/>
    <x v="740"/>
    <x v="175"/>
    <d v="2018-09-17T00:00:00"/>
    <s v="Second Class"/>
    <x v="488"/>
    <s v="Carl Ludwig"/>
    <x v="0"/>
    <s v="United States"/>
    <s v="Everett"/>
    <x v="31"/>
    <n v="2149"/>
    <x v="3"/>
    <x v="1002"/>
    <x v="1"/>
    <x v="8"/>
    <x v="994"/>
    <x v="1349"/>
    <x v="8"/>
    <x v="3"/>
  </r>
  <r>
    <n v="1542"/>
    <x v="741"/>
    <x v="518"/>
    <d v="2015-03-16T00:00:00"/>
    <s v="Second Class"/>
    <x v="237"/>
    <s v="Chloris Kastensmidt"/>
    <x v="0"/>
    <s v="United States"/>
    <s v="Columbus"/>
    <x v="24"/>
    <n v="43229"/>
    <x v="3"/>
    <x v="1035"/>
    <x v="0"/>
    <x v="5"/>
    <x v="325"/>
    <x v="1350"/>
    <x v="10"/>
    <x v="2"/>
  </r>
  <r>
    <n v="1543"/>
    <x v="741"/>
    <x v="518"/>
    <d v="2015-03-16T00:00:00"/>
    <s v="Second Class"/>
    <x v="237"/>
    <s v="Chloris Kastensmidt"/>
    <x v="0"/>
    <s v="United States"/>
    <s v="Columbus"/>
    <x v="24"/>
    <n v="43229"/>
    <x v="3"/>
    <x v="845"/>
    <x v="1"/>
    <x v="13"/>
    <x v="839"/>
    <x v="1351"/>
    <x v="10"/>
    <x v="2"/>
  </r>
  <r>
    <n v="1544"/>
    <x v="742"/>
    <x v="519"/>
    <d v="2015-02-08T00:00:00"/>
    <s v="Standard Class"/>
    <x v="489"/>
    <s v="Deborah Brumfield"/>
    <x v="2"/>
    <s v="United States"/>
    <s v="San Diego"/>
    <x v="1"/>
    <n v="92024"/>
    <x v="1"/>
    <x v="655"/>
    <x v="1"/>
    <x v="8"/>
    <x v="655"/>
    <x v="1352"/>
    <x v="11"/>
    <x v="2"/>
  </r>
  <r>
    <n v="1545"/>
    <x v="742"/>
    <x v="519"/>
    <d v="2015-02-08T00:00:00"/>
    <s v="Standard Class"/>
    <x v="489"/>
    <s v="Deborah Brumfield"/>
    <x v="2"/>
    <s v="United States"/>
    <s v="San Diego"/>
    <x v="1"/>
    <n v="92024"/>
    <x v="1"/>
    <x v="732"/>
    <x v="1"/>
    <x v="10"/>
    <x v="731"/>
    <x v="1353"/>
    <x v="11"/>
    <x v="2"/>
  </r>
  <r>
    <n v="1546"/>
    <x v="743"/>
    <x v="520"/>
    <d v="2016-01-04T00:00:00"/>
    <s v="Second Class"/>
    <x v="331"/>
    <s v="Pamela Coakley"/>
    <x v="1"/>
    <s v="United States"/>
    <s v="Watertown"/>
    <x v="15"/>
    <n v="13601"/>
    <x v="3"/>
    <x v="178"/>
    <x v="0"/>
    <x v="0"/>
    <x v="179"/>
    <x v="1354"/>
    <x v="4"/>
    <x v="2"/>
  </r>
  <r>
    <n v="1547"/>
    <x v="744"/>
    <x v="521"/>
    <d v="2016-11-27T00:00:00"/>
    <s v="Standard Class"/>
    <x v="146"/>
    <s v="Victoria Brennan"/>
    <x v="1"/>
    <s v="United States"/>
    <s v="San Antonio"/>
    <x v="5"/>
    <n v="78207"/>
    <x v="2"/>
    <x v="921"/>
    <x v="1"/>
    <x v="10"/>
    <x v="913"/>
    <x v="757"/>
    <x v="0"/>
    <x v="1"/>
  </r>
  <r>
    <n v="1548"/>
    <x v="744"/>
    <x v="521"/>
    <d v="2016-11-27T00:00:00"/>
    <s v="Standard Class"/>
    <x v="146"/>
    <s v="Victoria Brennan"/>
    <x v="1"/>
    <s v="United States"/>
    <s v="San Antonio"/>
    <x v="5"/>
    <n v="78207"/>
    <x v="2"/>
    <x v="979"/>
    <x v="1"/>
    <x v="8"/>
    <x v="972"/>
    <x v="1355"/>
    <x v="0"/>
    <x v="1"/>
  </r>
  <r>
    <n v="1549"/>
    <x v="744"/>
    <x v="521"/>
    <d v="2016-11-27T00:00:00"/>
    <s v="Standard Class"/>
    <x v="146"/>
    <s v="Victoria Brennan"/>
    <x v="1"/>
    <s v="United States"/>
    <s v="San Antonio"/>
    <x v="5"/>
    <n v="78207"/>
    <x v="2"/>
    <x v="1036"/>
    <x v="1"/>
    <x v="4"/>
    <x v="1026"/>
    <x v="1356"/>
    <x v="0"/>
    <x v="1"/>
  </r>
  <r>
    <n v="1550"/>
    <x v="745"/>
    <x v="522"/>
    <d v="2015-07-08T00:00:00"/>
    <s v="First Class"/>
    <x v="212"/>
    <s v="Emily Phan"/>
    <x v="0"/>
    <s v="United States"/>
    <s v="New York City"/>
    <x v="15"/>
    <n v="10011"/>
    <x v="3"/>
    <x v="890"/>
    <x v="2"/>
    <x v="16"/>
    <x v="883"/>
    <x v="1357"/>
    <x v="7"/>
    <x v="2"/>
  </r>
  <r>
    <n v="1551"/>
    <x v="746"/>
    <x v="38"/>
    <d v="2018-11-18T00:00:00"/>
    <s v="Second Class"/>
    <x v="467"/>
    <s v="Maria Etezadi"/>
    <x v="2"/>
    <s v="United States"/>
    <s v="Houston"/>
    <x v="5"/>
    <n v="77095"/>
    <x v="2"/>
    <x v="1037"/>
    <x v="1"/>
    <x v="9"/>
    <x v="1027"/>
    <x v="1358"/>
    <x v="0"/>
    <x v="3"/>
  </r>
  <r>
    <n v="1552"/>
    <x v="747"/>
    <x v="26"/>
    <d v="2017-06-22T00:00:00"/>
    <s v="Standard Class"/>
    <x v="490"/>
    <s v="Ivan Gibson"/>
    <x v="0"/>
    <s v="United States"/>
    <s v="San Diego"/>
    <x v="1"/>
    <n v="92024"/>
    <x v="1"/>
    <x v="964"/>
    <x v="1"/>
    <x v="10"/>
    <x v="957"/>
    <x v="1359"/>
    <x v="1"/>
    <x v="0"/>
  </r>
  <r>
    <n v="1553"/>
    <x v="748"/>
    <x v="523"/>
    <d v="2015-05-05T00:00:00"/>
    <s v="First Class"/>
    <x v="185"/>
    <s v="Joni Sundaresam"/>
    <x v="2"/>
    <s v="United States"/>
    <s v="Appleton"/>
    <x v="6"/>
    <n v="54915"/>
    <x v="2"/>
    <x v="1038"/>
    <x v="1"/>
    <x v="2"/>
    <x v="1028"/>
    <x v="742"/>
    <x v="5"/>
    <x v="2"/>
  </r>
  <r>
    <n v="1554"/>
    <x v="749"/>
    <x v="524"/>
    <d v="2018-10-21T00:00:00"/>
    <s v="Standard Class"/>
    <x v="491"/>
    <s v="Bobby Odegard"/>
    <x v="0"/>
    <s v="United States"/>
    <s v="Richmond"/>
    <x v="0"/>
    <n v="40475"/>
    <x v="0"/>
    <x v="691"/>
    <x v="1"/>
    <x v="8"/>
    <x v="691"/>
    <x v="1360"/>
    <x v="2"/>
    <x v="3"/>
  </r>
  <r>
    <n v="1555"/>
    <x v="750"/>
    <x v="525"/>
    <d v="2016-02-13T00:00:00"/>
    <s v="Standard Class"/>
    <x v="100"/>
    <s v="Victoria Wilson"/>
    <x v="1"/>
    <s v="United States"/>
    <s v="Bellevue"/>
    <x v="4"/>
    <n v="98006"/>
    <x v="1"/>
    <x v="1039"/>
    <x v="1"/>
    <x v="6"/>
    <x v="1029"/>
    <x v="266"/>
    <x v="11"/>
    <x v="1"/>
  </r>
  <r>
    <n v="1556"/>
    <x v="751"/>
    <x v="507"/>
    <d v="2018-09-08T00:00:00"/>
    <s v="Standard Class"/>
    <x v="492"/>
    <s v="Aimee Bixby"/>
    <x v="0"/>
    <s v="United States"/>
    <s v="Long Beach"/>
    <x v="15"/>
    <n v="11561"/>
    <x v="3"/>
    <x v="43"/>
    <x v="2"/>
    <x v="11"/>
    <x v="43"/>
    <x v="1361"/>
    <x v="8"/>
    <x v="3"/>
  </r>
  <r>
    <n v="1557"/>
    <x v="752"/>
    <x v="195"/>
    <d v="2017-05-15T00:00:00"/>
    <s v="Standard Class"/>
    <x v="493"/>
    <s v="Julia West"/>
    <x v="0"/>
    <s v="United States"/>
    <s v="Philadelphia"/>
    <x v="9"/>
    <n v="19140"/>
    <x v="3"/>
    <x v="1040"/>
    <x v="1"/>
    <x v="12"/>
    <x v="153"/>
    <x v="560"/>
    <x v="5"/>
    <x v="0"/>
  </r>
  <r>
    <n v="1558"/>
    <x v="752"/>
    <x v="195"/>
    <d v="2017-05-15T00:00:00"/>
    <s v="Standard Class"/>
    <x v="493"/>
    <s v="Julia West"/>
    <x v="0"/>
    <s v="United States"/>
    <s v="Philadelphia"/>
    <x v="9"/>
    <n v="19140"/>
    <x v="3"/>
    <x v="1041"/>
    <x v="1"/>
    <x v="6"/>
    <x v="1030"/>
    <x v="1362"/>
    <x v="5"/>
    <x v="0"/>
  </r>
  <r>
    <n v="1559"/>
    <x v="753"/>
    <x v="199"/>
    <d v="2016-03-18T00:00:00"/>
    <s v="Second Class"/>
    <x v="188"/>
    <s v="Jeremy Ellison"/>
    <x v="0"/>
    <s v="United States"/>
    <s v="Seattle"/>
    <x v="4"/>
    <n v="98103"/>
    <x v="1"/>
    <x v="977"/>
    <x v="0"/>
    <x v="3"/>
    <x v="832"/>
    <x v="1363"/>
    <x v="10"/>
    <x v="1"/>
  </r>
  <r>
    <n v="1560"/>
    <x v="754"/>
    <x v="526"/>
    <d v="2017-04-13T00:00:00"/>
    <s v="Standard Class"/>
    <x v="494"/>
    <s v="Edward Becker"/>
    <x v="1"/>
    <s v="United States"/>
    <s v="Seattle"/>
    <x v="4"/>
    <n v="98103"/>
    <x v="1"/>
    <x v="696"/>
    <x v="1"/>
    <x v="8"/>
    <x v="696"/>
    <x v="1364"/>
    <x v="3"/>
    <x v="0"/>
  </r>
  <r>
    <n v="1561"/>
    <x v="755"/>
    <x v="527"/>
    <d v="2015-04-09T00:00:00"/>
    <s v="Standard Class"/>
    <x v="324"/>
    <s v="Paul Knutson"/>
    <x v="2"/>
    <s v="United States"/>
    <s v="San Francisco"/>
    <x v="1"/>
    <n v="94109"/>
    <x v="1"/>
    <x v="1042"/>
    <x v="1"/>
    <x v="2"/>
    <x v="1031"/>
    <x v="1365"/>
    <x v="3"/>
    <x v="2"/>
  </r>
  <r>
    <n v="1562"/>
    <x v="756"/>
    <x v="528"/>
    <d v="2018-09-06T00:00:00"/>
    <s v="First Class"/>
    <x v="37"/>
    <s v="Christopher Schild"/>
    <x v="2"/>
    <s v="United States"/>
    <s v="Seattle"/>
    <x v="4"/>
    <n v="98115"/>
    <x v="1"/>
    <x v="324"/>
    <x v="1"/>
    <x v="6"/>
    <x v="324"/>
    <x v="1094"/>
    <x v="8"/>
    <x v="3"/>
  </r>
  <r>
    <n v="1563"/>
    <x v="757"/>
    <x v="160"/>
    <d v="2018-06-30T00:00:00"/>
    <s v="Same Day"/>
    <x v="495"/>
    <s v="Sheri Gordon"/>
    <x v="0"/>
    <s v="United States"/>
    <s v="New York City"/>
    <x v="15"/>
    <n v="10011"/>
    <x v="3"/>
    <x v="3"/>
    <x v="0"/>
    <x v="3"/>
    <x v="3"/>
    <x v="24"/>
    <x v="1"/>
    <x v="3"/>
  </r>
  <r>
    <n v="1564"/>
    <x v="758"/>
    <x v="529"/>
    <d v="2016-11-09T00:00:00"/>
    <s v="Same Day"/>
    <x v="496"/>
    <s v="Charlotte Melton"/>
    <x v="0"/>
    <s v="United States"/>
    <s v="Philadelphia"/>
    <x v="9"/>
    <n v="19134"/>
    <x v="3"/>
    <x v="204"/>
    <x v="1"/>
    <x v="10"/>
    <x v="205"/>
    <x v="1366"/>
    <x v="0"/>
    <x v="1"/>
  </r>
  <r>
    <n v="1565"/>
    <x v="759"/>
    <x v="530"/>
    <d v="2015-03-04T00:00:00"/>
    <s v="Same Day"/>
    <x v="52"/>
    <s v="Clay Ludtke"/>
    <x v="0"/>
    <s v="United States"/>
    <s v="Columbia"/>
    <x v="20"/>
    <n v="29203"/>
    <x v="0"/>
    <x v="1043"/>
    <x v="1"/>
    <x v="4"/>
    <x v="1032"/>
    <x v="1367"/>
    <x v="10"/>
    <x v="2"/>
  </r>
  <r>
    <n v="1566"/>
    <x v="760"/>
    <x v="531"/>
    <d v="2016-03-25T00:00:00"/>
    <s v="Standard Class"/>
    <x v="270"/>
    <s v="Jesus Ocampo"/>
    <x v="2"/>
    <s v="United States"/>
    <s v="Seattle"/>
    <x v="4"/>
    <n v="98105"/>
    <x v="1"/>
    <x v="867"/>
    <x v="2"/>
    <x v="7"/>
    <x v="861"/>
    <x v="1368"/>
    <x v="10"/>
    <x v="1"/>
  </r>
  <r>
    <n v="1567"/>
    <x v="761"/>
    <x v="239"/>
    <d v="2016-11-30T00:00:00"/>
    <s v="First Class"/>
    <x v="497"/>
    <s v="Anthony Witt"/>
    <x v="0"/>
    <s v="United States"/>
    <s v="Allen"/>
    <x v="5"/>
    <n v="75002"/>
    <x v="2"/>
    <x v="1044"/>
    <x v="2"/>
    <x v="11"/>
    <x v="1033"/>
    <x v="1369"/>
    <x v="0"/>
    <x v="1"/>
  </r>
  <r>
    <n v="1568"/>
    <x v="761"/>
    <x v="239"/>
    <d v="2016-11-30T00:00:00"/>
    <s v="First Class"/>
    <x v="497"/>
    <s v="Anthony Witt"/>
    <x v="0"/>
    <s v="United States"/>
    <s v="Allen"/>
    <x v="5"/>
    <n v="75002"/>
    <x v="2"/>
    <x v="1045"/>
    <x v="1"/>
    <x v="8"/>
    <x v="1034"/>
    <x v="1370"/>
    <x v="0"/>
    <x v="1"/>
  </r>
  <r>
    <n v="1569"/>
    <x v="762"/>
    <x v="532"/>
    <d v="2018-06-11T00:00:00"/>
    <s v="Same Day"/>
    <x v="231"/>
    <s v="Dianna Vittorini"/>
    <x v="0"/>
    <s v="United States"/>
    <s v="Los Angeles"/>
    <x v="1"/>
    <n v="90004"/>
    <x v="1"/>
    <x v="447"/>
    <x v="1"/>
    <x v="10"/>
    <x v="447"/>
    <x v="1232"/>
    <x v="1"/>
    <x v="3"/>
  </r>
  <r>
    <n v="1570"/>
    <x v="763"/>
    <x v="200"/>
    <d v="2018-11-30T00:00:00"/>
    <s v="Standard Class"/>
    <x v="340"/>
    <s v="Adam Hart"/>
    <x v="1"/>
    <s v="United States"/>
    <s v="Atlanta"/>
    <x v="32"/>
    <n v="30318"/>
    <x v="0"/>
    <x v="1046"/>
    <x v="1"/>
    <x v="6"/>
    <x v="1035"/>
    <x v="1371"/>
    <x v="0"/>
    <x v="3"/>
  </r>
  <r>
    <n v="1571"/>
    <x v="764"/>
    <x v="533"/>
    <d v="2015-11-25T00:00:00"/>
    <s v="First Class"/>
    <x v="183"/>
    <s v="Sanjit Chand"/>
    <x v="0"/>
    <s v="United States"/>
    <s v="Los Angeles"/>
    <x v="1"/>
    <n v="90004"/>
    <x v="1"/>
    <x v="83"/>
    <x v="0"/>
    <x v="1"/>
    <x v="83"/>
    <x v="884"/>
    <x v="0"/>
    <x v="2"/>
  </r>
  <r>
    <n v="1572"/>
    <x v="764"/>
    <x v="533"/>
    <d v="2015-11-25T00:00:00"/>
    <s v="First Class"/>
    <x v="183"/>
    <s v="Sanjit Chand"/>
    <x v="0"/>
    <s v="United States"/>
    <s v="Los Angeles"/>
    <x v="1"/>
    <n v="90004"/>
    <x v="1"/>
    <x v="1047"/>
    <x v="1"/>
    <x v="12"/>
    <x v="1036"/>
    <x v="1372"/>
    <x v="0"/>
    <x v="2"/>
  </r>
  <r>
    <n v="1573"/>
    <x v="764"/>
    <x v="533"/>
    <d v="2015-11-25T00:00:00"/>
    <s v="First Class"/>
    <x v="183"/>
    <s v="Sanjit Chand"/>
    <x v="0"/>
    <s v="United States"/>
    <s v="Los Angeles"/>
    <x v="1"/>
    <n v="90004"/>
    <x v="1"/>
    <x v="1048"/>
    <x v="2"/>
    <x v="11"/>
    <x v="1037"/>
    <x v="803"/>
    <x v="0"/>
    <x v="2"/>
  </r>
  <r>
    <n v="1574"/>
    <x v="764"/>
    <x v="533"/>
    <d v="2015-11-25T00:00:00"/>
    <s v="First Class"/>
    <x v="183"/>
    <s v="Sanjit Chand"/>
    <x v="0"/>
    <s v="United States"/>
    <s v="Los Angeles"/>
    <x v="1"/>
    <n v="90004"/>
    <x v="1"/>
    <x v="467"/>
    <x v="0"/>
    <x v="1"/>
    <x v="468"/>
    <x v="1373"/>
    <x v="0"/>
    <x v="2"/>
  </r>
  <r>
    <n v="1575"/>
    <x v="765"/>
    <x v="534"/>
    <d v="2015-12-18T00:00:00"/>
    <s v="First Class"/>
    <x v="498"/>
    <s v="Mick Crebagga"/>
    <x v="0"/>
    <s v="United States"/>
    <s v="El Paso"/>
    <x v="5"/>
    <n v="79907"/>
    <x v="2"/>
    <x v="1049"/>
    <x v="2"/>
    <x v="7"/>
    <x v="1038"/>
    <x v="1374"/>
    <x v="4"/>
    <x v="2"/>
  </r>
  <r>
    <n v="1576"/>
    <x v="765"/>
    <x v="534"/>
    <d v="2015-12-18T00:00:00"/>
    <s v="First Class"/>
    <x v="498"/>
    <s v="Mick Crebagga"/>
    <x v="0"/>
    <s v="United States"/>
    <s v="El Paso"/>
    <x v="5"/>
    <n v="79907"/>
    <x v="2"/>
    <x v="635"/>
    <x v="0"/>
    <x v="1"/>
    <x v="635"/>
    <x v="1375"/>
    <x v="4"/>
    <x v="2"/>
  </r>
  <r>
    <n v="1577"/>
    <x v="766"/>
    <x v="183"/>
    <d v="2017-04-27T00:00:00"/>
    <s v="Standard Class"/>
    <x v="499"/>
    <s v="Tonja Turnell"/>
    <x v="2"/>
    <s v="United States"/>
    <s v="Aurora"/>
    <x v="10"/>
    <n v="60505"/>
    <x v="2"/>
    <x v="328"/>
    <x v="1"/>
    <x v="4"/>
    <x v="328"/>
    <x v="1376"/>
    <x v="3"/>
    <x v="0"/>
  </r>
  <r>
    <n v="1578"/>
    <x v="767"/>
    <x v="454"/>
    <d v="2017-05-27T00:00:00"/>
    <s v="Standard Class"/>
    <x v="399"/>
    <s v="Anne Pryor"/>
    <x v="2"/>
    <s v="United States"/>
    <s v="Florence"/>
    <x v="19"/>
    <n v="35630"/>
    <x v="0"/>
    <x v="1050"/>
    <x v="1"/>
    <x v="10"/>
    <x v="1039"/>
    <x v="1377"/>
    <x v="5"/>
    <x v="0"/>
  </r>
  <r>
    <n v="1579"/>
    <x v="768"/>
    <x v="535"/>
    <d v="2017-03-01T00:00:00"/>
    <s v="First Class"/>
    <x v="297"/>
    <s v="Dan Lawera"/>
    <x v="0"/>
    <s v="United States"/>
    <s v="New York City"/>
    <x v="15"/>
    <n v="10011"/>
    <x v="3"/>
    <x v="1051"/>
    <x v="1"/>
    <x v="9"/>
    <x v="1040"/>
    <x v="1378"/>
    <x v="11"/>
    <x v="0"/>
  </r>
  <r>
    <n v="1580"/>
    <x v="769"/>
    <x v="101"/>
    <d v="2016-08-12T00:00:00"/>
    <s v="First Class"/>
    <x v="268"/>
    <s v="Naresj Patel"/>
    <x v="0"/>
    <s v="United States"/>
    <s v="New York City"/>
    <x v="15"/>
    <n v="10024"/>
    <x v="3"/>
    <x v="348"/>
    <x v="2"/>
    <x v="7"/>
    <x v="348"/>
    <x v="669"/>
    <x v="6"/>
    <x v="1"/>
  </r>
  <r>
    <n v="1581"/>
    <x v="769"/>
    <x v="101"/>
    <d v="2016-08-12T00:00:00"/>
    <s v="First Class"/>
    <x v="268"/>
    <s v="Naresj Patel"/>
    <x v="0"/>
    <s v="United States"/>
    <s v="New York City"/>
    <x v="15"/>
    <n v="10024"/>
    <x v="3"/>
    <x v="223"/>
    <x v="0"/>
    <x v="3"/>
    <x v="224"/>
    <x v="1379"/>
    <x v="6"/>
    <x v="1"/>
  </r>
  <r>
    <n v="1582"/>
    <x v="769"/>
    <x v="101"/>
    <d v="2016-08-12T00:00:00"/>
    <s v="First Class"/>
    <x v="268"/>
    <s v="Naresj Patel"/>
    <x v="0"/>
    <s v="United States"/>
    <s v="New York City"/>
    <x v="15"/>
    <n v="10024"/>
    <x v="3"/>
    <x v="193"/>
    <x v="1"/>
    <x v="4"/>
    <x v="194"/>
    <x v="108"/>
    <x v="6"/>
    <x v="1"/>
  </r>
  <r>
    <n v="1583"/>
    <x v="769"/>
    <x v="101"/>
    <d v="2016-08-12T00:00:00"/>
    <s v="First Class"/>
    <x v="268"/>
    <s v="Naresj Patel"/>
    <x v="0"/>
    <s v="United States"/>
    <s v="New York City"/>
    <x v="15"/>
    <n v="10024"/>
    <x v="3"/>
    <x v="692"/>
    <x v="1"/>
    <x v="8"/>
    <x v="692"/>
    <x v="1380"/>
    <x v="6"/>
    <x v="1"/>
  </r>
  <r>
    <n v="1584"/>
    <x v="769"/>
    <x v="101"/>
    <d v="2016-08-12T00:00:00"/>
    <s v="First Class"/>
    <x v="268"/>
    <s v="Naresj Patel"/>
    <x v="0"/>
    <s v="United States"/>
    <s v="New York City"/>
    <x v="15"/>
    <n v="10024"/>
    <x v="3"/>
    <x v="116"/>
    <x v="0"/>
    <x v="5"/>
    <x v="116"/>
    <x v="116"/>
    <x v="6"/>
    <x v="1"/>
  </r>
  <r>
    <n v="1585"/>
    <x v="769"/>
    <x v="101"/>
    <d v="2016-08-12T00:00:00"/>
    <s v="First Class"/>
    <x v="268"/>
    <s v="Naresj Patel"/>
    <x v="0"/>
    <s v="United States"/>
    <s v="New York City"/>
    <x v="15"/>
    <n v="10024"/>
    <x v="3"/>
    <x v="50"/>
    <x v="0"/>
    <x v="5"/>
    <x v="50"/>
    <x v="51"/>
    <x v="6"/>
    <x v="1"/>
  </r>
  <r>
    <n v="1586"/>
    <x v="769"/>
    <x v="101"/>
    <d v="2016-08-12T00:00:00"/>
    <s v="First Class"/>
    <x v="268"/>
    <s v="Naresj Patel"/>
    <x v="0"/>
    <s v="United States"/>
    <s v="New York City"/>
    <x v="15"/>
    <n v="10024"/>
    <x v="3"/>
    <x v="469"/>
    <x v="2"/>
    <x v="7"/>
    <x v="470"/>
    <x v="504"/>
    <x v="6"/>
    <x v="1"/>
  </r>
  <r>
    <n v="1587"/>
    <x v="769"/>
    <x v="101"/>
    <d v="2016-08-12T00:00:00"/>
    <s v="First Class"/>
    <x v="268"/>
    <s v="Naresj Patel"/>
    <x v="0"/>
    <s v="United States"/>
    <s v="New York City"/>
    <x v="15"/>
    <n v="10024"/>
    <x v="3"/>
    <x v="1052"/>
    <x v="1"/>
    <x v="10"/>
    <x v="1041"/>
    <x v="140"/>
    <x v="6"/>
    <x v="1"/>
  </r>
  <r>
    <n v="1588"/>
    <x v="769"/>
    <x v="101"/>
    <d v="2016-08-12T00:00:00"/>
    <s v="First Class"/>
    <x v="268"/>
    <s v="Naresj Patel"/>
    <x v="0"/>
    <s v="United States"/>
    <s v="New York City"/>
    <x v="15"/>
    <n v="10024"/>
    <x v="3"/>
    <x v="1053"/>
    <x v="1"/>
    <x v="13"/>
    <x v="1042"/>
    <x v="1381"/>
    <x v="6"/>
    <x v="1"/>
  </r>
  <r>
    <n v="1589"/>
    <x v="769"/>
    <x v="101"/>
    <d v="2016-08-12T00:00:00"/>
    <s v="First Class"/>
    <x v="268"/>
    <s v="Naresj Patel"/>
    <x v="0"/>
    <s v="United States"/>
    <s v="New York City"/>
    <x v="15"/>
    <n v="10024"/>
    <x v="3"/>
    <x v="386"/>
    <x v="2"/>
    <x v="11"/>
    <x v="387"/>
    <x v="411"/>
    <x v="6"/>
    <x v="1"/>
  </r>
  <r>
    <n v="1590"/>
    <x v="770"/>
    <x v="536"/>
    <d v="2017-05-16T00:00:00"/>
    <s v="Standard Class"/>
    <x v="500"/>
    <s v="Vivek Grady"/>
    <x v="1"/>
    <s v="United States"/>
    <s v="Virginia Beach"/>
    <x v="17"/>
    <n v="23464"/>
    <x v="0"/>
    <x v="448"/>
    <x v="1"/>
    <x v="6"/>
    <x v="448"/>
    <x v="1382"/>
    <x v="5"/>
    <x v="0"/>
  </r>
  <r>
    <n v="1591"/>
    <x v="771"/>
    <x v="173"/>
    <d v="2017-04-19T00:00:00"/>
    <s v="Standard Class"/>
    <x v="501"/>
    <s v="Muhammed Yedwab"/>
    <x v="1"/>
    <s v="United States"/>
    <s v="Grapevine"/>
    <x v="5"/>
    <n v="76051"/>
    <x v="2"/>
    <x v="1054"/>
    <x v="1"/>
    <x v="6"/>
    <x v="1043"/>
    <x v="1383"/>
    <x v="3"/>
    <x v="0"/>
  </r>
  <r>
    <n v="1592"/>
    <x v="771"/>
    <x v="173"/>
    <d v="2017-04-19T00:00:00"/>
    <s v="Standard Class"/>
    <x v="501"/>
    <s v="Muhammed Yedwab"/>
    <x v="1"/>
    <s v="United States"/>
    <s v="Grapevine"/>
    <x v="5"/>
    <n v="76051"/>
    <x v="2"/>
    <x v="131"/>
    <x v="1"/>
    <x v="13"/>
    <x v="132"/>
    <x v="1384"/>
    <x v="3"/>
    <x v="0"/>
  </r>
  <r>
    <n v="1593"/>
    <x v="772"/>
    <x v="537"/>
    <d v="2016-06-25T00:00:00"/>
    <s v="Second Class"/>
    <x v="502"/>
    <s v="Rick Duston"/>
    <x v="0"/>
    <s v="United States"/>
    <s v="Olympia"/>
    <x v="4"/>
    <n v="98502"/>
    <x v="1"/>
    <x v="1055"/>
    <x v="2"/>
    <x v="7"/>
    <x v="1044"/>
    <x v="1385"/>
    <x v="1"/>
    <x v="1"/>
  </r>
  <r>
    <n v="1594"/>
    <x v="773"/>
    <x v="538"/>
    <d v="2015-10-19T00:00:00"/>
    <s v="Same Day"/>
    <x v="223"/>
    <s v="Jeremy Farry"/>
    <x v="0"/>
    <s v="United States"/>
    <s v="Los Angeles"/>
    <x v="1"/>
    <n v="90032"/>
    <x v="1"/>
    <x v="1056"/>
    <x v="1"/>
    <x v="10"/>
    <x v="1045"/>
    <x v="1386"/>
    <x v="2"/>
    <x v="2"/>
  </r>
  <r>
    <n v="1595"/>
    <x v="774"/>
    <x v="539"/>
    <d v="2016-03-27T00:00:00"/>
    <s v="First Class"/>
    <x v="503"/>
    <s v="Dennis Pardue"/>
    <x v="2"/>
    <s v="United States"/>
    <s v="Peoria"/>
    <x v="10"/>
    <n v="61604"/>
    <x v="2"/>
    <x v="1057"/>
    <x v="0"/>
    <x v="0"/>
    <x v="1046"/>
    <x v="1387"/>
    <x v="10"/>
    <x v="1"/>
  </r>
  <r>
    <n v="1596"/>
    <x v="775"/>
    <x v="540"/>
    <d v="2018-05-12T00:00:00"/>
    <s v="Standard Class"/>
    <x v="198"/>
    <s v="Maribeth Dona"/>
    <x v="0"/>
    <s v="United States"/>
    <s v="Columbus"/>
    <x v="24"/>
    <n v="43229"/>
    <x v="3"/>
    <x v="877"/>
    <x v="0"/>
    <x v="1"/>
    <x v="871"/>
    <x v="1388"/>
    <x v="5"/>
    <x v="3"/>
  </r>
  <r>
    <n v="1597"/>
    <x v="776"/>
    <x v="524"/>
    <d v="2018-10-18T00:00:00"/>
    <s v="First Class"/>
    <x v="199"/>
    <s v="Maribeth Yedwab"/>
    <x v="1"/>
    <s v="United States"/>
    <s v="New York City"/>
    <x v="15"/>
    <n v="10011"/>
    <x v="3"/>
    <x v="451"/>
    <x v="0"/>
    <x v="5"/>
    <x v="452"/>
    <x v="1389"/>
    <x v="2"/>
    <x v="3"/>
  </r>
  <r>
    <n v="1598"/>
    <x v="777"/>
    <x v="123"/>
    <d v="2018-11-21T00:00:00"/>
    <s v="Second Class"/>
    <x v="492"/>
    <s v="Aimee Bixby"/>
    <x v="0"/>
    <s v="United States"/>
    <s v="Carrollton"/>
    <x v="5"/>
    <n v="75007"/>
    <x v="2"/>
    <x v="1058"/>
    <x v="1"/>
    <x v="10"/>
    <x v="1047"/>
    <x v="1390"/>
    <x v="0"/>
    <x v="3"/>
  </r>
  <r>
    <n v="1599"/>
    <x v="777"/>
    <x v="123"/>
    <d v="2018-11-21T00:00:00"/>
    <s v="Second Class"/>
    <x v="492"/>
    <s v="Aimee Bixby"/>
    <x v="0"/>
    <s v="United States"/>
    <s v="Carrollton"/>
    <x v="5"/>
    <n v="75007"/>
    <x v="2"/>
    <x v="1059"/>
    <x v="1"/>
    <x v="14"/>
    <x v="1048"/>
    <x v="405"/>
    <x v="0"/>
    <x v="3"/>
  </r>
  <r>
    <n v="1600"/>
    <x v="777"/>
    <x v="123"/>
    <d v="2018-11-21T00:00:00"/>
    <s v="Second Class"/>
    <x v="492"/>
    <s v="Aimee Bixby"/>
    <x v="0"/>
    <s v="United States"/>
    <s v="Carrollton"/>
    <x v="5"/>
    <n v="75007"/>
    <x v="2"/>
    <x v="290"/>
    <x v="1"/>
    <x v="6"/>
    <x v="290"/>
    <x v="304"/>
    <x v="0"/>
    <x v="3"/>
  </r>
  <r>
    <n v="1601"/>
    <x v="777"/>
    <x v="123"/>
    <d v="2018-11-21T00:00:00"/>
    <s v="Second Class"/>
    <x v="492"/>
    <s v="Aimee Bixby"/>
    <x v="0"/>
    <s v="United States"/>
    <s v="Carrollton"/>
    <x v="5"/>
    <n v="75007"/>
    <x v="2"/>
    <x v="296"/>
    <x v="0"/>
    <x v="5"/>
    <x v="296"/>
    <x v="312"/>
    <x v="0"/>
    <x v="3"/>
  </r>
  <r>
    <n v="1602"/>
    <x v="778"/>
    <x v="541"/>
    <d v="2017-05-13T00:00:00"/>
    <s v="Second Class"/>
    <x v="334"/>
    <s v="George Bell"/>
    <x v="1"/>
    <s v="United States"/>
    <s v="Dover"/>
    <x v="13"/>
    <n v="19901"/>
    <x v="3"/>
    <x v="1060"/>
    <x v="0"/>
    <x v="5"/>
    <x v="1049"/>
    <x v="46"/>
    <x v="5"/>
    <x v="0"/>
  </r>
  <r>
    <n v="1603"/>
    <x v="779"/>
    <x v="25"/>
    <d v="2017-12-17T00:00:00"/>
    <s v="Standard Class"/>
    <x v="222"/>
    <s v="Cynthia Arntzen"/>
    <x v="0"/>
    <s v="United States"/>
    <s v="Smyrna"/>
    <x v="18"/>
    <n v="37167"/>
    <x v="0"/>
    <x v="1061"/>
    <x v="1"/>
    <x v="6"/>
    <x v="1050"/>
    <x v="405"/>
    <x v="4"/>
    <x v="0"/>
  </r>
  <r>
    <n v="1604"/>
    <x v="780"/>
    <x v="329"/>
    <d v="2018-12-04T00:00:00"/>
    <s v="Standard Class"/>
    <x v="250"/>
    <s v="Max Engle"/>
    <x v="0"/>
    <s v="United States"/>
    <s v="Newark"/>
    <x v="13"/>
    <n v="19711"/>
    <x v="3"/>
    <x v="1062"/>
    <x v="1"/>
    <x v="6"/>
    <x v="1051"/>
    <x v="1391"/>
    <x v="0"/>
    <x v="3"/>
  </r>
  <r>
    <n v="1605"/>
    <x v="781"/>
    <x v="475"/>
    <d v="2017-04-24T00:00:00"/>
    <s v="Second Class"/>
    <x v="123"/>
    <s v="Jas O'Carroll"/>
    <x v="0"/>
    <s v="United States"/>
    <s v="Los Angeles"/>
    <x v="1"/>
    <n v="90049"/>
    <x v="1"/>
    <x v="857"/>
    <x v="2"/>
    <x v="7"/>
    <x v="851"/>
    <x v="786"/>
    <x v="3"/>
    <x v="0"/>
  </r>
  <r>
    <n v="1606"/>
    <x v="781"/>
    <x v="475"/>
    <d v="2017-04-24T00:00:00"/>
    <s v="Second Class"/>
    <x v="123"/>
    <s v="Jas O'Carroll"/>
    <x v="0"/>
    <s v="United States"/>
    <s v="Los Angeles"/>
    <x v="1"/>
    <n v="90049"/>
    <x v="1"/>
    <x v="1063"/>
    <x v="1"/>
    <x v="6"/>
    <x v="1052"/>
    <x v="1392"/>
    <x v="3"/>
    <x v="0"/>
  </r>
  <r>
    <n v="1607"/>
    <x v="781"/>
    <x v="475"/>
    <d v="2017-04-24T00:00:00"/>
    <s v="Second Class"/>
    <x v="123"/>
    <s v="Jas O'Carroll"/>
    <x v="0"/>
    <s v="United States"/>
    <s v="Los Angeles"/>
    <x v="1"/>
    <n v="90049"/>
    <x v="1"/>
    <x v="1064"/>
    <x v="1"/>
    <x v="6"/>
    <x v="1053"/>
    <x v="1393"/>
    <x v="3"/>
    <x v="0"/>
  </r>
  <r>
    <n v="1608"/>
    <x v="781"/>
    <x v="475"/>
    <d v="2017-04-24T00:00:00"/>
    <s v="Second Class"/>
    <x v="123"/>
    <s v="Jas O'Carroll"/>
    <x v="0"/>
    <s v="United States"/>
    <s v="Los Angeles"/>
    <x v="1"/>
    <n v="90049"/>
    <x v="1"/>
    <x v="347"/>
    <x v="1"/>
    <x v="8"/>
    <x v="347"/>
    <x v="568"/>
    <x v="3"/>
    <x v="0"/>
  </r>
  <r>
    <n v="1609"/>
    <x v="781"/>
    <x v="475"/>
    <d v="2017-04-24T00:00:00"/>
    <s v="Second Class"/>
    <x v="123"/>
    <s v="Jas O'Carroll"/>
    <x v="0"/>
    <s v="United States"/>
    <s v="Los Angeles"/>
    <x v="1"/>
    <n v="90049"/>
    <x v="1"/>
    <x v="126"/>
    <x v="1"/>
    <x v="10"/>
    <x v="562"/>
    <x v="20"/>
    <x v="3"/>
    <x v="0"/>
  </r>
  <r>
    <n v="1610"/>
    <x v="781"/>
    <x v="475"/>
    <d v="2017-04-24T00:00:00"/>
    <s v="Second Class"/>
    <x v="123"/>
    <s v="Jas O'Carroll"/>
    <x v="0"/>
    <s v="United States"/>
    <s v="Los Angeles"/>
    <x v="1"/>
    <n v="90049"/>
    <x v="1"/>
    <x v="1065"/>
    <x v="1"/>
    <x v="8"/>
    <x v="1054"/>
    <x v="1394"/>
    <x v="3"/>
    <x v="0"/>
  </r>
  <r>
    <n v="1611"/>
    <x v="782"/>
    <x v="542"/>
    <d v="2015-05-30T00:00:00"/>
    <s v="Standard Class"/>
    <x v="504"/>
    <s v="Marina Lichtenstein"/>
    <x v="1"/>
    <s v="United States"/>
    <s v="Los Angeles"/>
    <x v="1"/>
    <n v="90008"/>
    <x v="1"/>
    <x v="1057"/>
    <x v="0"/>
    <x v="0"/>
    <x v="1046"/>
    <x v="1395"/>
    <x v="5"/>
    <x v="2"/>
  </r>
  <r>
    <n v="1612"/>
    <x v="782"/>
    <x v="542"/>
    <d v="2015-05-30T00:00:00"/>
    <s v="Standard Class"/>
    <x v="504"/>
    <s v="Marina Lichtenstein"/>
    <x v="1"/>
    <s v="United States"/>
    <s v="Los Angeles"/>
    <x v="1"/>
    <n v="90008"/>
    <x v="1"/>
    <x v="1066"/>
    <x v="2"/>
    <x v="7"/>
    <x v="1055"/>
    <x v="1212"/>
    <x v="5"/>
    <x v="2"/>
  </r>
  <r>
    <n v="1613"/>
    <x v="782"/>
    <x v="542"/>
    <d v="2015-05-30T00:00:00"/>
    <s v="Standard Class"/>
    <x v="504"/>
    <s v="Marina Lichtenstein"/>
    <x v="1"/>
    <s v="United States"/>
    <s v="Los Angeles"/>
    <x v="1"/>
    <n v="90008"/>
    <x v="1"/>
    <x v="66"/>
    <x v="2"/>
    <x v="7"/>
    <x v="66"/>
    <x v="1396"/>
    <x v="5"/>
    <x v="2"/>
  </r>
  <r>
    <n v="1614"/>
    <x v="783"/>
    <x v="202"/>
    <d v="2018-12-25T00:00:00"/>
    <s v="Standard Class"/>
    <x v="453"/>
    <s v="Yana Sorensen"/>
    <x v="1"/>
    <s v="United States"/>
    <s v="Oakland"/>
    <x v="1"/>
    <n v="94601"/>
    <x v="1"/>
    <x v="384"/>
    <x v="1"/>
    <x v="4"/>
    <x v="385"/>
    <x v="1397"/>
    <x v="4"/>
    <x v="3"/>
  </r>
  <r>
    <n v="1615"/>
    <x v="784"/>
    <x v="543"/>
    <d v="2017-03-19T00:00:00"/>
    <s v="Standard Class"/>
    <x v="484"/>
    <s v="Paul Lucas"/>
    <x v="2"/>
    <s v="United States"/>
    <s v="Philadelphia"/>
    <x v="9"/>
    <n v="19143"/>
    <x v="3"/>
    <x v="1067"/>
    <x v="2"/>
    <x v="11"/>
    <x v="1056"/>
    <x v="364"/>
    <x v="10"/>
    <x v="0"/>
  </r>
  <r>
    <n v="1616"/>
    <x v="785"/>
    <x v="544"/>
    <d v="2016-08-16T00:00:00"/>
    <s v="Standard Class"/>
    <x v="451"/>
    <s v="Julie Kriz"/>
    <x v="2"/>
    <s v="United States"/>
    <s v="Eagan"/>
    <x v="11"/>
    <n v="55122"/>
    <x v="2"/>
    <x v="547"/>
    <x v="1"/>
    <x v="2"/>
    <x v="547"/>
    <x v="1398"/>
    <x v="6"/>
    <x v="1"/>
  </r>
  <r>
    <n v="1617"/>
    <x v="785"/>
    <x v="544"/>
    <d v="2016-08-16T00:00:00"/>
    <s v="Standard Class"/>
    <x v="451"/>
    <s v="Julie Kriz"/>
    <x v="2"/>
    <s v="United States"/>
    <s v="Eagan"/>
    <x v="11"/>
    <n v="55122"/>
    <x v="2"/>
    <x v="254"/>
    <x v="1"/>
    <x v="2"/>
    <x v="255"/>
    <x v="1399"/>
    <x v="6"/>
    <x v="1"/>
  </r>
  <r>
    <n v="1618"/>
    <x v="785"/>
    <x v="544"/>
    <d v="2016-08-16T00:00:00"/>
    <s v="Standard Class"/>
    <x v="451"/>
    <s v="Julie Kriz"/>
    <x v="2"/>
    <s v="United States"/>
    <s v="Eagan"/>
    <x v="11"/>
    <n v="55122"/>
    <x v="2"/>
    <x v="1068"/>
    <x v="1"/>
    <x v="6"/>
    <x v="1057"/>
    <x v="1400"/>
    <x v="6"/>
    <x v="1"/>
  </r>
  <r>
    <n v="1619"/>
    <x v="786"/>
    <x v="545"/>
    <d v="2017-09-14T00:00:00"/>
    <s v="Second Class"/>
    <x v="43"/>
    <s v="Parhena Norris"/>
    <x v="2"/>
    <s v="United States"/>
    <s v="New York City"/>
    <x v="15"/>
    <n v="10011"/>
    <x v="3"/>
    <x v="1069"/>
    <x v="1"/>
    <x v="4"/>
    <x v="1058"/>
    <x v="1401"/>
    <x v="8"/>
    <x v="0"/>
  </r>
  <r>
    <n v="1620"/>
    <x v="786"/>
    <x v="545"/>
    <d v="2017-09-14T00:00:00"/>
    <s v="Second Class"/>
    <x v="43"/>
    <s v="Parhena Norris"/>
    <x v="2"/>
    <s v="United States"/>
    <s v="New York City"/>
    <x v="15"/>
    <n v="10011"/>
    <x v="3"/>
    <x v="1070"/>
    <x v="1"/>
    <x v="10"/>
    <x v="1059"/>
    <x v="1402"/>
    <x v="8"/>
    <x v="0"/>
  </r>
  <r>
    <n v="1621"/>
    <x v="787"/>
    <x v="141"/>
    <d v="2018-07-15T00:00:00"/>
    <s v="Standard Class"/>
    <x v="505"/>
    <s v="Jenna Caffey"/>
    <x v="0"/>
    <s v="United States"/>
    <s v="Kent"/>
    <x v="4"/>
    <n v="98031"/>
    <x v="1"/>
    <x v="1071"/>
    <x v="0"/>
    <x v="5"/>
    <x v="1060"/>
    <x v="1403"/>
    <x v="7"/>
    <x v="3"/>
  </r>
  <r>
    <n v="1622"/>
    <x v="787"/>
    <x v="141"/>
    <d v="2018-07-15T00:00:00"/>
    <s v="Standard Class"/>
    <x v="505"/>
    <s v="Jenna Caffey"/>
    <x v="0"/>
    <s v="United States"/>
    <s v="Kent"/>
    <x v="4"/>
    <n v="98031"/>
    <x v="1"/>
    <x v="508"/>
    <x v="1"/>
    <x v="2"/>
    <x v="508"/>
    <x v="1404"/>
    <x v="7"/>
    <x v="3"/>
  </r>
  <r>
    <n v="1623"/>
    <x v="787"/>
    <x v="141"/>
    <d v="2018-07-15T00:00:00"/>
    <s v="Standard Class"/>
    <x v="505"/>
    <s v="Jenna Caffey"/>
    <x v="0"/>
    <s v="United States"/>
    <s v="Kent"/>
    <x v="4"/>
    <n v="98031"/>
    <x v="1"/>
    <x v="497"/>
    <x v="1"/>
    <x v="8"/>
    <x v="497"/>
    <x v="1405"/>
    <x v="7"/>
    <x v="3"/>
  </r>
  <r>
    <n v="1624"/>
    <x v="787"/>
    <x v="141"/>
    <d v="2018-07-15T00:00:00"/>
    <s v="Standard Class"/>
    <x v="505"/>
    <s v="Jenna Caffey"/>
    <x v="0"/>
    <s v="United States"/>
    <s v="Kent"/>
    <x v="4"/>
    <n v="98031"/>
    <x v="1"/>
    <x v="1072"/>
    <x v="2"/>
    <x v="11"/>
    <x v="1061"/>
    <x v="1406"/>
    <x v="7"/>
    <x v="3"/>
  </r>
  <r>
    <n v="1625"/>
    <x v="788"/>
    <x v="546"/>
    <d v="2016-12-24T00:00:00"/>
    <s v="Standard Class"/>
    <x v="506"/>
    <s v="James Galang"/>
    <x v="0"/>
    <s v="United States"/>
    <s v="Los Angeles"/>
    <x v="1"/>
    <n v="90049"/>
    <x v="1"/>
    <x v="981"/>
    <x v="2"/>
    <x v="7"/>
    <x v="974"/>
    <x v="1407"/>
    <x v="4"/>
    <x v="1"/>
  </r>
  <r>
    <n v="1626"/>
    <x v="788"/>
    <x v="546"/>
    <d v="2016-12-24T00:00:00"/>
    <s v="Standard Class"/>
    <x v="506"/>
    <s v="James Galang"/>
    <x v="0"/>
    <s v="United States"/>
    <s v="Los Angeles"/>
    <x v="1"/>
    <n v="90049"/>
    <x v="1"/>
    <x v="695"/>
    <x v="2"/>
    <x v="11"/>
    <x v="1062"/>
    <x v="1408"/>
    <x v="4"/>
    <x v="1"/>
  </r>
  <r>
    <n v="1627"/>
    <x v="789"/>
    <x v="547"/>
    <d v="2016-11-22T00:00:00"/>
    <s v="Standard Class"/>
    <x v="178"/>
    <s v="Philisse Overcash"/>
    <x v="2"/>
    <s v="United States"/>
    <s v="New York City"/>
    <x v="15"/>
    <n v="10011"/>
    <x v="3"/>
    <x v="549"/>
    <x v="1"/>
    <x v="9"/>
    <x v="549"/>
    <x v="1409"/>
    <x v="0"/>
    <x v="1"/>
  </r>
  <r>
    <n v="1628"/>
    <x v="790"/>
    <x v="496"/>
    <d v="2016-09-30T00:00:00"/>
    <s v="Standard Class"/>
    <x v="507"/>
    <s v="Marc Crier"/>
    <x v="0"/>
    <s v="United States"/>
    <s v="Lafayette"/>
    <x v="28"/>
    <n v="70506"/>
    <x v="0"/>
    <x v="866"/>
    <x v="0"/>
    <x v="1"/>
    <x v="860"/>
    <x v="1410"/>
    <x v="8"/>
    <x v="1"/>
  </r>
  <r>
    <n v="1629"/>
    <x v="791"/>
    <x v="548"/>
    <d v="2018-06-25T00:00:00"/>
    <s v="Second Class"/>
    <x v="238"/>
    <s v="Alan Shonely"/>
    <x v="0"/>
    <s v="United States"/>
    <s v="Cleveland"/>
    <x v="24"/>
    <n v="44105"/>
    <x v="3"/>
    <x v="1073"/>
    <x v="0"/>
    <x v="5"/>
    <x v="1063"/>
    <x v="1411"/>
    <x v="1"/>
    <x v="3"/>
  </r>
  <r>
    <n v="1630"/>
    <x v="791"/>
    <x v="548"/>
    <d v="2018-06-25T00:00:00"/>
    <s v="Second Class"/>
    <x v="238"/>
    <s v="Alan Shonely"/>
    <x v="0"/>
    <s v="United States"/>
    <s v="Cleveland"/>
    <x v="24"/>
    <n v="44105"/>
    <x v="3"/>
    <x v="710"/>
    <x v="1"/>
    <x v="8"/>
    <x v="709"/>
    <x v="1412"/>
    <x v="1"/>
    <x v="3"/>
  </r>
  <r>
    <n v="1631"/>
    <x v="792"/>
    <x v="541"/>
    <d v="2017-05-08T00:00:00"/>
    <s v="Same Day"/>
    <x v="52"/>
    <s v="Clay Ludtke"/>
    <x v="0"/>
    <s v="United States"/>
    <s v="Cleveland"/>
    <x v="24"/>
    <n v="44105"/>
    <x v="3"/>
    <x v="1074"/>
    <x v="1"/>
    <x v="4"/>
    <x v="1064"/>
    <x v="1413"/>
    <x v="5"/>
    <x v="0"/>
  </r>
  <r>
    <n v="1632"/>
    <x v="792"/>
    <x v="541"/>
    <d v="2017-05-08T00:00:00"/>
    <s v="Same Day"/>
    <x v="52"/>
    <s v="Clay Ludtke"/>
    <x v="0"/>
    <s v="United States"/>
    <s v="Cleveland"/>
    <x v="24"/>
    <n v="44105"/>
    <x v="3"/>
    <x v="481"/>
    <x v="1"/>
    <x v="10"/>
    <x v="482"/>
    <x v="1414"/>
    <x v="5"/>
    <x v="0"/>
  </r>
  <r>
    <n v="1633"/>
    <x v="792"/>
    <x v="541"/>
    <d v="2017-05-08T00:00:00"/>
    <s v="Same Day"/>
    <x v="52"/>
    <s v="Clay Ludtke"/>
    <x v="0"/>
    <s v="United States"/>
    <s v="Cleveland"/>
    <x v="24"/>
    <n v="44105"/>
    <x v="3"/>
    <x v="498"/>
    <x v="1"/>
    <x v="10"/>
    <x v="498"/>
    <x v="559"/>
    <x v="5"/>
    <x v="0"/>
  </r>
  <r>
    <n v="1634"/>
    <x v="792"/>
    <x v="541"/>
    <d v="2017-05-08T00:00:00"/>
    <s v="Same Day"/>
    <x v="52"/>
    <s v="Clay Ludtke"/>
    <x v="0"/>
    <s v="United States"/>
    <s v="Cleveland"/>
    <x v="24"/>
    <n v="44105"/>
    <x v="3"/>
    <x v="953"/>
    <x v="1"/>
    <x v="4"/>
    <x v="946"/>
    <x v="1415"/>
    <x v="5"/>
    <x v="0"/>
  </r>
  <r>
    <n v="1635"/>
    <x v="792"/>
    <x v="541"/>
    <d v="2017-05-08T00:00:00"/>
    <s v="Same Day"/>
    <x v="52"/>
    <s v="Clay Ludtke"/>
    <x v="0"/>
    <s v="United States"/>
    <s v="Cleveland"/>
    <x v="24"/>
    <n v="44105"/>
    <x v="3"/>
    <x v="477"/>
    <x v="2"/>
    <x v="11"/>
    <x v="478"/>
    <x v="514"/>
    <x v="5"/>
    <x v="0"/>
  </r>
  <r>
    <n v="1636"/>
    <x v="793"/>
    <x v="35"/>
    <d v="2015-12-02T00:00:00"/>
    <s v="Standard Class"/>
    <x v="508"/>
    <s v="Natalie Webber"/>
    <x v="0"/>
    <s v="United States"/>
    <s v="Tigard"/>
    <x v="21"/>
    <n v="97224"/>
    <x v="1"/>
    <x v="778"/>
    <x v="1"/>
    <x v="10"/>
    <x v="777"/>
    <x v="12"/>
    <x v="0"/>
    <x v="2"/>
  </r>
  <r>
    <n v="1637"/>
    <x v="793"/>
    <x v="35"/>
    <d v="2015-12-02T00:00:00"/>
    <s v="Standard Class"/>
    <x v="508"/>
    <s v="Natalie Webber"/>
    <x v="0"/>
    <s v="United States"/>
    <s v="Tigard"/>
    <x v="21"/>
    <n v="97224"/>
    <x v="1"/>
    <x v="749"/>
    <x v="1"/>
    <x v="4"/>
    <x v="747"/>
    <x v="1416"/>
    <x v="0"/>
    <x v="2"/>
  </r>
  <r>
    <n v="1638"/>
    <x v="793"/>
    <x v="35"/>
    <d v="2015-12-02T00:00:00"/>
    <s v="Standard Class"/>
    <x v="508"/>
    <s v="Natalie Webber"/>
    <x v="0"/>
    <s v="United States"/>
    <s v="Tigard"/>
    <x v="21"/>
    <n v="97224"/>
    <x v="1"/>
    <x v="1075"/>
    <x v="2"/>
    <x v="7"/>
    <x v="1065"/>
    <x v="1417"/>
    <x v="0"/>
    <x v="2"/>
  </r>
  <r>
    <n v="1639"/>
    <x v="794"/>
    <x v="439"/>
    <d v="2017-06-01T00:00:00"/>
    <s v="Standard Class"/>
    <x v="509"/>
    <s v="Toby Braunhardt"/>
    <x v="0"/>
    <s v="United States"/>
    <s v="Washington"/>
    <x v="40"/>
    <n v="20016"/>
    <x v="3"/>
    <x v="1076"/>
    <x v="1"/>
    <x v="10"/>
    <x v="1066"/>
    <x v="537"/>
    <x v="5"/>
    <x v="0"/>
  </r>
  <r>
    <n v="1640"/>
    <x v="794"/>
    <x v="439"/>
    <d v="2017-06-01T00:00:00"/>
    <s v="Standard Class"/>
    <x v="509"/>
    <s v="Toby Braunhardt"/>
    <x v="0"/>
    <s v="United States"/>
    <s v="Washington"/>
    <x v="40"/>
    <n v="20016"/>
    <x v="3"/>
    <x v="544"/>
    <x v="1"/>
    <x v="8"/>
    <x v="544"/>
    <x v="1313"/>
    <x v="5"/>
    <x v="0"/>
  </r>
  <r>
    <n v="1641"/>
    <x v="794"/>
    <x v="439"/>
    <d v="2017-06-01T00:00:00"/>
    <s v="Standard Class"/>
    <x v="509"/>
    <s v="Toby Braunhardt"/>
    <x v="0"/>
    <s v="United States"/>
    <s v="Washington"/>
    <x v="40"/>
    <n v="20016"/>
    <x v="3"/>
    <x v="69"/>
    <x v="1"/>
    <x v="10"/>
    <x v="69"/>
    <x v="1418"/>
    <x v="5"/>
    <x v="0"/>
  </r>
  <r>
    <n v="1642"/>
    <x v="794"/>
    <x v="439"/>
    <d v="2017-06-01T00:00:00"/>
    <s v="Standard Class"/>
    <x v="509"/>
    <s v="Toby Braunhardt"/>
    <x v="0"/>
    <s v="United States"/>
    <s v="Washington"/>
    <x v="40"/>
    <n v="20016"/>
    <x v="3"/>
    <x v="93"/>
    <x v="0"/>
    <x v="5"/>
    <x v="93"/>
    <x v="1419"/>
    <x v="5"/>
    <x v="0"/>
  </r>
  <r>
    <n v="1643"/>
    <x v="795"/>
    <x v="503"/>
    <d v="2015-12-04T00:00:00"/>
    <s v="Standard Class"/>
    <x v="510"/>
    <s v="Bill Stewart"/>
    <x v="1"/>
    <s v="United States"/>
    <s v="Skokie"/>
    <x v="10"/>
    <n v="60076"/>
    <x v="2"/>
    <x v="550"/>
    <x v="1"/>
    <x v="13"/>
    <x v="128"/>
    <x v="1420"/>
    <x v="0"/>
    <x v="2"/>
  </r>
  <r>
    <n v="1644"/>
    <x v="796"/>
    <x v="531"/>
    <d v="2016-03-20T00:00:00"/>
    <s v="First Class"/>
    <x v="92"/>
    <s v="Fred Hopkins"/>
    <x v="1"/>
    <s v="United States"/>
    <s v="Seattle"/>
    <x v="4"/>
    <n v="98115"/>
    <x v="1"/>
    <x v="403"/>
    <x v="1"/>
    <x v="4"/>
    <x v="404"/>
    <x v="1421"/>
    <x v="10"/>
    <x v="1"/>
  </r>
  <r>
    <n v="1645"/>
    <x v="796"/>
    <x v="531"/>
    <d v="2016-03-20T00:00:00"/>
    <s v="First Class"/>
    <x v="92"/>
    <s v="Fred Hopkins"/>
    <x v="1"/>
    <s v="United States"/>
    <s v="Seattle"/>
    <x v="4"/>
    <n v="98115"/>
    <x v="1"/>
    <x v="1077"/>
    <x v="2"/>
    <x v="16"/>
    <x v="1067"/>
    <x v="1422"/>
    <x v="10"/>
    <x v="1"/>
  </r>
  <r>
    <n v="1646"/>
    <x v="796"/>
    <x v="531"/>
    <d v="2016-03-20T00:00:00"/>
    <s v="First Class"/>
    <x v="92"/>
    <s v="Fred Hopkins"/>
    <x v="1"/>
    <s v="United States"/>
    <s v="Seattle"/>
    <x v="4"/>
    <n v="98115"/>
    <x v="1"/>
    <x v="1078"/>
    <x v="1"/>
    <x v="10"/>
    <x v="1068"/>
    <x v="1423"/>
    <x v="10"/>
    <x v="1"/>
  </r>
  <r>
    <n v="1647"/>
    <x v="797"/>
    <x v="549"/>
    <d v="2016-11-03T00:00:00"/>
    <s v="First Class"/>
    <x v="91"/>
    <s v="Valerie Mitchum"/>
    <x v="2"/>
    <s v="United States"/>
    <s v="Philadelphia"/>
    <x v="9"/>
    <n v="19140"/>
    <x v="3"/>
    <x v="176"/>
    <x v="2"/>
    <x v="11"/>
    <x v="177"/>
    <x v="1424"/>
    <x v="0"/>
    <x v="1"/>
  </r>
  <r>
    <n v="1648"/>
    <x v="797"/>
    <x v="549"/>
    <d v="2016-11-03T00:00:00"/>
    <s v="First Class"/>
    <x v="91"/>
    <s v="Valerie Mitchum"/>
    <x v="2"/>
    <s v="United States"/>
    <s v="Philadelphia"/>
    <x v="9"/>
    <n v="19140"/>
    <x v="3"/>
    <x v="1079"/>
    <x v="1"/>
    <x v="13"/>
    <x v="1069"/>
    <x v="754"/>
    <x v="0"/>
    <x v="1"/>
  </r>
  <r>
    <n v="1649"/>
    <x v="798"/>
    <x v="120"/>
    <d v="2016-09-29T00:00:00"/>
    <s v="Second Class"/>
    <x v="227"/>
    <s v="Sarah Foster"/>
    <x v="0"/>
    <s v="United States"/>
    <s v="Philadelphia"/>
    <x v="9"/>
    <n v="19143"/>
    <x v="3"/>
    <x v="1080"/>
    <x v="1"/>
    <x v="8"/>
    <x v="1070"/>
    <x v="1425"/>
    <x v="8"/>
    <x v="1"/>
  </r>
  <r>
    <n v="1650"/>
    <x v="798"/>
    <x v="120"/>
    <d v="2016-09-29T00:00:00"/>
    <s v="Second Class"/>
    <x v="227"/>
    <s v="Sarah Foster"/>
    <x v="0"/>
    <s v="United States"/>
    <s v="Philadelphia"/>
    <x v="9"/>
    <n v="19143"/>
    <x v="3"/>
    <x v="1081"/>
    <x v="2"/>
    <x v="7"/>
    <x v="1071"/>
    <x v="1426"/>
    <x v="8"/>
    <x v="1"/>
  </r>
  <r>
    <n v="1651"/>
    <x v="799"/>
    <x v="550"/>
    <d v="2015-08-29T00:00:00"/>
    <s v="Same Day"/>
    <x v="511"/>
    <s v="Hilary Holden"/>
    <x v="1"/>
    <s v="United States"/>
    <s v="San Francisco"/>
    <x v="1"/>
    <n v="94110"/>
    <x v="1"/>
    <x v="1082"/>
    <x v="1"/>
    <x v="10"/>
    <x v="1072"/>
    <x v="1427"/>
    <x v="6"/>
    <x v="2"/>
  </r>
  <r>
    <n v="1652"/>
    <x v="799"/>
    <x v="550"/>
    <d v="2015-08-29T00:00:00"/>
    <s v="Same Day"/>
    <x v="511"/>
    <s v="Hilary Holden"/>
    <x v="1"/>
    <s v="United States"/>
    <s v="San Francisco"/>
    <x v="1"/>
    <n v="94110"/>
    <x v="1"/>
    <x v="1083"/>
    <x v="1"/>
    <x v="10"/>
    <x v="1073"/>
    <x v="518"/>
    <x v="6"/>
    <x v="2"/>
  </r>
  <r>
    <n v="1653"/>
    <x v="800"/>
    <x v="551"/>
    <d v="2018-11-21T00:00:00"/>
    <s v="First Class"/>
    <x v="512"/>
    <s v="Christina DeMoss"/>
    <x v="0"/>
    <s v="United States"/>
    <s v="Seattle"/>
    <x v="4"/>
    <n v="98105"/>
    <x v="1"/>
    <x v="86"/>
    <x v="1"/>
    <x v="4"/>
    <x v="86"/>
    <x v="1428"/>
    <x v="0"/>
    <x v="3"/>
  </r>
  <r>
    <n v="1654"/>
    <x v="800"/>
    <x v="551"/>
    <d v="2018-11-21T00:00:00"/>
    <s v="First Class"/>
    <x v="512"/>
    <s v="Christina DeMoss"/>
    <x v="0"/>
    <s v="United States"/>
    <s v="Seattle"/>
    <x v="4"/>
    <n v="98105"/>
    <x v="1"/>
    <x v="217"/>
    <x v="2"/>
    <x v="11"/>
    <x v="463"/>
    <x v="608"/>
    <x v="0"/>
    <x v="3"/>
  </r>
  <r>
    <n v="1655"/>
    <x v="800"/>
    <x v="551"/>
    <d v="2018-11-21T00:00:00"/>
    <s v="First Class"/>
    <x v="512"/>
    <s v="Christina DeMoss"/>
    <x v="0"/>
    <s v="United States"/>
    <s v="Seattle"/>
    <x v="4"/>
    <n v="98105"/>
    <x v="1"/>
    <x v="1084"/>
    <x v="1"/>
    <x v="13"/>
    <x v="1074"/>
    <x v="366"/>
    <x v="0"/>
    <x v="3"/>
  </r>
  <r>
    <n v="1656"/>
    <x v="800"/>
    <x v="551"/>
    <d v="2018-11-21T00:00:00"/>
    <s v="First Class"/>
    <x v="512"/>
    <s v="Christina DeMoss"/>
    <x v="0"/>
    <s v="United States"/>
    <s v="Seattle"/>
    <x v="4"/>
    <n v="98105"/>
    <x v="1"/>
    <x v="1085"/>
    <x v="1"/>
    <x v="8"/>
    <x v="1075"/>
    <x v="578"/>
    <x v="0"/>
    <x v="3"/>
  </r>
  <r>
    <n v="1657"/>
    <x v="800"/>
    <x v="551"/>
    <d v="2018-11-21T00:00:00"/>
    <s v="First Class"/>
    <x v="512"/>
    <s v="Christina DeMoss"/>
    <x v="0"/>
    <s v="United States"/>
    <s v="Seattle"/>
    <x v="4"/>
    <n v="98105"/>
    <x v="1"/>
    <x v="911"/>
    <x v="1"/>
    <x v="4"/>
    <x v="903"/>
    <x v="1429"/>
    <x v="0"/>
    <x v="3"/>
  </r>
  <r>
    <n v="1658"/>
    <x v="801"/>
    <x v="552"/>
    <d v="2015-05-15T00:00:00"/>
    <s v="First Class"/>
    <x v="332"/>
    <s v="Hunter Lopez"/>
    <x v="0"/>
    <s v="United States"/>
    <s v="Milwaukee"/>
    <x v="6"/>
    <n v="53209"/>
    <x v="2"/>
    <x v="527"/>
    <x v="0"/>
    <x v="5"/>
    <x v="527"/>
    <x v="1430"/>
    <x v="5"/>
    <x v="2"/>
  </r>
  <r>
    <n v="1659"/>
    <x v="802"/>
    <x v="176"/>
    <d v="2018-01-26T00:00:00"/>
    <s v="Standard Class"/>
    <x v="513"/>
    <s v="Thea Hendricks"/>
    <x v="0"/>
    <s v="United States"/>
    <s v="Los Angeles"/>
    <x v="1"/>
    <n v="90045"/>
    <x v="1"/>
    <x v="1086"/>
    <x v="2"/>
    <x v="7"/>
    <x v="1076"/>
    <x v="1431"/>
    <x v="9"/>
    <x v="3"/>
  </r>
  <r>
    <n v="1660"/>
    <x v="803"/>
    <x v="505"/>
    <d v="2018-11-06T00:00:00"/>
    <s v="Standard Class"/>
    <x v="514"/>
    <s v="Michelle Moray"/>
    <x v="0"/>
    <s v="United States"/>
    <s v="Seattle"/>
    <x v="4"/>
    <n v="98115"/>
    <x v="1"/>
    <x v="805"/>
    <x v="1"/>
    <x v="8"/>
    <x v="803"/>
    <x v="1279"/>
    <x v="2"/>
    <x v="3"/>
  </r>
  <r>
    <n v="1661"/>
    <x v="803"/>
    <x v="505"/>
    <d v="2018-11-06T00:00:00"/>
    <s v="Standard Class"/>
    <x v="514"/>
    <s v="Michelle Moray"/>
    <x v="0"/>
    <s v="United States"/>
    <s v="Seattle"/>
    <x v="4"/>
    <n v="98115"/>
    <x v="1"/>
    <x v="844"/>
    <x v="1"/>
    <x v="8"/>
    <x v="838"/>
    <x v="1150"/>
    <x v="2"/>
    <x v="3"/>
  </r>
  <r>
    <n v="1662"/>
    <x v="804"/>
    <x v="504"/>
    <d v="2018-05-06T00:00:00"/>
    <s v="Standard Class"/>
    <x v="425"/>
    <s v="Quincy Jones"/>
    <x v="1"/>
    <s v="United States"/>
    <s v="Philadelphia"/>
    <x v="9"/>
    <n v="19143"/>
    <x v="3"/>
    <x v="944"/>
    <x v="2"/>
    <x v="7"/>
    <x v="937"/>
    <x v="1186"/>
    <x v="3"/>
    <x v="3"/>
  </r>
  <r>
    <n v="1663"/>
    <x v="804"/>
    <x v="504"/>
    <d v="2018-05-06T00:00:00"/>
    <s v="Standard Class"/>
    <x v="425"/>
    <s v="Quincy Jones"/>
    <x v="1"/>
    <s v="United States"/>
    <s v="Philadelphia"/>
    <x v="9"/>
    <n v="19143"/>
    <x v="3"/>
    <x v="1087"/>
    <x v="1"/>
    <x v="8"/>
    <x v="1077"/>
    <x v="1432"/>
    <x v="3"/>
    <x v="3"/>
  </r>
  <r>
    <n v="1664"/>
    <x v="805"/>
    <x v="390"/>
    <d v="2017-11-26T00:00:00"/>
    <s v="Second Class"/>
    <x v="515"/>
    <s v="Neola Schneider"/>
    <x v="0"/>
    <s v="United States"/>
    <s v="Dallas"/>
    <x v="5"/>
    <n v="75217"/>
    <x v="2"/>
    <x v="470"/>
    <x v="1"/>
    <x v="4"/>
    <x v="471"/>
    <x v="1433"/>
    <x v="0"/>
    <x v="0"/>
  </r>
  <r>
    <n v="1665"/>
    <x v="805"/>
    <x v="390"/>
    <d v="2017-11-26T00:00:00"/>
    <s v="Second Class"/>
    <x v="515"/>
    <s v="Neola Schneider"/>
    <x v="0"/>
    <s v="United States"/>
    <s v="Dallas"/>
    <x v="5"/>
    <n v="75217"/>
    <x v="2"/>
    <x v="695"/>
    <x v="2"/>
    <x v="11"/>
    <x v="695"/>
    <x v="1434"/>
    <x v="0"/>
    <x v="0"/>
  </r>
  <r>
    <n v="1666"/>
    <x v="805"/>
    <x v="390"/>
    <d v="2017-11-26T00:00:00"/>
    <s v="Second Class"/>
    <x v="515"/>
    <s v="Neola Schneider"/>
    <x v="0"/>
    <s v="United States"/>
    <s v="Dallas"/>
    <x v="5"/>
    <n v="75217"/>
    <x v="2"/>
    <x v="1088"/>
    <x v="1"/>
    <x v="13"/>
    <x v="1078"/>
    <x v="1435"/>
    <x v="0"/>
    <x v="0"/>
  </r>
  <r>
    <n v="1667"/>
    <x v="805"/>
    <x v="390"/>
    <d v="2017-11-26T00:00:00"/>
    <s v="Second Class"/>
    <x v="515"/>
    <s v="Neola Schneider"/>
    <x v="0"/>
    <s v="United States"/>
    <s v="Dallas"/>
    <x v="5"/>
    <n v="75217"/>
    <x v="2"/>
    <x v="1089"/>
    <x v="2"/>
    <x v="11"/>
    <x v="1079"/>
    <x v="1436"/>
    <x v="0"/>
    <x v="0"/>
  </r>
  <r>
    <n v="1668"/>
    <x v="805"/>
    <x v="390"/>
    <d v="2017-11-26T00:00:00"/>
    <s v="Second Class"/>
    <x v="515"/>
    <s v="Neola Schneider"/>
    <x v="0"/>
    <s v="United States"/>
    <s v="Dallas"/>
    <x v="5"/>
    <n v="75217"/>
    <x v="2"/>
    <x v="1090"/>
    <x v="1"/>
    <x v="10"/>
    <x v="1080"/>
    <x v="1339"/>
    <x v="0"/>
    <x v="0"/>
  </r>
  <r>
    <n v="1669"/>
    <x v="805"/>
    <x v="390"/>
    <d v="2017-11-26T00:00:00"/>
    <s v="Second Class"/>
    <x v="515"/>
    <s v="Neola Schneider"/>
    <x v="0"/>
    <s v="United States"/>
    <s v="Dallas"/>
    <x v="5"/>
    <n v="75217"/>
    <x v="2"/>
    <x v="628"/>
    <x v="1"/>
    <x v="6"/>
    <x v="628"/>
    <x v="1215"/>
    <x v="0"/>
    <x v="0"/>
  </r>
  <r>
    <n v="1670"/>
    <x v="806"/>
    <x v="553"/>
    <d v="2016-01-15T00:00:00"/>
    <s v="Standard Class"/>
    <x v="462"/>
    <s v="Michael Moore"/>
    <x v="0"/>
    <s v="United States"/>
    <s v="New York City"/>
    <x v="15"/>
    <n v="10011"/>
    <x v="3"/>
    <x v="411"/>
    <x v="0"/>
    <x v="3"/>
    <x v="411"/>
    <x v="1437"/>
    <x v="9"/>
    <x v="1"/>
  </r>
  <r>
    <n v="1671"/>
    <x v="807"/>
    <x v="15"/>
    <d v="2018-10-26T00:00:00"/>
    <s v="Standard Class"/>
    <x v="502"/>
    <s v="Rick Duston"/>
    <x v="0"/>
    <s v="United States"/>
    <s v="Houston"/>
    <x v="5"/>
    <n v="77095"/>
    <x v="2"/>
    <x v="1091"/>
    <x v="2"/>
    <x v="7"/>
    <x v="1081"/>
    <x v="1438"/>
    <x v="2"/>
    <x v="3"/>
  </r>
  <r>
    <n v="1672"/>
    <x v="808"/>
    <x v="554"/>
    <d v="2017-03-25T00:00:00"/>
    <s v="First Class"/>
    <x v="516"/>
    <s v="Robert Barroso"/>
    <x v="1"/>
    <s v="United States"/>
    <s v="North Las Vegas"/>
    <x v="33"/>
    <n v="89031"/>
    <x v="1"/>
    <x v="825"/>
    <x v="2"/>
    <x v="11"/>
    <x v="821"/>
    <x v="1439"/>
    <x v="10"/>
    <x v="0"/>
  </r>
  <r>
    <n v="1673"/>
    <x v="809"/>
    <x v="445"/>
    <d v="2018-07-07T00:00:00"/>
    <s v="Standard Class"/>
    <x v="361"/>
    <s v="Rob Dowd"/>
    <x v="0"/>
    <s v="United States"/>
    <s v="Plano"/>
    <x v="5"/>
    <n v="75023"/>
    <x v="2"/>
    <x v="66"/>
    <x v="2"/>
    <x v="7"/>
    <x v="66"/>
    <x v="68"/>
    <x v="7"/>
    <x v="3"/>
  </r>
  <r>
    <n v="1674"/>
    <x v="810"/>
    <x v="555"/>
    <d v="2016-12-12T00:00:00"/>
    <s v="First Class"/>
    <x v="517"/>
    <s v="Shaun Weien"/>
    <x v="0"/>
    <s v="United States"/>
    <s v="Suffolk"/>
    <x v="17"/>
    <n v="23434"/>
    <x v="0"/>
    <x v="508"/>
    <x v="1"/>
    <x v="2"/>
    <x v="508"/>
    <x v="1440"/>
    <x v="4"/>
    <x v="1"/>
  </r>
  <r>
    <n v="1675"/>
    <x v="811"/>
    <x v="14"/>
    <d v="2016-09-21T00:00:00"/>
    <s v="Standard Class"/>
    <x v="245"/>
    <s v="Sylvia Foulston"/>
    <x v="1"/>
    <s v="United States"/>
    <s v="Houston"/>
    <x v="5"/>
    <n v="77041"/>
    <x v="2"/>
    <x v="905"/>
    <x v="0"/>
    <x v="5"/>
    <x v="897"/>
    <x v="1441"/>
    <x v="8"/>
    <x v="1"/>
  </r>
  <r>
    <n v="1676"/>
    <x v="811"/>
    <x v="14"/>
    <d v="2016-09-21T00:00:00"/>
    <s v="Standard Class"/>
    <x v="245"/>
    <s v="Sylvia Foulston"/>
    <x v="1"/>
    <s v="United States"/>
    <s v="Houston"/>
    <x v="5"/>
    <n v="77041"/>
    <x v="2"/>
    <x v="1045"/>
    <x v="1"/>
    <x v="8"/>
    <x v="1034"/>
    <x v="1442"/>
    <x v="8"/>
    <x v="1"/>
  </r>
  <r>
    <n v="1677"/>
    <x v="812"/>
    <x v="556"/>
    <d v="2017-05-24T00:00:00"/>
    <s v="Standard Class"/>
    <x v="518"/>
    <s v="Eric Barreto"/>
    <x v="0"/>
    <s v="United States"/>
    <s v="San Francisco"/>
    <x v="1"/>
    <n v="94110"/>
    <x v="1"/>
    <x v="54"/>
    <x v="1"/>
    <x v="4"/>
    <x v="54"/>
    <x v="1443"/>
    <x v="5"/>
    <x v="0"/>
  </r>
  <r>
    <n v="1678"/>
    <x v="812"/>
    <x v="556"/>
    <d v="2017-05-24T00:00:00"/>
    <s v="Standard Class"/>
    <x v="518"/>
    <s v="Eric Barreto"/>
    <x v="0"/>
    <s v="United States"/>
    <s v="San Francisco"/>
    <x v="1"/>
    <n v="94110"/>
    <x v="1"/>
    <x v="99"/>
    <x v="1"/>
    <x v="10"/>
    <x v="99"/>
    <x v="1444"/>
    <x v="5"/>
    <x v="0"/>
  </r>
  <r>
    <n v="1679"/>
    <x v="813"/>
    <x v="557"/>
    <d v="2015-09-13T00:00:00"/>
    <s v="Standard Class"/>
    <x v="115"/>
    <s v="Sean Braxton"/>
    <x v="1"/>
    <s v="United States"/>
    <s v="Philadelphia"/>
    <x v="9"/>
    <n v="19134"/>
    <x v="3"/>
    <x v="871"/>
    <x v="1"/>
    <x v="4"/>
    <x v="865"/>
    <x v="1445"/>
    <x v="8"/>
    <x v="2"/>
  </r>
  <r>
    <n v="1680"/>
    <x v="813"/>
    <x v="557"/>
    <d v="2015-09-13T00:00:00"/>
    <s v="Standard Class"/>
    <x v="115"/>
    <s v="Sean Braxton"/>
    <x v="1"/>
    <s v="United States"/>
    <s v="Philadelphia"/>
    <x v="9"/>
    <n v="19134"/>
    <x v="3"/>
    <x v="831"/>
    <x v="2"/>
    <x v="7"/>
    <x v="826"/>
    <x v="1446"/>
    <x v="8"/>
    <x v="2"/>
  </r>
  <r>
    <n v="1681"/>
    <x v="813"/>
    <x v="557"/>
    <d v="2015-09-13T00:00:00"/>
    <s v="Standard Class"/>
    <x v="115"/>
    <s v="Sean Braxton"/>
    <x v="1"/>
    <s v="United States"/>
    <s v="Philadelphia"/>
    <x v="9"/>
    <n v="19134"/>
    <x v="3"/>
    <x v="1092"/>
    <x v="0"/>
    <x v="5"/>
    <x v="1082"/>
    <x v="1447"/>
    <x v="8"/>
    <x v="2"/>
  </r>
  <r>
    <n v="1682"/>
    <x v="813"/>
    <x v="557"/>
    <d v="2015-09-13T00:00:00"/>
    <s v="Standard Class"/>
    <x v="115"/>
    <s v="Sean Braxton"/>
    <x v="1"/>
    <s v="United States"/>
    <s v="Philadelphia"/>
    <x v="9"/>
    <n v="19134"/>
    <x v="3"/>
    <x v="1093"/>
    <x v="2"/>
    <x v="15"/>
    <x v="1083"/>
    <x v="1448"/>
    <x v="8"/>
    <x v="2"/>
  </r>
  <r>
    <n v="1683"/>
    <x v="814"/>
    <x v="321"/>
    <d v="2017-10-01T00:00:00"/>
    <s v="Second Class"/>
    <x v="519"/>
    <s v="Pamela Stobb"/>
    <x v="0"/>
    <s v="United States"/>
    <s v="Los Angeles"/>
    <x v="1"/>
    <n v="90008"/>
    <x v="1"/>
    <x v="640"/>
    <x v="1"/>
    <x v="10"/>
    <x v="640"/>
    <x v="1449"/>
    <x v="8"/>
    <x v="0"/>
  </r>
  <r>
    <n v="1684"/>
    <x v="815"/>
    <x v="77"/>
    <d v="2017-11-12T00:00:00"/>
    <s v="Standard Class"/>
    <x v="118"/>
    <s v="Claudia Bergmann"/>
    <x v="1"/>
    <s v="United States"/>
    <s v="San Francisco"/>
    <x v="1"/>
    <n v="94110"/>
    <x v="1"/>
    <x v="627"/>
    <x v="0"/>
    <x v="5"/>
    <x v="627"/>
    <x v="1450"/>
    <x v="0"/>
    <x v="0"/>
  </r>
  <r>
    <n v="1685"/>
    <x v="816"/>
    <x v="558"/>
    <d v="2018-04-27T00:00:00"/>
    <s v="First Class"/>
    <x v="460"/>
    <s v="Damala Kotsonis"/>
    <x v="1"/>
    <s v="United States"/>
    <s v="Philadelphia"/>
    <x v="9"/>
    <n v="19143"/>
    <x v="3"/>
    <x v="1094"/>
    <x v="1"/>
    <x v="9"/>
    <x v="1084"/>
    <x v="1451"/>
    <x v="3"/>
    <x v="3"/>
  </r>
  <r>
    <n v="1686"/>
    <x v="816"/>
    <x v="558"/>
    <d v="2018-04-27T00:00:00"/>
    <s v="First Class"/>
    <x v="460"/>
    <s v="Damala Kotsonis"/>
    <x v="1"/>
    <s v="United States"/>
    <s v="Philadelphia"/>
    <x v="9"/>
    <n v="19143"/>
    <x v="3"/>
    <x v="922"/>
    <x v="1"/>
    <x v="8"/>
    <x v="914"/>
    <x v="1452"/>
    <x v="3"/>
    <x v="3"/>
  </r>
  <r>
    <n v="1687"/>
    <x v="816"/>
    <x v="558"/>
    <d v="2018-04-27T00:00:00"/>
    <s v="First Class"/>
    <x v="460"/>
    <s v="Damala Kotsonis"/>
    <x v="1"/>
    <s v="United States"/>
    <s v="Philadelphia"/>
    <x v="9"/>
    <n v="19143"/>
    <x v="3"/>
    <x v="1095"/>
    <x v="1"/>
    <x v="8"/>
    <x v="1085"/>
    <x v="1453"/>
    <x v="3"/>
    <x v="3"/>
  </r>
  <r>
    <n v="1688"/>
    <x v="817"/>
    <x v="389"/>
    <d v="2018-12-12T00:00:00"/>
    <s v="First Class"/>
    <x v="497"/>
    <s v="Anthony Witt"/>
    <x v="0"/>
    <s v="United States"/>
    <s v="Philadelphia"/>
    <x v="9"/>
    <n v="19140"/>
    <x v="3"/>
    <x v="739"/>
    <x v="1"/>
    <x v="10"/>
    <x v="738"/>
    <x v="559"/>
    <x v="4"/>
    <x v="3"/>
  </r>
  <r>
    <n v="1689"/>
    <x v="817"/>
    <x v="389"/>
    <d v="2018-12-12T00:00:00"/>
    <s v="First Class"/>
    <x v="497"/>
    <s v="Anthony Witt"/>
    <x v="0"/>
    <s v="United States"/>
    <s v="Philadelphia"/>
    <x v="9"/>
    <n v="19140"/>
    <x v="3"/>
    <x v="622"/>
    <x v="0"/>
    <x v="5"/>
    <x v="622"/>
    <x v="715"/>
    <x v="4"/>
    <x v="3"/>
  </r>
  <r>
    <n v="1690"/>
    <x v="818"/>
    <x v="559"/>
    <d v="2015-08-20T00:00:00"/>
    <s v="Standard Class"/>
    <x v="59"/>
    <s v="Troy Staebel"/>
    <x v="0"/>
    <s v="United States"/>
    <s v="Philadelphia"/>
    <x v="9"/>
    <n v="19143"/>
    <x v="3"/>
    <x v="10"/>
    <x v="0"/>
    <x v="3"/>
    <x v="10"/>
    <x v="1454"/>
    <x v="6"/>
    <x v="2"/>
  </r>
  <r>
    <n v="1691"/>
    <x v="819"/>
    <x v="34"/>
    <d v="2018-12-15T00:00:00"/>
    <s v="Standard Class"/>
    <x v="520"/>
    <s v="Herbert Flentye"/>
    <x v="0"/>
    <s v="United States"/>
    <s v="Indianapolis"/>
    <x v="14"/>
    <n v="46203"/>
    <x v="2"/>
    <x v="1070"/>
    <x v="1"/>
    <x v="10"/>
    <x v="1059"/>
    <x v="1455"/>
    <x v="4"/>
    <x v="3"/>
  </r>
  <r>
    <n v="1692"/>
    <x v="819"/>
    <x v="34"/>
    <d v="2018-12-15T00:00:00"/>
    <s v="Standard Class"/>
    <x v="520"/>
    <s v="Herbert Flentye"/>
    <x v="0"/>
    <s v="United States"/>
    <s v="Indianapolis"/>
    <x v="14"/>
    <n v="46203"/>
    <x v="2"/>
    <x v="73"/>
    <x v="1"/>
    <x v="8"/>
    <x v="73"/>
    <x v="1456"/>
    <x v="4"/>
    <x v="3"/>
  </r>
  <r>
    <n v="1693"/>
    <x v="820"/>
    <x v="560"/>
    <d v="2017-03-19T00:00:00"/>
    <s v="Standard Class"/>
    <x v="521"/>
    <s v="Henia Zydlo"/>
    <x v="0"/>
    <s v="United States"/>
    <s v="Columbus"/>
    <x v="24"/>
    <n v="43229"/>
    <x v="3"/>
    <x v="493"/>
    <x v="0"/>
    <x v="5"/>
    <x v="493"/>
    <x v="870"/>
    <x v="10"/>
    <x v="0"/>
  </r>
  <r>
    <n v="1694"/>
    <x v="821"/>
    <x v="190"/>
    <d v="2017-06-29T00:00:00"/>
    <s v="Second Class"/>
    <x v="437"/>
    <s v="Alejandro Ballentine"/>
    <x v="2"/>
    <s v="United States"/>
    <s v="Plano"/>
    <x v="5"/>
    <n v="75023"/>
    <x v="2"/>
    <x v="1096"/>
    <x v="2"/>
    <x v="11"/>
    <x v="1086"/>
    <x v="1457"/>
    <x v="1"/>
    <x v="0"/>
  </r>
  <r>
    <n v="1695"/>
    <x v="822"/>
    <x v="12"/>
    <d v="2016-09-28T00:00:00"/>
    <s v="Second Class"/>
    <x v="285"/>
    <s v="Phillina Ober"/>
    <x v="2"/>
    <s v="United States"/>
    <s v="Bayonne"/>
    <x v="30"/>
    <n v="7002"/>
    <x v="3"/>
    <x v="1097"/>
    <x v="2"/>
    <x v="11"/>
    <x v="1087"/>
    <x v="1458"/>
    <x v="8"/>
    <x v="1"/>
  </r>
  <r>
    <n v="1696"/>
    <x v="822"/>
    <x v="12"/>
    <d v="2016-09-28T00:00:00"/>
    <s v="Second Class"/>
    <x v="285"/>
    <s v="Phillina Ober"/>
    <x v="2"/>
    <s v="United States"/>
    <s v="Bayonne"/>
    <x v="30"/>
    <n v="7002"/>
    <x v="3"/>
    <x v="308"/>
    <x v="1"/>
    <x v="8"/>
    <x v="308"/>
    <x v="1459"/>
    <x v="8"/>
    <x v="1"/>
  </r>
  <r>
    <n v="1697"/>
    <x v="822"/>
    <x v="12"/>
    <d v="2016-09-28T00:00:00"/>
    <s v="Second Class"/>
    <x v="285"/>
    <s v="Phillina Ober"/>
    <x v="2"/>
    <s v="United States"/>
    <s v="Bayonne"/>
    <x v="30"/>
    <n v="7002"/>
    <x v="3"/>
    <x v="66"/>
    <x v="2"/>
    <x v="7"/>
    <x v="66"/>
    <x v="1460"/>
    <x v="8"/>
    <x v="1"/>
  </r>
  <r>
    <n v="1698"/>
    <x v="823"/>
    <x v="17"/>
    <d v="2016-12-31T00:00:00"/>
    <s v="Standard Class"/>
    <x v="151"/>
    <s v="Arthur Gainer"/>
    <x v="0"/>
    <s v="United States"/>
    <s v="Los Angeles"/>
    <x v="1"/>
    <n v="90008"/>
    <x v="1"/>
    <x v="650"/>
    <x v="1"/>
    <x v="9"/>
    <x v="650"/>
    <x v="1461"/>
    <x v="4"/>
    <x v="1"/>
  </r>
  <r>
    <n v="1699"/>
    <x v="823"/>
    <x v="17"/>
    <d v="2016-12-31T00:00:00"/>
    <s v="Standard Class"/>
    <x v="151"/>
    <s v="Arthur Gainer"/>
    <x v="0"/>
    <s v="United States"/>
    <s v="Los Angeles"/>
    <x v="1"/>
    <n v="90008"/>
    <x v="1"/>
    <x v="1098"/>
    <x v="1"/>
    <x v="2"/>
    <x v="1088"/>
    <x v="742"/>
    <x v="4"/>
    <x v="1"/>
  </r>
  <r>
    <n v="1700"/>
    <x v="824"/>
    <x v="561"/>
    <d v="2015-06-07T00:00:00"/>
    <s v="Second Class"/>
    <x v="56"/>
    <s v="Steven Cartwright"/>
    <x v="0"/>
    <s v="United States"/>
    <s v="Seattle"/>
    <x v="4"/>
    <n v="98115"/>
    <x v="1"/>
    <x v="838"/>
    <x v="0"/>
    <x v="3"/>
    <x v="832"/>
    <x v="1462"/>
    <x v="1"/>
    <x v="2"/>
  </r>
  <r>
    <n v="1701"/>
    <x v="825"/>
    <x v="562"/>
    <d v="2016-07-15T00:00:00"/>
    <s v="Second Class"/>
    <x v="444"/>
    <s v="Natalie DeCherney"/>
    <x v="0"/>
    <s v="United States"/>
    <s v="New York City"/>
    <x v="15"/>
    <n v="10035"/>
    <x v="3"/>
    <x v="777"/>
    <x v="1"/>
    <x v="8"/>
    <x v="776"/>
    <x v="921"/>
    <x v="7"/>
    <x v="1"/>
  </r>
  <r>
    <n v="1702"/>
    <x v="825"/>
    <x v="562"/>
    <d v="2016-07-15T00:00:00"/>
    <s v="Second Class"/>
    <x v="444"/>
    <s v="Natalie DeCherney"/>
    <x v="0"/>
    <s v="United States"/>
    <s v="New York City"/>
    <x v="15"/>
    <n v="10035"/>
    <x v="3"/>
    <x v="467"/>
    <x v="0"/>
    <x v="1"/>
    <x v="468"/>
    <x v="1463"/>
    <x v="7"/>
    <x v="1"/>
  </r>
  <r>
    <n v="1703"/>
    <x v="825"/>
    <x v="562"/>
    <d v="2016-07-15T00:00:00"/>
    <s v="Second Class"/>
    <x v="444"/>
    <s v="Natalie DeCherney"/>
    <x v="0"/>
    <s v="United States"/>
    <s v="New York City"/>
    <x v="15"/>
    <n v="10035"/>
    <x v="3"/>
    <x v="811"/>
    <x v="1"/>
    <x v="10"/>
    <x v="33"/>
    <x v="739"/>
    <x v="7"/>
    <x v="1"/>
  </r>
  <r>
    <n v="1704"/>
    <x v="826"/>
    <x v="563"/>
    <d v="2015-02-06T00:00:00"/>
    <s v="Standard Class"/>
    <x v="522"/>
    <s v="Cynthia Delaney"/>
    <x v="2"/>
    <s v="United States"/>
    <s v="San Diego"/>
    <x v="1"/>
    <n v="92037"/>
    <x v="1"/>
    <x v="1099"/>
    <x v="1"/>
    <x v="13"/>
    <x v="128"/>
    <x v="1101"/>
    <x v="11"/>
    <x v="2"/>
  </r>
  <r>
    <n v="1705"/>
    <x v="827"/>
    <x v="387"/>
    <d v="2017-03-08T00:00:00"/>
    <s v="Same Day"/>
    <x v="310"/>
    <s v="Patrick Gardner"/>
    <x v="0"/>
    <s v="United States"/>
    <s v="Glendale"/>
    <x v="16"/>
    <n v="85301"/>
    <x v="1"/>
    <x v="828"/>
    <x v="1"/>
    <x v="8"/>
    <x v="824"/>
    <x v="1464"/>
    <x v="10"/>
    <x v="0"/>
  </r>
  <r>
    <n v="1706"/>
    <x v="828"/>
    <x v="6"/>
    <d v="2016-11-26T00:00:00"/>
    <s v="Standard Class"/>
    <x v="5"/>
    <s v="Irene Maddox"/>
    <x v="0"/>
    <s v="United States"/>
    <s v="Philadelphia"/>
    <x v="9"/>
    <n v="19120"/>
    <x v="3"/>
    <x v="612"/>
    <x v="1"/>
    <x v="8"/>
    <x v="612"/>
    <x v="1465"/>
    <x v="0"/>
    <x v="1"/>
  </r>
  <r>
    <n v="1707"/>
    <x v="829"/>
    <x v="505"/>
    <d v="2018-11-05T00:00:00"/>
    <s v="Standard Class"/>
    <x v="523"/>
    <s v="Jamie Kunitz"/>
    <x v="0"/>
    <s v="United States"/>
    <s v="San Francisco"/>
    <x v="1"/>
    <n v="94122"/>
    <x v="1"/>
    <x v="1100"/>
    <x v="1"/>
    <x v="2"/>
    <x v="1089"/>
    <x v="1466"/>
    <x v="2"/>
    <x v="3"/>
  </r>
  <r>
    <n v="1708"/>
    <x v="829"/>
    <x v="505"/>
    <d v="2018-11-05T00:00:00"/>
    <s v="Standard Class"/>
    <x v="523"/>
    <s v="Jamie Kunitz"/>
    <x v="0"/>
    <s v="United States"/>
    <s v="San Francisco"/>
    <x v="1"/>
    <n v="94122"/>
    <x v="1"/>
    <x v="918"/>
    <x v="2"/>
    <x v="7"/>
    <x v="910"/>
    <x v="1467"/>
    <x v="2"/>
    <x v="3"/>
  </r>
  <r>
    <n v="1709"/>
    <x v="829"/>
    <x v="505"/>
    <d v="2018-11-05T00:00:00"/>
    <s v="Standard Class"/>
    <x v="523"/>
    <s v="Jamie Kunitz"/>
    <x v="0"/>
    <s v="United States"/>
    <s v="San Francisco"/>
    <x v="1"/>
    <n v="94122"/>
    <x v="1"/>
    <x v="1101"/>
    <x v="1"/>
    <x v="10"/>
    <x v="1090"/>
    <x v="1468"/>
    <x v="2"/>
    <x v="3"/>
  </r>
  <r>
    <n v="1710"/>
    <x v="829"/>
    <x v="505"/>
    <d v="2018-11-05T00:00:00"/>
    <s v="Standard Class"/>
    <x v="523"/>
    <s v="Jamie Kunitz"/>
    <x v="0"/>
    <s v="United States"/>
    <s v="San Francisco"/>
    <x v="1"/>
    <n v="94122"/>
    <x v="1"/>
    <x v="51"/>
    <x v="0"/>
    <x v="1"/>
    <x v="51"/>
    <x v="1469"/>
    <x v="2"/>
    <x v="3"/>
  </r>
  <r>
    <n v="1711"/>
    <x v="829"/>
    <x v="505"/>
    <d v="2018-11-05T00:00:00"/>
    <s v="Standard Class"/>
    <x v="523"/>
    <s v="Jamie Kunitz"/>
    <x v="0"/>
    <s v="United States"/>
    <s v="San Francisco"/>
    <x v="1"/>
    <n v="94122"/>
    <x v="1"/>
    <x v="181"/>
    <x v="1"/>
    <x v="6"/>
    <x v="182"/>
    <x v="189"/>
    <x v="2"/>
    <x v="3"/>
  </r>
  <r>
    <n v="1712"/>
    <x v="829"/>
    <x v="505"/>
    <d v="2018-11-05T00:00:00"/>
    <s v="Standard Class"/>
    <x v="523"/>
    <s v="Jamie Kunitz"/>
    <x v="0"/>
    <s v="United States"/>
    <s v="San Francisco"/>
    <x v="1"/>
    <n v="94122"/>
    <x v="1"/>
    <x v="166"/>
    <x v="1"/>
    <x v="9"/>
    <x v="167"/>
    <x v="1470"/>
    <x v="2"/>
    <x v="3"/>
  </r>
  <r>
    <n v="1713"/>
    <x v="830"/>
    <x v="564"/>
    <d v="2016-02-04T00:00:00"/>
    <s v="Standard Class"/>
    <x v="187"/>
    <s v="Jeremy Pistek"/>
    <x v="0"/>
    <s v="United States"/>
    <s v="Houston"/>
    <x v="5"/>
    <n v="77070"/>
    <x v="2"/>
    <x v="1102"/>
    <x v="1"/>
    <x v="10"/>
    <x v="1091"/>
    <x v="1471"/>
    <x v="9"/>
    <x v="1"/>
  </r>
  <r>
    <n v="1714"/>
    <x v="831"/>
    <x v="565"/>
    <d v="2018-09-13T00:00:00"/>
    <s v="Second Class"/>
    <x v="514"/>
    <s v="Michelle Moray"/>
    <x v="0"/>
    <s v="United States"/>
    <s v="Chicago"/>
    <x v="10"/>
    <n v="60610"/>
    <x v="2"/>
    <x v="188"/>
    <x v="0"/>
    <x v="3"/>
    <x v="189"/>
    <x v="1472"/>
    <x v="8"/>
    <x v="3"/>
  </r>
  <r>
    <n v="1715"/>
    <x v="832"/>
    <x v="566"/>
    <d v="2018-10-13T00:00:00"/>
    <s v="Standard Class"/>
    <x v="290"/>
    <s v="Debra Catini"/>
    <x v="0"/>
    <s v="United States"/>
    <s v="San Francisco"/>
    <x v="1"/>
    <n v="94110"/>
    <x v="1"/>
    <x v="1103"/>
    <x v="0"/>
    <x v="0"/>
    <x v="1092"/>
    <x v="1473"/>
    <x v="2"/>
    <x v="3"/>
  </r>
  <r>
    <n v="1716"/>
    <x v="833"/>
    <x v="567"/>
    <d v="2017-05-04T00:00:00"/>
    <s v="Standard Class"/>
    <x v="252"/>
    <s v="John Lee"/>
    <x v="0"/>
    <s v="United States"/>
    <s v="New York City"/>
    <x v="15"/>
    <n v="10011"/>
    <x v="3"/>
    <x v="308"/>
    <x v="1"/>
    <x v="8"/>
    <x v="308"/>
    <x v="323"/>
    <x v="3"/>
    <x v="0"/>
  </r>
  <r>
    <n v="1717"/>
    <x v="834"/>
    <x v="288"/>
    <d v="2017-05-24T00:00:00"/>
    <s v="Standard Class"/>
    <x v="202"/>
    <s v="Bradley Nguyen"/>
    <x v="0"/>
    <s v="United States"/>
    <s v="New York City"/>
    <x v="15"/>
    <n v="10011"/>
    <x v="3"/>
    <x v="535"/>
    <x v="1"/>
    <x v="9"/>
    <x v="535"/>
    <x v="1474"/>
    <x v="5"/>
    <x v="0"/>
  </r>
  <r>
    <n v="1718"/>
    <x v="834"/>
    <x v="288"/>
    <d v="2017-05-24T00:00:00"/>
    <s v="Standard Class"/>
    <x v="202"/>
    <s v="Bradley Nguyen"/>
    <x v="0"/>
    <s v="United States"/>
    <s v="New York City"/>
    <x v="15"/>
    <n v="10011"/>
    <x v="3"/>
    <x v="72"/>
    <x v="1"/>
    <x v="4"/>
    <x v="72"/>
    <x v="1475"/>
    <x v="5"/>
    <x v="0"/>
  </r>
  <r>
    <n v="1719"/>
    <x v="834"/>
    <x v="288"/>
    <d v="2017-05-24T00:00:00"/>
    <s v="Standard Class"/>
    <x v="202"/>
    <s v="Bradley Nguyen"/>
    <x v="0"/>
    <s v="United States"/>
    <s v="New York City"/>
    <x v="15"/>
    <n v="10011"/>
    <x v="3"/>
    <x v="1104"/>
    <x v="0"/>
    <x v="5"/>
    <x v="1093"/>
    <x v="1476"/>
    <x v="5"/>
    <x v="0"/>
  </r>
  <r>
    <n v="1720"/>
    <x v="834"/>
    <x v="288"/>
    <d v="2017-05-24T00:00:00"/>
    <s v="Standard Class"/>
    <x v="202"/>
    <s v="Bradley Nguyen"/>
    <x v="0"/>
    <s v="United States"/>
    <s v="New York City"/>
    <x v="15"/>
    <n v="10011"/>
    <x v="3"/>
    <x v="527"/>
    <x v="0"/>
    <x v="5"/>
    <x v="527"/>
    <x v="1477"/>
    <x v="5"/>
    <x v="0"/>
  </r>
  <r>
    <n v="1721"/>
    <x v="834"/>
    <x v="288"/>
    <d v="2017-05-24T00:00:00"/>
    <s v="Standard Class"/>
    <x v="202"/>
    <s v="Bradley Nguyen"/>
    <x v="0"/>
    <s v="United States"/>
    <s v="New York City"/>
    <x v="15"/>
    <n v="10011"/>
    <x v="3"/>
    <x v="528"/>
    <x v="1"/>
    <x v="8"/>
    <x v="528"/>
    <x v="1478"/>
    <x v="5"/>
    <x v="0"/>
  </r>
  <r>
    <n v="1722"/>
    <x v="835"/>
    <x v="139"/>
    <d v="2016-12-25T00:00:00"/>
    <s v="Standard Class"/>
    <x v="44"/>
    <s v="Katherine Ducich"/>
    <x v="0"/>
    <s v="United States"/>
    <s v="Chicago"/>
    <x v="10"/>
    <n v="60623"/>
    <x v="2"/>
    <x v="835"/>
    <x v="2"/>
    <x v="7"/>
    <x v="830"/>
    <x v="1290"/>
    <x v="4"/>
    <x v="1"/>
  </r>
  <r>
    <n v="1723"/>
    <x v="835"/>
    <x v="139"/>
    <d v="2016-12-25T00:00:00"/>
    <s v="Standard Class"/>
    <x v="44"/>
    <s v="Katherine Ducich"/>
    <x v="0"/>
    <s v="United States"/>
    <s v="Chicago"/>
    <x v="10"/>
    <n v="60623"/>
    <x v="2"/>
    <x v="1105"/>
    <x v="2"/>
    <x v="11"/>
    <x v="1094"/>
    <x v="1294"/>
    <x v="4"/>
    <x v="1"/>
  </r>
  <r>
    <n v="1724"/>
    <x v="835"/>
    <x v="139"/>
    <d v="2016-12-25T00:00:00"/>
    <s v="Standard Class"/>
    <x v="44"/>
    <s v="Katherine Ducich"/>
    <x v="0"/>
    <s v="United States"/>
    <s v="Chicago"/>
    <x v="10"/>
    <n v="60623"/>
    <x v="2"/>
    <x v="1106"/>
    <x v="0"/>
    <x v="0"/>
    <x v="1095"/>
    <x v="1387"/>
    <x v="4"/>
    <x v="1"/>
  </r>
  <r>
    <n v="1725"/>
    <x v="836"/>
    <x v="546"/>
    <d v="2016-12-20T00:00:00"/>
    <s v="First Class"/>
    <x v="271"/>
    <s v="Jay Kimmel"/>
    <x v="0"/>
    <s v="United States"/>
    <s v="Philadelphia"/>
    <x v="9"/>
    <n v="19143"/>
    <x v="3"/>
    <x v="1107"/>
    <x v="1"/>
    <x v="9"/>
    <x v="1096"/>
    <x v="1479"/>
    <x v="4"/>
    <x v="1"/>
  </r>
  <r>
    <n v="1726"/>
    <x v="836"/>
    <x v="546"/>
    <d v="2016-12-20T00:00:00"/>
    <s v="First Class"/>
    <x v="271"/>
    <s v="Jay Kimmel"/>
    <x v="0"/>
    <s v="United States"/>
    <s v="Philadelphia"/>
    <x v="9"/>
    <n v="19143"/>
    <x v="3"/>
    <x v="1108"/>
    <x v="1"/>
    <x v="9"/>
    <x v="1097"/>
    <x v="1480"/>
    <x v="4"/>
    <x v="1"/>
  </r>
  <r>
    <n v="1727"/>
    <x v="836"/>
    <x v="546"/>
    <d v="2016-12-20T00:00:00"/>
    <s v="First Class"/>
    <x v="271"/>
    <s v="Jay Kimmel"/>
    <x v="0"/>
    <s v="United States"/>
    <s v="Philadelphia"/>
    <x v="9"/>
    <n v="19143"/>
    <x v="3"/>
    <x v="1109"/>
    <x v="1"/>
    <x v="9"/>
    <x v="1098"/>
    <x v="1481"/>
    <x v="4"/>
    <x v="1"/>
  </r>
  <r>
    <n v="1728"/>
    <x v="837"/>
    <x v="568"/>
    <d v="2018-05-04T00:00:00"/>
    <s v="Second Class"/>
    <x v="524"/>
    <s v="Filia McAdams"/>
    <x v="1"/>
    <s v="United States"/>
    <s v="Dublin"/>
    <x v="24"/>
    <n v="43017"/>
    <x v="3"/>
    <x v="1110"/>
    <x v="0"/>
    <x v="3"/>
    <x v="1099"/>
    <x v="1482"/>
    <x v="3"/>
    <x v="3"/>
  </r>
  <r>
    <n v="1729"/>
    <x v="838"/>
    <x v="569"/>
    <d v="2017-02-07T00:00:00"/>
    <s v="Same Day"/>
    <x v="244"/>
    <s v="Christina Anderson"/>
    <x v="0"/>
    <s v="United States"/>
    <s v="Springfield"/>
    <x v="17"/>
    <n v="22153"/>
    <x v="0"/>
    <x v="1072"/>
    <x v="2"/>
    <x v="11"/>
    <x v="1061"/>
    <x v="1483"/>
    <x v="11"/>
    <x v="0"/>
  </r>
  <r>
    <n v="1730"/>
    <x v="838"/>
    <x v="569"/>
    <d v="2017-02-07T00:00:00"/>
    <s v="Same Day"/>
    <x v="244"/>
    <s v="Christina Anderson"/>
    <x v="0"/>
    <s v="United States"/>
    <s v="Springfield"/>
    <x v="17"/>
    <n v="22153"/>
    <x v="0"/>
    <x v="709"/>
    <x v="1"/>
    <x v="2"/>
    <x v="708"/>
    <x v="1484"/>
    <x v="11"/>
    <x v="0"/>
  </r>
  <r>
    <n v="1731"/>
    <x v="839"/>
    <x v="450"/>
    <d v="2015-10-03T00:00:00"/>
    <s v="Standard Class"/>
    <x v="470"/>
    <s v="Keith Dawkins"/>
    <x v="1"/>
    <s v="United States"/>
    <s v="Fayetteville"/>
    <x v="3"/>
    <n v="28314"/>
    <x v="0"/>
    <x v="1111"/>
    <x v="1"/>
    <x v="10"/>
    <x v="1100"/>
    <x v="1485"/>
    <x v="8"/>
    <x v="2"/>
  </r>
  <r>
    <n v="1732"/>
    <x v="839"/>
    <x v="450"/>
    <d v="2015-10-03T00:00:00"/>
    <s v="Standard Class"/>
    <x v="470"/>
    <s v="Keith Dawkins"/>
    <x v="1"/>
    <s v="United States"/>
    <s v="Fayetteville"/>
    <x v="3"/>
    <n v="28314"/>
    <x v="0"/>
    <x v="128"/>
    <x v="1"/>
    <x v="10"/>
    <x v="129"/>
    <x v="1414"/>
    <x v="8"/>
    <x v="2"/>
  </r>
  <r>
    <n v="1733"/>
    <x v="840"/>
    <x v="212"/>
    <d v="2017-07-14T00:00:00"/>
    <s v="Standard Class"/>
    <x v="109"/>
    <s v="Logan Haushalter"/>
    <x v="0"/>
    <s v="United States"/>
    <s v="Dallas"/>
    <x v="5"/>
    <n v="75081"/>
    <x v="2"/>
    <x v="426"/>
    <x v="1"/>
    <x v="4"/>
    <x v="426"/>
    <x v="1070"/>
    <x v="7"/>
    <x v="0"/>
  </r>
  <r>
    <n v="1734"/>
    <x v="840"/>
    <x v="212"/>
    <d v="2017-07-14T00:00:00"/>
    <s v="Standard Class"/>
    <x v="109"/>
    <s v="Logan Haushalter"/>
    <x v="0"/>
    <s v="United States"/>
    <s v="Dallas"/>
    <x v="5"/>
    <n v="75081"/>
    <x v="2"/>
    <x v="281"/>
    <x v="1"/>
    <x v="6"/>
    <x v="281"/>
    <x v="1486"/>
    <x v="7"/>
    <x v="0"/>
  </r>
  <r>
    <n v="1735"/>
    <x v="841"/>
    <x v="570"/>
    <d v="2018-08-01T00:00:00"/>
    <s v="Second Class"/>
    <x v="165"/>
    <s v="Anna Gayman"/>
    <x v="0"/>
    <s v="United States"/>
    <s v="Jacksonville"/>
    <x v="3"/>
    <n v="28540"/>
    <x v="0"/>
    <x v="1112"/>
    <x v="1"/>
    <x v="9"/>
    <x v="1101"/>
    <x v="1487"/>
    <x v="7"/>
    <x v="3"/>
  </r>
  <r>
    <n v="1736"/>
    <x v="841"/>
    <x v="570"/>
    <d v="2018-08-01T00:00:00"/>
    <s v="Second Class"/>
    <x v="165"/>
    <s v="Anna Gayman"/>
    <x v="0"/>
    <s v="United States"/>
    <s v="Jacksonville"/>
    <x v="3"/>
    <n v="28540"/>
    <x v="0"/>
    <x v="895"/>
    <x v="2"/>
    <x v="7"/>
    <x v="888"/>
    <x v="1103"/>
    <x v="7"/>
    <x v="3"/>
  </r>
  <r>
    <n v="1737"/>
    <x v="841"/>
    <x v="570"/>
    <d v="2018-08-01T00:00:00"/>
    <s v="Second Class"/>
    <x v="165"/>
    <s v="Anna Gayman"/>
    <x v="0"/>
    <s v="United States"/>
    <s v="Jacksonville"/>
    <x v="3"/>
    <n v="28540"/>
    <x v="0"/>
    <x v="6"/>
    <x v="1"/>
    <x v="6"/>
    <x v="6"/>
    <x v="964"/>
    <x v="7"/>
    <x v="3"/>
  </r>
  <r>
    <n v="1738"/>
    <x v="842"/>
    <x v="37"/>
    <d v="2016-09-09T00:00:00"/>
    <s v="Standard Class"/>
    <x v="106"/>
    <s v="David Bremer"/>
    <x v="1"/>
    <s v="United States"/>
    <s v="San Francisco"/>
    <x v="1"/>
    <n v="94122"/>
    <x v="1"/>
    <x v="470"/>
    <x v="1"/>
    <x v="4"/>
    <x v="471"/>
    <x v="966"/>
    <x v="8"/>
    <x v="1"/>
  </r>
  <r>
    <n v="1739"/>
    <x v="842"/>
    <x v="37"/>
    <d v="2016-09-09T00:00:00"/>
    <s v="Standard Class"/>
    <x v="106"/>
    <s v="David Bremer"/>
    <x v="1"/>
    <s v="United States"/>
    <s v="San Francisco"/>
    <x v="1"/>
    <n v="94122"/>
    <x v="1"/>
    <x v="1044"/>
    <x v="2"/>
    <x v="11"/>
    <x v="1033"/>
    <x v="1488"/>
    <x v="8"/>
    <x v="1"/>
  </r>
  <r>
    <n v="1740"/>
    <x v="842"/>
    <x v="37"/>
    <d v="2016-09-09T00:00:00"/>
    <s v="Standard Class"/>
    <x v="106"/>
    <s v="David Bremer"/>
    <x v="1"/>
    <s v="United States"/>
    <s v="San Francisco"/>
    <x v="1"/>
    <n v="94122"/>
    <x v="1"/>
    <x v="1113"/>
    <x v="2"/>
    <x v="11"/>
    <x v="1102"/>
    <x v="1489"/>
    <x v="8"/>
    <x v="1"/>
  </r>
  <r>
    <n v="1741"/>
    <x v="843"/>
    <x v="128"/>
    <d v="2015-08-16T00:00:00"/>
    <s v="Standard Class"/>
    <x v="525"/>
    <s v="Emily Ducich"/>
    <x v="2"/>
    <s v="United States"/>
    <s v="San Diego"/>
    <x v="1"/>
    <n v="92037"/>
    <x v="1"/>
    <x v="948"/>
    <x v="1"/>
    <x v="2"/>
    <x v="941"/>
    <x v="1490"/>
    <x v="6"/>
    <x v="2"/>
  </r>
  <r>
    <n v="1742"/>
    <x v="844"/>
    <x v="505"/>
    <d v="2018-11-03T00:00:00"/>
    <s v="Standard Class"/>
    <x v="498"/>
    <s v="Mick Crebagga"/>
    <x v="0"/>
    <s v="United States"/>
    <s v="Philadelphia"/>
    <x v="9"/>
    <n v="19140"/>
    <x v="3"/>
    <x v="1114"/>
    <x v="1"/>
    <x v="10"/>
    <x v="1103"/>
    <x v="557"/>
    <x v="2"/>
    <x v="3"/>
  </r>
  <r>
    <n v="1743"/>
    <x v="844"/>
    <x v="505"/>
    <d v="2018-11-03T00:00:00"/>
    <s v="Standard Class"/>
    <x v="498"/>
    <s v="Mick Crebagga"/>
    <x v="0"/>
    <s v="United States"/>
    <s v="Philadelphia"/>
    <x v="9"/>
    <n v="19140"/>
    <x v="3"/>
    <x v="1073"/>
    <x v="0"/>
    <x v="5"/>
    <x v="1063"/>
    <x v="1491"/>
    <x v="2"/>
    <x v="3"/>
  </r>
  <r>
    <n v="1744"/>
    <x v="844"/>
    <x v="505"/>
    <d v="2018-11-03T00:00:00"/>
    <s v="Standard Class"/>
    <x v="498"/>
    <s v="Mick Crebagga"/>
    <x v="0"/>
    <s v="United States"/>
    <s v="Philadelphia"/>
    <x v="9"/>
    <n v="19140"/>
    <x v="3"/>
    <x v="700"/>
    <x v="1"/>
    <x v="4"/>
    <x v="700"/>
    <x v="1492"/>
    <x v="2"/>
    <x v="3"/>
  </r>
  <r>
    <n v="1745"/>
    <x v="844"/>
    <x v="505"/>
    <d v="2018-11-03T00:00:00"/>
    <s v="Standard Class"/>
    <x v="498"/>
    <s v="Mick Crebagga"/>
    <x v="0"/>
    <s v="United States"/>
    <s v="Philadelphia"/>
    <x v="9"/>
    <n v="19140"/>
    <x v="3"/>
    <x v="552"/>
    <x v="2"/>
    <x v="11"/>
    <x v="551"/>
    <x v="1493"/>
    <x v="2"/>
    <x v="3"/>
  </r>
  <r>
    <n v="1746"/>
    <x v="845"/>
    <x v="571"/>
    <d v="2015-06-09T00:00:00"/>
    <s v="First Class"/>
    <x v="298"/>
    <s v="Bryan Mills"/>
    <x v="0"/>
    <s v="United States"/>
    <s v="Rochester"/>
    <x v="15"/>
    <n v="14609"/>
    <x v="3"/>
    <x v="158"/>
    <x v="1"/>
    <x v="6"/>
    <x v="159"/>
    <x v="518"/>
    <x v="1"/>
    <x v="2"/>
  </r>
  <r>
    <n v="1747"/>
    <x v="846"/>
    <x v="572"/>
    <d v="2017-08-17T00:00:00"/>
    <s v="Second Class"/>
    <x v="191"/>
    <s v="Erin Mull"/>
    <x v="0"/>
    <s v="United States"/>
    <s v="Jacksonville"/>
    <x v="3"/>
    <n v="28540"/>
    <x v="0"/>
    <x v="605"/>
    <x v="1"/>
    <x v="8"/>
    <x v="605"/>
    <x v="1494"/>
    <x v="6"/>
    <x v="0"/>
  </r>
  <r>
    <n v="1748"/>
    <x v="846"/>
    <x v="572"/>
    <d v="2017-08-17T00:00:00"/>
    <s v="Second Class"/>
    <x v="191"/>
    <s v="Erin Mull"/>
    <x v="0"/>
    <s v="United States"/>
    <s v="Jacksonville"/>
    <x v="3"/>
    <n v="28540"/>
    <x v="0"/>
    <x v="1115"/>
    <x v="1"/>
    <x v="10"/>
    <x v="33"/>
    <x v="1495"/>
    <x v="6"/>
    <x v="0"/>
  </r>
  <r>
    <n v="1749"/>
    <x v="847"/>
    <x v="573"/>
    <d v="2015-04-29T00:00:00"/>
    <s v="Standard Class"/>
    <x v="526"/>
    <s v="Dianna Arnett"/>
    <x v="2"/>
    <s v="United States"/>
    <s v="Houston"/>
    <x v="5"/>
    <n v="77095"/>
    <x v="2"/>
    <x v="724"/>
    <x v="1"/>
    <x v="10"/>
    <x v="723"/>
    <x v="559"/>
    <x v="3"/>
    <x v="2"/>
  </r>
  <r>
    <n v="1750"/>
    <x v="847"/>
    <x v="573"/>
    <d v="2015-04-29T00:00:00"/>
    <s v="Standard Class"/>
    <x v="526"/>
    <s v="Dianna Arnett"/>
    <x v="2"/>
    <s v="United States"/>
    <s v="Houston"/>
    <x v="5"/>
    <n v="77095"/>
    <x v="2"/>
    <x v="1026"/>
    <x v="1"/>
    <x v="6"/>
    <x v="1017"/>
    <x v="869"/>
    <x v="3"/>
    <x v="2"/>
  </r>
  <r>
    <n v="1751"/>
    <x v="848"/>
    <x v="6"/>
    <d v="2016-11-27T00:00:00"/>
    <s v="Standard Class"/>
    <x v="246"/>
    <s v="Meg O'Connel"/>
    <x v="2"/>
    <s v="United States"/>
    <s v="San Antonio"/>
    <x v="5"/>
    <n v="78207"/>
    <x v="2"/>
    <x v="1116"/>
    <x v="0"/>
    <x v="3"/>
    <x v="1104"/>
    <x v="1496"/>
    <x v="0"/>
    <x v="1"/>
  </r>
  <r>
    <n v="1752"/>
    <x v="849"/>
    <x v="336"/>
    <d v="2018-10-17T00:00:00"/>
    <s v="First Class"/>
    <x v="527"/>
    <s v="Joni Wasserman"/>
    <x v="0"/>
    <s v="United States"/>
    <s v="Oakland"/>
    <x v="1"/>
    <n v="94601"/>
    <x v="1"/>
    <x v="283"/>
    <x v="0"/>
    <x v="5"/>
    <x v="283"/>
    <x v="1497"/>
    <x v="2"/>
    <x v="3"/>
  </r>
  <r>
    <n v="1753"/>
    <x v="850"/>
    <x v="574"/>
    <d v="2018-12-05T00:00:00"/>
    <s v="First Class"/>
    <x v="100"/>
    <s v="Victoria Wilson"/>
    <x v="1"/>
    <s v="United States"/>
    <s v="San Francisco"/>
    <x v="1"/>
    <n v="94122"/>
    <x v="1"/>
    <x v="821"/>
    <x v="1"/>
    <x v="4"/>
    <x v="817"/>
    <x v="1498"/>
    <x v="4"/>
    <x v="3"/>
  </r>
  <r>
    <n v="1754"/>
    <x v="850"/>
    <x v="574"/>
    <d v="2018-12-05T00:00:00"/>
    <s v="First Class"/>
    <x v="100"/>
    <s v="Victoria Wilson"/>
    <x v="1"/>
    <s v="United States"/>
    <s v="San Francisco"/>
    <x v="1"/>
    <n v="94122"/>
    <x v="1"/>
    <x v="1082"/>
    <x v="1"/>
    <x v="10"/>
    <x v="1072"/>
    <x v="1427"/>
    <x v="4"/>
    <x v="3"/>
  </r>
  <r>
    <n v="1755"/>
    <x v="850"/>
    <x v="574"/>
    <d v="2018-12-05T00:00:00"/>
    <s v="First Class"/>
    <x v="100"/>
    <s v="Victoria Wilson"/>
    <x v="1"/>
    <s v="United States"/>
    <s v="San Francisco"/>
    <x v="1"/>
    <n v="94122"/>
    <x v="1"/>
    <x v="1117"/>
    <x v="1"/>
    <x v="10"/>
    <x v="1105"/>
    <x v="18"/>
    <x v="4"/>
    <x v="3"/>
  </r>
  <r>
    <n v="1756"/>
    <x v="851"/>
    <x v="575"/>
    <d v="2016-12-11T00:00:00"/>
    <s v="Second Class"/>
    <x v="499"/>
    <s v="Tonja Turnell"/>
    <x v="2"/>
    <s v="United States"/>
    <s v="Fort Worth"/>
    <x v="5"/>
    <n v="76106"/>
    <x v="2"/>
    <x v="839"/>
    <x v="1"/>
    <x v="10"/>
    <x v="833"/>
    <x v="1499"/>
    <x v="4"/>
    <x v="1"/>
  </r>
  <r>
    <n v="1757"/>
    <x v="851"/>
    <x v="575"/>
    <d v="2016-12-11T00:00:00"/>
    <s v="Second Class"/>
    <x v="499"/>
    <s v="Tonja Turnell"/>
    <x v="2"/>
    <s v="United States"/>
    <s v="Fort Worth"/>
    <x v="5"/>
    <n v="76106"/>
    <x v="2"/>
    <x v="1118"/>
    <x v="2"/>
    <x v="7"/>
    <x v="1106"/>
    <x v="1500"/>
    <x v="4"/>
    <x v="1"/>
  </r>
  <r>
    <n v="1758"/>
    <x v="852"/>
    <x v="562"/>
    <d v="2016-07-15T00:00:00"/>
    <s v="First Class"/>
    <x v="359"/>
    <s v="Sara Luxemburg"/>
    <x v="2"/>
    <s v="United States"/>
    <s v="Houston"/>
    <x v="5"/>
    <n v="77095"/>
    <x v="2"/>
    <x v="1002"/>
    <x v="1"/>
    <x v="8"/>
    <x v="994"/>
    <x v="1501"/>
    <x v="7"/>
    <x v="1"/>
  </r>
  <r>
    <n v="1759"/>
    <x v="853"/>
    <x v="218"/>
    <d v="2015-05-17T00:00:00"/>
    <s v="Standard Class"/>
    <x v="528"/>
    <s v="Raymond Messe"/>
    <x v="0"/>
    <s v="United States"/>
    <s v="Houston"/>
    <x v="5"/>
    <n v="77095"/>
    <x v="2"/>
    <x v="825"/>
    <x v="2"/>
    <x v="11"/>
    <x v="821"/>
    <x v="1502"/>
    <x v="5"/>
    <x v="2"/>
  </r>
  <r>
    <n v="1760"/>
    <x v="854"/>
    <x v="576"/>
    <d v="2015-01-12T00:00:00"/>
    <s v="Standard Class"/>
    <x v="469"/>
    <s v="Mick Brown"/>
    <x v="0"/>
    <s v="United States"/>
    <s v="Philadelphia"/>
    <x v="9"/>
    <n v="19143"/>
    <x v="3"/>
    <x v="359"/>
    <x v="1"/>
    <x v="6"/>
    <x v="359"/>
    <x v="1503"/>
    <x v="9"/>
    <x v="2"/>
  </r>
  <r>
    <n v="1761"/>
    <x v="855"/>
    <x v="577"/>
    <d v="2016-09-09T00:00:00"/>
    <s v="Standard Class"/>
    <x v="151"/>
    <s v="Arthur Gainer"/>
    <x v="0"/>
    <s v="United States"/>
    <s v="San Diego"/>
    <x v="1"/>
    <n v="92105"/>
    <x v="1"/>
    <x v="1119"/>
    <x v="0"/>
    <x v="0"/>
    <x v="1107"/>
    <x v="1504"/>
    <x v="8"/>
    <x v="1"/>
  </r>
  <r>
    <n v="1762"/>
    <x v="855"/>
    <x v="577"/>
    <d v="2016-09-09T00:00:00"/>
    <s v="Standard Class"/>
    <x v="151"/>
    <s v="Arthur Gainer"/>
    <x v="0"/>
    <s v="United States"/>
    <s v="San Diego"/>
    <x v="1"/>
    <n v="92105"/>
    <x v="1"/>
    <x v="1120"/>
    <x v="1"/>
    <x v="8"/>
    <x v="1108"/>
    <x v="1505"/>
    <x v="8"/>
    <x v="1"/>
  </r>
  <r>
    <n v="1763"/>
    <x v="855"/>
    <x v="577"/>
    <d v="2016-09-09T00:00:00"/>
    <s v="Standard Class"/>
    <x v="151"/>
    <s v="Arthur Gainer"/>
    <x v="0"/>
    <s v="United States"/>
    <s v="San Diego"/>
    <x v="1"/>
    <n v="92105"/>
    <x v="1"/>
    <x v="1121"/>
    <x v="0"/>
    <x v="0"/>
    <x v="1109"/>
    <x v="1506"/>
    <x v="8"/>
    <x v="1"/>
  </r>
  <r>
    <n v="1764"/>
    <x v="856"/>
    <x v="578"/>
    <d v="2017-08-08T00:00:00"/>
    <s v="Standard Class"/>
    <x v="529"/>
    <s v="Max Ludwig"/>
    <x v="2"/>
    <s v="United States"/>
    <s v="Suffolk"/>
    <x v="17"/>
    <n v="23434"/>
    <x v="0"/>
    <x v="354"/>
    <x v="1"/>
    <x v="14"/>
    <x v="354"/>
    <x v="1507"/>
    <x v="6"/>
    <x v="0"/>
  </r>
  <r>
    <n v="1765"/>
    <x v="856"/>
    <x v="578"/>
    <d v="2017-08-08T00:00:00"/>
    <s v="Standard Class"/>
    <x v="529"/>
    <s v="Max Ludwig"/>
    <x v="2"/>
    <s v="United States"/>
    <s v="Suffolk"/>
    <x v="17"/>
    <n v="23434"/>
    <x v="0"/>
    <x v="617"/>
    <x v="1"/>
    <x v="2"/>
    <x v="617"/>
    <x v="1508"/>
    <x v="6"/>
    <x v="0"/>
  </r>
  <r>
    <n v="1766"/>
    <x v="856"/>
    <x v="578"/>
    <d v="2017-08-08T00:00:00"/>
    <s v="Standard Class"/>
    <x v="529"/>
    <s v="Max Ludwig"/>
    <x v="2"/>
    <s v="United States"/>
    <s v="Suffolk"/>
    <x v="17"/>
    <n v="23434"/>
    <x v="0"/>
    <x v="1122"/>
    <x v="0"/>
    <x v="5"/>
    <x v="1110"/>
    <x v="1509"/>
    <x v="6"/>
    <x v="0"/>
  </r>
  <r>
    <n v="1767"/>
    <x v="856"/>
    <x v="578"/>
    <d v="2017-08-08T00:00:00"/>
    <s v="Standard Class"/>
    <x v="529"/>
    <s v="Max Ludwig"/>
    <x v="2"/>
    <s v="United States"/>
    <s v="Suffolk"/>
    <x v="17"/>
    <n v="23434"/>
    <x v="0"/>
    <x v="1123"/>
    <x v="1"/>
    <x v="2"/>
    <x v="1111"/>
    <x v="759"/>
    <x v="6"/>
    <x v="0"/>
  </r>
  <r>
    <n v="1768"/>
    <x v="857"/>
    <x v="579"/>
    <d v="2015-03-26T00:00:00"/>
    <s v="Standard Class"/>
    <x v="530"/>
    <s v="Craig Carroll"/>
    <x v="0"/>
    <s v="United States"/>
    <s v="Greensboro"/>
    <x v="3"/>
    <n v="27405"/>
    <x v="0"/>
    <x v="48"/>
    <x v="1"/>
    <x v="8"/>
    <x v="48"/>
    <x v="1510"/>
    <x v="10"/>
    <x v="2"/>
  </r>
  <r>
    <n v="1769"/>
    <x v="857"/>
    <x v="579"/>
    <d v="2015-03-26T00:00:00"/>
    <s v="Standard Class"/>
    <x v="530"/>
    <s v="Craig Carroll"/>
    <x v="0"/>
    <s v="United States"/>
    <s v="Greensboro"/>
    <x v="3"/>
    <n v="27405"/>
    <x v="0"/>
    <x v="141"/>
    <x v="1"/>
    <x v="8"/>
    <x v="142"/>
    <x v="1511"/>
    <x v="10"/>
    <x v="2"/>
  </r>
  <r>
    <n v="1770"/>
    <x v="858"/>
    <x v="580"/>
    <d v="2018-03-08T00:00:00"/>
    <s v="Standard Class"/>
    <x v="34"/>
    <s v="Stewart Carmichael"/>
    <x v="1"/>
    <s v="United States"/>
    <s v="Dallas"/>
    <x v="5"/>
    <n v="75081"/>
    <x v="2"/>
    <x v="482"/>
    <x v="1"/>
    <x v="14"/>
    <x v="327"/>
    <x v="1512"/>
    <x v="10"/>
    <x v="3"/>
  </r>
  <r>
    <n v="1771"/>
    <x v="858"/>
    <x v="580"/>
    <d v="2018-03-08T00:00:00"/>
    <s v="Standard Class"/>
    <x v="34"/>
    <s v="Stewart Carmichael"/>
    <x v="1"/>
    <s v="United States"/>
    <s v="Dallas"/>
    <x v="5"/>
    <n v="75081"/>
    <x v="2"/>
    <x v="44"/>
    <x v="1"/>
    <x v="8"/>
    <x v="44"/>
    <x v="1513"/>
    <x v="10"/>
    <x v="3"/>
  </r>
  <r>
    <n v="1772"/>
    <x v="859"/>
    <x v="581"/>
    <d v="2017-11-29T00:00:00"/>
    <s v="Second Class"/>
    <x v="55"/>
    <s v="Greg Guthrie"/>
    <x v="1"/>
    <s v="United States"/>
    <s v="Chicago"/>
    <x v="10"/>
    <n v="60623"/>
    <x v="2"/>
    <x v="854"/>
    <x v="1"/>
    <x v="4"/>
    <x v="847"/>
    <x v="1514"/>
    <x v="0"/>
    <x v="0"/>
  </r>
  <r>
    <n v="1773"/>
    <x v="859"/>
    <x v="581"/>
    <d v="2017-11-29T00:00:00"/>
    <s v="Second Class"/>
    <x v="55"/>
    <s v="Greg Guthrie"/>
    <x v="1"/>
    <s v="United States"/>
    <s v="Chicago"/>
    <x v="10"/>
    <n v="60623"/>
    <x v="2"/>
    <x v="197"/>
    <x v="2"/>
    <x v="11"/>
    <x v="198"/>
    <x v="1515"/>
    <x v="0"/>
    <x v="0"/>
  </r>
  <r>
    <n v="1774"/>
    <x v="860"/>
    <x v="582"/>
    <d v="2015-05-03T00:00:00"/>
    <s v="Standard Class"/>
    <x v="501"/>
    <s v="Muhammed Yedwab"/>
    <x v="1"/>
    <s v="United States"/>
    <s v="Baltimore"/>
    <x v="39"/>
    <n v="21215"/>
    <x v="3"/>
    <x v="1124"/>
    <x v="1"/>
    <x v="8"/>
    <x v="1112"/>
    <x v="1516"/>
    <x v="3"/>
    <x v="2"/>
  </r>
  <r>
    <n v="1775"/>
    <x v="860"/>
    <x v="582"/>
    <d v="2015-05-03T00:00:00"/>
    <s v="Standard Class"/>
    <x v="501"/>
    <s v="Muhammed Yedwab"/>
    <x v="1"/>
    <s v="United States"/>
    <s v="Baltimore"/>
    <x v="39"/>
    <n v="21215"/>
    <x v="3"/>
    <x v="1125"/>
    <x v="1"/>
    <x v="4"/>
    <x v="1113"/>
    <x v="1517"/>
    <x v="3"/>
    <x v="2"/>
  </r>
  <r>
    <n v="1776"/>
    <x v="860"/>
    <x v="582"/>
    <d v="2015-05-03T00:00:00"/>
    <s v="Standard Class"/>
    <x v="501"/>
    <s v="Muhammed Yedwab"/>
    <x v="1"/>
    <s v="United States"/>
    <s v="Baltimore"/>
    <x v="39"/>
    <n v="21215"/>
    <x v="3"/>
    <x v="1126"/>
    <x v="1"/>
    <x v="6"/>
    <x v="1114"/>
    <x v="1518"/>
    <x v="3"/>
    <x v="2"/>
  </r>
  <r>
    <n v="1777"/>
    <x v="860"/>
    <x v="582"/>
    <d v="2015-05-03T00:00:00"/>
    <s v="Standard Class"/>
    <x v="501"/>
    <s v="Muhammed Yedwab"/>
    <x v="1"/>
    <s v="United States"/>
    <s v="Baltimore"/>
    <x v="39"/>
    <n v="21215"/>
    <x v="3"/>
    <x v="816"/>
    <x v="1"/>
    <x v="2"/>
    <x v="812"/>
    <x v="974"/>
    <x v="3"/>
    <x v="2"/>
  </r>
  <r>
    <n v="1778"/>
    <x v="861"/>
    <x v="27"/>
    <d v="2016-11-28T00:00:00"/>
    <s v="Standard Class"/>
    <x v="24"/>
    <s v="Darren Powers"/>
    <x v="0"/>
    <s v="United States"/>
    <s v="Los Angeles"/>
    <x v="1"/>
    <n v="90004"/>
    <x v="1"/>
    <x v="1127"/>
    <x v="1"/>
    <x v="10"/>
    <x v="1115"/>
    <x v="1519"/>
    <x v="0"/>
    <x v="1"/>
  </r>
  <r>
    <n v="1779"/>
    <x v="861"/>
    <x v="27"/>
    <d v="2016-11-28T00:00:00"/>
    <s v="Standard Class"/>
    <x v="24"/>
    <s v="Darren Powers"/>
    <x v="0"/>
    <s v="United States"/>
    <s v="Los Angeles"/>
    <x v="1"/>
    <n v="90004"/>
    <x v="1"/>
    <x v="425"/>
    <x v="1"/>
    <x v="6"/>
    <x v="425"/>
    <x v="453"/>
    <x v="0"/>
    <x v="1"/>
  </r>
  <r>
    <n v="1780"/>
    <x v="862"/>
    <x v="583"/>
    <d v="2017-11-16T00:00:00"/>
    <s v="Standard Class"/>
    <x v="420"/>
    <s v="Bryan Davis"/>
    <x v="0"/>
    <s v="United States"/>
    <s v="New York City"/>
    <x v="15"/>
    <n v="10011"/>
    <x v="3"/>
    <x v="808"/>
    <x v="2"/>
    <x v="11"/>
    <x v="806"/>
    <x v="127"/>
    <x v="0"/>
    <x v="0"/>
  </r>
  <r>
    <n v="1781"/>
    <x v="862"/>
    <x v="583"/>
    <d v="2017-11-16T00:00:00"/>
    <s v="Standard Class"/>
    <x v="420"/>
    <s v="Bryan Davis"/>
    <x v="0"/>
    <s v="United States"/>
    <s v="New York City"/>
    <x v="15"/>
    <n v="10011"/>
    <x v="3"/>
    <x v="225"/>
    <x v="1"/>
    <x v="4"/>
    <x v="226"/>
    <x v="1520"/>
    <x v="0"/>
    <x v="0"/>
  </r>
  <r>
    <n v="1782"/>
    <x v="863"/>
    <x v="584"/>
    <d v="2016-07-13T00:00:00"/>
    <s v="Standard Class"/>
    <x v="118"/>
    <s v="Claudia Bergmann"/>
    <x v="1"/>
    <s v="United States"/>
    <s v="Franklin"/>
    <x v="31"/>
    <n v="2038"/>
    <x v="3"/>
    <x v="1128"/>
    <x v="1"/>
    <x v="10"/>
    <x v="1116"/>
    <x v="1521"/>
    <x v="7"/>
    <x v="1"/>
  </r>
  <r>
    <n v="1783"/>
    <x v="863"/>
    <x v="584"/>
    <d v="2016-07-13T00:00:00"/>
    <s v="Standard Class"/>
    <x v="118"/>
    <s v="Claudia Bergmann"/>
    <x v="1"/>
    <s v="United States"/>
    <s v="Franklin"/>
    <x v="31"/>
    <n v="2038"/>
    <x v="3"/>
    <x v="800"/>
    <x v="1"/>
    <x v="8"/>
    <x v="798"/>
    <x v="1522"/>
    <x v="7"/>
    <x v="1"/>
  </r>
  <r>
    <n v="1784"/>
    <x v="864"/>
    <x v="585"/>
    <d v="2018-09-26T00:00:00"/>
    <s v="Standard Class"/>
    <x v="531"/>
    <s v="Jim Epp"/>
    <x v="1"/>
    <s v="United States"/>
    <s v="Milwaukee"/>
    <x v="6"/>
    <n v="53209"/>
    <x v="2"/>
    <x v="1082"/>
    <x v="1"/>
    <x v="10"/>
    <x v="1072"/>
    <x v="1523"/>
    <x v="8"/>
    <x v="3"/>
  </r>
  <r>
    <n v="1785"/>
    <x v="864"/>
    <x v="585"/>
    <d v="2018-09-26T00:00:00"/>
    <s v="Standard Class"/>
    <x v="531"/>
    <s v="Jim Epp"/>
    <x v="1"/>
    <s v="United States"/>
    <s v="Milwaukee"/>
    <x v="6"/>
    <n v="53209"/>
    <x v="2"/>
    <x v="960"/>
    <x v="2"/>
    <x v="11"/>
    <x v="953"/>
    <x v="1524"/>
    <x v="8"/>
    <x v="3"/>
  </r>
  <r>
    <n v="1786"/>
    <x v="864"/>
    <x v="585"/>
    <d v="2018-09-26T00:00:00"/>
    <s v="Standard Class"/>
    <x v="531"/>
    <s v="Jim Epp"/>
    <x v="1"/>
    <s v="United States"/>
    <s v="Milwaukee"/>
    <x v="6"/>
    <n v="53209"/>
    <x v="2"/>
    <x v="863"/>
    <x v="1"/>
    <x v="8"/>
    <x v="857"/>
    <x v="1525"/>
    <x v="8"/>
    <x v="3"/>
  </r>
  <r>
    <n v="1787"/>
    <x v="864"/>
    <x v="585"/>
    <d v="2018-09-26T00:00:00"/>
    <s v="Standard Class"/>
    <x v="531"/>
    <s v="Jim Epp"/>
    <x v="1"/>
    <s v="United States"/>
    <s v="Milwaukee"/>
    <x v="6"/>
    <n v="53209"/>
    <x v="2"/>
    <x v="1129"/>
    <x v="2"/>
    <x v="7"/>
    <x v="1117"/>
    <x v="283"/>
    <x v="8"/>
    <x v="3"/>
  </r>
  <r>
    <n v="1788"/>
    <x v="865"/>
    <x v="586"/>
    <d v="2016-02-19T00:00:00"/>
    <s v="Standard Class"/>
    <x v="532"/>
    <s v="Roy Phan"/>
    <x v="1"/>
    <s v="United States"/>
    <s v="Kenosha"/>
    <x v="6"/>
    <n v="53142"/>
    <x v="2"/>
    <x v="817"/>
    <x v="2"/>
    <x v="7"/>
    <x v="813"/>
    <x v="1526"/>
    <x v="11"/>
    <x v="1"/>
  </r>
  <r>
    <n v="1789"/>
    <x v="865"/>
    <x v="586"/>
    <d v="2016-02-19T00:00:00"/>
    <s v="Standard Class"/>
    <x v="532"/>
    <s v="Roy Phan"/>
    <x v="1"/>
    <s v="United States"/>
    <s v="Kenosha"/>
    <x v="6"/>
    <n v="53142"/>
    <x v="2"/>
    <x v="754"/>
    <x v="2"/>
    <x v="7"/>
    <x v="752"/>
    <x v="1527"/>
    <x v="11"/>
    <x v="1"/>
  </r>
  <r>
    <n v="1790"/>
    <x v="865"/>
    <x v="586"/>
    <d v="2016-02-19T00:00:00"/>
    <s v="Standard Class"/>
    <x v="532"/>
    <s v="Roy Phan"/>
    <x v="1"/>
    <s v="United States"/>
    <s v="Kenosha"/>
    <x v="6"/>
    <n v="53142"/>
    <x v="2"/>
    <x v="1130"/>
    <x v="2"/>
    <x v="11"/>
    <x v="1118"/>
    <x v="1528"/>
    <x v="11"/>
    <x v="1"/>
  </r>
  <r>
    <n v="1791"/>
    <x v="866"/>
    <x v="587"/>
    <d v="2015-10-04T00:00:00"/>
    <s v="Standard Class"/>
    <x v="154"/>
    <s v="Russell Applegate"/>
    <x v="0"/>
    <s v="United States"/>
    <s v="New York City"/>
    <x v="15"/>
    <n v="10011"/>
    <x v="3"/>
    <x v="593"/>
    <x v="1"/>
    <x v="10"/>
    <x v="593"/>
    <x v="1529"/>
    <x v="8"/>
    <x v="2"/>
  </r>
  <r>
    <n v="1792"/>
    <x v="867"/>
    <x v="588"/>
    <d v="2015-12-03T00:00:00"/>
    <s v="First Class"/>
    <x v="261"/>
    <s v="Resi Pölking"/>
    <x v="0"/>
    <s v="United States"/>
    <s v="Madison"/>
    <x v="6"/>
    <n v="53711"/>
    <x v="2"/>
    <x v="1131"/>
    <x v="0"/>
    <x v="1"/>
    <x v="1119"/>
    <x v="1530"/>
    <x v="4"/>
    <x v="2"/>
  </r>
  <r>
    <n v="1793"/>
    <x v="867"/>
    <x v="588"/>
    <d v="2015-12-03T00:00:00"/>
    <s v="First Class"/>
    <x v="261"/>
    <s v="Resi Pölking"/>
    <x v="0"/>
    <s v="United States"/>
    <s v="Madison"/>
    <x v="6"/>
    <n v="53711"/>
    <x v="2"/>
    <x v="1132"/>
    <x v="1"/>
    <x v="6"/>
    <x v="1120"/>
    <x v="1531"/>
    <x v="4"/>
    <x v="2"/>
  </r>
  <r>
    <n v="1794"/>
    <x v="868"/>
    <x v="589"/>
    <d v="2015-12-13T00:00:00"/>
    <s v="Standard Class"/>
    <x v="533"/>
    <s v="Thomas Boland"/>
    <x v="1"/>
    <s v="United States"/>
    <s v="Houston"/>
    <x v="5"/>
    <n v="77041"/>
    <x v="2"/>
    <x v="117"/>
    <x v="1"/>
    <x v="4"/>
    <x v="117"/>
    <x v="1532"/>
    <x v="4"/>
    <x v="2"/>
  </r>
  <r>
    <n v="1795"/>
    <x v="869"/>
    <x v="64"/>
    <d v="2017-09-10T00:00:00"/>
    <s v="Standard Class"/>
    <x v="534"/>
    <s v="Brad Eason"/>
    <x v="2"/>
    <s v="United States"/>
    <s v="Olathe"/>
    <x v="41"/>
    <n v="66062"/>
    <x v="2"/>
    <x v="915"/>
    <x v="1"/>
    <x v="6"/>
    <x v="907"/>
    <x v="1533"/>
    <x v="8"/>
    <x v="0"/>
  </r>
  <r>
    <n v="1796"/>
    <x v="870"/>
    <x v="151"/>
    <d v="2018-08-30T00:00:00"/>
    <s v="First Class"/>
    <x v="280"/>
    <s v="Mathew Reese"/>
    <x v="2"/>
    <s v="United States"/>
    <s v="New York City"/>
    <x v="15"/>
    <n v="10024"/>
    <x v="3"/>
    <x v="861"/>
    <x v="1"/>
    <x v="4"/>
    <x v="855"/>
    <x v="1534"/>
    <x v="6"/>
    <x v="3"/>
  </r>
  <r>
    <n v="1797"/>
    <x v="870"/>
    <x v="151"/>
    <d v="2018-08-30T00:00:00"/>
    <s v="First Class"/>
    <x v="280"/>
    <s v="Mathew Reese"/>
    <x v="2"/>
    <s v="United States"/>
    <s v="New York City"/>
    <x v="15"/>
    <n v="10024"/>
    <x v="3"/>
    <x v="1133"/>
    <x v="2"/>
    <x v="7"/>
    <x v="1121"/>
    <x v="1535"/>
    <x v="6"/>
    <x v="3"/>
  </r>
  <r>
    <n v="1798"/>
    <x v="870"/>
    <x v="151"/>
    <d v="2018-08-30T00:00:00"/>
    <s v="First Class"/>
    <x v="280"/>
    <s v="Mathew Reese"/>
    <x v="2"/>
    <s v="United States"/>
    <s v="New York City"/>
    <x v="15"/>
    <n v="10024"/>
    <x v="3"/>
    <x v="8"/>
    <x v="1"/>
    <x v="8"/>
    <x v="8"/>
    <x v="1536"/>
    <x v="6"/>
    <x v="3"/>
  </r>
  <r>
    <n v="1799"/>
    <x v="871"/>
    <x v="274"/>
    <d v="2017-07-11T00:00:00"/>
    <s v="Standard Class"/>
    <x v="528"/>
    <s v="Raymond Messe"/>
    <x v="0"/>
    <s v="United States"/>
    <s v="San Jose"/>
    <x v="1"/>
    <n v="95123"/>
    <x v="1"/>
    <x v="484"/>
    <x v="0"/>
    <x v="5"/>
    <x v="484"/>
    <x v="1537"/>
    <x v="7"/>
    <x v="0"/>
  </r>
  <r>
    <n v="1800"/>
    <x v="872"/>
    <x v="590"/>
    <d v="2017-08-10T00:00:00"/>
    <s v="Second Class"/>
    <x v="535"/>
    <s v="Jill Fjeld"/>
    <x v="0"/>
    <s v="United States"/>
    <s v="Dallas"/>
    <x v="5"/>
    <n v="75081"/>
    <x v="2"/>
    <x v="203"/>
    <x v="1"/>
    <x v="13"/>
    <x v="204"/>
    <x v="1492"/>
    <x v="6"/>
    <x v="0"/>
  </r>
  <r>
    <n v="1801"/>
    <x v="872"/>
    <x v="590"/>
    <d v="2017-08-10T00:00:00"/>
    <s v="Second Class"/>
    <x v="535"/>
    <s v="Jill Fjeld"/>
    <x v="0"/>
    <s v="United States"/>
    <s v="Dallas"/>
    <x v="5"/>
    <n v="75081"/>
    <x v="2"/>
    <x v="1134"/>
    <x v="1"/>
    <x v="10"/>
    <x v="1122"/>
    <x v="1538"/>
    <x v="6"/>
    <x v="0"/>
  </r>
  <r>
    <n v="1802"/>
    <x v="873"/>
    <x v="373"/>
    <d v="2017-11-19T00:00:00"/>
    <s v="Standard Class"/>
    <x v="216"/>
    <s v="Adrian Shami"/>
    <x v="2"/>
    <s v="United States"/>
    <s v="Auburn"/>
    <x v="4"/>
    <n v="98002"/>
    <x v="1"/>
    <x v="1006"/>
    <x v="0"/>
    <x v="5"/>
    <x v="998"/>
    <x v="1539"/>
    <x v="0"/>
    <x v="0"/>
  </r>
  <r>
    <n v="1803"/>
    <x v="874"/>
    <x v="585"/>
    <d v="2018-09-26T00:00:00"/>
    <s v="Second Class"/>
    <x v="350"/>
    <s v="Joseph Airdo"/>
    <x v="0"/>
    <s v="United States"/>
    <s v="Philadelphia"/>
    <x v="9"/>
    <n v="19134"/>
    <x v="3"/>
    <x v="440"/>
    <x v="1"/>
    <x v="8"/>
    <x v="440"/>
    <x v="1540"/>
    <x v="8"/>
    <x v="3"/>
  </r>
  <r>
    <n v="1804"/>
    <x v="874"/>
    <x v="585"/>
    <d v="2018-09-26T00:00:00"/>
    <s v="Second Class"/>
    <x v="350"/>
    <s v="Joseph Airdo"/>
    <x v="0"/>
    <s v="United States"/>
    <s v="Philadelphia"/>
    <x v="9"/>
    <n v="19134"/>
    <x v="3"/>
    <x v="465"/>
    <x v="1"/>
    <x v="14"/>
    <x v="466"/>
    <x v="1541"/>
    <x v="8"/>
    <x v="3"/>
  </r>
  <r>
    <n v="1805"/>
    <x v="874"/>
    <x v="585"/>
    <d v="2018-09-26T00:00:00"/>
    <s v="Second Class"/>
    <x v="350"/>
    <s v="Joseph Airdo"/>
    <x v="0"/>
    <s v="United States"/>
    <s v="Philadelphia"/>
    <x v="9"/>
    <n v="19134"/>
    <x v="3"/>
    <x v="1135"/>
    <x v="2"/>
    <x v="11"/>
    <x v="1123"/>
    <x v="1542"/>
    <x v="8"/>
    <x v="3"/>
  </r>
  <r>
    <n v="1806"/>
    <x v="875"/>
    <x v="591"/>
    <d v="2017-12-28T00:00:00"/>
    <s v="First Class"/>
    <x v="136"/>
    <s v="Grace Kelly"/>
    <x v="1"/>
    <s v="United States"/>
    <s v="Los Angeles"/>
    <x v="1"/>
    <n v="90049"/>
    <x v="1"/>
    <x v="883"/>
    <x v="2"/>
    <x v="7"/>
    <x v="877"/>
    <x v="1543"/>
    <x v="4"/>
    <x v="0"/>
  </r>
  <r>
    <n v="1807"/>
    <x v="875"/>
    <x v="591"/>
    <d v="2017-12-28T00:00:00"/>
    <s v="First Class"/>
    <x v="136"/>
    <s v="Grace Kelly"/>
    <x v="1"/>
    <s v="United States"/>
    <s v="Los Angeles"/>
    <x v="1"/>
    <n v="90049"/>
    <x v="1"/>
    <x v="510"/>
    <x v="1"/>
    <x v="10"/>
    <x v="510"/>
    <x v="1544"/>
    <x v="4"/>
    <x v="0"/>
  </r>
  <r>
    <n v="1808"/>
    <x v="875"/>
    <x v="591"/>
    <d v="2017-12-28T00:00:00"/>
    <s v="First Class"/>
    <x v="136"/>
    <s v="Grace Kelly"/>
    <x v="1"/>
    <s v="United States"/>
    <s v="Los Angeles"/>
    <x v="1"/>
    <n v="90049"/>
    <x v="1"/>
    <x v="477"/>
    <x v="2"/>
    <x v="11"/>
    <x v="478"/>
    <x v="1545"/>
    <x v="4"/>
    <x v="0"/>
  </r>
  <r>
    <n v="1809"/>
    <x v="876"/>
    <x v="592"/>
    <d v="2017-02-13T00:00:00"/>
    <s v="First Class"/>
    <x v="536"/>
    <s v="Phillip Breyer"/>
    <x v="1"/>
    <s v="United States"/>
    <s v="Tulsa"/>
    <x v="26"/>
    <n v="74133"/>
    <x v="2"/>
    <x v="1136"/>
    <x v="2"/>
    <x v="7"/>
    <x v="1124"/>
    <x v="1546"/>
    <x v="11"/>
    <x v="0"/>
  </r>
  <r>
    <n v="1810"/>
    <x v="877"/>
    <x v="248"/>
    <d v="2017-10-29T00:00:00"/>
    <s v="Standard Class"/>
    <x v="96"/>
    <s v="Heather Kirkland"/>
    <x v="1"/>
    <s v="United States"/>
    <s v="Chicago"/>
    <x v="10"/>
    <n v="60610"/>
    <x v="2"/>
    <x v="1137"/>
    <x v="0"/>
    <x v="5"/>
    <x v="1125"/>
    <x v="1547"/>
    <x v="2"/>
    <x v="0"/>
  </r>
  <r>
    <n v="1811"/>
    <x v="877"/>
    <x v="248"/>
    <d v="2017-10-29T00:00:00"/>
    <s v="Standard Class"/>
    <x v="96"/>
    <s v="Heather Kirkland"/>
    <x v="1"/>
    <s v="United States"/>
    <s v="Chicago"/>
    <x v="10"/>
    <n v="60610"/>
    <x v="2"/>
    <x v="1138"/>
    <x v="1"/>
    <x v="10"/>
    <x v="1126"/>
    <x v="1548"/>
    <x v="2"/>
    <x v="0"/>
  </r>
  <r>
    <n v="1812"/>
    <x v="878"/>
    <x v="3"/>
    <d v="2015-06-11T00:00:00"/>
    <s v="Second Class"/>
    <x v="383"/>
    <s v="Frank Olsen"/>
    <x v="0"/>
    <s v="United States"/>
    <s v="Harrisonburg"/>
    <x v="17"/>
    <n v="22801"/>
    <x v="0"/>
    <x v="121"/>
    <x v="0"/>
    <x v="3"/>
    <x v="121"/>
    <x v="1549"/>
    <x v="1"/>
    <x v="2"/>
  </r>
  <r>
    <n v="1813"/>
    <x v="879"/>
    <x v="225"/>
    <d v="2018-11-26T00:00:00"/>
    <s v="Standard Class"/>
    <x v="537"/>
    <s v="Brian Thompson"/>
    <x v="0"/>
    <s v="United States"/>
    <s v="Newark"/>
    <x v="24"/>
    <n v="43055"/>
    <x v="3"/>
    <x v="275"/>
    <x v="0"/>
    <x v="5"/>
    <x v="275"/>
    <x v="291"/>
    <x v="0"/>
    <x v="3"/>
  </r>
  <r>
    <n v="1814"/>
    <x v="879"/>
    <x v="225"/>
    <d v="2018-11-26T00:00:00"/>
    <s v="Standard Class"/>
    <x v="537"/>
    <s v="Brian Thompson"/>
    <x v="0"/>
    <s v="United States"/>
    <s v="Newark"/>
    <x v="24"/>
    <n v="43055"/>
    <x v="3"/>
    <x v="396"/>
    <x v="0"/>
    <x v="5"/>
    <x v="397"/>
    <x v="1550"/>
    <x v="0"/>
    <x v="3"/>
  </r>
  <r>
    <n v="1815"/>
    <x v="880"/>
    <x v="471"/>
    <d v="2016-09-18T00:00:00"/>
    <s v="Standard Class"/>
    <x v="407"/>
    <s v="Stefania Perrino"/>
    <x v="1"/>
    <s v="United States"/>
    <s v="Los Angeles"/>
    <x v="1"/>
    <n v="90045"/>
    <x v="1"/>
    <x v="223"/>
    <x v="0"/>
    <x v="3"/>
    <x v="224"/>
    <x v="1551"/>
    <x v="8"/>
    <x v="1"/>
  </r>
  <r>
    <n v="1816"/>
    <x v="881"/>
    <x v="593"/>
    <d v="2016-06-04T00:00:00"/>
    <s v="Same Day"/>
    <x v="328"/>
    <s v="Lauren Leatherbury"/>
    <x v="0"/>
    <s v="United States"/>
    <s v="Seattle"/>
    <x v="4"/>
    <n v="98105"/>
    <x v="1"/>
    <x v="1139"/>
    <x v="1"/>
    <x v="2"/>
    <x v="1127"/>
    <x v="1552"/>
    <x v="1"/>
    <x v="1"/>
  </r>
  <r>
    <n v="1817"/>
    <x v="881"/>
    <x v="593"/>
    <d v="2016-06-04T00:00:00"/>
    <s v="Same Day"/>
    <x v="328"/>
    <s v="Lauren Leatherbury"/>
    <x v="0"/>
    <s v="United States"/>
    <s v="Seattle"/>
    <x v="4"/>
    <n v="98105"/>
    <x v="1"/>
    <x v="182"/>
    <x v="1"/>
    <x v="6"/>
    <x v="183"/>
    <x v="1553"/>
    <x v="1"/>
    <x v="1"/>
  </r>
  <r>
    <n v="1818"/>
    <x v="882"/>
    <x v="350"/>
    <d v="2016-12-15T00:00:00"/>
    <s v="Second Class"/>
    <x v="430"/>
    <s v="Matt Collins"/>
    <x v="0"/>
    <s v="United States"/>
    <s v="Los Angeles"/>
    <x v="1"/>
    <n v="90036"/>
    <x v="1"/>
    <x v="1140"/>
    <x v="1"/>
    <x v="2"/>
    <x v="1128"/>
    <x v="739"/>
    <x v="4"/>
    <x v="1"/>
  </r>
  <r>
    <n v="1819"/>
    <x v="883"/>
    <x v="594"/>
    <d v="2015-05-29T00:00:00"/>
    <s v="Standard Class"/>
    <x v="538"/>
    <s v="Janet Lee"/>
    <x v="0"/>
    <s v="United States"/>
    <s v="Chicago"/>
    <x v="10"/>
    <n v="60623"/>
    <x v="2"/>
    <x v="1141"/>
    <x v="1"/>
    <x v="9"/>
    <x v="1129"/>
    <x v="1554"/>
    <x v="5"/>
    <x v="2"/>
  </r>
  <r>
    <n v="1820"/>
    <x v="883"/>
    <x v="594"/>
    <d v="2015-05-29T00:00:00"/>
    <s v="Standard Class"/>
    <x v="538"/>
    <s v="Janet Lee"/>
    <x v="0"/>
    <s v="United States"/>
    <s v="Chicago"/>
    <x v="10"/>
    <n v="60623"/>
    <x v="2"/>
    <x v="1142"/>
    <x v="0"/>
    <x v="5"/>
    <x v="1130"/>
    <x v="1555"/>
    <x v="5"/>
    <x v="2"/>
  </r>
  <r>
    <n v="1821"/>
    <x v="884"/>
    <x v="595"/>
    <d v="2017-02-20T00:00:00"/>
    <s v="Standard Class"/>
    <x v="105"/>
    <s v="Erin Ashbrook"/>
    <x v="1"/>
    <s v="United States"/>
    <s v="Chicago"/>
    <x v="10"/>
    <n v="60623"/>
    <x v="2"/>
    <x v="1143"/>
    <x v="1"/>
    <x v="9"/>
    <x v="1131"/>
    <x v="1556"/>
    <x v="11"/>
    <x v="0"/>
  </r>
  <r>
    <n v="1822"/>
    <x v="884"/>
    <x v="595"/>
    <d v="2017-02-20T00:00:00"/>
    <s v="Standard Class"/>
    <x v="105"/>
    <s v="Erin Ashbrook"/>
    <x v="1"/>
    <s v="United States"/>
    <s v="Chicago"/>
    <x v="10"/>
    <n v="60623"/>
    <x v="2"/>
    <x v="52"/>
    <x v="1"/>
    <x v="13"/>
    <x v="52"/>
    <x v="1512"/>
    <x v="11"/>
    <x v="0"/>
  </r>
  <r>
    <n v="1823"/>
    <x v="884"/>
    <x v="595"/>
    <d v="2017-02-20T00:00:00"/>
    <s v="Standard Class"/>
    <x v="105"/>
    <s v="Erin Ashbrook"/>
    <x v="1"/>
    <s v="United States"/>
    <s v="Chicago"/>
    <x v="10"/>
    <n v="60623"/>
    <x v="2"/>
    <x v="1144"/>
    <x v="0"/>
    <x v="1"/>
    <x v="1132"/>
    <x v="1557"/>
    <x v="11"/>
    <x v="0"/>
  </r>
  <r>
    <n v="1824"/>
    <x v="884"/>
    <x v="595"/>
    <d v="2017-02-20T00:00:00"/>
    <s v="Standard Class"/>
    <x v="105"/>
    <s v="Erin Ashbrook"/>
    <x v="1"/>
    <s v="United States"/>
    <s v="Chicago"/>
    <x v="10"/>
    <n v="60623"/>
    <x v="2"/>
    <x v="1145"/>
    <x v="1"/>
    <x v="10"/>
    <x v="1133"/>
    <x v="1170"/>
    <x v="11"/>
    <x v="0"/>
  </r>
  <r>
    <n v="1825"/>
    <x v="885"/>
    <x v="596"/>
    <d v="2017-12-28T00:00:00"/>
    <s v="Standard Class"/>
    <x v="193"/>
    <s v="Sue Ann Reed"/>
    <x v="0"/>
    <s v="United States"/>
    <s v="Redmond"/>
    <x v="21"/>
    <n v="97756"/>
    <x v="1"/>
    <x v="864"/>
    <x v="1"/>
    <x v="8"/>
    <x v="858"/>
    <x v="1558"/>
    <x v="4"/>
    <x v="0"/>
  </r>
  <r>
    <n v="1826"/>
    <x v="885"/>
    <x v="596"/>
    <d v="2017-12-28T00:00:00"/>
    <s v="Standard Class"/>
    <x v="193"/>
    <s v="Sue Ann Reed"/>
    <x v="0"/>
    <s v="United States"/>
    <s v="Redmond"/>
    <x v="21"/>
    <n v="97756"/>
    <x v="1"/>
    <x v="345"/>
    <x v="0"/>
    <x v="5"/>
    <x v="345"/>
    <x v="1559"/>
    <x v="4"/>
    <x v="0"/>
  </r>
  <r>
    <n v="1827"/>
    <x v="885"/>
    <x v="596"/>
    <d v="2017-12-28T00:00:00"/>
    <s v="Standard Class"/>
    <x v="193"/>
    <s v="Sue Ann Reed"/>
    <x v="0"/>
    <s v="United States"/>
    <s v="Redmond"/>
    <x v="21"/>
    <n v="97756"/>
    <x v="1"/>
    <x v="1146"/>
    <x v="0"/>
    <x v="5"/>
    <x v="1134"/>
    <x v="1560"/>
    <x v="4"/>
    <x v="0"/>
  </r>
  <r>
    <n v="1828"/>
    <x v="886"/>
    <x v="597"/>
    <d v="2017-02-11T00:00:00"/>
    <s v="Second Class"/>
    <x v="539"/>
    <s v="Cathy Hwang"/>
    <x v="2"/>
    <s v="United States"/>
    <s v="Raleigh"/>
    <x v="3"/>
    <n v="27604"/>
    <x v="0"/>
    <x v="1147"/>
    <x v="2"/>
    <x v="7"/>
    <x v="1135"/>
    <x v="1561"/>
    <x v="11"/>
    <x v="0"/>
  </r>
  <r>
    <n v="1829"/>
    <x v="887"/>
    <x v="562"/>
    <d v="2016-07-15T00:00:00"/>
    <s v="Second Class"/>
    <x v="540"/>
    <s v="Neil Ducich"/>
    <x v="1"/>
    <s v="United States"/>
    <s v="Macon"/>
    <x v="32"/>
    <n v="31204"/>
    <x v="0"/>
    <x v="712"/>
    <x v="1"/>
    <x v="10"/>
    <x v="711"/>
    <x v="783"/>
    <x v="7"/>
    <x v="1"/>
  </r>
  <r>
    <n v="1830"/>
    <x v="888"/>
    <x v="598"/>
    <d v="2015-05-24T00:00:00"/>
    <s v="Standard Class"/>
    <x v="94"/>
    <s v="Bruce Stewart"/>
    <x v="0"/>
    <s v="United States"/>
    <s v="Cleveland"/>
    <x v="24"/>
    <n v="44105"/>
    <x v="3"/>
    <x v="1148"/>
    <x v="2"/>
    <x v="7"/>
    <x v="1136"/>
    <x v="1562"/>
    <x v="5"/>
    <x v="2"/>
  </r>
  <r>
    <n v="1831"/>
    <x v="889"/>
    <x v="208"/>
    <d v="2018-10-21T00:00:00"/>
    <s v="Same Day"/>
    <x v="359"/>
    <s v="Sara Luxemburg"/>
    <x v="2"/>
    <s v="United States"/>
    <s v="Muskogee"/>
    <x v="26"/>
    <n v="74403"/>
    <x v="2"/>
    <x v="1149"/>
    <x v="2"/>
    <x v="7"/>
    <x v="1137"/>
    <x v="1563"/>
    <x v="2"/>
    <x v="3"/>
  </r>
  <r>
    <n v="1832"/>
    <x v="889"/>
    <x v="208"/>
    <d v="2018-10-21T00:00:00"/>
    <s v="Same Day"/>
    <x v="359"/>
    <s v="Sara Luxemburg"/>
    <x v="2"/>
    <s v="United States"/>
    <s v="Muskogee"/>
    <x v="26"/>
    <n v="74403"/>
    <x v="2"/>
    <x v="736"/>
    <x v="0"/>
    <x v="3"/>
    <x v="735"/>
    <x v="1564"/>
    <x v="2"/>
    <x v="3"/>
  </r>
  <r>
    <n v="1833"/>
    <x v="890"/>
    <x v="599"/>
    <d v="2016-11-09T00:00:00"/>
    <s v="Standard Class"/>
    <x v="334"/>
    <s v="George Bell"/>
    <x v="1"/>
    <s v="United States"/>
    <s v="Monroe"/>
    <x v="3"/>
    <n v="28110"/>
    <x v="0"/>
    <x v="866"/>
    <x v="0"/>
    <x v="1"/>
    <x v="860"/>
    <x v="718"/>
    <x v="0"/>
    <x v="1"/>
  </r>
  <r>
    <n v="1834"/>
    <x v="891"/>
    <x v="378"/>
    <d v="2018-08-07T00:00:00"/>
    <s v="Standard Class"/>
    <x v="442"/>
    <s v="Aaron Smayling"/>
    <x v="1"/>
    <s v="United States"/>
    <s v="Austin"/>
    <x v="5"/>
    <n v="78745"/>
    <x v="2"/>
    <x v="1150"/>
    <x v="2"/>
    <x v="15"/>
    <x v="1138"/>
    <x v="1565"/>
    <x v="6"/>
    <x v="3"/>
  </r>
  <r>
    <n v="1835"/>
    <x v="891"/>
    <x v="378"/>
    <d v="2018-08-07T00:00:00"/>
    <s v="Standard Class"/>
    <x v="442"/>
    <s v="Aaron Smayling"/>
    <x v="1"/>
    <s v="United States"/>
    <s v="Austin"/>
    <x v="5"/>
    <n v="78745"/>
    <x v="2"/>
    <x v="1151"/>
    <x v="1"/>
    <x v="10"/>
    <x v="1139"/>
    <x v="1566"/>
    <x v="6"/>
    <x v="3"/>
  </r>
  <r>
    <n v="1836"/>
    <x v="892"/>
    <x v="261"/>
    <d v="2015-06-24T00:00:00"/>
    <s v="First Class"/>
    <x v="528"/>
    <s v="Raymond Messe"/>
    <x v="0"/>
    <s v="United States"/>
    <s v="Meriden"/>
    <x v="29"/>
    <n v="6450"/>
    <x v="3"/>
    <x v="18"/>
    <x v="1"/>
    <x v="6"/>
    <x v="18"/>
    <x v="1567"/>
    <x v="1"/>
    <x v="2"/>
  </r>
  <r>
    <n v="1837"/>
    <x v="893"/>
    <x v="600"/>
    <d v="2018-02-21T00:00:00"/>
    <s v="Second Class"/>
    <x v="468"/>
    <s v="Nicole Hansen"/>
    <x v="1"/>
    <s v="United States"/>
    <s v="Roswell"/>
    <x v="32"/>
    <n v="30076"/>
    <x v="0"/>
    <x v="159"/>
    <x v="1"/>
    <x v="9"/>
    <x v="160"/>
    <x v="1568"/>
    <x v="11"/>
    <x v="3"/>
  </r>
  <r>
    <n v="1838"/>
    <x v="894"/>
    <x v="601"/>
    <d v="2015-08-05T00:00:00"/>
    <s v="Standard Class"/>
    <x v="541"/>
    <s v="Barbara Fisher"/>
    <x v="1"/>
    <s v="United States"/>
    <s v="Charlotte"/>
    <x v="3"/>
    <n v="28205"/>
    <x v="0"/>
    <x v="2"/>
    <x v="1"/>
    <x v="2"/>
    <x v="2"/>
    <x v="1569"/>
    <x v="6"/>
    <x v="2"/>
  </r>
  <r>
    <n v="1839"/>
    <x v="894"/>
    <x v="601"/>
    <d v="2015-08-05T00:00:00"/>
    <s v="Standard Class"/>
    <x v="541"/>
    <s v="Barbara Fisher"/>
    <x v="1"/>
    <s v="United States"/>
    <s v="Charlotte"/>
    <x v="3"/>
    <n v="28205"/>
    <x v="0"/>
    <x v="93"/>
    <x v="0"/>
    <x v="5"/>
    <x v="93"/>
    <x v="1570"/>
    <x v="6"/>
    <x v="2"/>
  </r>
  <r>
    <n v="1840"/>
    <x v="894"/>
    <x v="601"/>
    <d v="2015-08-05T00:00:00"/>
    <s v="Standard Class"/>
    <x v="541"/>
    <s v="Barbara Fisher"/>
    <x v="1"/>
    <s v="United States"/>
    <s v="Charlotte"/>
    <x v="3"/>
    <n v="28205"/>
    <x v="0"/>
    <x v="1152"/>
    <x v="1"/>
    <x v="9"/>
    <x v="1140"/>
    <x v="1571"/>
    <x v="6"/>
    <x v="2"/>
  </r>
  <r>
    <n v="1841"/>
    <x v="894"/>
    <x v="601"/>
    <d v="2015-08-05T00:00:00"/>
    <s v="Standard Class"/>
    <x v="541"/>
    <s v="Barbara Fisher"/>
    <x v="1"/>
    <s v="United States"/>
    <s v="Charlotte"/>
    <x v="3"/>
    <n v="28205"/>
    <x v="0"/>
    <x v="126"/>
    <x v="1"/>
    <x v="10"/>
    <x v="127"/>
    <x v="128"/>
    <x v="6"/>
    <x v="2"/>
  </r>
  <r>
    <n v="1842"/>
    <x v="895"/>
    <x v="427"/>
    <d v="2017-07-23T00:00:00"/>
    <s v="Standard Class"/>
    <x v="542"/>
    <s v="Katharine Harms"/>
    <x v="1"/>
    <s v="United States"/>
    <s v="Bowling Green"/>
    <x v="0"/>
    <n v="42104"/>
    <x v="0"/>
    <x v="1153"/>
    <x v="0"/>
    <x v="1"/>
    <x v="1141"/>
    <x v="1572"/>
    <x v="7"/>
    <x v="0"/>
  </r>
  <r>
    <n v="1843"/>
    <x v="896"/>
    <x v="97"/>
    <d v="2016-02-11T00:00:00"/>
    <s v="Second Class"/>
    <x v="135"/>
    <s v="Frank Atkinson"/>
    <x v="1"/>
    <s v="United States"/>
    <s v="San Antonio"/>
    <x v="5"/>
    <n v="78207"/>
    <x v="2"/>
    <x v="300"/>
    <x v="1"/>
    <x v="2"/>
    <x v="300"/>
    <x v="110"/>
    <x v="11"/>
    <x v="1"/>
  </r>
  <r>
    <n v="1844"/>
    <x v="896"/>
    <x v="97"/>
    <d v="2016-02-11T00:00:00"/>
    <s v="Second Class"/>
    <x v="135"/>
    <s v="Frank Atkinson"/>
    <x v="1"/>
    <s v="United States"/>
    <s v="San Antonio"/>
    <x v="5"/>
    <n v="78207"/>
    <x v="2"/>
    <x v="1154"/>
    <x v="0"/>
    <x v="5"/>
    <x v="1142"/>
    <x v="1573"/>
    <x v="11"/>
    <x v="1"/>
  </r>
  <r>
    <n v="1845"/>
    <x v="897"/>
    <x v="570"/>
    <d v="2018-08-02T00:00:00"/>
    <s v="Standard Class"/>
    <x v="543"/>
    <s v="Giulietta Weimer"/>
    <x v="0"/>
    <s v="United States"/>
    <s v="Seattle"/>
    <x v="4"/>
    <n v="98115"/>
    <x v="1"/>
    <x v="25"/>
    <x v="2"/>
    <x v="11"/>
    <x v="25"/>
    <x v="26"/>
    <x v="7"/>
    <x v="3"/>
  </r>
  <r>
    <n v="1846"/>
    <x v="898"/>
    <x v="602"/>
    <d v="2018-01-17T00:00:00"/>
    <s v="Second Class"/>
    <x v="526"/>
    <s v="Dianna Arnett"/>
    <x v="2"/>
    <s v="United States"/>
    <s v="Washington"/>
    <x v="40"/>
    <n v="20016"/>
    <x v="3"/>
    <x v="128"/>
    <x v="1"/>
    <x v="10"/>
    <x v="129"/>
    <x v="1574"/>
    <x v="9"/>
    <x v="3"/>
  </r>
  <r>
    <n v="1847"/>
    <x v="898"/>
    <x v="602"/>
    <d v="2018-01-17T00:00:00"/>
    <s v="Second Class"/>
    <x v="526"/>
    <s v="Dianna Arnett"/>
    <x v="2"/>
    <s v="United States"/>
    <s v="Washington"/>
    <x v="40"/>
    <n v="20016"/>
    <x v="3"/>
    <x v="1155"/>
    <x v="0"/>
    <x v="5"/>
    <x v="1143"/>
    <x v="1015"/>
    <x v="9"/>
    <x v="3"/>
  </r>
  <r>
    <n v="1848"/>
    <x v="899"/>
    <x v="18"/>
    <d v="2018-09-10T00:00:00"/>
    <s v="Same Day"/>
    <x v="395"/>
    <s v="Frank Hawley"/>
    <x v="1"/>
    <s v="United States"/>
    <s v="Los Angeles"/>
    <x v="1"/>
    <n v="90004"/>
    <x v="1"/>
    <x v="291"/>
    <x v="0"/>
    <x v="1"/>
    <x v="291"/>
    <x v="1575"/>
    <x v="8"/>
    <x v="3"/>
  </r>
  <r>
    <n v="1849"/>
    <x v="899"/>
    <x v="18"/>
    <d v="2018-09-10T00:00:00"/>
    <s v="Same Day"/>
    <x v="395"/>
    <s v="Frank Hawley"/>
    <x v="1"/>
    <s v="United States"/>
    <s v="Los Angeles"/>
    <x v="1"/>
    <n v="90004"/>
    <x v="1"/>
    <x v="307"/>
    <x v="1"/>
    <x v="8"/>
    <x v="307"/>
    <x v="1576"/>
    <x v="8"/>
    <x v="3"/>
  </r>
  <r>
    <n v="1850"/>
    <x v="900"/>
    <x v="603"/>
    <d v="2016-07-25T00:00:00"/>
    <s v="Second Class"/>
    <x v="343"/>
    <s v="Ralph Kennedy"/>
    <x v="0"/>
    <s v="United States"/>
    <s v="South Bend"/>
    <x v="14"/>
    <n v="46614"/>
    <x v="2"/>
    <x v="1156"/>
    <x v="1"/>
    <x v="4"/>
    <x v="1144"/>
    <x v="1577"/>
    <x v="7"/>
    <x v="1"/>
  </r>
  <r>
    <n v="1851"/>
    <x v="900"/>
    <x v="603"/>
    <d v="2016-07-25T00:00:00"/>
    <s v="Second Class"/>
    <x v="343"/>
    <s v="Ralph Kennedy"/>
    <x v="0"/>
    <s v="United States"/>
    <s v="South Bend"/>
    <x v="14"/>
    <n v="46614"/>
    <x v="2"/>
    <x v="577"/>
    <x v="2"/>
    <x v="11"/>
    <x v="577"/>
    <x v="1578"/>
    <x v="7"/>
    <x v="1"/>
  </r>
  <r>
    <n v="1852"/>
    <x v="900"/>
    <x v="603"/>
    <d v="2016-07-25T00:00:00"/>
    <s v="Second Class"/>
    <x v="343"/>
    <s v="Ralph Kennedy"/>
    <x v="0"/>
    <s v="United States"/>
    <s v="South Bend"/>
    <x v="14"/>
    <n v="46614"/>
    <x v="2"/>
    <x v="1157"/>
    <x v="1"/>
    <x v="10"/>
    <x v="1145"/>
    <x v="1579"/>
    <x v="7"/>
    <x v="1"/>
  </r>
  <r>
    <n v="1853"/>
    <x v="900"/>
    <x v="603"/>
    <d v="2016-07-25T00:00:00"/>
    <s v="Second Class"/>
    <x v="343"/>
    <s v="Ralph Kennedy"/>
    <x v="0"/>
    <s v="United States"/>
    <s v="South Bend"/>
    <x v="14"/>
    <n v="46614"/>
    <x v="2"/>
    <x v="373"/>
    <x v="1"/>
    <x v="12"/>
    <x v="374"/>
    <x v="1580"/>
    <x v="7"/>
    <x v="1"/>
  </r>
  <r>
    <n v="1854"/>
    <x v="900"/>
    <x v="603"/>
    <d v="2016-07-25T00:00:00"/>
    <s v="Second Class"/>
    <x v="343"/>
    <s v="Ralph Kennedy"/>
    <x v="0"/>
    <s v="United States"/>
    <s v="South Bend"/>
    <x v="14"/>
    <n v="46614"/>
    <x v="2"/>
    <x v="1158"/>
    <x v="1"/>
    <x v="10"/>
    <x v="1146"/>
    <x v="615"/>
    <x v="7"/>
    <x v="1"/>
  </r>
  <r>
    <n v="1855"/>
    <x v="900"/>
    <x v="603"/>
    <d v="2016-07-25T00:00:00"/>
    <s v="Second Class"/>
    <x v="343"/>
    <s v="Ralph Kennedy"/>
    <x v="0"/>
    <s v="United States"/>
    <s v="South Bend"/>
    <x v="14"/>
    <n v="46614"/>
    <x v="2"/>
    <x v="86"/>
    <x v="1"/>
    <x v="4"/>
    <x v="86"/>
    <x v="1581"/>
    <x v="7"/>
    <x v="1"/>
  </r>
  <r>
    <n v="1856"/>
    <x v="901"/>
    <x v="604"/>
    <d v="2015-06-17T00:00:00"/>
    <s v="Standard Class"/>
    <x v="524"/>
    <s v="Filia McAdams"/>
    <x v="1"/>
    <s v="United States"/>
    <s v="Los Angeles"/>
    <x v="1"/>
    <n v="90032"/>
    <x v="1"/>
    <x v="1159"/>
    <x v="1"/>
    <x v="6"/>
    <x v="772"/>
    <x v="1582"/>
    <x v="1"/>
    <x v="2"/>
  </r>
  <r>
    <n v="1857"/>
    <x v="902"/>
    <x v="605"/>
    <d v="2018-05-15T00:00:00"/>
    <s v="Second Class"/>
    <x v="141"/>
    <s v="Alyssa Crouse"/>
    <x v="1"/>
    <s v="United States"/>
    <s v="Houston"/>
    <x v="5"/>
    <n v="77041"/>
    <x v="2"/>
    <x v="911"/>
    <x v="1"/>
    <x v="4"/>
    <x v="903"/>
    <x v="1583"/>
    <x v="5"/>
    <x v="3"/>
  </r>
  <r>
    <n v="1858"/>
    <x v="902"/>
    <x v="605"/>
    <d v="2018-05-15T00:00:00"/>
    <s v="Second Class"/>
    <x v="141"/>
    <s v="Alyssa Crouse"/>
    <x v="1"/>
    <s v="United States"/>
    <s v="Houston"/>
    <x v="5"/>
    <n v="77041"/>
    <x v="2"/>
    <x v="1160"/>
    <x v="1"/>
    <x v="8"/>
    <x v="1147"/>
    <x v="1353"/>
    <x v="5"/>
    <x v="3"/>
  </r>
  <r>
    <n v="1859"/>
    <x v="903"/>
    <x v="37"/>
    <d v="2016-09-05T00:00:00"/>
    <s v="First Class"/>
    <x v="80"/>
    <s v="Jennifer Braxton"/>
    <x v="1"/>
    <s v="United States"/>
    <s v="Bristol"/>
    <x v="29"/>
    <n v="6010"/>
    <x v="3"/>
    <x v="14"/>
    <x v="1"/>
    <x v="9"/>
    <x v="14"/>
    <x v="1584"/>
    <x v="8"/>
    <x v="1"/>
  </r>
  <r>
    <n v="1860"/>
    <x v="903"/>
    <x v="37"/>
    <d v="2016-09-05T00:00:00"/>
    <s v="First Class"/>
    <x v="80"/>
    <s v="Jennifer Braxton"/>
    <x v="1"/>
    <s v="United States"/>
    <s v="Bristol"/>
    <x v="29"/>
    <n v="6010"/>
    <x v="3"/>
    <x v="1161"/>
    <x v="2"/>
    <x v="7"/>
    <x v="1148"/>
    <x v="1585"/>
    <x v="8"/>
    <x v="1"/>
  </r>
  <r>
    <n v="1861"/>
    <x v="904"/>
    <x v="606"/>
    <d v="2018-03-27T00:00:00"/>
    <s v="First Class"/>
    <x v="306"/>
    <s v="Gary McGarr"/>
    <x v="0"/>
    <s v="United States"/>
    <s v="New York City"/>
    <x v="15"/>
    <n v="10009"/>
    <x v="3"/>
    <x v="1162"/>
    <x v="0"/>
    <x v="0"/>
    <x v="1149"/>
    <x v="1586"/>
    <x v="10"/>
    <x v="3"/>
  </r>
  <r>
    <n v="1862"/>
    <x v="904"/>
    <x v="606"/>
    <d v="2018-03-27T00:00:00"/>
    <s v="First Class"/>
    <x v="306"/>
    <s v="Gary McGarr"/>
    <x v="0"/>
    <s v="United States"/>
    <s v="New York City"/>
    <x v="15"/>
    <n v="10009"/>
    <x v="3"/>
    <x v="173"/>
    <x v="2"/>
    <x v="7"/>
    <x v="174"/>
    <x v="664"/>
    <x v="10"/>
    <x v="3"/>
  </r>
  <r>
    <n v="1863"/>
    <x v="905"/>
    <x v="607"/>
    <d v="2015-11-12T00:00:00"/>
    <s v="Same Day"/>
    <x v="167"/>
    <s v="Roy Französisch"/>
    <x v="0"/>
    <s v="United States"/>
    <s v="San Antonio"/>
    <x v="5"/>
    <n v="78207"/>
    <x v="2"/>
    <x v="177"/>
    <x v="1"/>
    <x v="4"/>
    <x v="178"/>
    <x v="1587"/>
    <x v="0"/>
    <x v="2"/>
  </r>
  <r>
    <n v="1864"/>
    <x v="906"/>
    <x v="63"/>
    <d v="2017-10-17T00:00:00"/>
    <s v="Standard Class"/>
    <x v="544"/>
    <s v="Noah Childs"/>
    <x v="1"/>
    <s v="United States"/>
    <s v="Aurora"/>
    <x v="22"/>
    <n v="80013"/>
    <x v="1"/>
    <x v="309"/>
    <x v="0"/>
    <x v="3"/>
    <x v="309"/>
    <x v="1588"/>
    <x v="2"/>
    <x v="0"/>
  </r>
  <r>
    <n v="1865"/>
    <x v="906"/>
    <x v="63"/>
    <d v="2017-10-17T00:00:00"/>
    <s v="Standard Class"/>
    <x v="544"/>
    <s v="Noah Childs"/>
    <x v="1"/>
    <s v="United States"/>
    <s v="Aurora"/>
    <x v="22"/>
    <n v="80013"/>
    <x v="1"/>
    <x v="1163"/>
    <x v="0"/>
    <x v="5"/>
    <x v="1150"/>
    <x v="1589"/>
    <x v="2"/>
    <x v="0"/>
  </r>
  <r>
    <n v="1866"/>
    <x v="907"/>
    <x v="105"/>
    <d v="2018-11-12T00:00:00"/>
    <s v="Same Day"/>
    <x v="243"/>
    <s v="Nat Gilpin"/>
    <x v="1"/>
    <s v="United States"/>
    <s v="Newark"/>
    <x v="24"/>
    <n v="43055"/>
    <x v="3"/>
    <x v="1164"/>
    <x v="2"/>
    <x v="7"/>
    <x v="1151"/>
    <x v="1590"/>
    <x v="0"/>
    <x v="3"/>
  </r>
  <r>
    <n v="1867"/>
    <x v="908"/>
    <x v="4"/>
    <d v="2018-04-18T00:00:00"/>
    <s v="First Class"/>
    <x v="340"/>
    <s v="Adam Hart"/>
    <x v="1"/>
    <s v="United States"/>
    <s v="Henderson"/>
    <x v="33"/>
    <n v="89015"/>
    <x v="1"/>
    <x v="795"/>
    <x v="0"/>
    <x v="5"/>
    <x v="793"/>
    <x v="1591"/>
    <x v="3"/>
    <x v="3"/>
  </r>
  <r>
    <n v="1868"/>
    <x v="909"/>
    <x v="608"/>
    <d v="2016-07-01T00:00:00"/>
    <s v="Standard Class"/>
    <x v="539"/>
    <s v="Cathy Hwang"/>
    <x v="2"/>
    <s v="United States"/>
    <s v="Philadelphia"/>
    <x v="9"/>
    <n v="19143"/>
    <x v="3"/>
    <x v="1165"/>
    <x v="1"/>
    <x v="10"/>
    <x v="1152"/>
    <x v="276"/>
    <x v="1"/>
    <x v="1"/>
  </r>
  <r>
    <n v="1869"/>
    <x v="909"/>
    <x v="608"/>
    <d v="2016-07-01T00:00:00"/>
    <s v="Standard Class"/>
    <x v="539"/>
    <s v="Cathy Hwang"/>
    <x v="2"/>
    <s v="United States"/>
    <s v="Philadelphia"/>
    <x v="9"/>
    <n v="19143"/>
    <x v="3"/>
    <x v="1166"/>
    <x v="1"/>
    <x v="4"/>
    <x v="1153"/>
    <x v="1592"/>
    <x v="1"/>
    <x v="1"/>
  </r>
  <r>
    <n v="1870"/>
    <x v="910"/>
    <x v="370"/>
    <d v="2017-08-29T00:00:00"/>
    <s v="Second Class"/>
    <x v="230"/>
    <s v="Charles Crestani"/>
    <x v="0"/>
    <s v="United States"/>
    <s v="Seattle"/>
    <x v="4"/>
    <n v="98103"/>
    <x v="1"/>
    <x v="712"/>
    <x v="1"/>
    <x v="10"/>
    <x v="711"/>
    <x v="90"/>
    <x v="6"/>
    <x v="0"/>
  </r>
  <r>
    <n v="1871"/>
    <x v="911"/>
    <x v="609"/>
    <d v="2015-07-25T00:00:00"/>
    <s v="Standard Class"/>
    <x v="545"/>
    <s v="Michelle Ellison"/>
    <x v="1"/>
    <s v="United States"/>
    <s v="San Francisco"/>
    <x v="1"/>
    <n v="94122"/>
    <x v="1"/>
    <x v="1167"/>
    <x v="1"/>
    <x v="6"/>
    <x v="1154"/>
    <x v="1593"/>
    <x v="7"/>
    <x v="2"/>
  </r>
  <r>
    <n v="1872"/>
    <x v="911"/>
    <x v="609"/>
    <d v="2015-07-25T00:00:00"/>
    <s v="Standard Class"/>
    <x v="545"/>
    <s v="Michelle Ellison"/>
    <x v="1"/>
    <s v="United States"/>
    <s v="San Francisco"/>
    <x v="1"/>
    <n v="94122"/>
    <x v="1"/>
    <x v="445"/>
    <x v="0"/>
    <x v="1"/>
    <x v="445"/>
    <x v="476"/>
    <x v="7"/>
    <x v="2"/>
  </r>
  <r>
    <n v="1873"/>
    <x v="911"/>
    <x v="609"/>
    <d v="2015-07-25T00:00:00"/>
    <s v="Standard Class"/>
    <x v="545"/>
    <s v="Michelle Ellison"/>
    <x v="1"/>
    <s v="United States"/>
    <s v="San Francisco"/>
    <x v="1"/>
    <n v="94122"/>
    <x v="1"/>
    <x v="1168"/>
    <x v="0"/>
    <x v="3"/>
    <x v="1155"/>
    <x v="1594"/>
    <x v="7"/>
    <x v="2"/>
  </r>
  <r>
    <n v="1874"/>
    <x v="912"/>
    <x v="610"/>
    <d v="2018-11-25T00:00:00"/>
    <s v="Standard Class"/>
    <x v="546"/>
    <s v="Benjamin Patterson"/>
    <x v="0"/>
    <s v="United States"/>
    <s v="Spokane"/>
    <x v="4"/>
    <n v="99207"/>
    <x v="1"/>
    <x v="1169"/>
    <x v="0"/>
    <x v="3"/>
    <x v="1156"/>
    <x v="554"/>
    <x v="0"/>
    <x v="3"/>
  </r>
  <r>
    <n v="1875"/>
    <x v="913"/>
    <x v="611"/>
    <d v="2015-06-09T00:00:00"/>
    <s v="Standard Class"/>
    <x v="88"/>
    <s v="Mark Packer"/>
    <x v="2"/>
    <s v="United States"/>
    <s v="Columbus"/>
    <x v="24"/>
    <n v="43229"/>
    <x v="3"/>
    <x v="885"/>
    <x v="1"/>
    <x v="10"/>
    <x v="33"/>
    <x v="1595"/>
    <x v="1"/>
    <x v="2"/>
  </r>
  <r>
    <n v="1876"/>
    <x v="914"/>
    <x v="612"/>
    <d v="2017-03-16T00:00:00"/>
    <s v="Standard Class"/>
    <x v="170"/>
    <s v="Caroline Jumper"/>
    <x v="0"/>
    <s v="United States"/>
    <s v="Long Beach"/>
    <x v="15"/>
    <n v="11561"/>
    <x v="3"/>
    <x v="587"/>
    <x v="0"/>
    <x v="0"/>
    <x v="587"/>
    <x v="1596"/>
    <x v="10"/>
    <x v="0"/>
  </r>
  <r>
    <n v="1877"/>
    <x v="915"/>
    <x v="613"/>
    <d v="2018-03-29T00:00:00"/>
    <s v="Standard Class"/>
    <x v="547"/>
    <s v="John Castell"/>
    <x v="0"/>
    <s v="United States"/>
    <s v="San Antonio"/>
    <x v="5"/>
    <n v="78207"/>
    <x v="2"/>
    <x v="469"/>
    <x v="2"/>
    <x v="7"/>
    <x v="470"/>
    <x v="549"/>
    <x v="10"/>
    <x v="3"/>
  </r>
  <r>
    <n v="1878"/>
    <x v="916"/>
    <x v="614"/>
    <d v="2019-01-02T00:00:00"/>
    <s v="Standard Class"/>
    <x v="506"/>
    <s v="James Galang"/>
    <x v="0"/>
    <s v="United States"/>
    <s v="Los Angeles"/>
    <x v="1"/>
    <n v="90049"/>
    <x v="1"/>
    <x v="812"/>
    <x v="0"/>
    <x v="1"/>
    <x v="809"/>
    <x v="1597"/>
    <x v="4"/>
    <x v="3"/>
  </r>
  <r>
    <n v="1879"/>
    <x v="916"/>
    <x v="614"/>
    <d v="2019-01-02T00:00:00"/>
    <s v="Standard Class"/>
    <x v="506"/>
    <s v="James Galang"/>
    <x v="0"/>
    <s v="United States"/>
    <s v="Los Angeles"/>
    <x v="1"/>
    <n v="90049"/>
    <x v="1"/>
    <x v="202"/>
    <x v="2"/>
    <x v="7"/>
    <x v="203"/>
    <x v="214"/>
    <x v="4"/>
    <x v="3"/>
  </r>
  <r>
    <n v="1880"/>
    <x v="917"/>
    <x v="615"/>
    <d v="2018-04-02T00:00:00"/>
    <s v="Standard Class"/>
    <x v="316"/>
    <s v="Cyma Kinney"/>
    <x v="1"/>
    <s v="United States"/>
    <s v="Jacksonville"/>
    <x v="2"/>
    <n v="32216"/>
    <x v="0"/>
    <x v="986"/>
    <x v="1"/>
    <x v="8"/>
    <x v="979"/>
    <x v="1598"/>
    <x v="10"/>
    <x v="3"/>
  </r>
  <r>
    <n v="1881"/>
    <x v="918"/>
    <x v="616"/>
    <d v="2016-03-05T00:00:00"/>
    <s v="Same Day"/>
    <x v="166"/>
    <s v="Luke Foster"/>
    <x v="0"/>
    <s v="United States"/>
    <s v="New York City"/>
    <x v="15"/>
    <n v="10011"/>
    <x v="3"/>
    <x v="1170"/>
    <x v="1"/>
    <x v="12"/>
    <x v="153"/>
    <x v="1599"/>
    <x v="10"/>
    <x v="1"/>
  </r>
  <r>
    <n v="1882"/>
    <x v="918"/>
    <x v="616"/>
    <d v="2016-03-05T00:00:00"/>
    <s v="Same Day"/>
    <x v="166"/>
    <s v="Luke Foster"/>
    <x v="0"/>
    <s v="United States"/>
    <s v="New York City"/>
    <x v="15"/>
    <n v="10011"/>
    <x v="3"/>
    <x v="64"/>
    <x v="0"/>
    <x v="1"/>
    <x v="64"/>
    <x v="1600"/>
    <x v="10"/>
    <x v="1"/>
  </r>
  <r>
    <n v="1883"/>
    <x v="918"/>
    <x v="616"/>
    <d v="2016-03-05T00:00:00"/>
    <s v="Same Day"/>
    <x v="166"/>
    <s v="Luke Foster"/>
    <x v="0"/>
    <s v="United States"/>
    <s v="New York City"/>
    <x v="15"/>
    <n v="10011"/>
    <x v="3"/>
    <x v="426"/>
    <x v="1"/>
    <x v="4"/>
    <x v="426"/>
    <x v="1601"/>
    <x v="10"/>
    <x v="1"/>
  </r>
  <r>
    <n v="1884"/>
    <x v="919"/>
    <x v="373"/>
    <d v="2017-11-17T00:00:00"/>
    <s v="Standard Class"/>
    <x v="254"/>
    <s v="Chuck Clark"/>
    <x v="2"/>
    <s v="United States"/>
    <s v="Philadelphia"/>
    <x v="9"/>
    <n v="19143"/>
    <x v="3"/>
    <x v="968"/>
    <x v="1"/>
    <x v="10"/>
    <x v="961"/>
    <x v="1602"/>
    <x v="0"/>
    <x v="0"/>
  </r>
  <r>
    <n v="1885"/>
    <x v="920"/>
    <x v="617"/>
    <d v="2018-01-23T00:00:00"/>
    <s v="Second Class"/>
    <x v="297"/>
    <s v="Dan Lawera"/>
    <x v="0"/>
    <s v="United States"/>
    <s v="Keller"/>
    <x v="5"/>
    <n v="76248"/>
    <x v="2"/>
    <x v="1171"/>
    <x v="1"/>
    <x v="2"/>
    <x v="1157"/>
    <x v="1603"/>
    <x v="9"/>
    <x v="3"/>
  </r>
  <r>
    <n v="1886"/>
    <x v="921"/>
    <x v="183"/>
    <d v="2017-04-26T00:00:00"/>
    <s v="Second Class"/>
    <x v="38"/>
    <s v="Paul Gonzalez"/>
    <x v="0"/>
    <s v="United States"/>
    <s v="San Francisco"/>
    <x v="1"/>
    <n v="94122"/>
    <x v="1"/>
    <x v="1172"/>
    <x v="0"/>
    <x v="5"/>
    <x v="1158"/>
    <x v="610"/>
    <x v="3"/>
    <x v="0"/>
  </r>
  <r>
    <n v="1887"/>
    <x v="922"/>
    <x v="8"/>
    <d v="2015-05-15T00:00:00"/>
    <s v="First Class"/>
    <x v="382"/>
    <s v="Erica Hernandez"/>
    <x v="2"/>
    <s v="United States"/>
    <s v="Hialeah"/>
    <x v="2"/>
    <n v="33012"/>
    <x v="0"/>
    <x v="462"/>
    <x v="1"/>
    <x v="13"/>
    <x v="128"/>
    <x v="1604"/>
    <x v="5"/>
    <x v="2"/>
  </r>
  <r>
    <n v="1888"/>
    <x v="922"/>
    <x v="8"/>
    <d v="2015-05-15T00:00:00"/>
    <s v="First Class"/>
    <x v="382"/>
    <s v="Erica Hernandez"/>
    <x v="2"/>
    <s v="United States"/>
    <s v="Hialeah"/>
    <x v="2"/>
    <n v="33012"/>
    <x v="0"/>
    <x v="896"/>
    <x v="1"/>
    <x v="8"/>
    <x v="889"/>
    <x v="1104"/>
    <x v="5"/>
    <x v="2"/>
  </r>
  <r>
    <n v="1889"/>
    <x v="923"/>
    <x v="618"/>
    <d v="2015-10-22T00:00:00"/>
    <s v="First Class"/>
    <x v="14"/>
    <s v="Tracy Blumstein"/>
    <x v="0"/>
    <s v="United States"/>
    <s v="Fairfield"/>
    <x v="24"/>
    <n v="45014"/>
    <x v="3"/>
    <x v="513"/>
    <x v="1"/>
    <x v="9"/>
    <x v="513"/>
    <x v="1605"/>
    <x v="2"/>
    <x v="2"/>
  </r>
  <r>
    <n v="1890"/>
    <x v="923"/>
    <x v="618"/>
    <d v="2015-10-22T00:00:00"/>
    <s v="First Class"/>
    <x v="14"/>
    <s v="Tracy Blumstein"/>
    <x v="0"/>
    <s v="United States"/>
    <s v="Fairfield"/>
    <x v="24"/>
    <n v="45014"/>
    <x v="3"/>
    <x v="342"/>
    <x v="0"/>
    <x v="3"/>
    <x v="342"/>
    <x v="1606"/>
    <x v="2"/>
    <x v="2"/>
  </r>
  <r>
    <n v="1891"/>
    <x v="924"/>
    <x v="619"/>
    <d v="2015-03-18T00:00:00"/>
    <s v="Standard Class"/>
    <x v="158"/>
    <s v="Dean Katz"/>
    <x v="1"/>
    <s v="United States"/>
    <s v="Huntington Beach"/>
    <x v="1"/>
    <n v="92646"/>
    <x v="1"/>
    <x v="523"/>
    <x v="1"/>
    <x v="10"/>
    <x v="523"/>
    <x v="232"/>
    <x v="10"/>
    <x v="2"/>
  </r>
  <r>
    <n v="1892"/>
    <x v="924"/>
    <x v="619"/>
    <d v="2015-03-18T00:00:00"/>
    <s v="Standard Class"/>
    <x v="158"/>
    <s v="Dean Katz"/>
    <x v="1"/>
    <s v="United States"/>
    <s v="Huntington Beach"/>
    <x v="1"/>
    <n v="92646"/>
    <x v="1"/>
    <x v="1173"/>
    <x v="1"/>
    <x v="6"/>
    <x v="1159"/>
    <x v="1607"/>
    <x v="10"/>
    <x v="2"/>
  </r>
  <r>
    <n v="1893"/>
    <x v="925"/>
    <x v="66"/>
    <d v="2018-12-24T00:00:00"/>
    <s v="Second Class"/>
    <x v="187"/>
    <s v="Jeremy Pistek"/>
    <x v="0"/>
    <s v="United States"/>
    <s v="Port Orange"/>
    <x v="2"/>
    <n v="32127"/>
    <x v="0"/>
    <x v="1170"/>
    <x v="1"/>
    <x v="12"/>
    <x v="153"/>
    <x v="1608"/>
    <x v="4"/>
    <x v="3"/>
  </r>
  <r>
    <n v="1894"/>
    <x v="926"/>
    <x v="390"/>
    <d v="2017-11-29T00:00:00"/>
    <s v="Standard Class"/>
    <x v="263"/>
    <s v="Carol Darley"/>
    <x v="0"/>
    <s v="United States"/>
    <s v="Medford"/>
    <x v="21"/>
    <n v="97504"/>
    <x v="1"/>
    <x v="1174"/>
    <x v="1"/>
    <x v="10"/>
    <x v="1160"/>
    <x v="1609"/>
    <x v="0"/>
    <x v="0"/>
  </r>
  <r>
    <n v="1895"/>
    <x v="927"/>
    <x v="574"/>
    <d v="2018-12-05T00:00:00"/>
    <s v="First Class"/>
    <x v="548"/>
    <s v="Adam Shillingsburg"/>
    <x v="0"/>
    <s v="United States"/>
    <s v="Charlottesville"/>
    <x v="17"/>
    <n v="22901"/>
    <x v="0"/>
    <x v="1175"/>
    <x v="1"/>
    <x v="6"/>
    <x v="1161"/>
    <x v="1610"/>
    <x v="4"/>
    <x v="3"/>
  </r>
  <r>
    <n v="1896"/>
    <x v="928"/>
    <x v="620"/>
    <d v="2017-01-04T00:00:00"/>
    <s v="Standard Class"/>
    <x v="123"/>
    <s v="Jas O'Carroll"/>
    <x v="0"/>
    <s v="United States"/>
    <s v="Missoula"/>
    <x v="37"/>
    <n v="59801"/>
    <x v="1"/>
    <x v="569"/>
    <x v="1"/>
    <x v="8"/>
    <x v="569"/>
    <x v="1611"/>
    <x v="4"/>
    <x v="1"/>
  </r>
  <r>
    <n v="1897"/>
    <x v="929"/>
    <x v="621"/>
    <d v="2018-10-06T00:00:00"/>
    <s v="First Class"/>
    <x v="549"/>
    <s v="Amy Cox"/>
    <x v="0"/>
    <s v="United States"/>
    <s v="Minneapolis"/>
    <x v="11"/>
    <n v="55407"/>
    <x v="2"/>
    <x v="1176"/>
    <x v="1"/>
    <x v="8"/>
    <x v="1162"/>
    <x v="1612"/>
    <x v="2"/>
    <x v="3"/>
  </r>
  <r>
    <n v="1898"/>
    <x v="930"/>
    <x v="550"/>
    <d v="2015-09-02T00:00:00"/>
    <s v="Second Class"/>
    <x v="362"/>
    <s v="Ryan Akin"/>
    <x v="0"/>
    <s v="United States"/>
    <s v="Miami"/>
    <x v="2"/>
    <n v="33178"/>
    <x v="0"/>
    <x v="1177"/>
    <x v="1"/>
    <x v="12"/>
    <x v="1163"/>
    <x v="1613"/>
    <x v="6"/>
    <x v="2"/>
  </r>
  <r>
    <n v="1899"/>
    <x v="930"/>
    <x v="550"/>
    <d v="2015-09-02T00:00:00"/>
    <s v="Second Class"/>
    <x v="362"/>
    <s v="Ryan Akin"/>
    <x v="0"/>
    <s v="United States"/>
    <s v="Miami"/>
    <x v="2"/>
    <n v="33178"/>
    <x v="0"/>
    <x v="1178"/>
    <x v="1"/>
    <x v="8"/>
    <x v="1164"/>
    <x v="1614"/>
    <x v="6"/>
    <x v="2"/>
  </r>
  <r>
    <n v="1900"/>
    <x v="930"/>
    <x v="550"/>
    <d v="2015-09-02T00:00:00"/>
    <s v="Second Class"/>
    <x v="362"/>
    <s v="Ryan Akin"/>
    <x v="0"/>
    <s v="United States"/>
    <s v="Miami"/>
    <x v="2"/>
    <n v="33178"/>
    <x v="0"/>
    <x v="438"/>
    <x v="0"/>
    <x v="3"/>
    <x v="438"/>
    <x v="1615"/>
    <x v="6"/>
    <x v="2"/>
  </r>
  <r>
    <n v="1901"/>
    <x v="931"/>
    <x v="622"/>
    <d v="2017-07-03T00:00:00"/>
    <s v="Second Class"/>
    <x v="476"/>
    <s v="Corey-Lock"/>
    <x v="0"/>
    <s v="United States"/>
    <s v="Florence"/>
    <x v="20"/>
    <n v="29501"/>
    <x v="0"/>
    <x v="911"/>
    <x v="1"/>
    <x v="4"/>
    <x v="903"/>
    <x v="1616"/>
    <x v="1"/>
    <x v="0"/>
  </r>
  <r>
    <n v="1902"/>
    <x v="932"/>
    <x v="623"/>
    <d v="2017-08-23T00:00:00"/>
    <s v="First Class"/>
    <x v="108"/>
    <s v="Dianna Wilson"/>
    <x v="2"/>
    <s v="United States"/>
    <s v="Detroit"/>
    <x v="12"/>
    <n v="48205"/>
    <x v="2"/>
    <x v="1179"/>
    <x v="2"/>
    <x v="7"/>
    <x v="1165"/>
    <x v="1617"/>
    <x v="6"/>
    <x v="0"/>
  </r>
  <r>
    <n v="1903"/>
    <x v="933"/>
    <x v="208"/>
    <d v="2018-10-22T00:00:00"/>
    <s v="First Class"/>
    <x v="460"/>
    <s v="Damala Kotsonis"/>
    <x v="1"/>
    <s v="United States"/>
    <s v="Springfield"/>
    <x v="21"/>
    <n v="97477"/>
    <x v="1"/>
    <x v="644"/>
    <x v="1"/>
    <x v="10"/>
    <x v="644"/>
    <x v="1170"/>
    <x v="2"/>
    <x v="3"/>
  </r>
  <r>
    <n v="1904"/>
    <x v="933"/>
    <x v="208"/>
    <d v="2018-10-22T00:00:00"/>
    <s v="First Class"/>
    <x v="460"/>
    <s v="Damala Kotsonis"/>
    <x v="1"/>
    <s v="United States"/>
    <s v="Springfield"/>
    <x v="21"/>
    <n v="97477"/>
    <x v="1"/>
    <x v="1180"/>
    <x v="0"/>
    <x v="1"/>
    <x v="1166"/>
    <x v="1618"/>
    <x v="2"/>
    <x v="3"/>
  </r>
  <r>
    <n v="1905"/>
    <x v="933"/>
    <x v="208"/>
    <d v="2018-10-22T00:00:00"/>
    <s v="First Class"/>
    <x v="460"/>
    <s v="Damala Kotsonis"/>
    <x v="1"/>
    <s v="United States"/>
    <s v="Springfield"/>
    <x v="21"/>
    <n v="97477"/>
    <x v="1"/>
    <x v="936"/>
    <x v="2"/>
    <x v="11"/>
    <x v="929"/>
    <x v="158"/>
    <x v="2"/>
    <x v="3"/>
  </r>
  <r>
    <n v="1906"/>
    <x v="934"/>
    <x v="208"/>
    <d v="2018-10-24T00:00:00"/>
    <s v="First Class"/>
    <x v="550"/>
    <s v="Michael Dominguez"/>
    <x v="1"/>
    <s v="United States"/>
    <s v="Indianapolis"/>
    <x v="14"/>
    <n v="46203"/>
    <x v="2"/>
    <x v="418"/>
    <x v="1"/>
    <x v="4"/>
    <x v="418"/>
    <x v="1619"/>
    <x v="2"/>
    <x v="3"/>
  </r>
  <r>
    <n v="1907"/>
    <x v="935"/>
    <x v="624"/>
    <d v="2017-05-21T00:00:00"/>
    <s v="Standard Class"/>
    <x v="532"/>
    <s v="Roy Phan"/>
    <x v="1"/>
    <s v="United States"/>
    <s v="Apopka"/>
    <x v="2"/>
    <n v="32712"/>
    <x v="0"/>
    <x v="1181"/>
    <x v="1"/>
    <x v="8"/>
    <x v="1167"/>
    <x v="1620"/>
    <x v="5"/>
    <x v="0"/>
  </r>
  <r>
    <n v="1908"/>
    <x v="935"/>
    <x v="624"/>
    <d v="2017-05-21T00:00:00"/>
    <s v="Standard Class"/>
    <x v="532"/>
    <s v="Roy Phan"/>
    <x v="1"/>
    <s v="United States"/>
    <s v="Apopka"/>
    <x v="2"/>
    <n v="32712"/>
    <x v="0"/>
    <x v="491"/>
    <x v="1"/>
    <x v="8"/>
    <x v="491"/>
    <x v="1621"/>
    <x v="5"/>
    <x v="0"/>
  </r>
  <r>
    <n v="1909"/>
    <x v="936"/>
    <x v="302"/>
    <d v="2016-02-04T00:00:00"/>
    <s v="First Class"/>
    <x v="459"/>
    <s v="Rick Wilson"/>
    <x v="1"/>
    <s v="United States"/>
    <s v="Los Angeles"/>
    <x v="1"/>
    <n v="90008"/>
    <x v="1"/>
    <x v="1182"/>
    <x v="0"/>
    <x v="5"/>
    <x v="1168"/>
    <x v="1622"/>
    <x v="11"/>
    <x v="1"/>
  </r>
  <r>
    <n v="1910"/>
    <x v="937"/>
    <x v="404"/>
    <d v="2018-12-23T00:00:00"/>
    <s v="Standard Class"/>
    <x v="551"/>
    <s v="Duane Benoit"/>
    <x v="0"/>
    <s v="United States"/>
    <s v="Oceanside"/>
    <x v="15"/>
    <n v="11572"/>
    <x v="3"/>
    <x v="1183"/>
    <x v="0"/>
    <x v="5"/>
    <x v="1169"/>
    <x v="1623"/>
    <x v="4"/>
    <x v="3"/>
  </r>
  <r>
    <n v="1911"/>
    <x v="938"/>
    <x v="625"/>
    <d v="2017-11-22T00:00:00"/>
    <s v="Standard Class"/>
    <x v="34"/>
    <s v="Stewart Carmichael"/>
    <x v="1"/>
    <s v="United States"/>
    <s v="Los Angeles"/>
    <x v="1"/>
    <n v="90008"/>
    <x v="1"/>
    <x v="217"/>
    <x v="2"/>
    <x v="11"/>
    <x v="463"/>
    <x v="637"/>
    <x v="0"/>
    <x v="0"/>
  </r>
  <r>
    <n v="1912"/>
    <x v="939"/>
    <x v="445"/>
    <d v="2018-07-06T00:00:00"/>
    <s v="Second Class"/>
    <x v="395"/>
    <s v="Frank Hawley"/>
    <x v="1"/>
    <s v="United States"/>
    <s v="Houston"/>
    <x v="5"/>
    <n v="77041"/>
    <x v="2"/>
    <x v="1184"/>
    <x v="1"/>
    <x v="10"/>
    <x v="1170"/>
    <x v="1624"/>
    <x v="7"/>
    <x v="3"/>
  </r>
  <r>
    <n v="1913"/>
    <x v="939"/>
    <x v="445"/>
    <d v="2018-07-06T00:00:00"/>
    <s v="Second Class"/>
    <x v="395"/>
    <s v="Frank Hawley"/>
    <x v="1"/>
    <s v="United States"/>
    <s v="Houston"/>
    <x v="5"/>
    <n v="77041"/>
    <x v="2"/>
    <x v="1185"/>
    <x v="2"/>
    <x v="15"/>
    <x v="1171"/>
    <x v="1625"/>
    <x v="7"/>
    <x v="3"/>
  </r>
  <r>
    <n v="1914"/>
    <x v="940"/>
    <x v="626"/>
    <d v="2015-01-17T00:00:00"/>
    <s v="First Class"/>
    <x v="552"/>
    <s v="Erica Hackney"/>
    <x v="0"/>
    <s v="United States"/>
    <s v="Roswell"/>
    <x v="32"/>
    <n v="30076"/>
    <x v="0"/>
    <x v="246"/>
    <x v="2"/>
    <x v="11"/>
    <x v="247"/>
    <x v="179"/>
    <x v="9"/>
    <x v="2"/>
  </r>
  <r>
    <n v="1915"/>
    <x v="941"/>
    <x v="504"/>
    <d v="2018-05-05T00:00:00"/>
    <s v="Standard Class"/>
    <x v="357"/>
    <s v="Ann Steele"/>
    <x v="2"/>
    <s v="United States"/>
    <s v="Boynton Beach"/>
    <x v="2"/>
    <n v="33437"/>
    <x v="0"/>
    <x v="1186"/>
    <x v="1"/>
    <x v="2"/>
    <x v="1172"/>
    <x v="871"/>
    <x v="3"/>
    <x v="3"/>
  </r>
  <r>
    <n v="1916"/>
    <x v="941"/>
    <x v="504"/>
    <d v="2018-05-05T00:00:00"/>
    <s v="Standard Class"/>
    <x v="357"/>
    <s v="Ann Steele"/>
    <x v="2"/>
    <s v="United States"/>
    <s v="Boynton Beach"/>
    <x v="2"/>
    <n v="33437"/>
    <x v="0"/>
    <x v="900"/>
    <x v="1"/>
    <x v="6"/>
    <x v="772"/>
    <x v="1626"/>
    <x v="3"/>
    <x v="3"/>
  </r>
  <r>
    <n v="1917"/>
    <x v="941"/>
    <x v="504"/>
    <d v="2018-05-05T00:00:00"/>
    <s v="Standard Class"/>
    <x v="357"/>
    <s v="Ann Steele"/>
    <x v="2"/>
    <s v="United States"/>
    <s v="Boynton Beach"/>
    <x v="2"/>
    <n v="33437"/>
    <x v="0"/>
    <x v="639"/>
    <x v="1"/>
    <x v="2"/>
    <x v="639"/>
    <x v="1627"/>
    <x v="3"/>
    <x v="3"/>
  </r>
  <r>
    <n v="1918"/>
    <x v="942"/>
    <x v="627"/>
    <d v="2016-11-14T00:00:00"/>
    <s v="Standard Class"/>
    <x v="456"/>
    <s v="Helen Abelman"/>
    <x v="0"/>
    <s v="United States"/>
    <s v="Franklin"/>
    <x v="31"/>
    <n v="2038"/>
    <x v="3"/>
    <x v="372"/>
    <x v="1"/>
    <x v="6"/>
    <x v="373"/>
    <x v="1628"/>
    <x v="0"/>
    <x v="1"/>
  </r>
  <r>
    <n v="1919"/>
    <x v="943"/>
    <x v="628"/>
    <d v="2016-11-01T00:00:00"/>
    <s v="Second Class"/>
    <x v="539"/>
    <s v="Cathy Hwang"/>
    <x v="2"/>
    <s v="United States"/>
    <s v="Detroit"/>
    <x v="12"/>
    <n v="48227"/>
    <x v="2"/>
    <x v="1187"/>
    <x v="2"/>
    <x v="7"/>
    <x v="1173"/>
    <x v="1629"/>
    <x v="2"/>
    <x v="1"/>
  </r>
  <r>
    <n v="1920"/>
    <x v="944"/>
    <x v="629"/>
    <d v="2018-08-19T00:00:00"/>
    <s v="First Class"/>
    <x v="553"/>
    <s v="Edward Hooks"/>
    <x v="1"/>
    <s v="United States"/>
    <s v="Watertown"/>
    <x v="15"/>
    <n v="13601"/>
    <x v="3"/>
    <x v="1188"/>
    <x v="1"/>
    <x v="8"/>
    <x v="1174"/>
    <x v="1630"/>
    <x v="6"/>
    <x v="3"/>
  </r>
  <r>
    <n v="1921"/>
    <x v="944"/>
    <x v="629"/>
    <d v="2018-08-19T00:00:00"/>
    <s v="First Class"/>
    <x v="553"/>
    <s v="Edward Hooks"/>
    <x v="1"/>
    <s v="United States"/>
    <s v="Watertown"/>
    <x v="15"/>
    <n v="13601"/>
    <x v="3"/>
    <x v="1189"/>
    <x v="0"/>
    <x v="1"/>
    <x v="1175"/>
    <x v="1631"/>
    <x v="6"/>
    <x v="3"/>
  </r>
  <r>
    <n v="1922"/>
    <x v="945"/>
    <x v="292"/>
    <d v="2016-10-09T00:00:00"/>
    <s v="Standard Class"/>
    <x v="89"/>
    <s v="Mary Zewe"/>
    <x v="1"/>
    <s v="United States"/>
    <s v="Reading"/>
    <x v="9"/>
    <n v="19601"/>
    <x v="3"/>
    <x v="1190"/>
    <x v="1"/>
    <x v="4"/>
    <x v="683"/>
    <x v="1632"/>
    <x v="2"/>
    <x v="1"/>
  </r>
  <r>
    <n v="1923"/>
    <x v="946"/>
    <x v="630"/>
    <d v="2017-07-10T00:00:00"/>
    <s v="Second Class"/>
    <x v="554"/>
    <s v="Scot Coram"/>
    <x v="1"/>
    <s v="United States"/>
    <s v="Arlington"/>
    <x v="5"/>
    <n v="76017"/>
    <x v="2"/>
    <x v="1191"/>
    <x v="2"/>
    <x v="7"/>
    <x v="1176"/>
    <x v="1633"/>
    <x v="7"/>
    <x v="0"/>
  </r>
  <r>
    <n v="1924"/>
    <x v="946"/>
    <x v="630"/>
    <d v="2017-07-10T00:00:00"/>
    <s v="Second Class"/>
    <x v="554"/>
    <s v="Scot Coram"/>
    <x v="1"/>
    <s v="United States"/>
    <s v="Arlington"/>
    <x v="5"/>
    <n v="76017"/>
    <x v="2"/>
    <x v="397"/>
    <x v="1"/>
    <x v="6"/>
    <x v="398"/>
    <x v="1634"/>
    <x v="7"/>
    <x v="0"/>
  </r>
  <r>
    <n v="1925"/>
    <x v="947"/>
    <x v="256"/>
    <d v="2018-12-07T00:00:00"/>
    <s v="Second Class"/>
    <x v="268"/>
    <s v="Naresj Patel"/>
    <x v="0"/>
    <s v="United States"/>
    <s v="San Diego"/>
    <x v="1"/>
    <n v="92024"/>
    <x v="1"/>
    <x v="334"/>
    <x v="1"/>
    <x v="10"/>
    <x v="334"/>
    <x v="1635"/>
    <x v="4"/>
    <x v="3"/>
  </r>
  <r>
    <n v="1926"/>
    <x v="948"/>
    <x v="631"/>
    <d v="2018-03-13T00:00:00"/>
    <s v="Standard Class"/>
    <x v="352"/>
    <s v="Lindsay Williams"/>
    <x v="1"/>
    <s v="United States"/>
    <s v="San Francisco"/>
    <x v="1"/>
    <n v="94110"/>
    <x v="1"/>
    <x v="295"/>
    <x v="2"/>
    <x v="11"/>
    <x v="295"/>
    <x v="1636"/>
    <x v="10"/>
    <x v="3"/>
  </r>
  <r>
    <n v="1927"/>
    <x v="949"/>
    <x v="632"/>
    <d v="2017-06-15T00:00:00"/>
    <s v="Standard Class"/>
    <x v="411"/>
    <s v="Greg Matthias"/>
    <x v="0"/>
    <s v="United States"/>
    <s v="Los Angeles"/>
    <x v="1"/>
    <n v="90045"/>
    <x v="1"/>
    <x v="1192"/>
    <x v="2"/>
    <x v="7"/>
    <x v="1177"/>
    <x v="1637"/>
    <x v="1"/>
    <x v="0"/>
  </r>
  <r>
    <n v="1928"/>
    <x v="950"/>
    <x v="354"/>
    <d v="2018-12-01T00:00:00"/>
    <s v="First Class"/>
    <x v="302"/>
    <s v="Rick Hansen"/>
    <x v="0"/>
    <s v="United States"/>
    <s v="Denver"/>
    <x v="22"/>
    <n v="80219"/>
    <x v="1"/>
    <x v="417"/>
    <x v="1"/>
    <x v="10"/>
    <x v="417"/>
    <x v="1638"/>
    <x v="0"/>
    <x v="3"/>
  </r>
  <r>
    <n v="1929"/>
    <x v="951"/>
    <x v="633"/>
    <d v="2018-03-18T00:00:00"/>
    <s v="Second Class"/>
    <x v="91"/>
    <s v="Valerie Mitchum"/>
    <x v="2"/>
    <s v="United States"/>
    <s v="Seattle"/>
    <x v="4"/>
    <n v="98105"/>
    <x v="1"/>
    <x v="1193"/>
    <x v="1"/>
    <x v="10"/>
    <x v="1178"/>
    <x v="90"/>
    <x v="10"/>
    <x v="3"/>
  </r>
  <r>
    <n v="1930"/>
    <x v="951"/>
    <x v="633"/>
    <d v="2018-03-18T00:00:00"/>
    <s v="Second Class"/>
    <x v="91"/>
    <s v="Valerie Mitchum"/>
    <x v="2"/>
    <s v="United States"/>
    <s v="Seattle"/>
    <x v="4"/>
    <n v="98105"/>
    <x v="1"/>
    <x v="243"/>
    <x v="1"/>
    <x v="4"/>
    <x v="244"/>
    <x v="1639"/>
    <x v="10"/>
    <x v="3"/>
  </r>
  <r>
    <n v="1931"/>
    <x v="951"/>
    <x v="633"/>
    <d v="2018-03-18T00:00:00"/>
    <s v="Second Class"/>
    <x v="91"/>
    <s v="Valerie Mitchum"/>
    <x v="2"/>
    <s v="United States"/>
    <s v="Seattle"/>
    <x v="4"/>
    <n v="98105"/>
    <x v="1"/>
    <x v="903"/>
    <x v="2"/>
    <x v="7"/>
    <x v="895"/>
    <x v="1640"/>
    <x v="10"/>
    <x v="3"/>
  </r>
  <r>
    <n v="1932"/>
    <x v="952"/>
    <x v="581"/>
    <d v="2017-11-29T00:00:00"/>
    <s v="Second Class"/>
    <x v="113"/>
    <s v="Craig Carreira"/>
    <x v="0"/>
    <s v="United States"/>
    <s v="Scottsdale"/>
    <x v="16"/>
    <n v="85254"/>
    <x v="1"/>
    <x v="1194"/>
    <x v="2"/>
    <x v="7"/>
    <x v="1179"/>
    <x v="1641"/>
    <x v="0"/>
    <x v="0"/>
  </r>
  <r>
    <n v="1933"/>
    <x v="953"/>
    <x v="634"/>
    <d v="2018-08-10T00:00:00"/>
    <s v="Second Class"/>
    <x v="277"/>
    <s v="Seth Vernon"/>
    <x v="0"/>
    <s v="United States"/>
    <s v="Lafayette"/>
    <x v="28"/>
    <n v="70506"/>
    <x v="0"/>
    <x v="1195"/>
    <x v="0"/>
    <x v="0"/>
    <x v="1180"/>
    <x v="1642"/>
    <x v="6"/>
    <x v="3"/>
  </r>
  <r>
    <n v="1934"/>
    <x v="953"/>
    <x v="634"/>
    <d v="2018-08-10T00:00:00"/>
    <s v="Second Class"/>
    <x v="277"/>
    <s v="Seth Vernon"/>
    <x v="0"/>
    <s v="United States"/>
    <s v="Lafayette"/>
    <x v="28"/>
    <n v="70506"/>
    <x v="0"/>
    <x v="50"/>
    <x v="0"/>
    <x v="5"/>
    <x v="50"/>
    <x v="1643"/>
    <x v="6"/>
    <x v="3"/>
  </r>
  <r>
    <n v="1935"/>
    <x v="954"/>
    <x v="344"/>
    <d v="2018-12-03T00:00:00"/>
    <s v="Standard Class"/>
    <x v="352"/>
    <s v="Lindsay Williams"/>
    <x v="1"/>
    <s v="United States"/>
    <s v="San Francisco"/>
    <x v="1"/>
    <n v="94109"/>
    <x v="1"/>
    <x v="1158"/>
    <x v="1"/>
    <x v="10"/>
    <x v="1146"/>
    <x v="1644"/>
    <x v="0"/>
    <x v="3"/>
  </r>
  <r>
    <n v="1936"/>
    <x v="954"/>
    <x v="344"/>
    <d v="2018-12-03T00:00:00"/>
    <s v="Standard Class"/>
    <x v="352"/>
    <s v="Lindsay Williams"/>
    <x v="1"/>
    <s v="United States"/>
    <s v="San Francisco"/>
    <x v="1"/>
    <n v="94109"/>
    <x v="1"/>
    <x v="1196"/>
    <x v="2"/>
    <x v="11"/>
    <x v="1181"/>
    <x v="1645"/>
    <x v="0"/>
    <x v="3"/>
  </r>
  <r>
    <n v="1937"/>
    <x v="955"/>
    <x v="442"/>
    <d v="2016-05-27T00:00:00"/>
    <s v="Second Class"/>
    <x v="472"/>
    <s v="Nora Pelletier"/>
    <x v="2"/>
    <s v="United States"/>
    <s v="San Francisco"/>
    <x v="1"/>
    <n v="94109"/>
    <x v="1"/>
    <x v="875"/>
    <x v="0"/>
    <x v="5"/>
    <x v="869"/>
    <x v="1646"/>
    <x v="5"/>
    <x v="1"/>
  </r>
  <r>
    <n v="1938"/>
    <x v="956"/>
    <x v="630"/>
    <d v="2017-07-12T00:00:00"/>
    <s v="Standard Class"/>
    <x v="555"/>
    <s v="Joe Elijah"/>
    <x v="0"/>
    <s v="United States"/>
    <s v="Broomfield"/>
    <x v="22"/>
    <n v="80020"/>
    <x v="1"/>
    <x v="1197"/>
    <x v="1"/>
    <x v="8"/>
    <x v="1182"/>
    <x v="1647"/>
    <x v="7"/>
    <x v="0"/>
  </r>
  <r>
    <n v="1939"/>
    <x v="956"/>
    <x v="630"/>
    <d v="2017-07-12T00:00:00"/>
    <s v="Standard Class"/>
    <x v="555"/>
    <s v="Joe Elijah"/>
    <x v="0"/>
    <s v="United States"/>
    <s v="Broomfield"/>
    <x v="22"/>
    <n v="80020"/>
    <x v="1"/>
    <x v="1198"/>
    <x v="1"/>
    <x v="4"/>
    <x v="1183"/>
    <x v="1383"/>
    <x v="7"/>
    <x v="0"/>
  </r>
  <r>
    <n v="1940"/>
    <x v="956"/>
    <x v="630"/>
    <d v="2017-07-12T00:00:00"/>
    <s v="Standard Class"/>
    <x v="555"/>
    <s v="Joe Elijah"/>
    <x v="0"/>
    <s v="United States"/>
    <s v="Broomfield"/>
    <x v="22"/>
    <n v="80020"/>
    <x v="1"/>
    <x v="24"/>
    <x v="1"/>
    <x v="8"/>
    <x v="24"/>
    <x v="1648"/>
    <x v="7"/>
    <x v="0"/>
  </r>
  <r>
    <n v="1941"/>
    <x v="956"/>
    <x v="630"/>
    <d v="2017-07-12T00:00:00"/>
    <s v="Standard Class"/>
    <x v="555"/>
    <s v="Joe Elijah"/>
    <x v="0"/>
    <s v="United States"/>
    <s v="Broomfield"/>
    <x v="22"/>
    <n v="80020"/>
    <x v="1"/>
    <x v="157"/>
    <x v="0"/>
    <x v="1"/>
    <x v="158"/>
    <x v="1649"/>
    <x v="7"/>
    <x v="0"/>
  </r>
  <r>
    <n v="1942"/>
    <x v="957"/>
    <x v="635"/>
    <d v="2018-09-01T00:00:00"/>
    <s v="First Class"/>
    <x v="434"/>
    <s v="Cathy Prescott"/>
    <x v="1"/>
    <s v="United States"/>
    <s v="Quincy"/>
    <x v="10"/>
    <n v="62301"/>
    <x v="2"/>
    <x v="198"/>
    <x v="1"/>
    <x v="2"/>
    <x v="199"/>
    <x v="655"/>
    <x v="6"/>
    <x v="3"/>
  </r>
  <r>
    <n v="1943"/>
    <x v="957"/>
    <x v="635"/>
    <d v="2018-09-01T00:00:00"/>
    <s v="First Class"/>
    <x v="434"/>
    <s v="Cathy Prescott"/>
    <x v="1"/>
    <s v="United States"/>
    <s v="Quincy"/>
    <x v="10"/>
    <n v="62301"/>
    <x v="2"/>
    <x v="456"/>
    <x v="1"/>
    <x v="4"/>
    <x v="457"/>
    <x v="1180"/>
    <x v="6"/>
    <x v="3"/>
  </r>
  <r>
    <n v="1944"/>
    <x v="957"/>
    <x v="635"/>
    <d v="2018-09-01T00:00:00"/>
    <s v="First Class"/>
    <x v="434"/>
    <s v="Cathy Prescott"/>
    <x v="1"/>
    <s v="United States"/>
    <s v="Quincy"/>
    <x v="10"/>
    <n v="62301"/>
    <x v="2"/>
    <x v="751"/>
    <x v="1"/>
    <x v="8"/>
    <x v="749"/>
    <x v="1650"/>
    <x v="6"/>
    <x v="3"/>
  </r>
  <r>
    <n v="1945"/>
    <x v="958"/>
    <x v="23"/>
    <d v="2017-06-26T00:00:00"/>
    <s v="Standard Class"/>
    <x v="105"/>
    <s v="Erin Ashbrook"/>
    <x v="1"/>
    <s v="United States"/>
    <s v="Carrollton"/>
    <x v="5"/>
    <n v="75007"/>
    <x v="2"/>
    <x v="1016"/>
    <x v="2"/>
    <x v="11"/>
    <x v="1007"/>
    <x v="1651"/>
    <x v="1"/>
    <x v="0"/>
  </r>
  <r>
    <n v="1946"/>
    <x v="958"/>
    <x v="23"/>
    <d v="2017-06-26T00:00:00"/>
    <s v="Standard Class"/>
    <x v="105"/>
    <s v="Erin Ashbrook"/>
    <x v="1"/>
    <s v="United States"/>
    <s v="Carrollton"/>
    <x v="5"/>
    <n v="75007"/>
    <x v="2"/>
    <x v="1145"/>
    <x v="1"/>
    <x v="10"/>
    <x v="1133"/>
    <x v="559"/>
    <x v="1"/>
    <x v="0"/>
  </r>
  <r>
    <n v="1947"/>
    <x v="959"/>
    <x v="264"/>
    <d v="2018-09-06T00:00:00"/>
    <s v="Standard Class"/>
    <x v="556"/>
    <s v="Ann Chong"/>
    <x v="1"/>
    <s v="United States"/>
    <s v="New York City"/>
    <x v="15"/>
    <n v="10009"/>
    <x v="3"/>
    <x v="332"/>
    <x v="1"/>
    <x v="6"/>
    <x v="332"/>
    <x v="789"/>
    <x v="8"/>
    <x v="3"/>
  </r>
  <r>
    <n v="1948"/>
    <x v="959"/>
    <x v="264"/>
    <d v="2018-09-06T00:00:00"/>
    <s v="Standard Class"/>
    <x v="556"/>
    <s v="Ann Chong"/>
    <x v="1"/>
    <s v="United States"/>
    <s v="New York City"/>
    <x v="15"/>
    <n v="10009"/>
    <x v="3"/>
    <x v="1137"/>
    <x v="0"/>
    <x v="5"/>
    <x v="1125"/>
    <x v="1034"/>
    <x v="8"/>
    <x v="3"/>
  </r>
  <r>
    <n v="1949"/>
    <x v="959"/>
    <x v="264"/>
    <d v="2018-09-06T00:00:00"/>
    <s v="Standard Class"/>
    <x v="556"/>
    <s v="Ann Chong"/>
    <x v="1"/>
    <s v="United States"/>
    <s v="New York City"/>
    <x v="15"/>
    <n v="10009"/>
    <x v="3"/>
    <x v="411"/>
    <x v="0"/>
    <x v="3"/>
    <x v="411"/>
    <x v="1652"/>
    <x v="8"/>
    <x v="3"/>
  </r>
  <r>
    <n v="1950"/>
    <x v="959"/>
    <x v="264"/>
    <d v="2018-09-06T00:00:00"/>
    <s v="Standard Class"/>
    <x v="556"/>
    <s v="Ann Chong"/>
    <x v="1"/>
    <s v="United States"/>
    <s v="New York City"/>
    <x v="15"/>
    <n v="10009"/>
    <x v="3"/>
    <x v="95"/>
    <x v="1"/>
    <x v="9"/>
    <x v="95"/>
    <x v="1653"/>
    <x v="8"/>
    <x v="3"/>
  </r>
  <r>
    <n v="1951"/>
    <x v="959"/>
    <x v="264"/>
    <d v="2018-09-06T00:00:00"/>
    <s v="Standard Class"/>
    <x v="556"/>
    <s v="Ann Chong"/>
    <x v="1"/>
    <s v="United States"/>
    <s v="New York City"/>
    <x v="15"/>
    <n v="10009"/>
    <x v="3"/>
    <x v="925"/>
    <x v="1"/>
    <x v="8"/>
    <x v="917"/>
    <x v="1654"/>
    <x v="8"/>
    <x v="3"/>
  </r>
  <r>
    <n v="1952"/>
    <x v="959"/>
    <x v="264"/>
    <d v="2018-09-06T00:00:00"/>
    <s v="Standard Class"/>
    <x v="556"/>
    <s v="Ann Chong"/>
    <x v="1"/>
    <s v="United States"/>
    <s v="New York City"/>
    <x v="15"/>
    <n v="10009"/>
    <x v="3"/>
    <x v="781"/>
    <x v="2"/>
    <x v="7"/>
    <x v="780"/>
    <x v="925"/>
    <x v="8"/>
    <x v="3"/>
  </r>
  <r>
    <n v="1953"/>
    <x v="959"/>
    <x v="264"/>
    <d v="2018-09-06T00:00:00"/>
    <s v="Standard Class"/>
    <x v="556"/>
    <s v="Ann Chong"/>
    <x v="1"/>
    <s v="United States"/>
    <s v="New York City"/>
    <x v="15"/>
    <n v="10009"/>
    <x v="3"/>
    <x v="1042"/>
    <x v="1"/>
    <x v="2"/>
    <x v="1031"/>
    <x v="1365"/>
    <x v="8"/>
    <x v="3"/>
  </r>
  <r>
    <n v="1954"/>
    <x v="959"/>
    <x v="264"/>
    <d v="2018-09-06T00:00:00"/>
    <s v="Standard Class"/>
    <x v="556"/>
    <s v="Ann Chong"/>
    <x v="1"/>
    <s v="United States"/>
    <s v="New York City"/>
    <x v="15"/>
    <n v="10009"/>
    <x v="3"/>
    <x v="463"/>
    <x v="0"/>
    <x v="1"/>
    <x v="464"/>
    <x v="1655"/>
    <x v="8"/>
    <x v="3"/>
  </r>
  <r>
    <n v="1955"/>
    <x v="959"/>
    <x v="264"/>
    <d v="2018-09-06T00:00:00"/>
    <s v="Standard Class"/>
    <x v="556"/>
    <s v="Ann Chong"/>
    <x v="1"/>
    <s v="United States"/>
    <s v="New York City"/>
    <x v="15"/>
    <n v="10009"/>
    <x v="3"/>
    <x v="1199"/>
    <x v="1"/>
    <x v="6"/>
    <x v="1184"/>
    <x v="1656"/>
    <x v="8"/>
    <x v="3"/>
  </r>
  <r>
    <n v="1956"/>
    <x v="959"/>
    <x v="264"/>
    <d v="2018-09-06T00:00:00"/>
    <s v="Standard Class"/>
    <x v="556"/>
    <s v="Ann Chong"/>
    <x v="1"/>
    <s v="United States"/>
    <s v="New York City"/>
    <x v="15"/>
    <n v="10009"/>
    <x v="3"/>
    <x v="1200"/>
    <x v="2"/>
    <x v="11"/>
    <x v="1185"/>
    <x v="1657"/>
    <x v="8"/>
    <x v="3"/>
  </r>
  <r>
    <n v="1957"/>
    <x v="959"/>
    <x v="264"/>
    <d v="2018-09-06T00:00:00"/>
    <s v="Standard Class"/>
    <x v="556"/>
    <s v="Ann Chong"/>
    <x v="1"/>
    <s v="United States"/>
    <s v="New York City"/>
    <x v="15"/>
    <n v="10009"/>
    <x v="3"/>
    <x v="201"/>
    <x v="2"/>
    <x v="11"/>
    <x v="202"/>
    <x v="761"/>
    <x v="8"/>
    <x v="3"/>
  </r>
  <r>
    <n v="1958"/>
    <x v="959"/>
    <x v="264"/>
    <d v="2018-09-06T00:00:00"/>
    <s v="Standard Class"/>
    <x v="556"/>
    <s v="Ann Chong"/>
    <x v="1"/>
    <s v="United States"/>
    <s v="New York City"/>
    <x v="15"/>
    <n v="10009"/>
    <x v="3"/>
    <x v="1117"/>
    <x v="1"/>
    <x v="10"/>
    <x v="1105"/>
    <x v="854"/>
    <x v="8"/>
    <x v="3"/>
  </r>
  <r>
    <n v="1959"/>
    <x v="960"/>
    <x v="18"/>
    <d v="2018-09-15T00:00:00"/>
    <s v="Second Class"/>
    <x v="355"/>
    <s v="Robert Waldorf"/>
    <x v="0"/>
    <s v="United States"/>
    <s v="Springfield"/>
    <x v="25"/>
    <n v="65807"/>
    <x v="2"/>
    <x v="806"/>
    <x v="1"/>
    <x v="8"/>
    <x v="804"/>
    <x v="1658"/>
    <x v="8"/>
    <x v="3"/>
  </r>
  <r>
    <n v="1960"/>
    <x v="960"/>
    <x v="18"/>
    <d v="2018-09-15T00:00:00"/>
    <s v="Second Class"/>
    <x v="355"/>
    <s v="Robert Waldorf"/>
    <x v="0"/>
    <s v="United States"/>
    <s v="Springfield"/>
    <x v="25"/>
    <n v="65807"/>
    <x v="2"/>
    <x v="1201"/>
    <x v="1"/>
    <x v="9"/>
    <x v="1186"/>
    <x v="1659"/>
    <x v="8"/>
    <x v="3"/>
  </r>
  <r>
    <n v="1961"/>
    <x v="960"/>
    <x v="18"/>
    <d v="2018-09-15T00:00:00"/>
    <s v="Second Class"/>
    <x v="355"/>
    <s v="Robert Waldorf"/>
    <x v="0"/>
    <s v="United States"/>
    <s v="Springfield"/>
    <x v="25"/>
    <n v="65807"/>
    <x v="2"/>
    <x v="1089"/>
    <x v="2"/>
    <x v="11"/>
    <x v="1079"/>
    <x v="1660"/>
    <x v="8"/>
    <x v="3"/>
  </r>
  <r>
    <n v="1962"/>
    <x v="960"/>
    <x v="18"/>
    <d v="2018-09-15T00:00:00"/>
    <s v="Second Class"/>
    <x v="355"/>
    <s v="Robert Waldorf"/>
    <x v="0"/>
    <s v="United States"/>
    <s v="Springfield"/>
    <x v="25"/>
    <n v="65807"/>
    <x v="2"/>
    <x v="1202"/>
    <x v="2"/>
    <x v="11"/>
    <x v="1187"/>
    <x v="1661"/>
    <x v="8"/>
    <x v="3"/>
  </r>
  <r>
    <n v="1963"/>
    <x v="960"/>
    <x v="18"/>
    <d v="2018-09-15T00:00:00"/>
    <s v="Second Class"/>
    <x v="355"/>
    <s v="Robert Waldorf"/>
    <x v="0"/>
    <s v="United States"/>
    <s v="Springfield"/>
    <x v="25"/>
    <n v="65807"/>
    <x v="2"/>
    <x v="1203"/>
    <x v="1"/>
    <x v="8"/>
    <x v="1188"/>
    <x v="1662"/>
    <x v="8"/>
    <x v="3"/>
  </r>
  <r>
    <n v="1964"/>
    <x v="960"/>
    <x v="18"/>
    <d v="2018-09-15T00:00:00"/>
    <s v="Second Class"/>
    <x v="355"/>
    <s v="Robert Waldorf"/>
    <x v="0"/>
    <s v="United States"/>
    <s v="Springfield"/>
    <x v="25"/>
    <n v="65807"/>
    <x v="2"/>
    <x v="1025"/>
    <x v="1"/>
    <x v="10"/>
    <x v="1016"/>
    <x v="1663"/>
    <x v="8"/>
    <x v="3"/>
  </r>
  <r>
    <n v="1965"/>
    <x v="960"/>
    <x v="18"/>
    <d v="2018-09-15T00:00:00"/>
    <s v="Second Class"/>
    <x v="355"/>
    <s v="Robert Waldorf"/>
    <x v="0"/>
    <s v="United States"/>
    <s v="Springfield"/>
    <x v="25"/>
    <n v="65807"/>
    <x v="2"/>
    <x v="621"/>
    <x v="1"/>
    <x v="4"/>
    <x v="621"/>
    <x v="1664"/>
    <x v="8"/>
    <x v="3"/>
  </r>
  <r>
    <n v="1966"/>
    <x v="960"/>
    <x v="18"/>
    <d v="2018-09-15T00:00:00"/>
    <s v="Second Class"/>
    <x v="355"/>
    <s v="Robert Waldorf"/>
    <x v="0"/>
    <s v="United States"/>
    <s v="Springfield"/>
    <x v="25"/>
    <n v="65807"/>
    <x v="2"/>
    <x v="1204"/>
    <x v="1"/>
    <x v="9"/>
    <x v="1189"/>
    <x v="1665"/>
    <x v="8"/>
    <x v="3"/>
  </r>
  <r>
    <n v="1967"/>
    <x v="961"/>
    <x v="202"/>
    <d v="2018-12-28T00:00:00"/>
    <s v="Standard Class"/>
    <x v="203"/>
    <s v="Dean Braden"/>
    <x v="0"/>
    <s v="United States"/>
    <s v="Paterson"/>
    <x v="30"/>
    <n v="7501"/>
    <x v="3"/>
    <x v="539"/>
    <x v="2"/>
    <x v="7"/>
    <x v="539"/>
    <x v="1666"/>
    <x v="4"/>
    <x v="3"/>
  </r>
  <r>
    <n v="1968"/>
    <x v="961"/>
    <x v="202"/>
    <d v="2018-12-28T00:00:00"/>
    <s v="Standard Class"/>
    <x v="203"/>
    <s v="Dean Braden"/>
    <x v="0"/>
    <s v="United States"/>
    <s v="Paterson"/>
    <x v="30"/>
    <n v="7501"/>
    <x v="3"/>
    <x v="1205"/>
    <x v="1"/>
    <x v="14"/>
    <x v="1190"/>
    <x v="1667"/>
    <x v="4"/>
    <x v="3"/>
  </r>
  <r>
    <n v="1969"/>
    <x v="961"/>
    <x v="202"/>
    <d v="2018-12-28T00:00:00"/>
    <s v="Standard Class"/>
    <x v="203"/>
    <s v="Dean Braden"/>
    <x v="0"/>
    <s v="United States"/>
    <s v="Paterson"/>
    <x v="30"/>
    <n v="7501"/>
    <x v="3"/>
    <x v="162"/>
    <x v="1"/>
    <x v="10"/>
    <x v="163"/>
    <x v="1668"/>
    <x v="4"/>
    <x v="3"/>
  </r>
  <r>
    <n v="1970"/>
    <x v="962"/>
    <x v="397"/>
    <d v="2018-09-29T00:00:00"/>
    <s v="Standard Class"/>
    <x v="217"/>
    <s v="Bill Donatelli"/>
    <x v="0"/>
    <s v="United States"/>
    <s v="Tulsa"/>
    <x v="26"/>
    <n v="74133"/>
    <x v="2"/>
    <x v="171"/>
    <x v="2"/>
    <x v="11"/>
    <x v="172"/>
    <x v="407"/>
    <x v="8"/>
    <x v="3"/>
  </r>
  <r>
    <n v="1971"/>
    <x v="963"/>
    <x v="636"/>
    <d v="2018-05-11T00:00:00"/>
    <s v="Standard Class"/>
    <x v="529"/>
    <s v="Max Ludwig"/>
    <x v="2"/>
    <s v="United States"/>
    <s v="Chicago"/>
    <x v="10"/>
    <n v="60623"/>
    <x v="2"/>
    <x v="1126"/>
    <x v="1"/>
    <x v="6"/>
    <x v="1114"/>
    <x v="1669"/>
    <x v="5"/>
    <x v="3"/>
  </r>
  <r>
    <n v="1972"/>
    <x v="963"/>
    <x v="636"/>
    <d v="2018-05-11T00:00:00"/>
    <s v="Standard Class"/>
    <x v="529"/>
    <s v="Max Ludwig"/>
    <x v="2"/>
    <s v="United States"/>
    <s v="Chicago"/>
    <x v="10"/>
    <n v="60623"/>
    <x v="2"/>
    <x v="171"/>
    <x v="2"/>
    <x v="11"/>
    <x v="172"/>
    <x v="177"/>
    <x v="5"/>
    <x v="3"/>
  </r>
  <r>
    <n v="1973"/>
    <x v="964"/>
    <x v="637"/>
    <d v="2015-12-19T00:00:00"/>
    <s v="Standard Class"/>
    <x v="557"/>
    <s v="Joy Daniels"/>
    <x v="0"/>
    <s v="United States"/>
    <s v="Chicago"/>
    <x v="10"/>
    <n v="60610"/>
    <x v="2"/>
    <x v="1206"/>
    <x v="1"/>
    <x v="8"/>
    <x v="1191"/>
    <x v="1670"/>
    <x v="4"/>
    <x v="2"/>
  </r>
  <r>
    <n v="1974"/>
    <x v="964"/>
    <x v="637"/>
    <d v="2015-12-19T00:00:00"/>
    <s v="Standard Class"/>
    <x v="557"/>
    <s v="Joy Daniels"/>
    <x v="0"/>
    <s v="United States"/>
    <s v="Chicago"/>
    <x v="10"/>
    <n v="60610"/>
    <x v="2"/>
    <x v="804"/>
    <x v="1"/>
    <x v="13"/>
    <x v="802"/>
    <x v="1671"/>
    <x v="4"/>
    <x v="2"/>
  </r>
  <r>
    <n v="1975"/>
    <x v="964"/>
    <x v="637"/>
    <d v="2015-12-19T00:00:00"/>
    <s v="Standard Class"/>
    <x v="557"/>
    <s v="Joy Daniels"/>
    <x v="0"/>
    <s v="United States"/>
    <s v="Chicago"/>
    <x v="10"/>
    <n v="60610"/>
    <x v="2"/>
    <x v="1207"/>
    <x v="2"/>
    <x v="11"/>
    <x v="1192"/>
    <x v="1672"/>
    <x v="4"/>
    <x v="2"/>
  </r>
  <r>
    <n v="1976"/>
    <x v="965"/>
    <x v="638"/>
    <d v="2015-10-20T00:00:00"/>
    <s v="Second Class"/>
    <x v="127"/>
    <s v="Alan Schoenberger"/>
    <x v="1"/>
    <s v="United States"/>
    <s v="Montgomery"/>
    <x v="19"/>
    <n v="36116"/>
    <x v="0"/>
    <x v="196"/>
    <x v="1"/>
    <x v="4"/>
    <x v="197"/>
    <x v="1673"/>
    <x v="2"/>
    <x v="2"/>
  </r>
  <r>
    <n v="1977"/>
    <x v="965"/>
    <x v="638"/>
    <d v="2015-10-20T00:00:00"/>
    <s v="Second Class"/>
    <x v="127"/>
    <s v="Alan Schoenberger"/>
    <x v="1"/>
    <s v="United States"/>
    <s v="Montgomery"/>
    <x v="19"/>
    <n v="36116"/>
    <x v="0"/>
    <x v="1208"/>
    <x v="2"/>
    <x v="7"/>
    <x v="1193"/>
    <x v="1674"/>
    <x v="2"/>
    <x v="2"/>
  </r>
  <r>
    <n v="1978"/>
    <x v="965"/>
    <x v="638"/>
    <d v="2015-10-20T00:00:00"/>
    <s v="Second Class"/>
    <x v="127"/>
    <s v="Alan Schoenberger"/>
    <x v="1"/>
    <s v="United States"/>
    <s v="Montgomery"/>
    <x v="19"/>
    <n v="36116"/>
    <x v="0"/>
    <x v="1209"/>
    <x v="0"/>
    <x v="1"/>
    <x v="1194"/>
    <x v="1675"/>
    <x v="2"/>
    <x v="2"/>
  </r>
  <r>
    <n v="1979"/>
    <x v="966"/>
    <x v="412"/>
    <d v="2016-05-12T00:00:00"/>
    <s v="Standard Class"/>
    <x v="211"/>
    <s v="Allen Armold"/>
    <x v="0"/>
    <s v="United States"/>
    <s v="Salem"/>
    <x v="21"/>
    <n v="97301"/>
    <x v="1"/>
    <x v="1210"/>
    <x v="1"/>
    <x v="6"/>
    <x v="1195"/>
    <x v="791"/>
    <x v="5"/>
    <x v="1"/>
  </r>
  <r>
    <n v="1980"/>
    <x v="967"/>
    <x v="167"/>
    <d v="2017-04-14T00:00:00"/>
    <s v="Same Day"/>
    <x v="446"/>
    <s v="Kean Takahito"/>
    <x v="0"/>
    <s v="United States"/>
    <s v="Glendale"/>
    <x v="16"/>
    <n v="85301"/>
    <x v="1"/>
    <x v="284"/>
    <x v="0"/>
    <x v="1"/>
    <x v="284"/>
    <x v="1676"/>
    <x v="3"/>
    <x v="0"/>
  </r>
  <r>
    <n v="1981"/>
    <x v="967"/>
    <x v="167"/>
    <d v="2017-04-14T00:00:00"/>
    <s v="Same Day"/>
    <x v="446"/>
    <s v="Kean Takahito"/>
    <x v="0"/>
    <s v="United States"/>
    <s v="Glendale"/>
    <x v="16"/>
    <n v="85301"/>
    <x v="1"/>
    <x v="230"/>
    <x v="1"/>
    <x v="4"/>
    <x v="231"/>
    <x v="1677"/>
    <x v="3"/>
    <x v="0"/>
  </r>
  <r>
    <n v="1982"/>
    <x v="968"/>
    <x v="639"/>
    <d v="2016-12-16T00:00:00"/>
    <s v="Second Class"/>
    <x v="152"/>
    <s v="Muhammed MacIntyre"/>
    <x v="1"/>
    <s v="United States"/>
    <s v="Columbus"/>
    <x v="32"/>
    <n v="31907"/>
    <x v="0"/>
    <x v="620"/>
    <x v="1"/>
    <x v="8"/>
    <x v="620"/>
    <x v="1053"/>
    <x v="4"/>
    <x v="1"/>
  </r>
  <r>
    <n v="1983"/>
    <x v="969"/>
    <x v="640"/>
    <d v="2015-12-09T00:00:00"/>
    <s v="Standard Class"/>
    <x v="159"/>
    <s v="Nathan Gelder"/>
    <x v="0"/>
    <s v="United States"/>
    <s v="Oklahoma City"/>
    <x v="26"/>
    <n v="73120"/>
    <x v="2"/>
    <x v="1211"/>
    <x v="2"/>
    <x v="7"/>
    <x v="1196"/>
    <x v="1678"/>
    <x v="4"/>
    <x v="2"/>
  </r>
  <r>
    <n v="1984"/>
    <x v="970"/>
    <x v="641"/>
    <d v="2015-11-27T00:00:00"/>
    <s v="Second Class"/>
    <x v="429"/>
    <s v="Laurel Workman"/>
    <x v="1"/>
    <s v="United States"/>
    <s v="Brentwood"/>
    <x v="1"/>
    <n v="94513"/>
    <x v="1"/>
    <x v="650"/>
    <x v="1"/>
    <x v="9"/>
    <x v="650"/>
    <x v="1679"/>
    <x v="0"/>
    <x v="2"/>
  </r>
  <r>
    <n v="1985"/>
    <x v="970"/>
    <x v="641"/>
    <d v="2015-11-27T00:00:00"/>
    <s v="Second Class"/>
    <x v="429"/>
    <s v="Laurel Workman"/>
    <x v="1"/>
    <s v="United States"/>
    <s v="Brentwood"/>
    <x v="1"/>
    <n v="94513"/>
    <x v="1"/>
    <x v="740"/>
    <x v="0"/>
    <x v="5"/>
    <x v="222"/>
    <x v="1680"/>
    <x v="0"/>
    <x v="2"/>
  </r>
  <r>
    <n v="1986"/>
    <x v="970"/>
    <x v="641"/>
    <d v="2015-11-27T00:00:00"/>
    <s v="Second Class"/>
    <x v="429"/>
    <s v="Laurel Workman"/>
    <x v="1"/>
    <s v="United States"/>
    <s v="Brentwood"/>
    <x v="1"/>
    <n v="94513"/>
    <x v="1"/>
    <x v="1070"/>
    <x v="1"/>
    <x v="10"/>
    <x v="1059"/>
    <x v="1681"/>
    <x v="0"/>
    <x v="2"/>
  </r>
  <r>
    <n v="1987"/>
    <x v="971"/>
    <x v="197"/>
    <d v="2017-07-27T00:00:00"/>
    <s v="First Class"/>
    <x v="558"/>
    <s v="Christy Brittain"/>
    <x v="0"/>
    <s v="United States"/>
    <s v="Columbus"/>
    <x v="24"/>
    <n v="43229"/>
    <x v="3"/>
    <x v="306"/>
    <x v="2"/>
    <x v="16"/>
    <x v="306"/>
    <x v="1682"/>
    <x v="7"/>
    <x v="0"/>
  </r>
  <r>
    <n v="1988"/>
    <x v="972"/>
    <x v="529"/>
    <d v="2016-11-13T00:00:00"/>
    <s v="Standard Class"/>
    <x v="548"/>
    <s v="Adam Shillingsburg"/>
    <x v="0"/>
    <s v="United States"/>
    <s v="Springfield"/>
    <x v="25"/>
    <n v="65807"/>
    <x v="2"/>
    <x v="1212"/>
    <x v="1"/>
    <x v="8"/>
    <x v="1197"/>
    <x v="1683"/>
    <x v="0"/>
    <x v="1"/>
  </r>
  <r>
    <n v="1989"/>
    <x v="972"/>
    <x v="529"/>
    <d v="2016-11-13T00:00:00"/>
    <s v="Standard Class"/>
    <x v="548"/>
    <s v="Adam Shillingsburg"/>
    <x v="0"/>
    <s v="United States"/>
    <s v="Springfield"/>
    <x v="25"/>
    <n v="65807"/>
    <x v="2"/>
    <x v="1213"/>
    <x v="0"/>
    <x v="3"/>
    <x v="1198"/>
    <x v="1684"/>
    <x v="0"/>
    <x v="1"/>
  </r>
  <r>
    <n v="1990"/>
    <x v="972"/>
    <x v="529"/>
    <d v="2016-11-13T00:00:00"/>
    <s v="Standard Class"/>
    <x v="548"/>
    <s v="Adam Shillingsburg"/>
    <x v="0"/>
    <s v="United States"/>
    <s v="Springfield"/>
    <x v="25"/>
    <n v="65807"/>
    <x v="2"/>
    <x v="1214"/>
    <x v="1"/>
    <x v="12"/>
    <x v="753"/>
    <x v="1685"/>
    <x v="0"/>
    <x v="1"/>
  </r>
  <r>
    <n v="1991"/>
    <x v="972"/>
    <x v="529"/>
    <d v="2016-11-13T00:00:00"/>
    <s v="Standard Class"/>
    <x v="548"/>
    <s v="Adam Shillingsburg"/>
    <x v="0"/>
    <s v="United States"/>
    <s v="Springfield"/>
    <x v="25"/>
    <n v="65807"/>
    <x v="2"/>
    <x v="1215"/>
    <x v="1"/>
    <x v="10"/>
    <x v="1199"/>
    <x v="1686"/>
    <x v="0"/>
    <x v="1"/>
  </r>
  <r>
    <n v="1992"/>
    <x v="973"/>
    <x v="642"/>
    <d v="2018-02-28T00:00:00"/>
    <s v="Standard Class"/>
    <x v="558"/>
    <s v="Christy Brittain"/>
    <x v="0"/>
    <s v="United States"/>
    <s v="Philadelphia"/>
    <x v="9"/>
    <n v="19134"/>
    <x v="3"/>
    <x v="925"/>
    <x v="1"/>
    <x v="8"/>
    <x v="917"/>
    <x v="1687"/>
    <x v="11"/>
    <x v="3"/>
  </r>
  <r>
    <n v="1993"/>
    <x v="974"/>
    <x v="643"/>
    <d v="2018-07-02T00:00:00"/>
    <s v="Standard Class"/>
    <x v="529"/>
    <s v="Max Ludwig"/>
    <x v="2"/>
    <s v="United States"/>
    <s v="Springfield"/>
    <x v="21"/>
    <n v="97477"/>
    <x v="1"/>
    <x v="429"/>
    <x v="1"/>
    <x v="2"/>
    <x v="429"/>
    <x v="1688"/>
    <x v="1"/>
    <x v="3"/>
  </r>
  <r>
    <n v="1994"/>
    <x v="974"/>
    <x v="643"/>
    <d v="2018-07-02T00:00:00"/>
    <s v="Standard Class"/>
    <x v="529"/>
    <s v="Max Ludwig"/>
    <x v="2"/>
    <s v="United States"/>
    <s v="Springfield"/>
    <x v="21"/>
    <n v="97477"/>
    <x v="1"/>
    <x v="1216"/>
    <x v="1"/>
    <x v="6"/>
    <x v="1200"/>
    <x v="752"/>
    <x v="1"/>
    <x v="3"/>
  </r>
  <r>
    <n v="1995"/>
    <x v="974"/>
    <x v="643"/>
    <d v="2018-07-02T00:00:00"/>
    <s v="Standard Class"/>
    <x v="529"/>
    <s v="Max Ludwig"/>
    <x v="2"/>
    <s v="United States"/>
    <s v="Springfield"/>
    <x v="21"/>
    <n v="97477"/>
    <x v="1"/>
    <x v="1217"/>
    <x v="1"/>
    <x v="13"/>
    <x v="1201"/>
    <x v="1689"/>
    <x v="1"/>
    <x v="3"/>
  </r>
  <r>
    <n v="1996"/>
    <x v="975"/>
    <x v="574"/>
    <d v="2018-12-04T00:00:00"/>
    <s v="Second Class"/>
    <x v="559"/>
    <s v="Joy Smith"/>
    <x v="0"/>
    <s v="United States"/>
    <s v="Houston"/>
    <x v="5"/>
    <n v="77036"/>
    <x v="2"/>
    <x v="1218"/>
    <x v="1"/>
    <x v="9"/>
    <x v="1202"/>
    <x v="1690"/>
    <x v="4"/>
    <x v="3"/>
  </r>
  <r>
    <n v="1997"/>
    <x v="975"/>
    <x v="574"/>
    <d v="2018-12-04T00:00:00"/>
    <s v="Second Class"/>
    <x v="559"/>
    <s v="Joy Smith"/>
    <x v="0"/>
    <s v="United States"/>
    <s v="Houston"/>
    <x v="5"/>
    <n v="77036"/>
    <x v="2"/>
    <x v="493"/>
    <x v="0"/>
    <x v="5"/>
    <x v="493"/>
    <x v="1691"/>
    <x v="4"/>
    <x v="3"/>
  </r>
  <r>
    <n v="1998"/>
    <x v="976"/>
    <x v="644"/>
    <d v="2015-02-09T00:00:00"/>
    <s v="First Class"/>
    <x v="540"/>
    <s v="Neil Ducich"/>
    <x v="1"/>
    <s v="United States"/>
    <s v="Chesapeake"/>
    <x v="17"/>
    <n v="23320"/>
    <x v="0"/>
    <x v="547"/>
    <x v="1"/>
    <x v="2"/>
    <x v="547"/>
    <x v="1692"/>
    <x v="11"/>
    <x v="2"/>
  </r>
  <r>
    <n v="1999"/>
    <x v="976"/>
    <x v="644"/>
    <d v="2015-02-09T00:00:00"/>
    <s v="First Class"/>
    <x v="540"/>
    <s v="Neil Ducich"/>
    <x v="1"/>
    <s v="United States"/>
    <s v="Chesapeake"/>
    <x v="17"/>
    <n v="23320"/>
    <x v="0"/>
    <x v="297"/>
    <x v="2"/>
    <x v="7"/>
    <x v="297"/>
    <x v="1693"/>
    <x v="11"/>
    <x v="2"/>
  </r>
  <r>
    <n v="2000"/>
    <x v="976"/>
    <x v="644"/>
    <d v="2015-02-09T00:00:00"/>
    <s v="First Class"/>
    <x v="540"/>
    <s v="Neil Ducich"/>
    <x v="1"/>
    <s v="United States"/>
    <s v="Chesapeake"/>
    <x v="17"/>
    <n v="23320"/>
    <x v="0"/>
    <x v="1129"/>
    <x v="2"/>
    <x v="7"/>
    <x v="1117"/>
    <x v="1694"/>
    <x v="11"/>
    <x v="2"/>
  </r>
  <r>
    <n v="2001"/>
    <x v="977"/>
    <x v="645"/>
    <d v="2018-04-18T00:00:00"/>
    <s v="Standard Class"/>
    <x v="560"/>
    <s v="Luke Weiss"/>
    <x v="0"/>
    <s v="United States"/>
    <s v="Pasadena"/>
    <x v="1"/>
    <n v="91104"/>
    <x v="1"/>
    <x v="97"/>
    <x v="2"/>
    <x v="11"/>
    <x v="97"/>
    <x v="1695"/>
    <x v="3"/>
    <x v="3"/>
  </r>
  <r>
    <n v="2002"/>
    <x v="977"/>
    <x v="645"/>
    <d v="2018-04-18T00:00:00"/>
    <s v="Standard Class"/>
    <x v="560"/>
    <s v="Luke Weiss"/>
    <x v="0"/>
    <s v="United States"/>
    <s v="Pasadena"/>
    <x v="1"/>
    <n v="91104"/>
    <x v="1"/>
    <x v="1054"/>
    <x v="1"/>
    <x v="6"/>
    <x v="1043"/>
    <x v="1075"/>
    <x v="3"/>
    <x v="3"/>
  </r>
  <r>
    <n v="2003"/>
    <x v="978"/>
    <x v="53"/>
    <d v="2018-12-28T00:00:00"/>
    <s v="Second Class"/>
    <x v="527"/>
    <s v="Joni Wasserman"/>
    <x v="0"/>
    <s v="United States"/>
    <s v="Louisville"/>
    <x v="0"/>
    <n v="40214"/>
    <x v="0"/>
    <x v="911"/>
    <x v="1"/>
    <x v="4"/>
    <x v="903"/>
    <x v="1429"/>
    <x v="4"/>
    <x v="3"/>
  </r>
  <r>
    <n v="2004"/>
    <x v="978"/>
    <x v="53"/>
    <d v="2018-12-28T00:00:00"/>
    <s v="Second Class"/>
    <x v="527"/>
    <s v="Joni Wasserman"/>
    <x v="0"/>
    <s v="United States"/>
    <s v="Louisville"/>
    <x v="0"/>
    <n v="40214"/>
    <x v="0"/>
    <x v="64"/>
    <x v="0"/>
    <x v="1"/>
    <x v="64"/>
    <x v="1696"/>
    <x v="4"/>
    <x v="3"/>
  </r>
  <r>
    <n v="2005"/>
    <x v="979"/>
    <x v="645"/>
    <d v="2018-04-18T00:00:00"/>
    <s v="Standard Class"/>
    <x v="337"/>
    <s v="Sample Company A"/>
    <x v="2"/>
    <s v="United States"/>
    <s v="Lubbock"/>
    <x v="5"/>
    <n v="79424"/>
    <x v="2"/>
    <x v="92"/>
    <x v="1"/>
    <x v="8"/>
    <x v="92"/>
    <x v="520"/>
    <x v="3"/>
    <x v="3"/>
  </r>
  <r>
    <n v="2006"/>
    <x v="980"/>
    <x v="520"/>
    <d v="2016-01-04T00:00:00"/>
    <s v="Standard Class"/>
    <x v="338"/>
    <s v="Rob Williams"/>
    <x v="1"/>
    <s v="United States"/>
    <s v="Columbia"/>
    <x v="25"/>
    <n v="65203"/>
    <x v="2"/>
    <x v="753"/>
    <x v="1"/>
    <x v="6"/>
    <x v="751"/>
    <x v="1697"/>
    <x v="4"/>
    <x v="2"/>
  </r>
  <r>
    <n v="2007"/>
    <x v="980"/>
    <x v="520"/>
    <d v="2016-01-04T00:00:00"/>
    <s v="Standard Class"/>
    <x v="338"/>
    <s v="Rob Williams"/>
    <x v="1"/>
    <s v="United States"/>
    <s v="Columbia"/>
    <x v="25"/>
    <n v="65203"/>
    <x v="2"/>
    <x v="234"/>
    <x v="2"/>
    <x v="11"/>
    <x v="235"/>
    <x v="1698"/>
    <x v="4"/>
    <x v="2"/>
  </r>
  <r>
    <n v="2008"/>
    <x v="981"/>
    <x v="646"/>
    <d v="2018-08-04T00:00:00"/>
    <s v="First Class"/>
    <x v="496"/>
    <s v="Charlotte Melton"/>
    <x v="0"/>
    <s v="United States"/>
    <s v="Chicago"/>
    <x v="10"/>
    <n v="60623"/>
    <x v="2"/>
    <x v="1219"/>
    <x v="0"/>
    <x v="0"/>
    <x v="1203"/>
    <x v="1699"/>
    <x v="6"/>
    <x v="3"/>
  </r>
  <r>
    <n v="2009"/>
    <x v="982"/>
    <x v="647"/>
    <d v="2015-11-21T00:00:00"/>
    <s v="Standard Class"/>
    <x v="440"/>
    <s v="Jamie Frazer"/>
    <x v="0"/>
    <s v="United States"/>
    <s v="Johnson City"/>
    <x v="18"/>
    <n v="37604"/>
    <x v="0"/>
    <x v="1039"/>
    <x v="1"/>
    <x v="6"/>
    <x v="1029"/>
    <x v="1700"/>
    <x v="0"/>
    <x v="2"/>
  </r>
  <r>
    <n v="2010"/>
    <x v="982"/>
    <x v="647"/>
    <d v="2015-11-21T00:00:00"/>
    <s v="Standard Class"/>
    <x v="440"/>
    <s v="Jamie Frazer"/>
    <x v="0"/>
    <s v="United States"/>
    <s v="Johnson City"/>
    <x v="18"/>
    <n v="37604"/>
    <x v="0"/>
    <x v="77"/>
    <x v="1"/>
    <x v="9"/>
    <x v="77"/>
    <x v="1701"/>
    <x v="0"/>
    <x v="2"/>
  </r>
  <r>
    <n v="2011"/>
    <x v="982"/>
    <x v="647"/>
    <d v="2015-11-21T00:00:00"/>
    <s v="Standard Class"/>
    <x v="440"/>
    <s v="Jamie Frazer"/>
    <x v="0"/>
    <s v="United States"/>
    <s v="Johnson City"/>
    <x v="18"/>
    <n v="37604"/>
    <x v="0"/>
    <x v="565"/>
    <x v="1"/>
    <x v="10"/>
    <x v="565"/>
    <x v="1702"/>
    <x v="0"/>
    <x v="2"/>
  </r>
  <r>
    <n v="2012"/>
    <x v="983"/>
    <x v="555"/>
    <d v="2016-12-11T00:00:00"/>
    <s v="Same Day"/>
    <x v="561"/>
    <s v="Stuart Calhoun"/>
    <x v="0"/>
    <s v="United States"/>
    <s v="Houston"/>
    <x v="5"/>
    <n v="77041"/>
    <x v="2"/>
    <x v="590"/>
    <x v="2"/>
    <x v="11"/>
    <x v="590"/>
    <x v="1290"/>
    <x v="4"/>
    <x v="1"/>
  </r>
  <r>
    <n v="2013"/>
    <x v="983"/>
    <x v="555"/>
    <d v="2016-12-11T00:00:00"/>
    <s v="Same Day"/>
    <x v="561"/>
    <s v="Stuart Calhoun"/>
    <x v="0"/>
    <s v="United States"/>
    <s v="Houston"/>
    <x v="5"/>
    <n v="77041"/>
    <x v="2"/>
    <x v="1220"/>
    <x v="1"/>
    <x v="4"/>
    <x v="1204"/>
    <x v="1703"/>
    <x v="4"/>
    <x v="1"/>
  </r>
  <r>
    <n v="2014"/>
    <x v="984"/>
    <x v="31"/>
    <d v="2017-09-23T00:00:00"/>
    <s v="Standard Class"/>
    <x v="562"/>
    <s v="Anne McFarland"/>
    <x v="0"/>
    <s v="United States"/>
    <s v="Auburn"/>
    <x v="19"/>
    <n v="36830"/>
    <x v="0"/>
    <x v="1131"/>
    <x v="0"/>
    <x v="1"/>
    <x v="1119"/>
    <x v="1704"/>
    <x v="8"/>
    <x v="0"/>
  </r>
  <r>
    <n v="2015"/>
    <x v="984"/>
    <x v="31"/>
    <d v="2017-09-23T00:00:00"/>
    <s v="Standard Class"/>
    <x v="562"/>
    <s v="Anne McFarland"/>
    <x v="0"/>
    <s v="United States"/>
    <s v="Auburn"/>
    <x v="19"/>
    <n v="36830"/>
    <x v="0"/>
    <x v="1221"/>
    <x v="1"/>
    <x v="10"/>
    <x v="1205"/>
    <x v="1705"/>
    <x v="8"/>
    <x v="0"/>
  </r>
  <r>
    <n v="2016"/>
    <x v="984"/>
    <x v="31"/>
    <d v="2017-09-23T00:00:00"/>
    <s v="Standard Class"/>
    <x v="562"/>
    <s v="Anne McFarland"/>
    <x v="0"/>
    <s v="United States"/>
    <s v="Auburn"/>
    <x v="19"/>
    <n v="36830"/>
    <x v="0"/>
    <x v="906"/>
    <x v="1"/>
    <x v="4"/>
    <x v="898"/>
    <x v="1706"/>
    <x v="8"/>
    <x v="0"/>
  </r>
  <r>
    <n v="2017"/>
    <x v="985"/>
    <x v="531"/>
    <d v="2016-03-23T00:00:00"/>
    <s v="Standard Class"/>
    <x v="318"/>
    <s v="Berenike Kampe"/>
    <x v="0"/>
    <s v="United States"/>
    <s v="San Bernardino"/>
    <x v="1"/>
    <n v="92404"/>
    <x v="1"/>
    <x v="1045"/>
    <x v="1"/>
    <x v="8"/>
    <x v="1034"/>
    <x v="679"/>
    <x v="10"/>
    <x v="1"/>
  </r>
  <r>
    <n v="2018"/>
    <x v="985"/>
    <x v="531"/>
    <d v="2016-03-23T00:00:00"/>
    <s v="Standard Class"/>
    <x v="318"/>
    <s v="Berenike Kampe"/>
    <x v="0"/>
    <s v="United States"/>
    <s v="San Bernardino"/>
    <x v="1"/>
    <n v="92404"/>
    <x v="1"/>
    <x v="2"/>
    <x v="1"/>
    <x v="2"/>
    <x v="2"/>
    <x v="2"/>
    <x v="10"/>
    <x v="1"/>
  </r>
  <r>
    <n v="2019"/>
    <x v="985"/>
    <x v="531"/>
    <d v="2016-03-23T00:00:00"/>
    <s v="Standard Class"/>
    <x v="318"/>
    <s v="Berenike Kampe"/>
    <x v="0"/>
    <s v="United States"/>
    <s v="San Bernardino"/>
    <x v="1"/>
    <n v="92404"/>
    <x v="1"/>
    <x v="1059"/>
    <x v="1"/>
    <x v="14"/>
    <x v="1048"/>
    <x v="1707"/>
    <x v="10"/>
    <x v="1"/>
  </r>
  <r>
    <n v="2020"/>
    <x v="985"/>
    <x v="531"/>
    <d v="2016-03-23T00:00:00"/>
    <s v="Standard Class"/>
    <x v="318"/>
    <s v="Berenike Kampe"/>
    <x v="0"/>
    <s v="United States"/>
    <s v="San Bernardino"/>
    <x v="1"/>
    <n v="92404"/>
    <x v="1"/>
    <x v="186"/>
    <x v="1"/>
    <x v="10"/>
    <x v="187"/>
    <x v="1708"/>
    <x v="10"/>
    <x v="1"/>
  </r>
  <r>
    <n v="2021"/>
    <x v="986"/>
    <x v="251"/>
    <d v="2017-09-21T00:00:00"/>
    <s v="First Class"/>
    <x v="563"/>
    <s v="Rick Huthwaite"/>
    <x v="2"/>
    <s v="United States"/>
    <s v="Providence"/>
    <x v="34"/>
    <n v="2908"/>
    <x v="3"/>
    <x v="518"/>
    <x v="1"/>
    <x v="4"/>
    <x v="518"/>
    <x v="1709"/>
    <x v="8"/>
    <x v="0"/>
  </r>
  <r>
    <n v="2022"/>
    <x v="986"/>
    <x v="251"/>
    <d v="2017-09-21T00:00:00"/>
    <s v="First Class"/>
    <x v="563"/>
    <s v="Rick Huthwaite"/>
    <x v="2"/>
    <s v="United States"/>
    <s v="Providence"/>
    <x v="34"/>
    <n v="2908"/>
    <x v="3"/>
    <x v="126"/>
    <x v="1"/>
    <x v="10"/>
    <x v="562"/>
    <x v="339"/>
    <x v="8"/>
    <x v="0"/>
  </r>
  <r>
    <n v="2023"/>
    <x v="986"/>
    <x v="251"/>
    <d v="2017-09-21T00:00:00"/>
    <s v="First Class"/>
    <x v="563"/>
    <s v="Rick Huthwaite"/>
    <x v="2"/>
    <s v="United States"/>
    <s v="Providence"/>
    <x v="34"/>
    <n v="2908"/>
    <x v="3"/>
    <x v="729"/>
    <x v="1"/>
    <x v="8"/>
    <x v="728"/>
    <x v="1710"/>
    <x v="8"/>
    <x v="0"/>
  </r>
  <r>
    <n v="2024"/>
    <x v="986"/>
    <x v="251"/>
    <d v="2017-09-21T00:00:00"/>
    <s v="First Class"/>
    <x v="563"/>
    <s v="Rick Huthwaite"/>
    <x v="2"/>
    <s v="United States"/>
    <s v="Providence"/>
    <x v="34"/>
    <n v="2908"/>
    <x v="3"/>
    <x v="635"/>
    <x v="0"/>
    <x v="1"/>
    <x v="635"/>
    <x v="1711"/>
    <x v="8"/>
    <x v="0"/>
  </r>
  <r>
    <n v="2025"/>
    <x v="987"/>
    <x v="648"/>
    <d v="2018-08-22T00:00:00"/>
    <s v="Second Class"/>
    <x v="421"/>
    <s v="Gene McClure"/>
    <x v="0"/>
    <s v="United States"/>
    <s v="Fresno"/>
    <x v="1"/>
    <n v="93727"/>
    <x v="1"/>
    <x v="979"/>
    <x v="1"/>
    <x v="8"/>
    <x v="972"/>
    <x v="1712"/>
    <x v="6"/>
    <x v="3"/>
  </r>
  <r>
    <n v="2026"/>
    <x v="988"/>
    <x v="649"/>
    <d v="2016-03-15T00:00:00"/>
    <s v="First Class"/>
    <x v="507"/>
    <s v="Marc Crier"/>
    <x v="0"/>
    <s v="United States"/>
    <s v="Seattle"/>
    <x v="4"/>
    <n v="98103"/>
    <x v="1"/>
    <x v="631"/>
    <x v="0"/>
    <x v="0"/>
    <x v="631"/>
    <x v="1713"/>
    <x v="10"/>
    <x v="1"/>
  </r>
  <r>
    <n v="2027"/>
    <x v="989"/>
    <x v="162"/>
    <d v="2017-09-10T00:00:00"/>
    <s v="Second Class"/>
    <x v="91"/>
    <s v="Valerie Mitchum"/>
    <x v="2"/>
    <s v="United States"/>
    <s v="Lancaster"/>
    <x v="1"/>
    <n v="93534"/>
    <x v="1"/>
    <x v="340"/>
    <x v="1"/>
    <x v="8"/>
    <x v="340"/>
    <x v="1714"/>
    <x v="8"/>
    <x v="0"/>
  </r>
  <r>
    <n v="2028"/>
    <x v="989"/>
    <x v="162"/>
    <d v="2017-09-10T00:00:00"/>
    <s v="Second Class"/>
    <x v="91"/>
    <s v="Valerie Mitchum"/>
    <x v="2"/>
    <s v="United States"/>
    <s v="Lancaster"/>
    <x v="1"/>
    <n v="93534"/>
    <x v="1"/>
    <x v="542"/>
    <x v="1"/>
    <x v="8"/>
    <x v="542"/>
    <x v="1715"/>
    <x v="8"/>
    <x v="0"/>
  </r>
  <r>
    <n v="2029"/>
    <x v="990"/>
    <x v="650"/>
    <d v="2016-11-30T00:00:00"/>
    <s v="Standard Class"/>
    <x v="323"/>
    <s v="Guy Phonely"/>
    <x v="1"/>
    <s v="United States"/>
    <s v="Leominster"/>
    <x v="31"/>
    <n v="1453"/>
    <x v="3"/>
    <x v="185"/>
    <x v="1"/>
    <x v="8"/>
    <x v="186"/>
    <x v="1646"/>
    <x v="0"/>
    <x v="1"/>
  </r>
  <r>
    <n v="2030"/>
    <x v="990"/>
    <x v="650"/>
    <d v="2016-11-30T00:00:00"/>
    <s v="Standard Class"/>
    <x v="323"/>
    <s v="Guy Phonely"/>
    <x v="1"/>
    <s v="United States"/>
    <s v="Leominster"/>
    <x v="31"/>
    <n v="1453"/>
    <x v="3"/>
    <x v="1222"/>
    <x v="1"/>
    <x v="4"/>
    <x v="1206"/>
    <x v="1716"/>
    <x v="0"/>
    <x v="1"/>
  </r>
  <r>
    <n v="2031"/>
    <x v="990"/>
    <x v="650"/>
    <d v="2016-11-30T00:00:00"/>
    <s v="Standard Class"/>
    <x v="323"/>
    <s v="Guy Phonely"/>
    <x v="1"/>
    <s v="United States"/>
    <s v="Leominster"/>
    <x v="31"/>
    <n v="1453"/>
    <x v="3"/>
    <x v="785"/>
    <x v="1"/>
    <x v="8"/>
    <x v="784"/>
    <x v="1717"/>
    <x v="0"/>
    <x v="1"/>
  </r>
  <r>
    <n v="2032"/>
    <x v="990"/>
    <x v="650"/>
    <d v="2016-11-30T00:00:00"/>
    <s v="Standard Class"/>
    <x v="323"/>
    <s v="Guy Phonely"/>
    <x v="1"/>
    <s v="United States"/>
    <s v="Leominster"/>
    <x v="31"/>
    <n v="1453"/>
    <x v="3"/>
    <x v="1029"/>
    <x v="1"/>
    <x v="10"/>
    <x v="1020"/>
    <x v="1023"/>
    <x v="0"/>
    <x v="1"/>
  </r>
  <r>
    <n v="2033"/>
    <x v="991"/>
    <x v="10"/>
    <d v="2017-12-13T00:00:00"/>
    <s v="Standard Class"/>
    <x v="334"/>
    <s v="George Bell"/>
    <x v="1"/>
    <s v="United States"/>
    <s v="Fort Worth"/>
    <x v="5"/>
    <n v="76106"/>
    <x v="2"/>
    <x v="707"/>
    <x v="1"/>
    <x v="10"/>
    <x v="706"/>
    <x v="1718"/>
    <x v="4"/>
    <x v="0"/>
  </r>
  <r>
    <n v="2034"/>
    <x v="991"/>
    <x v="10"/>
    <d v="2017-12-13T00:00:00"/>
    <s v="Standard Class"/>
    <x v="334"/>
    <s v="George Bell"/>
    <x v="1"/>
    <s v="United States"/>
    <s v="Fort Worth"/>
    <x v="5"/>
    <n v="76106"/>
    <x v="2"/>
    <x v="1132"/>
    <x v="1"/>
    <x v="6"/>
    <x v="1120"/>
    <x v="1719"/>
    <x v="4"/>
    <x v="0"/>
  </r>
  <r>
    <n v="2035"/>
    <x v="992"/>
    <x v="145"/>
    <d v="2018-09-29T00:00:00"/>
    <s v="Standard Class"/>
    <x v="564"/>
    <s v="Carol Triggs"/>
    <x v="0"/>
    <s v="United States"/>
    <s v="Rochester"/>
    <x v="11"/>
    <n v="55901"/>
    <x v="2"/>
    <x v="863"/>
    <x v="1"/>
    <x v="8"/>
    <x v="857"/>
    <x v="338"/>
    <x v="8"/>
    <x v="3"/>
  </r>
  <r>
    <n v="2036"/>
    <x v="992"/>
    <x v="145"/>
    <d v="2018-09-29T00:00:00"/>
    <s v="Standard Class"/>
    <x v="564"/>
    <s v="Carol Triggs"/>
    <x v="0"/>
    <s v="United States"/>
    <s v="Rochester"/>
    <x v="11"/>
    <n v="55901"/>
    <x v="2"/>
    <x v="51"/>
    <x v="0"/>
    <x v="1"/>
    <x v="51"/>
    <x v="1720"/>
    <x v="8"/>
    <x v="3"/>
  </r>
  <r>
    <n v="2037"/>
    <x v="993"/>
    <x v="651"/>
    <d v="2016-01-27T00:00:00"/>
    <s v="Standard Class"/>
    <x v="194"/>
    <s v="Carl Weiss"/>
    <x v="2"/>
    <s v="United States"/>
    <s v="Bozeman"/>
    <x v="37"/>
    <n v="59715"/>
    <x v="1"/>
    <x v="364"/>
    <x v="1"/>
    <x v="10"/>
    <x v="364"/>
    <x v="1721"/>
    <x v="9"/>
    <x v="1"/>
  </r>
  <r>
    <n v="2038"/>
    <x v="993"/>
    <x v="651"/>
    <d v="2016-01-27T00:00:00"/>
    <s v="Standard Class"/>
    <x v="194"/>
    <s v="Carl Weiss"/>
    <x v="2"/>
    <s v="United States"/>
    <s v="Bozeman"/>
    <x v="37"/>
    <n v="59715"/>
    <x v="1"/>
    <x v="1100"/>
    <x v="1"/>
    <x v="2"/>
    <x v="1089"/>
    <x v="2"/>
    <x v="9"/>
    <x v="1"/>
  </r>
  <r>
    <n v="2039"/>
    <x v="994"/>
    <x v="652"/>
    <d v="2016-06-23T00:00:00"/>
    <s v="Standard Class"/>
    <x v="381"/>
    <s v="Skye Norling"/>
    <x v="2"/>
    <s v="United States"/>
    <s v="Peoria"/>
    <x v="16"/>
    <n v="85345"/>
    <x v="1"/>
    <x v="1223"/>
    <x v="1"/>
    <x v="10"/>
    <x v="1207"/>
    <x v="1627"/>
    <x v="1"/>
    <x v="1"/>
  </r>
  <r>
    <n v="2040"/>
    <x v="994"/>
    <x v="652"/>
    <d v="2016-06-23T00:00:00"/>
    <s v="Standard Class"/>
    <x v="381"/>
    <s v="Skye Norling"/>
    <x v="2"/>
    <s v="United States"/>
    <s v="Peoria"/>
    <x v="16"/>
    <n v="85345"/>
    <x v="1"/>
    <x v="870"/>
    <x v="1"/>
    <x v="8"/>
    <x v="864"/>
    <x v="1722"/>
    <x v="1"/>
    <x v="1"/>
  </r>
  <r>
    <n v="2041"/>
    <x v="994"/>
    <x v="652"/>
    <d v="2016-06-23T00:00:00"/>
    <s v="Standard Class"/>
    <x v="381"/>
    <s v="Skye Norling"/>
    <x v="2"/>
    <s v="United States"/>
    <s v="Peoria"/>
    <x v="16"/>
    <n v="85345"/>
    <x v="1"/>
    <x v="785"/>
    <x v="1"/>
    <x v="8"/>
    <x v="784"/>
    <x v="1723"/>
    <x v="1"/>
    <x v="1"/>
  </r>
  <r>
    <n v="2042"/>
    <x v="994"/>
    <x v="652"/>
    <d v="2016-06-23T00:00:00"/>
    <s v="Standard Class"/>
    <x v="381"/>
    <s v="Skye Norling"/>
    <x v="2"/>
    <s v="United States"/>
    <s v="Peoria"/>
    <x v="16"/>
    <n v="85345"/>
    <x v="1"/>
    <x v="1155"/>
    <x v="0"/>
    <x v="5"/>
    <x v="1143"/>
    <x v="1724"/>
    <x v="1"/>
    <x v="1"/>
  </r>
  <r>
    <n v="2043"/>
    <x v="995"/>
    <x v="653"/>
    <d v="2016-10-08T00:00:00"/>
    <s v="Standard Class"/>
    <x v="182"/>
    <s v="Ed Braxton"/>
    <x v="1"/>
    <s v="United States"/>
    <s v="San Diego"/>
    <x v="1"/>
    <n v="92105"/>
    <x v="1"/>
    <x v="1224"/>
    <x v="1"/>
    <x v="8"/>
    <x v="1208"/>
    <x v="1725"/>
    <x v="2"/>
    <x v="1"/>
  </r>
  <r>
    <n v="2044"/>
    <x v="996"/>
    <x v="551"/>
    <d v="2018-11-23T00:00:00"/>
    <s v="Standard Class"/>
    <x v="478"/>
    <s v="Jane Waco"/>
    <x v="1"/>
    <s v="United States"/>
    <s v="Lakewood"/>
    <x v="24"/>
    <n v="44107"/>
    <x v="3"/>
    <x v="924"/>
    <x v="1"/>
    <x v="6"/>
    <x v="916"/>
    <x v="1726"/>
    <x v="0"/>
    <x v="3"/>
  </r>
  <r>
    <n v="2045"/>
    <x v="997"/>
    <x v="654"/>
    <d v="2015-08-23T00:00:00"/>
    <s v="Standard Class"/>
    <x v="10"/>
    <s v="Ken Black"/>
    <x v="1"/>
    <s v="United States"/>
    <s v="Houston"/>
    <x v="5"/>
    <n v="77095"/>
    <x v="2"/>
    <x v="988"/>
    <x v="1"/>
    <x v="10"/>
    <x v="981"/>
    <x v="12"/>
    <x v="6"/>
    <x v="2"/>
  </r>
  <r>
    <n v="2046"/>
    <x v="998"/>
    <x v="19"/>
    <d v="2017-07-21T00:00:00"/>
    <s v="Standard Class"/>
    <x v="565"/>
    <s v="Matt Collister"/>
    <x v="1"/>
    <s v="United States"/>
    <s v="Perth Amboy"/>
    <x v="30"/>
    <n v="8861"/>
    <x v="3"/>
    <x v="723"/>
    <x v="1"/>
    <x v="9"/>
    <x v="722"/>
    <x v="1727"/>
    <x v="7"/>
    <x v="0"/>
  </r>
  <r>
    <n v="2047"/>
    <x v="998"/>
    <x v="19"/>
    <d v="2017-07-21T00:00:00"/>
    <s v="Standard Class"/>
    <x v="565"/>
    <s v="Matt Collister"/>
    <x v="1"/>
    <s v="United States"/>
    <s v="Perth Amboy"/>
    <x v="30"/>
    <n v="8861"/>
    <x v="3"/>
    <x v="256"/>
    <x v="2"/>
    <x v="7"/>
    <x v="257"/>
    <x v="1728"/>
    <x v="7"/>
    <x v="0"/>
  </r>
  <r>
    <n v="2048"/>
    <x v="998"/>
    <x v="19"/>
    <d v="2017-07-21T00:00:00"/>
    <s v="Standard Class"/>
    <x v="565"/>
    <s v="Matt Collister"/>
    <x v="1"/>
    <s v="United States"/>
    <s v="Perth Amboy"/>
    <x v="30"/>
    <n v="8861"/>
    <x v="3"/>
    <x v="417"/>
    <x v="1"/>
    <x v="10"/>
    <x v="417"/>
    <x v="444"/>
    <x v="7"/>
    <x v="0"/>
  </r>
  <r>
    <n v="2049"/>
    <x v="999"/>
    <x v="655"/>
    <d v="2016-07-13T00:00:00"/>
    <s v="First Class"/>
    <x v="242"/>
    <s v="Clytie Kelty"/>
    <x v="0"/>
    <s v="United States"/>
    <s v="Philadelphia"/>
    <x v="9"/>
    <n v="19134"/>
    <x v="3"/>
    <x v="28"/>
    <x v="0"/>
    <x v="5"/>
    <x v="28"/>
    <x v="1729"/>
    <x v="7"/>
    <x v="1"/>
  </r>
  <r>
    <n v="2050"/>
    <x v="999"/>
    <x v="655"/>
    <d v="2016-07-13T00:00:00"/>
    <s v="First Class"/>
    <x v="242"/>
    <s v="Clytie Kelty"/>
    <x v="0"/>
    <s v="United States"/>
    <s v="Philadelphia"/>
    <x v="9"/>
    <n v="19134"/>
    <x v="3"/>
    <x v="757"/>
    <x v="1"/>
    <x v="8"/>
    <x v="755"/>
    <x v="1278"/>
    <x v="7"/>
    <x v="1"/>
  </r>
  <r>
    <n v="2051"/>
    <x v="999"/>
    <x v="655"/>
    <d v="2016-07-13T00:00:00"/>
    <s v="First Class"/>
    <x v="242"/>
    <s v="Clytie Kelty"/>
    <x v="0"/>
    <s v="United States"/>
    <s v="Philadelphia"/>
    <x v="9"/>
    <n v="19134"/>
    <x v="3"/>
    <x v="806"/>
    <x v="1"/>
    <x v="8"/>
    <x v="804"/>
    <x v="90"/>
    <x v="7"/>
    <x v="1"/>
  </r>
  <r>
    <n v="2052"/>
    <x v="999"/>
    <x v="655"/>
    <d v="2016-07-13T00:00:00"/>
    <s v="First Class"/>
    <x v="242"/>
    <s v="Clytie Kelty"/>
    <x v="0"/>
    <s v="United States"/>
    <s v="Philadelphia"/>
    <x v="9"/>
    <n v="19134"/>
    <x v="3"/>
    <x v="1225"/>
    <x v="0"/>
    <x v="1"/>
    <x v="1209"/>
    <x v="1730"/>
    <x v="7"/>
    <x v="1"/>
  </r>
  <r>
    <n v="2053"/>
    <x v="999"/>
    <x v="655"/>
    <d v="2016-07-13T00:00:00"/>
    <s v="First Class"/>
    <x v="242"/>
    <s v="Clytie Kelty"/>
    <x v="0"/>
    <s v="United States"/>
    <s v="Philadelphia"/>
    <x v="9"/>
    <n v="19134"/>
    <x v="3"/>
    <x v="324"/>
    <x v="1"/>
    <x v="6"/>
    <x v="324"/>
    <x v="1731"/>
    <x v="7"/>
    <x v="1"/>
  </r>
  <r>
    <n v="2054"/>
    <x v="999"/>
    <x v="655"/>
    <d v="2016-07-13T00:00:00"/>
    <s v="First Class"/>
    <x v="242"/>
    <s v="Clytie Kelty"/>
    <x v="0"/>
    <s v="United States"/>
    <s v="Philadelphia"/>
    <x v="9"/>
    <n v="19134"/>
    <x v="3"/>
    <x v="1226"/>
    <x v="0"/>
    <x v="5"/>
    <x v="1210"/>
    <x v="863"/>
    <x v="7"/>
    <x v="1"/>
  </r>
  <r>
    <n v="2055"/>
    <x v="1000"/>
    <x v="49"/>
    <d v="2017-12-07T00:00:00"/>
    <s v="Standard Class"/>
    <x v="502"/>
    <s v="Rick Duston"/>
    <x v="0"/>
    <s v="United States"/>
    <s v="Richmond"/>
    <x v="14"/>
    <n v="47374"/>
    <x v="2"/>
    <x v="1137"/>
    <x v="0"/>
    <x v="5"/>
    <x v="1125"/>
    <x v="1732"/>
    <x v="4"/>
    <x v="0"/>
  </r>
  <r>
    <n v="2056"/>
    <x v="1001"/>
    <x v="66"/>
    <d v="2018-12-25T00:00:00"/>
    <s v="First Class"/>
    <x v="236"/>
    <s v="Theone Pippenger"/>
    <x v="0"/>
    <s v="United States"/>
    <s v="Detroit"/>
    <x v="12"/>
    <n v="48227"/>
    <x v="2"/>
    <x v="1227"/>
    <x v="2"/>
    <x v="11"/>
    <x v="1211"/>
    <x v="1695"/>
    <x v="4"/>
    <x v="3"/>
  </r>
  <r>
    <n v="2057"/>
    <x v="1001"/>
    <x v="66"/>
    <d v="2018-12-25T00:00:00"/>
    <s v="First Class"/>
    <x v="236"/>
    <s v="Theone Pippenger"/>
    <x v="0"/>
    <s v="United States"/>
    <s v="Detroit"/>
    <x v="12"/>
    <n v="48227"/>
    <x v="2"/>
    <x v="629"/>
    <x v="0"/>
    <x v="1"/>
    <x v="629"/>
    <x v="1733"/>
    <x v="4"/>
    <x v="3"/>
  </r>
  <r>
    <n v="2058"/>
    <x v="1001"/>
    <x v="66"/>
    <d v="2018-12-25T00:00:00"/>
    <s v="First Class"/>
    <x v="236"/>
    <s v="Theone Pippenger"/>
    <x v="0"/>
    <s v="United States"/>
    <s v="Detroit"/>
    <x v="12"/>
    <n v="48227"/>
    <x v="2"/>
    <x v="106"/>
    <x v="2"/>
    <x v="11"/>
    <x v="106"/>
    <x v="1734"/>
    <x v="4"/>
    <x v="3"/>
  </r>
  <r>
    <n v="2059"/>
    <x v="1001"/>
    <x v="66"/>
    <d v="2018-12-25T00:00:00"/>
    <s v="First Class"/>
    <x v="236"/>
    <s v="Theone Pippenger"/>
    <x v="0"/>
    <s v="United States"/>
    <s v="Detroit"/>
    <x v="12"/>
    <n v="48227"/>
    <x v="2"/>
    <x v="121"/>
    <x v="0"/>
    <x v="3"/>
    <x v="121"/>
    <x v="1735"/>
    <x v="4"/>
    <x v="3"/>
  </r>
  <r>
    <n v="2060"/>
    <x v="1002"/>
    <x v="656"/>
    <d v="2015-11-04T00:00:00"/>
    <s v="Standard Class"/>
    <x v="55"/>
    <s v="Greg Guthrie"/>
    <x v="1"/>
    <s v="United States"/>
    <s v="Los Angeles"/>
    <x v="1"/>
    <n v="90049"/>
    <x v="1"/>
    <x v="1228"/>
    <x v="1"/>
    <x v="13"/>
    <x v="128"/>
    <x v="1176"/>
    <x v="2"/>
    <x v="2"/>
  </r>
  <r>
    <n v="2061"/>
    <x v="1002"/>
    <x v="656"/>
    <d v="2015-11-04T00:00:00"/>
    <s v="Standard Class"/>
    <x v="55"/>
    <s v="Greg Guthrie"/>
    <x v="1"/>
    <s v="United States"/>
    <s v="Los Angeles"/>
    <x v="1"/>
    <n v="90049"/>
    <x v="1"/>
    <x v="1229"/>
    <x v="1"/>
    <x v="4"/>
    <x v="1212"/>
    <x v="1736"/>
    <x v="2"/>
    <x v="2"/>
  </r>
  <r>
    <n v="2062"/>
    <x v="1002"/>
    <x v="656"/>
    <d v="2015-11-04T00:00:00"/>
    <s v="Standard Class"/>
    <x v="55"/>
    <s v="Greg Guthrie"/>
    <x v="1"/>
    <s v="United States"/>
    <s v="Los Angeles"/>
    <x v="1"/>
    <n v="90049"/>
    <x v="1"/>
    <x v="1230"/>
    <x v="1"/>
    <x v="8"/>
    <x v="1213"/>
    <x v="1737"/>
    <x v="2"/>
    <x v="2"/>
  </r>
  <r>
    <n v="2063"/>
    <x v="1002"/>
    <x v="656"/>
    <d v="2015-11-04T00:00:00"/>
    <s v="Standard Class"/>
    <x v="55"/>
    <s v="Greg Guthrie"/>
    <x v="1"/>
    <s v="United States"/>
    <s v="Los Angeles"/>
    <x v="1"/>
    <n v="90049"/>
    <x v="1"/>
    <x v="1231"/>
    <x v="1"/>
    <x v="10"/>
    <x v="1214"/>
    <x v="1738"/>
    <x v="2"/>
    <x v="2"/>
  </r>
  <r>
    <n v="2064"/>
    <x v="1002"/>
    <x v="656"/>
    <d v="2015-11-04T00:00:00"/>
    <s v="Standard Class"/>
    <x v="55"/>
    <s v="Greg Guthrie"/>
    <x v="1"/>
    <s v="United States"/>
    <s v="Los Angeles"/>
    <x v="1"/>
    <n v="90049"/>
    <x v="1"/>
    <x v="1232"/>
    <x v="1"/>
    <x v="8"/>
    <x v="1215"/>
    <x v="1739"/>
    <x v="2"/>
    <x v="2"/>
  </r>
  <r>
    <n v="2065"/>
    <x v="1002"/>
    <x v="656"/>
    <d v="2015-11-04T00:00:00"/>
    <s v="Standard Class"/>
    <x v="55"/>
    <s v="Greg Guthrie"/>
    <x v="1"/>
    <s v="United States"/>
    <s v="Los Angeles"/>
    <x v="1"/>
    <n v="90049"/>
    <x v="1"/>
    <x v="537"/>
    <x v="1"/>
    <x v="4"/>
    <x v="537"/>
    <x v="1740"/>
    <x v="2"/>
    <x v="2"/>
  </r>
  <r>
    <n v="2066"/>
    <x v="1002"/>
    <x v="656"/>
    <d v="2015-11-04T00:00:00"/>
    <s v="Standard Class"/>
    <x v="55"/>
    <s v="Greg Guthrie"/>
    <x v="1"/>
    <s v="United States"/>
    <s v="Los Angeles"/>
    <x v="1"/>
    <n v="90049"/>
    <x v="1"/>
    <x v="1225"/>
    <x v="0"/>
    <x v="1"/>
    <x v="1209"/>
    <x v="1741"/>
    <x v="2"/>
    <x v="2"/>
  </r>
  <r>
    <n v="2067"/>
    <x v="1002"/>
    <x v="656"/>
    <d v="2015-11-04T00:00:00"/>
    <s v="Standard Class"/>
    <x v="55"/>
    <s v="Greg Guthrie"/>
    <x v="1"/>
    <s v="United States"/>
    <s v="Los Angeles"/>
    <x v="1"/>
    <n v="90049"/>
    <x v="1"/>
    <x v="1130"/>
    <x v="2"/>
    <x v="11"/>
    <x v="1118"/>
    <x v="1742"/>
    <x v="2"/>
    <x v="2"/>
  </r>
  <r>
    <n v="2068"/>
    <x v="1002"/>
    <x v="656"/>
    <d v="2015-11-04T00:00:00"/>
    <s v="Standard Class"/>
    <x v="55"/>
    <s v="Greg Guthrie"/>
    <x v="1"/>
    <s v="United States"/>
    <s v="Los Angeles"/>
    <x v="1"/>
    <n v="90049"/>
    <x v="1"/>
    <x v="1024"/>
    <x v="1"/>
    <x v="6"/>
    <x v="1015"/>
    <x v="708"/>
    <x v="2"/>
    <x v="2"/>
  </r>
  <r>
    <n v="2069"/>
    <x v="1003"/>
    <x v="657"/>
    <d v="2016-04-19T00:00:00"/>
    <s v="Standard Class"/>
    <x v="233"/>
    <s v="Zuschuss Carroll"/>
    <x v="0"/>
    <s v="United States"/>
    <s v="Pomona"/>
    <x v="1"/>
    <n v="91767"/>
    <x v="1"/>
    <x v="1233"/>
    <x v="2"/>
    <x v="11"/>
    <x v="1216"/>
    <x v="1743"/>
    <x v="3"/>
    <x v="1"/>
  </r>
  <r>
    <n v="2070"/>
    <x v="1003"/>
    <x v="657"/>
    <d v="2016-04-19T00:00:00"/>
    <s v="Standard Class"/>
    <x v="233"/>
    <s v="Zuschuss Carroll"/>
    <x v="0"/>
    <s v="United States"/>
    <s v="Pomona"/>
    <x v="1"/>
    <n v="91767"/>
    <x v="1"/>
    <x v="1234"/>
    <x v="0"/>
    <x v="3"/>
    <x v="1217"/>
    <x v="1744"/>
    <x v="3"/>
    <x v="1"/>
  </r>
  <r>
    <n v="2071"/>
    <x v="1004"/>
    <x v="658"/>
    <d v="2017-07-23T00:00:00"/>
    <s v="Second Class"/>
    <x v="566"/>
    <s v="Corey Catlett"/>
    <x v="1"/>
    <s v="United States"/>
    <s v="Philadelphia"/>
    <x v="9"/>
    <n v="19134"/>
    <x v="3"/>
    <x v="625"/>
    <x v="1"/>
    <x v="8"/>
    <x v="625"/>
    <x v="1745"/>
    <x v="7"/>
    <x v="0"/>
  </r>
  <r>
    <n v="2072"/>
    <x v="1005"/>
    <x v="225"/>
    <d v="2018-11-25T00:00:00"/>
    <s v="Standard Class"/>
    <x v="567"/>
    <s v="Kelly Andreada"/>
    <x v="0"/>
    <s v="United States"/>
    <s v="Ontario"/>
    <x v="1"/>
    <n v="91761"/>
    <x v="1"/>
    <x v="367"/>
    <x v="0"/>
    <x v="1"/>
    <x v="368"/>
    <x v="510"/>
    <x v="0"/>
    <x v="3"/>
  </r>
  <r>
    <n v="2073"/>
    <x v="1006"/>
    <x v="491"/>
    <d v="2017-12-02T00:00:00"/>
    <s v="Standard Class"/>
    <x v="568"/>
    <s v="Tamara Chand"/>
    <x v="1"/>
    <s v="United States"/>
    <s v="Seattle"/>
    <x v="4"/>
    <n v="98105"/>
    <x v="1"/>
    <x v="1203"/>
    <x v="1"/>
    <x v="8"/>
    <x v="1188"/>
    <x v="1746"/>
    <x v="0"/>
    <x v="0"/>
  </r>
  <r>
    <n v="2074"/>
    <x v="1007"/>
    <x v="659"/>
    <d v="2018-11-12T00:00:00"/>
    <s v="Second Class"/>
    <x v="489"/>
    <s v="Deborah Brumfield"/>
    <x v="2"/>
    <s v="United States"/>
    <s v="Brentwood"/>
    <x v="1"/>
    <n v="94513"/>
    <x v="1"/>
    <x v="1235"/>
    <x v="2"/>
    <x v="11"/>
    <x v="1218"/>
    <x v="127"/>
    <x v="0"/>
    <x v="3"/>
  </r>
  <r>
    <n v="2075"/>
    <x v="1007"/>
    <x v="659"/>
    <d v="2018-11-12T00:00:00"/>
    <s v="Second Class"/>
    <x v="489"/>
    <s v="Deborah Brumfield"/>
    <x v="2"/>
    <s v="United States"/>
    <s v="Brentwood"/>
    <x v="1"/>
    <n v="94513"/>
    <x v="1"/>
    <x v="1236"/>
    <x v="2"/>
    <x v="7"/>
    <x v="1219"/>
    <x v="1747"/>
    <x v="0"/>
    <x v="3"/>
  </r>
  <r>
    <n v="2076"/>
    <x v="1008"/>
    <x v="588"/>
    <d v="2015-12-05T00:00:00"/>
    <s v="Standard Class"/>
    <x v="309"/>
    <s v="Toby Ritter"/>
    <x v="0"/>
    <s v="United States"/>
    <s v="San Francisco"/>
    <x v="1"/>
    <n v="94122"/>
    <x v="1"/>
    <x v="275"/>
    <x v="0"/>
    <x v="5"/>
    <x v="275"/>
    <x v="1748"/>
    <x v="4"/>
    <x v="2"/>
  </r>
  <r>
    <n v="2077"/>
    <x v="1009"/>
    <x v="510"/>
    <d v="2018-09-15T00:00:00"/>
    <s v="First Class"/>
    <x v="569"/>
    <s v="Bart Folk"/>
    <x v="0"/>
    <s v="United States"/>
    <s v="Baltimore"/>
    <x v="39"/>
    <n v="21215"/>
    <x v="3"/>
    <x v="226"/>
    <x v="1"/>
    <x v="10"/>
    <x v="227"/>
    <x v="1749"/>
    <x v="8"/>
    <x v="3"/>
  </r>
  <r>
    <n v="2078"/>
    <x v="1009"/>
    <x v="510"/>
    <d v="2018-09-15T00:00:00"/>
    <s v="First Class"/>
    <x v="569"/>
    <s v="Bart Folk"/>
    <x v="0"/>
    <s v="United States"/>
    <s v="Baltimore"/>
    <x v="39"/>
    <n v="21215"/>
    <x v="3"/>
    <x v="95"/>
    <x v="1"/>
    <x v="9"/>
    <x v="95"/>
    <x v="1750"/>
    <x v="8"/>
    <x v="3"/>
  </r>
  <r>
    <n v="2079"/>
    <x v="1009"/>
    <x v="510"/>
    <d v="2018-09-15T00:00:00"/>
    <s v="First Class"/>
    <x v="569"/>
    <s v="Bart Folk"/>
    <x v="0"/>
    <s v="United States"/>
    <s v="Baltimore"/>
    <x v="39"/>
    <n v="21215"/>
    <x v="3"/>
    <x v="274"/>
    <x v="1"/>
    <x v="10"/>
    <x v="274"/>
    <x v="450"/>
    <x v="8"/>
    <x v="3"/>
  </r>
  <r>
    <n v="2080"/>
    <x v="1010"/>
    <x v="100"/>
    <d v="2016-12-29T00:00:00"/>
    <s v="Standard Class"/>
    <x v="333"/>
    <s v="Maribeth Schnelling"/>
    <x v="0"/>
    <s v="United States"/>
    <s v="Phoenix"/>
    <x v="16"/>
    <n v="85023"/>
    <x v="1"/>
    <x v="1237"/>
    <x v="1"/>
    <x v="10"/>
    <x v="1220"/>
    <x v="1751"/>
    <x v="4"/>
    <x v="1"/>
  </r>
  <r>
    <n v="2081"/>
    <x v="1010"/>
    <x v="100"/>
    <d v="2016-12-29T00:00:00"/>
    <s v="Standard Class"/>
    <x v="333"/>
    <s v="Maribeth Schnelling"/>
    <x v="0"/>
    <s v="United States"/>
    <s v="Phoenix"/>
    <x v="16"/>
    <n v="85023"/>
    <x v="1"/>
    <x v="599"/>
    <x v="2"/>
    <x v="7"/>
    <x v="599"/>
    <x v="1752"/>
    <x v="4"/>
    <x v="1"/>
  </r>
  <r>
    <n v="2082"/>
    <x v="1010"/>
    <x v="100"/>
    <d v="2016-12-29T00:00:00"/>
    <s v="Standard Class"/>
    <x v="333"/>
    <s v="Maribeth Schnelling"/>
    <x v="0"/>
    <s v="United States"/>
    <s v="Phoenix"/>
    <x v="16"/>
    <n v="85023"/>
    <x v="1"/>
    <x v="763"/>
    <x v="0"/>
    <x v="5"/>
    <x v="762"/>
    <x v="323"/>
    <x v="4"/>
    <x v="1"/>
  </r>
  <r>
    <n v="2083"/>
    <x v="1011"/>
    <x v="660"/>
    <d v="2018-03-01T00:00:00"/>
    <s v="Standard Class"/>
    <x v="242"/>
    <s v="Clytie Kelty"/>
    <x v="0"/>
    <s v="United States"/>
    <s v="Los Angeles"/>
    <x v="1"/>
    <n v="90008"/>
    <x v="1"/>
    <x v="910"/>
    <x v="1"/>
    <x v="10"/>
    <x v="902"/>
    <x v="776"/>
    <x v="11"/>
    <x v="3"/>
  </r>
  <r>
    <n v="2084"/>
    <x v="1012"/>
    <x v="533"/>
    <d v="2015-11-29T00:00:00"/>
    <s v="Standard Class"/>
    <x v="525"/>
    <s v="Emily Ducich"/>
    <x v="2"/>
    <s v="United States"/>
    <s v="Houston"/>
    <x v="5"/>
    <n v="77036"/>
    <x v="2"/>
    <x v="429"/>
    <x v="1"/>
    <x v="2"/>
    <x v="429"/>
    <x v="208"/>
    <x v="0"/>
    <x v="2"/>
  </r>
  <r>
    <n v="2085"/>
    <x v="1013"/>
    <x v="661"/>
    <d v="2017-06-28T00:00:00"/>
    <s v="Standard Class"/>
    <x v="5"/>
    <s v="Irene Maddox"/>
    <x v="0"/>
    <s v="United States"/>
    <s v="New York City"/>
    <x v="15"/>
    <n v="10009"/>
    <x v="3"/>
    <x v="580"/>
    <x v="1"/>
    <x v="2"/>
    <x v="580"/>
    <x v="1164"/>
    <x v="1"/>
    <x v="0"/>
  </r>
  <r>
    <n v="2086"/>
    <x v="1013"/>
    <x v="661"/>
    <d v="2017-06-28T00:00:00"/>
    <s v="Standard Class"/>
    <x v="5"/>
    <s v="Irene Maddox"/>
    <x v="0"/>
    <s v="United States"/>
    <s v="New York City"/>
    <x v="15"/>
    <n v="10009"/>
    <x v="3"/>
    <x v="1238"/>
    <x v="1"/>
    <x v="2"/>
    <x v="1221"/>
    <x v="1753"/>
    <x v="1"/>
    <x v="0"/>
  </r>
  <r>
    <n v="2087"/>
    <x v="1013"/>
    <x v="661"/>
    <d v="2017-06-28T00:00:00"/>
    <s v="Standard Class"/>
    <x v="5"/>
    <s v="Irene Maddox"/>
    <x v="0"/>
    <s v="United States"/>
    <s v="New York City"/>
    <x v="15"/>
    <n v="10009"/>
    <x v="3"/>
    <x v="391"/>
    <x v="1"/>
    <x v="4"/>
    <x v="392"/>
    <x v="1754"/>
    <x v="1"/>
    <x v="0"/>
  </r>
  <r>
    <n v="2088"/>
    <x v="1013"/>
    <x v="661"/>
    <d v="2017-06-28T00:00:00"/>
    <s v="Standard Class"/>
    <x v="5"/>
    <s v="Irene Maddox"/>
    <x v="0"/>
    <s v="United States"/>
    <s v="New York City"/>
    <x v="15"/>
    <n v="10009"/>
    <x v="3"/>
    <x v="1158"/>
    <x v="1"/>
    <x v="10"/>
    <x v="1146"/>
    <x v="64"/>
    <x v="1"/>
    <x v="0"/>
  </r>
  <r>
    <n v="2089"/>
    <x v="1013"/>
    <x v="661"/>
    <d v="2017-06-28T00:00:00"/>
    <s v="Standard Class"/>
    <x v="5"/>
    <s v="Irene Maddox"/>
    <x v="0"/>
    <s v="United States"/>
    <s v="New York City"/>
    <x v="15"/>
    <n v="10009"/>
    <x v="3"/>
    <x v="1239"/>
    <x v="1"/>
    <x v="13"/>
    <x v="1222"/>
    <x v="532"/>
    <x v="1"/>
    <x v="0"/>
  </r>
  <r>
    <n v="2090"/>
    <x v="1014"/>
    <x v="662"/>
    <d v="2016-10-30T00:00:00"/>
    <s v="Standard Class"/>
    <x v="199"/>
    <s v="Maribeth Yedwab"/>
    <x v="1"/>
    <s v="United States"/>
    <s v="Rancho Cucamonga"/>
    <x v="1"/>
    <n v="91730"/>
    <x v="1"/>
    <x v="1240"/>
    <x v="1"/>
    <x v="2"/>
    <x v="1223"/>
    <x v="1755"/>
    <x v="2"/>
    <x v="1"/>
  </r>
  <r>
    <n v="2091"/>
    <x v="1015"/>
    <x v="663"/>
    <d v="2018-07-19T00:00:00"/>
    <s v="Standard Class"/>
    <x v="570"/>
    <s v="Magdelene Morse"/>
    <x v="0"/>
    <s v="United States"/>
    <s v="Wilmington"/>
    <x v="13"/>
    <n v="19805"/>
    <x v="3"/>
    <x v="608"/>
    <x v="1"/>
    <x v="8"/>
    <x v="608"/>
    <x v="1756"/>
    <x v="7"/>
    <x v="3"/>
  </r>
  <r>
    <n v="2092"/>
    <x v="1015"/>
    <x v="663"/>
    <d v="2018-07-19T00:00:00"/>
    <s v="Standard Class"/>
    <x v="570"/>
    <s v="Magdelene Morse"/>
    <x v="0"/>
    <s v="United States"/>
    <s v="Wilmington"/>
    <x v="13"/>
    <n v="19805"/>
    <x v="3"/>
    <x v="1116"/>
    <x v="0"/>
    <x v="3"/>
    <x v="1104"/>
    <x v="1757"/>
    <x v="7"/>
    <x v="3"/>
  </r>
  <r>
    <n v="2093"/>
    <x v="1016"/>
    <x v="664"/>
    <d v="2015-11-21T00:00:00"/>
    <s v="Standard Class"/>
    <x v="88"/>
    <s v="Mark Packer"/>
    <x v="2"/>
    <s v="United States"/>
    <s v="Moorhead"/>
    <x v="11"/>
    <n v="56560"/>
    <x v="2"/>
    <x v="992"/>
    <x v="0"/>
    <x v="1"/>
    <x v="984"/>
    <x v="1758"/>
    <x v="0"/>
    <x v="2"/>
  </r>
  <r>
    <n v="2094"/>
    <x v="1017"/>
    <x v="657"/>
    <d v="2016-04-15T00:00:00"/>
    <s v="Second Class"/>
    <x v="497"/>
    <s v="Anthony Witt"/>
    <x v="0"/>
    <s v="United States"/>
    <s v="Farmington"/>
    <x v="27"/>
    <n v="87401"/>
    <x v="1"/>
    <x v="505"/>
    <x v="1"/>
    <x v="14"/>
    <x v="505"/>
    <x v="1759"/>
    <x v="3"/>
    <x v="1"/>
  </r>
  <r>
    <n v="2095"/>
    <x v="1018"/>
    <x v="665"/>
    <d v="2016-11-29T00:00:00"/>
    <s v="Standard Class"/>
    <x v="11"/>
    <s v="Sandra Flanagan"/>
    <x v="0"/>
    <s v="United States"/>
    <s v="Wilmington"/>
    <x v="3"/>
    <n v="28403"/>
    <x v="0"/>
    <x v="1241"/>
    <x v="1"/>
    <x v="6"/>
    <x v="1224"/>
    <x v="1317"/>
    <x v="0"/>
    <x v="1"/>
  </r>
  <r>
    <n v="2096"/>
    <x v="1019"/>
    <x v="666"/>
    <d v="2017-05-20T00:00:00"/>
    <s v="Standard Class"/>
    <x v="17"/>
    <s v="Steve Nguyen"/>
    <x v="2"/>
    <s v="United States"/>
    <s v="Jackson"/>
    <x v="35"/>
    <n v="39212"/>
    <x v="0"/>
    <x v="1242"/>
    <x v="1"/>
    <x v="8"/>
    <x v="1225"/>
    <x v="1760"/>
    <x v="5"/>
    <x v="0"/>
  </r>
  <r>
    <n v="2097"/>
    <x v="1019"/>
    <x v="666"/>
    <d v="2017-05-20T00:00:00"/>
    <s v="Standard Class"/>
    <x v="17"/>
    <s v="Steve Nguyen"/>
    <x v="2"/>
    <s v="United States"/>
    <s v="Jackson"/>
    <x v="35"/>
    <n v="39212"/>
    <x v="0"/>
    <x v="1243"/>
    <x v="1"/>
    <x v="6"/>
    <x v="1226"/>
    <x v="1361"/>
    <x v="5"/>
    <x v="0"/>
  </r>
  <r>
    <n v="2098"/>
    <x v="1019"/>
    <x v="666"/>
    <d v="2017-05-20T00:00:00"/>
    <s v="Standard Class"/>
    <x v="17"/>
    <s v="Steve Nguyen"/>
    <x v="2"/>
    <s v="United States"/>
    <s v="Jackson"/>
    <x v="35"/>
    <n v="39212"/>
    <x v="0"/>
    <x v="449"/>
    <x v="1"/>
    <x v="6"/>
    <x v="449"/>
    <x v="480"/>
    <x v="5"/>
    <x v="0"/>
  </r>
  <r>
    <n v="2099"/>
    <x v="1020"/>
    <x v="210"/>
    <d v="2018-09-12T00:00:00"/>
    <s v="Standard Class"/>
    <x v="76"/>
    <s v="Ruben Dartt"/>
    <x v="0"/>
    <s v="United States"/>
    <s v="Portland"/>
    <x v="21"/>
    <n v="97206"/>
    <x v="1"/>
    <x v="953"/>
    <x v="1"/>
    <x v="4"/>
    <x v="946"/>
    <x v="1015"/>
    <x v="8"/>
    <x v="3"/>
  </r>
  <r>
    <n v="2100"/>
    <x v="1020"/>
    <x v="210"/>
    <d v="2018-09-12T00:00:00"/>
    <s v="Standard Class"/>
    <x v="76"/>
    <s v="Ruben Dartt"/>
    <x v="0"/>
    <s v="United States"/>
    <s v="Portland"/>
    <x v="21"/>
    <n v="97206"/>
    <x v="1"/>
    <x v="1135"/>
    <x v="2"/>
    <x v="11"/>
    <x v="1123"/>
    <x v="1761"/>
    <x v="8"/>
    <x v="3"/>
  </r>
  <r>
    <n v="2101"/>
    <x v="1021"/>
    <x v="418"/>
    <d v="2015-03-17T00:00:00"/>
    <s v="Standard Class"/>
    <x v="409"/>
    <s v="Kean Thornton"/>
    <x v="0"/>
    <s v="United States"/>
    <s v="Denver"/>
    <x v="22"/>
    <n v="80219"/>
    <x v="1"/>
    <x v="1244"/>
    <x v="1"/>
    <x v="4"/>
    <x v="1227"/>
    <x v="1762"/>
    <x v="10"/>
    <x v="2"/>
  </r>
  <r>
    <n v="2102"/>
    <x v="1021"/>
    <x v="418"/>
    <d v="2015-03-17T00:00:00"/>
    <s v="Standard Class"/>
    <x v="409"/>
    <s v="Kean Thornton"/>
    <x v="0"/>
    <s v="United States"/>
    <s v="Denver"/>
    <x v="22"/>
    <n v="80219"/>
    <x v="1"/>
    <x v="1062"/>
    <x v="1"/>
    <x v="6"/>
    <x v="1051"/>
    <x v="1763"/>
    <x v="10"/>
    <x v="2"/>
  </r>
  <r>
    <n v="2103"/>
    <x v="1022"/>
    <x v="667"/>
    <d v="2015-07-18T00:00:00"/>
    <s v="Same Day"/>
    <x v="571"/>
    <s v="Adrian Hane"/>
    <x v="2"/>
    <s v="United States"/>
    <s v="Tucson"/>
    <x v="16"/>
    <n v="85705"/>
    <x v="1"/>
    <x v="394"/>
    <x v="0"/>
    <x v="1"/>
    <x v="395"/>
    <x v="1764"/>
    <x v="7"/>
    <x v="2"/>
  </r>
  <r>
    <n v="2104"/>
    <x v="1023"/>
    <x v="668"/>
    <d v="2018-03-28T00:00:00"/>
    <s v="Second Class"/>
    <x v="312"/>
    <s v="Brian Moss"/>
    <x v="1"/>
    <s v="United States"/>
    <s v="New York City"/>
    <x v="15"/>
    <n v="10009"/>
    <x v="3"/>
    <x v="447"/>
    <x v="1"/>
    <x v="10"/>
    <x v="1228"/>
    <x v="1765"/>
    <x v="10"/>
    <x v="3"/>
  </r>
  <r>
    <n v="2105"/>
    <x v="1023"/>
    <x v="668"/>
    <d v="2018-03-28T00:00:00"/>
    <s v="Second Class"/>
    <x v="312"/>
    <s v="Brian Moss"/>
    <x v="1"/>
    <s v="United States"/>
    <s v="New York City"/>
    <x v="15"/>
    <n v="10009"/>
    <x v="3"/>
    <x v="197"/>
    <x v="2"/>
    <x v="11"/>
    <x v="198"/>
    <x v="1766"/>
    <x v="10"/>
    <x v="3"/>
  </r>
  <r>
    <n v="2106"/>
    <x v="1024"/>
    <x v="587"/>
    <d v="2015-10-05T00:00:00"/>
    <s v="Standard Class"/>
    <x v="572"/>
    <s v="Ben Wallace"/>
    <x v="0"/>
    <s v="United States"/>
    <s v="Boynton Beach"/>
    <x v="2"/>
    <n v="33437"/>
    <x v="0"/>
    <x v="974"/>
    <x v="1"/>
    <x v="10"/>
    <x v="968"/>
    <x v="12"/>
    <x v="8"/>
    <x v="2"/>
  </r>
  <r>
    <n v="2107"/>
    <x v="1025"/>
    <x v="467"/>
    <d v="2015-09-26T00:00:00"/>
    <s v="Same Day"/>
    <x v="428"/>
    <s v="Henry Goldwyn"/>
    <x v="1"/>
    <s v="United States"/>
    <s v="Mesquite"/>
    <x v="5"/>
    <n v="75150"/>
    <x v="2"/>
    <x v="236"/>
    <x v="1"/>
    <x v="8"/>
    <x v="237"/>
    <x v="1767"/>
    <x v="8"/>
    <x v="2"/>
  </r>
  <r>
    <n v="2108"/>
    <x v="1026"/>
    <x v="89"/>
    <d v="2016-10-31T00:00:00"/>
    <s v="Same Day"/>
    <x v="65"/>
    <s v="Sandra Glassco"/>
    <x v="0"/>
    <s v="United States"/>
    <s v="Redlands"/>
    <x v="1"/>
    <n v="92374"/>
    <x v="1"/>
    <x v="368"/>
    <x v="1"/>
    <x v="10"/>
    <x v="369"/>
    <x v="1016"/>
    <x v="2"/>
    <x v="1"/>
  </r>
  <r>
    <n v="2109"/>
    <x v="1026"/>
    <x v="89"/>
    <d v="2016-10-31T00:00:00"/>
    <s v="Same Day"/>
    <x v="65"/>
    <s v="Sandra Glassco"/>
    <x v="0"/>
    <s v="United States"/>
    <s v="Redlands"/>
    <x v="1"/>
    <n v="92374"/>
    <x v="1"/>
    <x v="896"/>
    <x v="1"/>
    <x v="8"/>
    <x v="889"/>
    <x v="1104"/>
    <x v="2"/>
    <x v="1"/>
  </r>
  <r>
    <n v="2110"/>
    <x v="1026"/>
    <x v="89"/>
    <d v="2016-10-31T00:00:00"/>
    <s v="Same Day"/>
    <x v="65"/>
    <s v="Sandra Glassco"/>
    <x v="0"/>
    <s v="United States"/>
    <s v="Redlands"/>
    <x v="1"/>
    <n v="92374"/>
    <x v="1"/>
    <x v="1245"/>
    <x v="1"/>
    <x v="6"/>
    <x v="1229"/>
    <x v="1310"/>
    <x v="2"/>
    <x v="1"/>
  </r>
  <r>
    <n v="2111"/>
    <x v="1026"/>
    <x v="89"/>
    <d v="2016-10-31T00:00:00"/>
    <s v="Same Day"/>
    <x v="65"/>
    <s v="Sandra Glassco"/>
    <x v="0"/>
    <s v="United States"/>
    <s v="Redlands"/>
    <x v="1"/>
    <n v="92374"/>
    <x v="1"/>
    <x v="203"/>
    <x v="1"/>
    <x v="13"/>
    <x v="204"/>
    <x v="1768"/>
    <x v="2"/>
    <x v="1"/>
  </r>
  <r>
    <n v="2112"/>
    <x v="1026"/>
    <x v="89"/>
    <d v="2016-10-31T00:00:00"/>
    <s v="Same Day"/>
    <x v="65"/>
    <s v="Sandra Glassco"/>
    <x v="0"/>
    <s v="United States"/>
    <s v="Redlands"/>
    <x v="1"/>
    <n v="92374"/>
    <x v="1"/>
    <x v="38"/>
    <x v="0"/>
    <x v="1"/>
    <x v="38"/>
    <x v="825"/>
    <x v="2"/>
    <x v="1"/>
  </r>
  <r>
    <n v="2113"/>
    <x v="1026"/>
    <x v="89"/>
    <d v="2016-10-31T00:00:00"/>
    <s v="Same Day"/>
    <x v="65"/>
    <s v="Sandra Glassco"/>
    <x v="0"/>
    <s v="United States"/>
    <s v="Redlands"/>
    <x v="1"/>
    <n v="92374"/>
    <x v="1"/>
    <x v="558"/>
    <x v="1"/>
    <x v="14"/>
    <x v="557"/>
    <x v="1271"/>
    <x v="2"/>
    <x v="1"/>
  </r>
  <r>
    <n v="2114"/>
    <x v="1026"/>
    <x v="89"/>
    <d v="2016-10-31T00:00:00"/>
    <s v="Same Day"/>
    <x v="65"/>
    <s v="Sandra Glassco"/>
    <x v="0"/>
    <s v="United States"/>
    <s v="Redlands"/>
    <x v="1"/>
    <n v="92374"/>
    <x v="1"/>
    <x v="1246"/>
    <x v="2"/>
    <x v="7"/>
    <x v="1230"/>
    <x v="1769"/>
    <x v="2"/>
    <x v="1"/>
  </r>
  <r>
    <n v="2115"/>
    <x v="1026"/>
    <x v="89"/>
    <d v="2016-10-31T00:00:00"/>
    <s v="Same Day"/>
    <x v="65"/>
    <s v="Sandra Glassco"/>
    <x v="0"/>
    <s v="United States"/>
    <s v="Redlands"/>
    <x v="1"/>
    <n v="92374"/>
    <x v="1"/>
    <x v="1247"/>
    <x v="1"/>
    <x v="4"/>
    <x v="1231"/>
    <x v="1770"/>
    <x v="2"/>
    <x v="1"/>
  </r>
  <r>
    <n v="2116"/>
    <x v="1026"/>
    <x v="89"/>
    <d v="2016-10-31T00:00:00"/>
    <s v="Same Day"/>
    <x v="65"/>
    <s v="Sandra Glassco"/>
    <x v="0"/>
    <s v="United States"/>
    <s v="Redlands"/>
    <x v="1"/>
    <n v="92374"/>
    <x v="1"/>
    <x v="1248"/>
    <x v="0"/>
    <x v="0"/>
    <x v="1232"/>
    <x v="1771"/>
    <x v="2"/>
    <x v="1"/>
  </r>
  <r>
    <n v="2117"/>
    <x v="1027"/>
    <x v="88"/>
    <d v="2016-10-17T00:00:00"/>
    <s v="Second Class"/>
    <x v="343"/>
    <s v="Ralph Kennedy"/>
    <x v="0"/>
    <s v="United States"/>
    <s v="Rochester"/>
    <x v="15"/>
    <n v="14609"/>
    <x v="3"/>
    <x v="1110"/>
    <x v="0"/>
    <x v="3"/>
    <x v="1099"/>
    <x v="1772"/>
    <x v="2"/>
    <x v="1"/>
  </r>
  <r>
    <n v="2118"/>
    <x v="1028"/>
    <x v="251"/>
    <d v="2017-09-23T00:00:00"/>
    <s v="Standard Class"/>
    <x v="573"/>
    <s v="Scot Wooten"/>
    <x v="0"/>
    <s v="United States"/>
    <s v="Stockton"/>
    <x v="1"/>
    <n v="95207"/>
    <x v="1"/>
    <x v="393"/>
    <x v="1"/>
    <x v="10"/>
    <x v="394"/>
    <x v="1773"/>
    <x v="8"/>
    <x v="0"/>
  </r>
  <r>
    <n v="2119"/>
    <x v="1029"/>
    <x v="669"/>
    <d v="2018-04-15T00:00:00"/>
    <s v="First Class"/>
    <x v="338"/>
    <s v="Rob Williams"/>
    <x v="1"/>
    <s v="United States"/>
    <s v="Seattle"/>
    <x v="4"/>
    <n v="98105"/>
    <x v="1"/>
    <x v="218"/>
    <x v="1"/>
    <x v="10"/>
    <x v="219"/>
    <x v="266"/>
    <x v="3"/>
    <x v="3"/>
  </r>
  <r>
    <n v="2120"/>
    <x v="1029"/>
    <x v="669"/>
    <d v="2018-04-15T00:00:00"/>
    <s v="First Class"/>
    <x v="338"/>
    <s v="Rob Williams"/>
    <x v="1"/>
    <s v="United States"/>
    <s v="Seattle"/>
    <x v="4"/>
    <n v="98105"/>
    <x v="1"/>
    <x v="1188"/>
    <x v="1"/>
    <x v="8"/>
    <x v="1174"/>
    <x v="1630"/>
    <x v="3"/>
    <x v="3"/>
  </r>
  <r>
    <n v="2121"/>
    <x v="1030"/>
    <x v="363"/>
    <d v="2018-01-13T00:00:00"/>
    <s v="Standard Class"/>
    <x v="465"/>
    <s v="Thais Sissman"/>
    <x v="0"/>
    <s v="United States"/>
    <s v="Ormond Beach"/>
    <x v="2"/>
    <n v="32174"/>
    <x v="0"/>
    <x v="744"/>
    <x v="1"/>
    <x v="8"/>
    <x v="742"/>
    <x v="1774"/>
    <x v="9"/>
    <x v="3"/>
  </r>
  <r>
    <n v="2122"/>
    <x v="1031"/>
    <x v="45"/>
    <d v="2018-11-11T00:00:00"/>
    <s v="First Class"/>
    <x v="80"/>
    <s v="Jennifer Braxton"/>
    <x v="1"/>
    <s v="United States"/>
    <s v="Sunnyvale"/>
    <x v="1"/>
    <n v="94086"/>
    <x v="1"/>
    <x v="51"/>
    <x v="0"/>
    <x v="1"/>
    <x v="51"/>
    <x v="1775"/>
    <x v="0"/>
    <x v="3"/>
  </r>
  <r>
    <n v="2123"/>
    <x v="1032"/>
    <x v="585"/>
    <d v="2018-09-24T00:00:00"/>
    <s v="Second Class"/>
    <x v="382"/>
    <s v="Erica Hernandez"/>
    <x v="2"/>
    <s v="United States"/>
    <s v="Lansing"/>
    <x v="12"/>
    <n v="48911"/>
    <x v="2"/>
    <x v="366"/>
    <x v="0"/>
    <x v="0"/>
    <x v="367"/>
    <x v="1776"/>
    <x v="8"/>
    <x v="3"/>
  </r>
  <r>
    <n v="2124"/>
    <x v="1032"/>
    <x v="585"/>
    <d v="2018-09-24T00:00:00"/>
    <s v="Second Class"/>
    <x v="382"/>
    <s v="Erica Hernandez"/>
    <x v="2"/>
    <s v="United States"/>
    <s v="Lansing"/>
    <x v="12"/>
    <n v="48911"/>
    <x v="2"/>
    <x v="85"/>
    <x v="1"/>
    <x v="2"/>
    <x v="85"/>
    <x v="1777"/>
    <x v="8"/>
    <x v="3"/>
  </r>
  <r>
    <n v="2125"/>
    <x v="1033"/>
    <x v="96"/>
    <d v="2018-12-05T00:00:00"/>
    <s v="Standard Class"/>
    <x v="382"/>
    <s v="Erica Hernandez"/>
    <x v="2"/>
    <s v="United States"/>
    <s v="Philadelphia"/>
    <x v="9"/>
    <n v="19143"/>
    <x v="3"/>
    <x v="1249"/>
    <x v="1"/>
    <x v="12"/>
    <x v="1233"/>
    <x v="1778"/>
    <x v="4"/>
    <x v="3"/>
  </r>
  <r>
    <n v="2126"/>
    <x v="1033"/>
    <x v="96"/>
    <d v="2018-12-05T00:00:00"/>
    <s v="Standard Class"/>
    <x v="382"/>
    <s v="Erica Hernandez"/>
    <x v="2"/>
    <s v="United States"/>
    <s v="Philadelphia"/>
    <x v="9"/>
    <n v="19143"/>
    <x v="3"/>
    <x v="1250"/>
    <x v="2"/>
    <x v="7"/>
    <x v="1234"/>
    <x v="1557"/>
    <x v="4"/>
    <x v="3"/>
  </r>
  <r>
    <n v="2127"/>
    <x v="1034"/>
    <x v="670"/>
    <d v="2015-06-28T00:00:00"/>
    <s v="Standard Class"/>
    <x v="574"/>
    <s v="Brian Stugart"/>
    <x v="0"/>
    <s v="United States"/>
    <s v="Philadelphia"/>
    <x v="9"/>
    <n v="19143"/>
    <x v="3"/>
    <x v="357"/>
    <x v="2"/>
    <x v="11"/>
    <x v="357"/>
    <x v="1779"/>
    <x v="1"/>
    <x v="2"/>
  </r>
  <r>
    <n v="2128"/>
    <x v="1035"/>
    <x v="242"/>
    <d v="2016-10-09T00:00:00"/>
    <s v="Standard Class"/>
    <x v="451"/>
    <s v="Julie Kriz"/>
    <x v="2"/>
    <s v="United States"/>
    <s v="Philadelphia"/>
    <x v="9"/>
    <n v="19134"/>
    <x v="3"/>
    <x v="1251"/>
    <x v="0"/>
    <x v="5"/>
    <x v="1235"/>
    <x v="1780"/>
    <x v="2"/>
    <x v="1"/>
  </r>
  <r>
    <n v="2129"/>
    <x v="1035"/>
    <x v="242"/>
    <d v="2016-10-09T00:00:00"/>
    <s v="Standard Class"/>
    <x v="451"/>
    <s v="Julie Kriz"/>
    <x v="2"/>
    <s v="United States"/>
    <s v="Philadelphia"/>
    <x v="9"/>
    <n v="19134"/>
    <x v="3"/>
    <x v="1004"/>
    <x v="1"/>
    <x v="10"/>
    <x v="996"/>
    <x v="557"/>
    <x v="2"/>
    <x v="1"/>
  </r>
  <r>
    <n v="2130"/>
    <x v="1036"/>
    <x v="671"/>
    <d v="2015-05-22T00:00:00"/>
    <s v="Second Class"/>
    <x v="575"/>
    <s v="Randy Ferguson"/>
    <x v="1"/>
    <s v="United States"/>
    <s v="Dover"/>
    <x v="38"/>
    <n v="3820"/>
    <x v="3"/>
    <x v="1252"/>
    <x v="1"/>
    <x v="9"/>
    <x v="1236"/>
    <x v="1781"/>
    <x v="5"/>
    <x v="2"/>
  </r>
  <r>
    <n v="2131"/>
    <x v="1036"/>
    <x v="671"/>
    <d v="2015-05-22T00:00:00"/>
    <s v="Second Class"/>
    <x v="575"/>
    <s v="Randy Ferguson"/>
    <x v="1"/>
    <s v="United States"/>
    <s v="Dover"/>
    <x v="38"/>
    <n v="3820"/>
    <x v="3"/>
    <x v="1253"/>
    <x v="1"/>
    <x v="6"/>
    <x v="1237"/>
    <x v="1782"/>
    <x v="5"/>
    <x v="2"/>
  </r>
  <r>
    <n v="2132"/>
    <x v="1036"/>
    <x v="671"/>
    <d v="2015-05-22T00:00:00"/>
    <s v="Second Class"/>
    <x v="575"/>
    <s v="Randy Ferguson"/>
    <x v="1"/>
    <s v="United States"/>
    <s v="Dover"/>
    <x v="38"/>
    <n v="3820"/>
    <x v="3"/>
    <x v="891"/>
    <x v="0"/>
    <x v="5"/>
    <x v="884"/>
    <x v="392"/>
    <x v="5"/>
    <x v="2"/>
  </r>
  <r>
    <n v="2133"/>
    <x v="1037"/>
    <x v="312"/>
    <d v="2016-11-26T00:00:00"/>
    <s v="Standard Class"/>
    <x v="297"/>
    <s v="Dan Lawera"/>
    <x v="0"/>
    <s v="United States"/>
    <s v="New York City"/>
    <x v="15"/>
    <n v="10011"/>
    <x v="3"/>
    <x v="1254"/>
    <x v="1"/>
    <x v="10"/>
    <x v="1238"/>
    <x v="1783"/>
    <x v="0"/>
    <x v="1"/>
  </r>
  <r>
    <n v="2134"/>
    <x v="1038"/>
    <x v="672"/>
    <d v="2016-12-04T00:00:00"/>
    <s v="Standard Class"/>
    <x v="576"/>
    <s v="William Brown"/>
    <x v="0"/>
    <s v="United States"/>
    <s v="Philadelphia"/>
    <x v="9"/>
    <n v="19134"/>
    <x v="3"/>
    <x v="13"/>
    <x v="1"/>
    <x v="8"/>
    <x v="13"/>
    <x v="1784"/>
    <x v="0"/>
    <x v="1"/>
  </r>
  <r>
    <n v="2135"/>
    <x v="1038"/>
    <x v="672"/>
    <d v="2016-12-04T00:00:00"/>
    <s v="Standard Class"/>
    <x v="576"/>
    <s v="William Brown"/>
    <x v="0"/>
    <s v="United States"/>
    <s v="Philadelphia"/>
    <x v="9"/>
    <n v="19134"/>
    <x v="3"/>
    <x v="969"/>
    <x v="1"/>
    <x v="13"/>
    <x v="962"/>
    <x v="1785"/>
    <x v="0"/>
    <x v="1"/>
  </r>
  <r>
    <n v="2136"/>
    <x v="1038"/>
    <x v="672"/>
    <d v="2016-12-04T00:00:00"/>
    <s v="Standard Class"/>
    <x v="576"/>
    <s v="William Brown"/>
    <x v="0"/>
    <s v="United States"/>
    <s v="Philadelphia"/>
    <x v="9"/>
    <n v="19134"/>
    <x v="3"/>
    <x v="1255"/>
    <x v="2"/>
    <x v="7"/>
    <x v="1239"/>
    <x v="1786"/>
    <x v="0"/>
    <x v="1"/>
  </r>
  <r>
    <n v="2137"/>
    <x v="1039"/>
    <x v="620"/>
    <d v="2017-01-05T00:00:00"/>
    <s v="Standard Class"/>
    <x v="577"/>
    <s v="Trudy Brown"/>
    <x v="0"/>
    <s v="United States"/>
    <s v="Grand Prairie"/>
    <x v="5"/>
    <n v="75051"/>
    <x v="2"/>
    <x v="1256"/>
    <x v="0"/>
    <x v="5"/>
    <x v="1240"/>
    <x v="1787"/>
    <x v="4"/>
    <x v="1"/>
  </r>
  <r>
    <n v="2138"/>
    <x v="1039"/>
    <x v="620"/>
    <d v="2017-01-05T00:00:00"/>
    <s v="Standard Class"/>
    <x v="577"/>
    <s v="Trudy Brown"/>
    <x v="0"/>
    <s v="United States"/>
    <s v="Grand Prairie"/>
    <x v="5"/>
    <n v="75051"/>
    <x v="2"/>
    <x v="1203"/>
    <x v="1"/>
    <x v="8"/>
    <x v="1188"/>
    <x v="1788"/>
    <x v="4"/>
    <x v="1"/>
  </r>
  <r>
    <n v="2139"/>
    <x v="1040"/>
    <x v="673"/>
    <d v="2018-11-16T00:00:00"/>
    <s v="Same Day"/>
    <x v="558"/>
    <s v="Christy Brittain"/>
    <x v="0"/>
    <s v="United States"/>
    <s v="New York City"/>
    <x v="15"/>
    <n v="10009"/>
    <x v="3"/>
    <x v="593"/>
    <x v="1"/>
    <x v="10"/>
    <x v="593"/>
    <x v="674"/>
    <x v="0"/>
    <x v="3"/>
  </r>
  <r>
    <n v="2140"/>
    <x v="1041"/>
    <x v="571"/>
    <d v="2015-06-11T00:00:00"/>
    <s v="Standard Class"/>
    <x v="265"/>
    <s v="Grant Thornton"/>
    <x v="1"/>
    <s v="United States"/>
    <s v="Long Beach"/>
    <x v="15"/>
    <n v="11561"/>
    <x v="3"/>
    <x v="350"/>
    <x v="1"/>
    <x v="8"/>
    <x v="350"/>
    <x v="1789"/>
    <x v="1"/>
    <x v="2"/>
  </r>
  <r>
    <n v="2141"/>
    <x v="1041"/>
    <x v="571"/>
    <d v="2015-06-11T00:00:00"/>
    <s v="Standard Class"/>
    <x v="265"/>
    <s v="Grant Thornton"/>
    <x v="1"/>
    <s v="United States"/>
    <s v="Long Beach"/>
    <x v="15"/>
    <n v="11561"/>
    <x v="3"/>
    <x v="1257"/>
    <x v="1"/>
    <x v="14"/>
    <x v="1241"/>
    <x v="1790"/>
    <x v="1"/>
    <x v="2"/>
  </r>
  <r>
    <n v="2142"/>
    <x v="1041"/>
    <x v="571"/>
    <d v="2015-06-11T00:00:00"/>
    <s v="Standard Class"/>
    <x v="265"/>
    <s v="Grant Thornton"/>
    <x v="1"/>
    <s v="United States"/>
    <s v="Long Beach"/>
    <x v="15"/>
    <n v="11561"/>
    <x v="3"/>
    <x v="1258"/>
    <x v="0"/>
    <x v="3"/>
    <x v="1242"/>
    <x v="1791"/>
    <x v="1"/>
    <x v="2"/>
  </r>
  <r>
    <n v="2143"/>
    <x v="1042"/>
    <x v="142"/>
    <d v="2017-09-05T00:00:00"/>
    <s v="Standard Class"/>
    <x v="158"/>
    <s v="Dean Katz"/>
    <x v="1"/>
    <s v="United States"/>
    <s v="Philadelphia"/>
    <x v="9"/>
    <n v="19140"/>
    <x v="3"/>
    <x v="69"/>
    <x v="1"/>
    <x v="10"/>
    <x v="69"/>
    <x v="426"/>
    <x v="8"/>
    <x v="0"/>
  </r>
  <r>
    <n v="2144"/>
    <x v="1042"/>
    <x v="142"/>
    <d v="2017-09-05T00:00:00"/>
    <s v="Standard Class"/>
    <x v="158"/>
    <s v="Dean Katz"/>
    <x v="1"/>
    <s v="United States"/>
    <s v="Philadelphia"/>
    <x v="9"/>
    <n v="19140"/>
    <x v="3"/>
    <x v="125"/>
    <x v="2"/>
    <x v="7"/>
    <x v="126"/>
    <x v="1792"/>
    <x v="8"/>
    <x v="0"/>
  </r>
  <r>
    <n v="2145"/>
    <x v="1042"/>
    <x v="142"/>
    <d v="2017-09-05T00:00:00"/>
    <s v="Standard Class"/>
    <x v="158"/>
    <s v="Dean Katz"/>
    <x v="1"/>
    <s v="United States"/>
    <s v="Philadelphia"/>
    <x v="9"/>
    <n v="19140"/>
    <x v="3"/>
    <x v="127"/>
    <x v="1"/>
    <x v="13"/>
    <x v="128"/>
    <x v="1793"/>
    <x v="8"/>
    <x v="0"/>
  </r>
  <r>
    <n v="2146"/>
    <x v="1043"/>
    <x v="674"/>
    <d v="2017-06-29T00:00:00"/>
    <s v="Standard Class"/>
    <x v="378"/>
    <s v="Theresa Swint"/>
    <x v="1"/>
    <s v="United States"/>
    <s v="York"/>
    <x v="9"/>
    <n v="17403"/>
    <x v="3"/>
    <x v="228"/>
    <x v="0"/>
    <x v="1"/>
    <x v="229"/>
    <x v="1794"/>
    <x v="1"/>
    <x v="0"/>
  </r>
  <r>
    <n v="2147"/>
    <x v="1043"/>
    <x v="674"/>
    <d v="2017-06-29T00:00:00"/>
    <s v="Standard Class"/>
    <x v="378"/>
    <s v="Theresa Swint"/>
    <x v="1"/>
    <s v="United States"/>
    <s v="York"/>
    <x v="9"/>
    <n v="17403"/>
    <x v="3"/>
    <x v="132"/>
    <x v="1"/>
    <x v="8"/>
    <x v="133"/>
    <x v="1795"/>
    <x v="1"/>
    <x v="0"/>
  </r>
  <r>
    <n v="2148"/>
    <x v="1043"/>
    <x v="674"/>
    <d v="2017-06-29T00:00:00"/>
    <s v="Standard Class"/>
    <x v="378"/>
    <s v="Theresa Swint"/>
    <x v="1"/>
    <s v="United States"/>
    <s v="York"/>
    <x v="9"/>
    <n v="17403"/>
    <x v="3"/>
    <x v="45"/>
    <x v="1"/>
    <x v="4"/>
    <x v="45"/>
    <x v="1796"/>
    <x v="1"/>
    <x v="0"/>
  </r>
  <r>
    <n v="2149"/>
    <x v="1044"/>
    <x v="432"/>
    <d v="2015-12-17T00:00:00"/>
    <s v="Standard Class"/>
    <x v="576"/>
    <s v="William Brown"/>
    <x v="0"/>
    <s v="United States"/>
    <s v="Concord"/>
    <x v="1"/>
    <n v="94521"/>
    <x v="1"/>
    <x v="784"/>
    <x v="0"/>
    <x v="5"/>
    <x v="783"/>
    <x v="1797"/>
    <x v="4"/>
    <x v="2"/>
  </r>
  <r>
    <n v="2150"/>
    <x v="1045"/>
    <x v="185"/>
    <d v="2018-04-05T00:00:00"/>
    <s v="Standard Class"/>
    <x v="157"/>
    <s v="Denny Ordway"/>
    <x v="0"/>
    <s v="United States"/>
    <s v="New York City"/>
    <x v="15"/>
    <n v="10035"/>
    <x v="3"/>
    <x v="1259"/>
    <x v="2"/>
    <x v="7"/>
    <x v="1243"/>
    <x v="1798"/>
    <x v="10"/>
    <x v="3"/>
  </r>
  <r>
    <n v="2151"/>
    <x v="1046"/>
    <x v="123"/>
    <d v="2018-11-26T00:00:00"/>
    <s v="Standard Class"/>
    <x v="578"/>
    <s v="Art Ferguson"/>
    <x v="0"/>
    <s v="United States"/>
    <s v="College Station"/>
    <x v="5"/>
    <n v="77840"/>
    <x v="2"/>
    <x v="913"/>
    <x v="0"/>
    <x v="1"/>
    <x v="905"/>
    <x v="1799"/>
    <x v="0"/>
    <x v="3"/>
  </r>
  <r>
    <n v="2152"/>
    <x v="1047"/>
    <x v="156"/>
    <d v="2015-11-29T00:00:00"/>
    <s v="Second Class"/>
    <x v="579"/>
    <s v="Richard Bierner"/>
    <x v="0"/>
    <s v="United States"/>
    <s v="Saint Louis"/>
    <x v="25"/>
    <n v="63116"/>
    <x v="2"/>
    <x v="404"/>
    <x v="2"/>
    <x v="11"/>
    <x v="405"/>
    <x v="1800"/>
    <x v="0"/>
    <x v="2"/>
  </r>
  <r>
    <n v="2153"/>
    <x v="1048"/>
    <x v="6"/>
    <d v="2016-11-26T00:00:00"/>
    <s v="Standard Class"/>
    <x v="481"/>
    <s v="Andy Reiter"/>
    <x v="0"/>
    <s v="United States"/>
    <s v="Quincy"/>
    <x v="31"/>
    <n v="2169"/>
    <x v="3"/>
    <x v="1025"/>
    <x v="1"/>
    <x v="10"/>
    <x v="1016"/>
    <x v="1801"/>
    <x v="0"/>
    <x v="1"/>
  </r>
  <r>
    <n v="2154"/>
    <x v="1049"/>
    <x v="216"/>
    <d v="2017-07-18T00:00:00"/>
    <s v="Standard Class"/>
    <x v="112"/>
    <s v="Dan Reichenbach"/>
    <x v="1"/>
    <s v="United States"/>
    <s v="New York City"/>
    <x v="15"/>
    <n v="10009"/>
    <x v="3"/>
    <x v="608"/>
    <x v="1"/>
    <x v="8"/>
    <x v="608"/>
    <x v="1802"/>
    <x v="7"/>
    <x v="0"/>
  </r>
  <r>
    <n v="2155"/>
    <x v="1050"/>
    <x v="567"/>
    <d v="2017-05-05T00:00:00"/>
    <s v="Standard Class"/>
    <x v="408"/>
    <s v="Ben Ferrer"/>
    <x v="2"/>
    <s v="United States"/>
    <s v="Dallas"/>
    <x v="5"/>
    <n v="75081"/>
    <x v="2"/>
    <x v="1155"/>
    <x v="0"/>
    <x v="5"/>
    <x v="1143"/>
    <x v="1803"/>
    <x v="3"/>
    <x v="0"/>
  </r>
  <r>
    <n v="2156"/>
    <x v="1051"/>
    <x v="197"/>
    <d v="2017-07-27T00:00:00"/>
    <s v="Second Class"/>
    <x v="445"/>
    <s v="Larry Blacks"/>
    <x v="0"/>
    <s v="United States"/>
    <s v="Los Angeles"/>
    <x v="1"/>
    <n v="90032"/>
    <x v="1"/>
    <x v="294"/>
    <x v="1"/>
    <x v="13"/>
    <x v="294"/>
    <x v="1369"/>
    <x v="7"/>
    <x v="0"/>
  </r>
  <r>
    <n v="2157"/>
    <x v="1052"/>
    <x v="169"/>
    <d v="2015-06-24T00:00:00"/>
    <s v="First Class"/>
    <x v="231"/>
    <s v="Dianna Vittorini"/>
    <x v="0"/>
    <s v="United States"/>
    <s v="Minneapolis"/>
    <x v="11"/>
    <n v="55407"/>
    <x v="2"/>
    <x v="749"/>
    <x v="1"/>
    <x v="4"/>
    <x v="747"/>
    <x v="875"/>
    <x v="1"/>
    <x v="2"/>
  </r>
  <r>
    <n v="2158"/>
    <x v="1052"/>
    <x v="169"/>
    <d v="2015-06-24T00:00:00"/>
    <s v="First Class"/>
    <x v="231"/>
    <s v="Dianna Vittorini"/>
    <x v="0"/>
    <s v="United States"/>
    <s v="Minneapolis"/>
    <x v="11"/>
    <n v="55407"/>
    <x v="2"/>
    <x v="398"/>
    <x v="1"/>
    <x v="4"/>
    <x v="399"/>
    <x v="424"/>
    <x v="1"/>
    <x v="2"/>
  </r>
  <r>
    <n v="2159"/>
    <x v="1053"/>
    <x v="208"/>
    <d v="2018-10-26T00:00:00"/>
    <s v="Standard Class"/>
    <x v="71"/>
    <s v="Neil Knudson"/>
    <x v="2"/>
    <s v="United States"/>
    <s v="Deltona"/>
    <x v="2"/>
    <n v="32725"/>
    <x v="0"/>
    <x v="1260"/>
    <x v="1"/>
    <x v="6"/>
    <x v="1244"/>
    <x v="326"/>
    <x v="2"/>
    <x v="3"/>
  </r>
  <r>
    <n v="2160"/>
    <x v="1054"/>
    <x v="323"/>
    <d v="2017-09-09T00:00:00"/>
    <s v="Standard Class"/>
    <x v="229"/>
    <s v="Carlos Soltero"/>
    <x v="0"/>
    <s v="United States"/>
    <s v="Chicago"/>
    <x v="10"/>
    <n v="60610"/>
    <x v="2"/>
    <x v="908"/>
    <x v="1"/>
    <x v="8"/>
    <x v="900"/>
    <x v="1804"/>
    <x v="8"/>
    <x v="0"/>
  </r>
  <r>
    <n v="2161"/>
    <x v="1055"/>
    <x v="675"/>
    <d v="2017-05-14T00:00:00"/>
    <s v="Same Day"/>
    <x v="109"/>
    <s v="Logan Haushalter"/>
    <x v="0"/>
    <s v="United States"/>
    <s v="Cincinnati"/>
    <x v="24"/>
    <n v="45231"/>
    <x v="3"/>
    <x v="1071"/>
    <x v="0"/>
    <x v="5"/>
    <x v="1060"/>
    <x v="1805"/>
    <x v="5"/>
    <x v="0"/>
  </r>
  <r>
    <n v="2162"/>
    <x v="1056"/>
    <x v="676"/>
    <d v="2017-01-12T00:00:00"/>
    <s v="Standard Class"/>
    <x v="108"/>
    <s v="Dianna Wilson"/>
    <x v="2"/>
    <s v="United States"/>
    <s v="Oakland"/>
    <x v="1"/>
    <n v="94601"/>
    <x v="1"/>
    <x v="1261"/>
    <x v="1"/>
    <x v="6"/>
    <x v="1245"/>
    <x v="722"/>
    <x v="9"/>
    <x v="0"/>
  </r>
  <r>
    <n v="2163"/>
    <x v="1057"/>
    <x v="677"/>
    <d v="2018-03-19T00:00:00"/>
    <s v="Standard Class"/>
    <x v="580"/>
    <s v="Karen Ferguson"/>
    <x v="2"/>
    <s v="United States"/>
    <s v="Manteca"/>
    <x v="1"/>
    <n v="95336"/>
    <x v="1"/>
    <x v="1078"/>
    <x v="1"/>
    <x v="10"/>
    <x v="1068"/>
    <x v="1806"/>
    <x v="10"/>
    <x v="3"/>
  </r>
  <r>
    <n v="2164"/>
    <x v="1058"/>
    <x v="63"/>
    <d v="2017-10-19T00:00:00"/>
    <s v="Standard Class"/>
    <x v="66"/>
    <s v="Helen Andreada"/>
    <x v="0"/>
    <s v="United States"/>
    <s v="Laredo"/>
    <x v="5"/>
    <n v="78041"/>
    <x v="2"/>
    <x v="657"/>
    <x v="2"/>
    <x v="11"/>
    <x v="657"/>
    <x v="1807"/>
    <x v="2"/>
    <x v="0"/>
  </r>
  <r>
    <n v="2165"/>
    <x v="1058"/>
    <x v="63"/>
    <d v="2017-10-19T00:00:00"/>
    <s v="Standard Class"/>
    <x v="66"/>
    <s v="Helen Andreada"/>
    <x v="0"/>
    <s v="United States"/>
    <s v="Laredo"/>
    <x v="5"/>
    <n v="78041"/>
    <x v="2"/>
    <x v="1262"/>
    <x v="1"/>
    <x v="10"/>
    <x v="1246"/>
    <x v="1808"/>
    <x v="2"/>
    <x v="0"/>
  </r>
  <r>
    <n v="2166"/>
    <x v="1058"/>
    <x v="63"/>
    <d v="2017-10-19T00:00:00"/>
    <s v="Standard Class"/>
    <x v="66"/>
    <s v="Helen Andreada"/>
    <x v="0"/>
    <s v="United States"/>
    <s v="Laredo"/>
    <x v="5"/>
    <n v="78041"/>
    <x v="2"/>
    <x v="583"/>
    <x v="0"/>
    <x v="5"/>
    <x v="583"/>
    <x v="1809"/>
    <x v="2"/>
    <x v="0"/>
  </r>
  <r>
    <n v="2167"/>
    <x v="1058"/>
    <x v="63"/>
    <d v="2017-10-19T00:00:00"/>
    <s v="Standard Class"/>
    <x v="66"/>
    <s v="Helen Andreada"/>
    <x v="0"/>
    <s v="United States"/>
    <s v="Laredo"/>
    <x v="5"/>
    <n v="78041"/>
    <x v="2"/>
    <x v="1167"/>
    <x v="1"/>
    <x v="6"/>
    <x v="1154"/>
    <x v="1810"/>
    <x v="2"/>
    <x v="0"/>
  </r>
  <r>
    <n v="2168"/>
    <x v="1058"/>
    <x v="63"/>
    <d v="2017-10-19T00:00:00"/>
    <s v="Standard Class"/>
    <x v="66"/>
    <s v="Helen Andreada"/>
    <x v="0"/>
    <s v="United States"/>
    <s v="Laredo"/>
    <x v="5"/>
    <n v="78041"/>
    <x v="2"/>
    <x v="307"/>
    <x v="1"/>
    <x v="8"/>
    <x v="307"/>
    <x v="1811"/>
    <x v="2"/>
    <x v="0"/>
  </r>
  <r>
    <n v="2169"/>
    <x v="1059"/>
    <x v="678"/>
    <d v="2018-01-30T00:00:00"/>
    <s v="Second Class"/>
    <x v="581"/>
    <s v="John Huston"/>
    <x v="0"/>
    <s v="United States"/>
    <s v="Kent"/>
    <x v="24"/>
    <n v="44240"/>
    <x v="3"/>
    <x v="512"/>
    <x v="1"/>
    <x v="6"/>
    <x v="512"/>
    <x v="260"/>
    <x v="9"/>
    <x v="3"/>
  </r>
  <r>
    <n v="2170"/>
    <x v="1059"/>
    <x v="678"/>
    <d v="2018-01-30T00:00:00"/>
    <s v="Second Class"/>
    <x v="581"/>
    <s v="John Huston"/>
    <x v="0"/>
    <s v="United States"/>
    <s v="Kent"/>
    <x v="24"/>
    <n v="44240"/>
    <x v="3"/>
    <x v="701"/>
    <x v="2"/>
    <x v="11"/>
    <x v="701"/>
    <x v="973"/>
    <x v="9"/>
    <x v="3"/>
  </r>
  <r>
    <n v="2171"/>
    <x v="1059"/>
    <x v="678"/>
    <d v="2018-01-30T00:00:00"/>
    <s v="Second Class"/>
    <x v="581"/>
    <s v="John Huston"/>
    <x v="0"/>
    <s v="United States"/>
    <s v="Kent"/>
    <x v="24"/>
    <n v="44240"/>
    <x v="3"/>
    <x v="160"/>
    <x v="2"/>
    <x v="7"/>
    <x v="161"/>
    <x v="709"/>
    <x v="9"/>
    <x v="3"/>
  </r>
  <r>
    <n v="2172"/>
    <x v="1060"/>
    <x v="123"/>
    <d v="2018-11-25T00:00:00"/>
    <s v="Standard Class"/>
    <x v="18"/>
    <s v="Linda Cazamias"/>
    <x v="1"/>
    <s v="United States"/>
    <s v="San Angelo"/>
    <x v="5"/>
    <n v="76903"/>
    <x v="2"/>
    <x v="635"/>
    <x v="0"/>
    <x v="1"/>
    <x v="635"/>
    <x v="1812"/>
    <x v="0"/>
    <x v="3"/>
  </r>
  <r>
    <n v="2173"/>
    <x v="1061"/>
    <x v="601"/>
    <d v="2015-08-03T00:00:00"/>
    <s v="First Class"/>
    <x v="582"/>
    <s v="Ivan Liston"/>
    <x v="0"/>
    <s v="United States"/>
    <s v="San Francisco"/>
    <x v="1"/>
    <n v="94122"/>
    <x v="1"/>
    <x v="1263"/>
    <x v="1"/>
    <x v="8"/>
    <x v="1247"/>
    <x v="1813"/>
    <x v="6"/>
    <x v="2"/>
  </r>
  <r>
    <n v="2174"/>
    <x v="1062"/>
    <x v="679"/>
    <d v="2017-08-04T00:00:00"/>
    <s v="Standard Class"/>
    <x v="60"/>
    <s v="Lindsay Shagiari"/>
    <x v="2"/>
    <s v="United States"/>
    <s v="Houston"/>
    <x v="5"/>
    <n v="77070"/>
    <x v="2"/>
    <x v="1087"/>
    <x v="1"/>
    <x v="8"/>
    <x v="1077"/>
    <x v="1814"/>
    <x v="7"/>
    <x v="0"/>
  </r>
  <r>
    <n v="2175"/>
    <x v="1063"/>
    <x v="117"/>
    <d v="2016-08-03T00:00:00"/>
    <s v="Second Class"/>
    <x v="566"/>
    <s v="Corey Catlett"/>
    <x v="1"/>
    <s v="United States"/>
    <s v="Houston"/>
    <x v="5"/>
    <n v="77041"/>
    <x v="2"/>
    <x v="1220"/>
    <x v="1"/>
    <x v="4"/>
    <x v="1204"/>
    <x v="1815"/>
    <x v="7"/>
    <x v="1"/>
  </r>
  <r>
    <n v="2176"/>
    <x v="1064"/>
    <x v="680"/>
    <d v="2017-10-21T00:00:00"/>
    <s v="Standard Class"/>
    <x v="583"/>
    <s v="Patrick Bzostek"/>
    <x v="2"/>
    <s v="United States"/>
    <s v="Salt Lake City"/>
    <x v="7"/>
    <n v="84106"/>
    <x v="1"/>
    <x v="1264"/>
    <x v="1"/>
    <x v="10"/>
    <x v="1248"/>
    <x v="1816"/>
    <x v="2"/>
    <x v="0"/>
  </r>
  <r>
    <n v="2177"/>
    <x v="1064"/>
    <x v="680"/>
    <d v="2017-10-21T00:00:00"/>
    <s v="Standard Class"/>
    <x v="583"/>
    <s v="Patrick Bzostek"/>
    <x v="2"/>
    <s v="United States"/>
    <s v="Salt Lake City"/>
    <x v="7"/>
    <n v="84106"/>
    <x v="1"/>
    <x v="1083"/>
    <x v="1"/>
    <x v="10"/>
    <x v="1073"/>
    <x v="1817"/>
    <x v="2"/>
    <x v="0"/>
  </r>
  <r>
    <n v="2178"/>
    <x v="1064"/>
    <x v="680"/>
    <d v="2017-10-21T00:00:00"/>
    <s v="Standard Class"/>
    <x v="583"/>
    <s v="Patrick Bzostek"/>
    <x v="2"/>
    <s v="United States"/>
    <s v="Salt Lake City"/>
    <x v="7"/>
    <n v="84106"/>
    <x v="1"/>
    <x v="1124"/>
    <x v="1"/>
    <x v="8"/>
    <x v="1112"/>
    <x v="1818"/>
    <x v="2"/>
    <x v="0"/>
  </r>
  <r>
    <n v="2179"/>
    <x v="1064"/>
    <x v="680"/>
    <d v="2017-10-21T00:00:00"/>
    <s v="Standard Class"/>
    <x v="583"/>
    <s v="Patrick Bzostek"/>
    <x v="2"/>
    <s v="United States"/>
    <s v="Salt Lake City"/>
    <x v="7"/>
    <n v="84106"/>
    <x v="1"/>
    <x v="422"/>
    <x v="1"/>
    <x v="10"/>
    <x v="422"/>
    <x v="1819"/>
    <x v="2"/>
    <x v="0"/>
  </r>
  <r>
    <n v="2180"/>
    <x v="1065"/>
    <x v="681"/>
    <d v="2017-05-11T00:00:00"/>
    <s v="Standard Class"/>
    <x v="170"/>
    <s v="Caroline Jumper"/>
    <x v="0"/>
    <s v="United States"/>
    <s v="New York City"/>
    <x v="15"/>
    <n v="10009"/>
    <x v="3"/>
    <x v="338"/>
    <x v="1"/>
    <x v="8"/>
    <x v="338"/>
    <x v="1820"/>
    <x v="5"/>
    <x v="0"/>
  </r>
  <r>
    <n v="2181"/>
    <x v="1065"/>
    <x v="681"/>
    <d v="2017-05-11T00:00:00"/>
    <s v="Standard Class"/>
    <x v="170"/>
    <s v="Caroline Jumper"/>
    <x v="0"/>
    <s v="United States"/>
    <s v="New York City"/>
    <x v="15"/>
    <n v="10009"/>
    <x v="3"/>
    <x v="429"/>
    <x v="1"/>
    <x v="2"/>
    <x v="429"/>
    <x v="1821"/>
    <x v="5"/>
    <x v="0"/>
  </r>
  <r>
    <n v="2182"/>
    <x v="1065"/>
    <x v="681"/>
    <d v="2017-05-11T00:00:00"/>
    <s v="Standard Class"/>
    <x v="170"/>
    <s v="Caroline Jumper"/>
    <x v="0"/>
    <s v="United States"/>
    <s v="New York City"/>
    <x v="15"/>
    <n v="10009"/>
    <x v="3"/>
    <x v="1265"/>
    <x v="0"/>
    <x v="1"/>
    <x v="1249"/>
    <x v="1822"/>
    <x v="5"/>
    <x v="0"/>
  </r>
  <r>
    <n v="2183"/>
    <x v="1065"/>
    <x v="681"/>
    <d v="2017-05-11T00:00:00"/>
    <s v="Standard Class"/>
    <x v="170"/>
    <s v="Caroline Jumper"/>
    <x v="0"/>
    <s v="United States"/>
    <s v="New York City"/>
    <x v="15"/>
    <n v="10009"/>
    <x v="3"/>
    <x v="1150"/>
    <x v="2"/>
    <x v="15"/>
    <x v="1138"/>
    <x v="1823"/>
    <x v="5"/>
    <x v="0"/>
  </r>
  <r>
    <n v="2184"/>
    <x v="1065"/>
    <x v="681"/>
    <d v="2017-05-11T00:00:00"/>
    <s v="Standard Class"/>
    <x v="170"/>
    <s v="Caroline Jumper"/>
    <x v="0"/>
    <s v="United States"/>
    <s v="New York City"/>
    <x v="15"/>
    <n v="10009"/>
    <x v="3"/>
    <x v="97"/>
    <x v="2"/>
    <x v="11"/>
    <x v="97"/>
    <x v="1695"/>
    <x v="5"/>
    <x v="0"/>
  </r>
  <r>
    <n v="2185"/>
    <x v="1065"/>
    <x v="681"/>
    <d v="2017-05-11T00:00:00"/>
    <s v="Standard Class"/>
    <x v="170"/>
    <s v="Caroline Jumper"/>
    <x v="0"/>
    <s v="United States"/>
    <s v="New York City"/>
    <x v="15"/>
    <n v="10009"/>
    <x v="3"/>
    <x v="740"/>
    <x v="0"/>
    <x v="5"/>
    <x v="222"/>
    <x v="1824"/>
    <x v="5"/>
    <x v="0"/>
  </r>
  <r>
    <n v="2186"/>
    <x v="1066"/>
    <x v="378"/>
    <d v="2018-08-04T00:00:00"/>
    <s v="Second Class"/>
    <x v="96"/>
    <s v="Heather Kirkland"/>
    <x v="1"/>
    <s v="United States"/>
    <s v="Salinas"/>
    <x v="1"/>
    <n v="93905"/>
    <x v="1"/>
    <x v="141"/>
    <x v="1"/>
    <x v="8"/>
    <x v="142"/>
    <x v="1825"/>
    <x v="6"/>
    <x v="3"/>
  </r>
  <r>
    <n v="2187"/>
    <x v="1067"/>
    <x v="216"/>
    <d v="2017-07-14T00:00:00"/>
    <s v="Same Day"/>
    <x v="584"/>
    <s v="Rob Haberlin"/>
    <x v="0"/>
    <s v="United States"/>
    <s v="Huntsville"/>
    <x v="19"/>
    <n v="35810"/>
    <x v="0"/>
    <x v="174"/>
    <x v="2"/>
    <x v="11"/>
    <x v="175"/>
    <x v="180"/>
    <x v="7"/>
    <x v="0"/>
  </r>
  <r>
    <n v="2188"/>
    <x v="1068"/>
    <x v="682"/>
    <d v="2018-08-15T00:00:00"/>
    <s v="Standard Class"/>
    <x v="582"/>
    <s v="Ivan Liston"/>
    <x v="0"/>
    <s v="United States"/>
    <s v="Columbus"/>
    <x v="14"/>
    <n v="47201"/>
    <x v="2"/>
    <x v="1040"/>
    <x v="1"/>
    <x v="12"/>
    <x v="153"/>
    <x v="1826"/>
    <x v="6"/>
    <x v="3"/>
  </r>
  <r>
    <n v="2189"/>
    <x v="1068"/>
    <x v="682"/>
    <d v="2018-08-15T00:00:00"/>
    <s v="Standard Class"/>
    <x v="582"/>
    <s v="Ivan Liston"/>
    <x v="0"/>
    <s v="United States"/>
    <s v="Columbus"/>
    <x v="14"/>
    <n v="47201"/>
    <x v="2"/>
    <x v="71"/>
    <x v="0"/>
    <x v="5"/>
    <x v="71"/>
    <x v="1827"/>
    <x v="6"/>
    <x v="3"/>
  </r>
  <r>
    <n v="2190"/>
    <x v="1068"/>
    <x v="682"/>
    <d v="2018-08-15T00:00:00"/>
    <s v="Standard Class"/>
    <x v="582"/>
    <s v="Ivan Liston"/>
    <x v="0"/>
    <s v="United States"/>
    <s v="Columbus"/>
    <x v="14"/>
    <n v="47201"/>
    <x v="2"/>
    <x v="297"/>
    <x v="2"/>
    <x v="7"/>
    <x v="297"/>
    <x v="1828"/>
    <x v="6"/>
    <x v="3"/>
  </r>
  <r>
    <n v="2191"/>
    <x v="1069"/>
    <x v="674"/>
    <d v="2017-06-29T00:00:00"/>
    <s v="Standard Class"/>
    <x v="238"/>
    <s v="Alan Shonely"/>
    <x v="0"/>
    <s v="United States"/>
    <s v="Los Angeles"/>
    <x v="1"/>
    <n v="90049"/>
    <x v="1"/>
    <x v="1266"/>
    <x v="1"/>
    <x v="9"/>
    <x v="1250"/>
    <x v="1829"/>
    <x v="1"/>
    <x v="0"/>
  </r>
  <r>
    <n v="2192"/>
    <x v="1070"/>
    <x v="107"/>
    <d v="2017-12-17T00:00:00"/>
    <s v="Standard Class"/>
    <x v="275"/>
    <s v="Arthur Prichep"/>
    <x v="0"/>
    <s v="United States"/>
    <s v="Seattle"/>
    <x v="4"/>
    <n v="98105"/>
    <x v="1"/>
    <x v="1242"/>
    <x v="1"/>
    <x v="8"/>
    <x v="1225"/>
    <x v="1830"/>
    <x v="4"/>
    <x v="0"/>
  </r>
  <r>
    <n v="2193"/>
    <x v="1070"/>
    <x v="107"/>
    <d v="2017-12-17T00:00:00"/>
    <s v="Standard Class"/>
    <x v="275"/>
    <s v="Arthur Prichep"/>
    <x v="0"/>
    <s v="United States"/>
    <s v="Seattle"/>
    <x v="4"/>
    <n v="98105"/>
    <x v="1"/>
    <x v="1112"/>
    <x v="1"/>
    <x v="9"/>
    <x v="1101"/>
    <x v="1831"/>
    <x v="4"/>
    <x v="0"/>
  </r>
  <r>
    <n v="2194"/>
    <x v="1070"/>
    <x v="107"/>
    <d v="2017-12-17T00:00:00"/>
    <s v="Standard Class"/>
    <x v="275"/>
    <s v="Arthur Prichep"/>
    <x v="0"/>
    <s v="United States"/>
    <s v="Seattle"/>
    <x v="4"/>
    <n v="98105"/>
    <x v="1"/>
    <x v="1030"/>
    <x v="1"/>
    <x v="10"/>
    <x v="1021"/>
    <x v="1832"/>
    <x v="4"/>
    <x v="0"/>
  </r>
  <r>
    <n v="2195"/>
    <x v="1070"/>
    <x v="107"/>
    <d v="2017-12-17T00:00:00"/>
    <s v="Standard Class"/>
    <x v="275"/>
    <s v="Arthur Prichep"/>
    <x v="0"/>
    <s v="United States"/>
    <s v="Seattle"/>
    <x v="4"/>
    <n v="98105"/>
    <x v="1"/>
    <x v="1267"/>
    <x v="1"/>
    <x v="9"/>
    <x v="1251"/>
    <x v="1833"/>
    <x v="4"/>
    <x v="0"/>
  </r>
  <r>
    <n v="2196"/>
    <x v="1070"/>
    <x v="107"/>
    <d v="2017-12-17T00:00:00"/>
    <s v="Standard Class"/>
    <x v="275"/>
    <s v="Arthur Prichep"/>
    <x v="0"/>
    <s v="United States"/>
    <s v="Seattle"/>
    <x v="4"/>
    <n v="98105"/>
    <x v="1"/>
    <x v="1044"/>
    <x v="2"/>
    <x v="11"/>
    <x v="1033"/>
    <x v="908"/>
    <x v="4"/>
    <x v="0"/>
  </r>
  <r>
    <n v="2197"/>
    <x v="1071"/>
    <x v="49"/>
    <d v="2017-12-06T00:00:00"/>
    <s v="Standard Class"/>
    <x v="369"/>
    <s v="Allen Goldenen"/>
    <x v="0"/>
    <s v="United States"/>
    <s v="Knoxville"/>
    <x v="18"/>
    <n v="37918"/>
    <x v="0"/>
    <x v="134"/>
    <x v="1"/>
    <x v="6"/>
    <x v="135"/>
    <x v="1834"/>
    <x v="4"/>
    <x v="0"/>
  </r>
  <r>
    <n v="2198"/>
    <x v="1072"/>
    <x v="683"/>
    <d v="2015-12-04T00:00:00"/>
    <s v="Standard Class"/>
    <x v="569"/>
    <s v="Bart Folk"/>
    <x v="0"/>
    <s v="United States"/>
    <s v="Montgomery"/>
    <x v="19"/>
    <n v="36116"/>
    <x v="0"/>
    <x v="563"/>
    <x v="1"/>
    <x v="6"/>
    <x v="563"/>
    <x v="1835"/>
    <x v="0"/>
    <x v="2"/>
  </r>
  <r>
    <n v="2199"/>
    <x v="1073"/>
    <x v="262"/>
    <d v="2016-04-02T00:00:00"/>
    <s v="Standard Class"/>
    <x v="237"/>
    <s v="Chloris Kastensmidt"/>
    <x v="0"/>
    <s v="United States"/>
    <s v="Philadelphia"/>
    <x v="9"/>
    <n v="19120"/>
    <x v="3"/>
    <x v="89"/>
    <x v="1"/>
    <x v="10"/>
    <x v="89"/>
    <x v="12"/>
    <x v="10"/>
    <x v="1"/>
  </r>
  <r>
    <n v="2200"/>
    <x v="1073"/>
    <x v="262"/>
    <d v="2016-04-02T00:00:00"/>
    <s v="Standard Class"/>
    <x v="237"/>
    <s v="Chloris Kastensmidt"/>
    <x v="0"/>
    <s v="United States"/>
    <s v="Philadelphia"/>
    <x v="9"/>
    <n v="19120"/>
    <x v="3"/>
    <x v="1221"/>
    <x v="1"/>
    <x v="10"/>
    <x v="1205"/>
    <x v="1836"/>
    <x v="10"/>
    <x v="1"/>
  </r>
  <r>
    <n v="2201"/>
    <x v="1074"/>
    <x v="106"/>
    <d v="2015-06-06T00:00:00"/>
    <s v="Standard Class"/>
    <x v="299"/>
    <s v="Liz Thompson"/>
    <x v="0"/>
    <s v="United States"/>
    <s v="Little Rock"/>
    <x v="36"/>
    <n v="72209"/>
    <x v="0"/>
    <x v="345"/>
    <x v="0"/>
    <x v="5"/>
    <x v="345"/>
    <x v="496"/>
    <x v="1"/>
    <x v="2"/>
  </r>
  <r>
    <n v="2202"/>
    <x v="1074"/>
    <x v="106"/>
    <d v="2015-06-06T00:00:00"/>
    <s v="Standard Class"/>
    <x v="299"/>
    <s v="Liz Thompson"/>
    <x v="0"/>
    <s v="United States"/>
    <s v="Little Rock"/>
    <x v="36"/>
    <n v="72209"/>
    <x v="0"/>
    <x v="202"/>
    <x v="2"/>
    <x v="7"/>
    <x v="203"/>
    <x v="1837"/>
    <x v="1"/>
    <x v="2"/>
  </r>
  <r>
    <n v="2203"/>
    <x v="1075"/>
    <x v="684"/>
    <d v="2016-09-12T00:00:00"/>
    <s v="Standard Class"/>
    <x v="457"/>
    <s v="Beth Thompson"/>
    <x v="2"/>
    <s v="United States"/>
    <s v="Seattle"/>
    <x v="4"/>
    <n v="98103"/>
    <x v="1"/>
    <x v="315"/>
    <x v="1"/>
    <x v="8"/>
    <x v="315"/>
    <x v="855"/>
    <x v="8"/>
    <x v="1"/>
  </r>
  <r>
    <n v="2204"/>
    <x v="1075"/>
    <x v="684"/>
    <d v="2016-09-12T00:00:00"/>
    <s v="Standard Class"/>
    <x v="457"/>
    <s v="Beth Thompson"/>
    <x v="2"/>
    <s v="United States"/>
    <s v="Seattle"/>
    <x v="4"/>
    <n v="98103"/>
    <x v="1"/>
    <x v="1268"/>
    <x v="0"/>
    <x v="5"/>
    <x v="1252"/>
    <x v="1838"/>
    <x v="8"/>
    <x v="1"/>
  </r>
  <r>
    <n v="2205"/>
    <x v="1076"/>
    <x v="685"/>
    <d v="2016-07-05T00:00:00"/>
    <s v="Standard Class"/>
    <x v="56"/>
    <s v="Steven Cartwright"/>
    <x v="0"/>
    <s v="United States"/>
    <s v="Lancaster"/>
    <x v="9"/>
    <n v="17602"/>
    <x v="3"/>
    <x v="1001"/>
    <x v="0"/>
    <x v="5"/>
    <x v="1253"/>
    <x v="1839"/>
    <x v="1"/>
    <x v="1"/>
  </r>
  <r>
    <n v="2206"/>
    <x v="1077"/>
    <x v="545"/>
    <d v="2017-09-12T00:00:00"/>
    <s v="Second Class"/>
    <x v="344"/>
    <s v="Catherine Glotzbach"/>
    <x v="2"/>
    <s v="United States"/>
    <s v="Bristol"/>
    <x v="18"/>
    <n v="37620"/>
    <x v="0"/>
    <x v="1269"/>
    <x v="1"/>
    <x v="6"/>
    <x v="1254"/>
    <x v="1840"/>
    <x v="8"/>
    <x v="0"/>
  </r>
  <r>
    <n v="2207"/>
    <x v="1078"/>
    <x v="686"/>
    <d v="2015-07-20T00:00:00"/>
    <s v="Standard Class"/>
    <x v="585"/>
    <s v="Arthur Wiediger"/>
    <x v="2"/>
    <s v="United States"/>
    <s v="Aurora"/>
    <x v="10"/>
    <n v="60505"/>
    <x v="2"/>
    <x v="410"/>
    <x v="1"/>
    <x v="8"/>
    <x v="410"/>
    <x v="1841"/>
    <x v="7"/>
    <x v="2"/>
  </r>
  <r>
    <n v="2208"/>
    <x v="1078"/>
    <x v="686"/>
    <d v="2015-07-20T00:00:00"/>
    <s v="Standard Class"/>
    <x v="585"/>
    <s v="Arthur Wiediger"/>
    <x v="2"/>
    <s v="United States"/>
    <s v="Aurora"/>
    <x v="10"/>
    <n v="60505"/>
    <x v="2"/>
    <x v="179"/>
    <x v="2"/>
    <x v="7"/>
    <x v="180"/>
    <x v="1842"/>
    <x v="7"/>
    <x v="2"/>
  </r>
  <r>
    <n v="2209"/>
    <x v="1079"/>
    <x v="421"/>
    <d v="2016-08-26T00:00:00"/>
    <s v="Standard Class"/>
    <x v="42"/>
    <s v="Roger Barcio"/>
    <x v="2"/>
    <s v="United States"/>
    <s v="New York City"/>
    <x v="15"/>
    <n v="10009"/>
    <x v="3"/>
    <x v="105"/>
    <x v="1"/>
    <x v="6"/>
    <x v="105"/>
    <x v="1045"/>
    <x v="6"/>
    <x v="1"/>
  </r>
  <r>
    <n v="2210"/>
    <x v="1080"/>
    <x v="687"/>
    <d v="2015-11-16T00:00:00"/>
    <s v="Second Class"/>
    <x v="586"/>
    <s v="Maris LaWare"/>
    <x v="0"/>
    <s v="United States"/>
    <s v="Fairfield"/>
    <x v="29"/>
    <n v="6824"/>
    <x v="3"/>
    <x v="1270"/>
    <x v="2"/>
    <x v="7"/>
    <x v="1255"/>
    <x v="1843"/>
    <x v="0"/>
    <x v="2"/>
  </r>
  <r>
    <n v="2211"/>
    <x v="1080"/>
    <x v="687"/>
    <d v="2015-11-16T00:00:00"/>
    <s v="Second Class"/>
    <x v="586"/>
    <s v="Maris LaWare"/>
    <x v="0"/>
    <s v="United States"/>
    <s v="Fairfield"/>
    <x v="29"/>
    <n v="6824"/>
    <x v="3"/>
    <x v="236"/>
    <x v="1"/>
    <x v="8"/>
    <x v="237"/>
    <x v="1844"/>
    <x v="0"/>
    <x v="2"/>
  </r>
  <r>
    <n v="2212"/>
    <x v="1081"/>
    <x v="581"/>
    <d v="2017-11-30T00:00:00"/>
    <s v="First Class"/>
    <x v="146"/>
    <s v="Victoria Brennan"/>
    <x v="1"/>
    <s v="United States"/>
    <s v="Lincoln Park"/>
    <x v="12"/>
    <n v="48146"/>
    <x v="2"/>
    <x v="1271"/>
    <x v="1"/>
    <x v="9"/>
    <x v="1256"/>
    <x v="1845"/>
    <x v="0"/>
    <x v="0"/>
  </r>
  <r>
    <n v="2213"/>
    <x v="1082"/>
    <x v="610"/>
    <d v="2018-11-25T00:00:00"/>
    <s v="Standard Class"/>
    <x v="349"/>
    <s v="Scott Williamson"/>
    <x v="0"/>
    <s v="United States"/>
    <s v="New York City"/>
    <x v="15"/>
    <n v="10035"/>
    <x v="3"/>
    <x v="905"/>
    <x v="0"/>
    <x v="5"/>
    <x v="897"/>
    <x v="1846"/>
    <x v="0"/>
    <x v="3"/>
  </r>
  <r>
    <n v="2214"/>
    <x v="1083"/>
    <x v="172"/>
    <d v="2018-10-02T00:00:00"/>
    <s v="First Class"/>
    <x v="515"/>
    <s v="Neola Schneider"/>
    <x v="0"/>
    <s v="United States"/>
    <s v="San Jose"/>
    <x v="1"/>
    <n v="95123"/>
    <x v="1"/>
    <x v="751"/>
    <x v="1"/>
    <x v="8"/>
    <x v="749"/>
    <x v="1847"/>
    <x v="2"/>
    <x v="3"/>
  </r>
  <r>
    <n v="2215"/>
    <x v="1083"/>
    <x v="172"/>
    <d v="2018-10-02T00:00:00"/>
    <s v="First Class"/>
    <x v="515"/>
    <s v="Neola Schneider"/>
    <x v="0"/>
    <s v="United States"/>
    <s v="San Jose"/>
    <x v="1"/>
    <n v="95123"/>
    <x v="1"/>
    <x v="305"/>
    <x v="1"/>
    <x v="8"/>
    <x v="305"/>
    <x v="1848"/>
    <x v="2"/>
    <x v="3"/>
  </r>
  <r>
    <n v="2216"/>
    <x v="1083"/>
    <x v="172"/>
    <d v="2018-10-02T00:00:00"/>
    <s v="First Class"/>
    <x v="515"/>
    <s v="Neola Schneider"/>
    <x v="0"/>
    <s v="United States"/>
    <s v="San Jose"/>
    <x v="1"/>
    <n v="95123"/>
    <x v="1"/>
    <x v="643"/>
    <x v="1"/>
    <x v="9"/>
    <x v="850"/>
    <x v="1776"/>
    <x v="2"/>
    <x v="3"/>
  </r>
  <r>
    <n v="2217"/>
    <x v="1083"/>
    <x v="172"/>
    <d v="2018-10-02T00:00:00"/>
    <s v="First Class"/>
    <x v="515"/>
    <s v="Neola Schneider"/>
    <x v="0"/>
    <s v="United States"/>
    <s v="San Jose"/>
    <x v="1"/>
    <n v="95123"/>
    <x v="1"/>
    <x v="1272"/>
    <x v="0"/>
    <x v="1"/>
    <x v="1257"/>
    <x v="1849"/>
    <x v="2"/>
    <x v="3"/>
  </r>
  <r>
    <n v="2218"/>
    <x v="1084"/>
    <x v="59"/>
    <d v="2015-09-25T00:00:00"/>
    <s v="Standard Class"/>
    <x v="587"/>
    <s v="Dorothy Badders"/>
    <x v="1"/>
    <s v="United States"/>
    <s v="Jacksonville"/>
    <x v="2"/>
    <n v="32216"/>
    <x v="0"/>
    <x v="1273"/>
    <x v="1"/>
    <x v="6"/>
    <x v="1258"/>
    <x v="1850"/>
    <x v="8"/>
    <x v="2"/>
  </r>
  <r>
    <n v="2219"/>
    <x v="1085"/>
    <x v="688"/>
    <d v="2018-08-01T00:00:00"/>
    <s v="Standard Class"/>
    <x v="588"/>
    <s v="Matt Hagelstein"/>
    <x v="1"/>
    <s v="United States"/>
    <s v="San Francisco"/>
    <x v="1"/>
    <n v="94110"/>
    <x v="1"/>
    <x v="744"/>
    <x v="1"/>
    <x v="8"/>
    <x v="742"/>
    <x v="1851"/>
    <x v="7"/>
    <x v="3"/>
  </r>
  <r>
    <n v="2220"/>
    <x v="1085"/>
    <x v="688"/>
    <d v="2018-08-01T00:00:00"/>
    <s v="Standard Class"/>
    <x v="588"/>
    <s v="Matt Hagelstein"/>
    <x v="1"/>
    <s v="United States"/>
    <s v="San Francisco"/>
    <x v="1"/>
    <n v="94110"/>
    <x v="1"/>
    <x v="355"/>
    <x v="1"/>
    <x v="4"/>
    <x v="355"/>
    <x v="1852"/>
    <x v="7"/>
    <x v="3"/>
  </r>
  <r>
    <n v="2221"/>
    <x v="1085"/>
    <x v="688"/>
    <d v="2018-08-01T00:00:00"/>
    <s v="Standard Class"/>
    <x v="588"/>
    <s v="Matt Hagelstein"/>
    <x v="1"/>
    <s v="United States"/>
    <s v="San Francisco"/>
    <x v="1"/>
    <n v="94110"/>
    <x v="1"/>
    <x v="1118"/>
    <x v="2"/>
    <x v="7"/>
    <x v="1106"/>
    <x v="1853"/>
    <x v="7"/>
    <x v="3"/>
  </r>
  <r>
    <n v="2222"/>
    <x v="1086"/>
    <x v="401"/>
    <d v="2016-12-06T00:00:00"/>
    <s v="Same Day"/>
    <x v="589"/>
    <s v="Dennis Kane"/>
    <x v="0"/>
    <s v="United States"/>
    <s v="Marion"/>
    <x v="24"/>
    <n v="43302"/>
    <x v="3"/>
    <x v="1246"/>
    <x v="2"/>
    <x v="7"/>
    <x v="1230"/>
    <x v="1854"/>
    <x v="4"/>
    <x v="1"/>
  </r>
  <r>
    <n v="2223"/>
    <x v="1086"/>
    <x v="401"/>
    <d v="2016-12-06T00:00:00"/>
    <s v="Same Day"/>
    <x v="589"/>
    <s v="Dennis Kane"/>
    <x v="0"/>
    <s v="United States"/>
    <s v="Marion"/>
    <x v="24"/>
    <n v="43302"/>
    <x v="3"/>
    <x v="512"/>
    <x v="1"/>
    <x v="6"/>
    <x v="512"/>
    <x v="1855"/>
    <x v="4"/>
    <x v="1"/>
  </r>
  <r>
    <n v="2224"/>
    <x v="1086"/>
    <x v="401"/>
    <d v="2016-12-06T00:00:00"/>
    <s v="Same Day"/>
    <x v="589"/>
    <s v="Dennis Kane"/>
    <x v="0"/>
    <s v="United States"/>
    <s v="Marion"/>
    <x v="24"/>
    <n v="43302"/>
    <x v="3"/>
    <x v="211"/>
    <x v="0"/>
    <x v="1"/>
    <x v="212"/>
    <x v="1856"/>
    <x v="4"/>
    <x v="1"/>
  </r>
  <r>
    <n v="2225"/>
    <x v="1087"/>
    <x v="689"/>
    <d v="2018-08-05T00:00:00"/>
    <s v="Standard Class"/>
    <x v="105"/>
    <s v="Erin Ashbrook"/>
    <x v="1"/>
    <s v="United States"/>
    <s v="Philadelphia"/>
    <x v="9"/>
    <n v="19134"/>
    <x v="3"/>
    <x v="1274"/>
    <x v="1"/>
    <x v="10"/>
    <x v="1259"/>
    <x v="1548"/>
    <x v="7"/>
    <x v="3"/>
  </r>
  <r>
    <n v="2226"/>
    <x v="1088"/>
    <x v="690"/>
    <d v="2017-03-21T00:00:00"/>
    <s v="Second Class"/>
    <x v="590"/>
    <s v="Bobby Trafton"/>
    <x v="0"/>
    <s v="United States"/>
    <s v="Littleton"/>
    <x v="22"/>
    <n v="80122"/>
    <x v="1"/>
    <x v="1275"/>
    <x v="0"/>
    <x v="0"/>
    <x v="1260"/>
    <x v="1857"/>
    <x v="10"/>
    <x v="0"/>
  </r>
  <r>
    <n v="2227"/>
    <x v="1089"/>
    <x v="570"/>
    <d v="2018-08-03T00:00:00"/>
    <s v="Standard Class"/>
    <x v="156"/>
    <s v="Laura Armstrong"/>
    <x v="1"/>
    <s v="United States"/>
    <s v="Austin"/>
    <x v="5"/>
    <n v="78745"/>
    <x v="2"/>
    <x v="804"/>
    <x v="1"/>
    <x v="13"/>
    <x v="802"/>
    <x v="1671"/>
    <x v="7"/>
    <x v="3"/>
  </r>
  <r>
    <n v="2228"/>
    <x v="1089"/>
    <x v="570"/>
    <d v="2018-08-03T00:00:00"/>
    <s v="Standard Class"/>
    <x v="156"/>
    <s v="Laura Armstrong"/>
    <x v="1"/>
    <s v="United States"/>
    <s v="Austin"/>
    <x v="5"/>
    <n v="78745"/>
    <x v="2"/>
    <x v="495"/>
    <x v="2"/>
    <x v="7"/>
    <x v="495"/>
    <x v="1858"/>
    <x v="7"/>
    <x v="3"/>
  </r>
  <r>
    <n v="2229"/>
    <x v="1090"/>
    <x v="393"/>
    <d v="2017-10-05T00:00:00"/>
    <s v="Standard Class"/>
    <x v="411"/>
    <s v="Greg Matthias"/>
    <x v="0"/>
    <s v="United States"/>
    <s v="New York City"/>
    <x v="15"/>
    <n v="10024"/>
    <x v="3"/>
    <x v="1258"/>
    <x v="0"/>
    <x v="3"/>
    <x v="1242"/>
    <x v="1859"/>
    <x v="2"/>
    <x v="0"/>
  </r>
  <r>
    <n v="2230"/>
    <x v="1091"/>
    <x v="691"/>
    <d v="2015-04-05T00:00:00"/>
    <s v="Standard Class"/>
    <x v="397"/>
    <s v="Alex Avila"/>
    <x v="0"/>
    <s v="United States"/>
    <s v="San Francisco"/>
    <x v="1"/>
    <n v="94122"/>
    <x v="1"/>
    <x v="1178"/>
    <x v="1"/>
    <x v="8"/>
    <x v="1164"/>
    <x v="1860"/>
    <x v="10"/>
    <x v="2"/>
  </r>
  <r>
    <n v="2231"/>
    <x v="1091"/>
    <x v="691"/>
    <d v="2015-04-05T00:00:00"/>
    <s v="Standard Class"/>
    <x v="397"/>
    <s v="Alex Avila"/>
    <x v="0"/>
    <s v="United States"/>
    <s v="San Francisco"/>
    <x v="1"/>
    <n v="94122"/>
    <x v="1"/>
    <x v="1276"/>
    <x v="1"/>
    <x v="9"/>
    <x v="1261"/>
    <x v="1861"/>
    <x v="10"/>
    <x v="2"/>
  </r>
  <r>
    <n v="2232"/>
    <x v="1092"/>
    <x v="335"/>
    <d v="2018-07-01T00:00:00"/>
    <s v="Standard Class"/>
    <x v="591"/>
    <s v="Denny Blanton"/>
    <x v="0"/>
    <s v="United States"/>
    <s v="La Porte"/>
    <x v="14"/>
    <n v="46350"/>
    <x v="2"/>
    <x v="793"/>
    <x v="0"/>
    <x v="5"/>
    <x v="791"/>
    <x v="1862"/>
    <x v="1"/>
    <x v="3"/>
  </r>
  <r>
    <n v="2233"/>
    <x v="1093"/>
    <x v="362"/>
    <d v="2018-07-14T00:00:00"/>
    <s v="Standard Class"/>
    <x v="581"/>
    <s v="John Huston"/>
    <x v="0"/>
    <s v="United States"/>
    <s v="Chicago"/>
    <x v="10"/>
    <n v="60610"/>
    <x v="2"/>
    <x v="1277"/>
    <x v="1"/>
    <x v="4"/>
    <x v="1262"/>
    <x v="1863"/>
    <x v="7"/>
    <x v="3"/>
  </r>
  <r>
    <n v="2234"/>
    <x v="1094"/>
    <x v="639"/>
    <d v="2016-12-16T00:00:00"/>
    <s v="Second Class"/>
    <x v="264"/>
    <s v="Doug Jacobs"/>
    <x v="0"/>
    <s v="United States"/>
    <s v="Portland"/>
    <x v="21"/>
    <n v="97206"/>
    <x v="1"/>
    <x v="1278"/>
    <x v="2"/>
    <x v="7"/>
    <x v="1263"/>
    <x v="1864"/>
    <x v="4"/>
    <x v="1"/>
  </r>
  <r>
    <n v="2235"/>
    <x v="1095"/>
    <x v="256"/>
    <d v="2018-12-10T00:00:00"/>
    <s v="Standard Class"/>
    <x v="425"/>
    <s v="Quincy Jones"/>
    <x v="1"/>
    <s v="United States"/>
    <s v="Burlington"/>
    <x v="42"/>
    <m/>
    <x v="3"/>
    <x v="825"/>
    <x v="2"/>
    <x v="11"/>
    <x v="821"/>
    <x v="1865"/>
    <x v="4"/>
    <x v="3"/>
  </r>
  <r>
    <n v="2236"/>
    <x v="1096"/>
    <x v="426"/>
    <d v="2016-09-17T00:00:00"/>
    <s v="Second Class"/>
    <x v="564"/>
    <s v="Carol Triggs"/>
    <x v="0"/>
    <s v="United States"/>
    <s v="Indianapolis"/>
    <x v="14"/>
    <n v="46203"/>
    <x v="2"/>
    <x v="621"/>
    <x v="1"/>
    <x v="4"/>
    <x v="621"/>
    <x v="1866"/>
    <x v="8"/>
    <x v="1"/>
  </r>
  <r>
    <n v="2237"/>
    <x v="1096"/>
    <x v="426"/>
    <d v="2016-09-17T00:00:00"/>
    <s v="Second Class"/>
    <x v="564"/>
    <s v="Carol Triggs"/>
    <x v="0"/>
    <s v="United States"/>
    <s v="Indianapolis"/>
    <x v="14"/>
    <n v="46203"/>
    <x v="2"/>
    <x v="1279"/>
    <x v="1"/>
    <x v="6"/>
    <x v="1264"/>
    <x v="1867"/>
    <x v="8"/>
    <x v="1"/>
  </r>
  <r>
    <n v="2238"/>
    <x v="1097"/>
    <x v="692"/>
    <d v="2017-07-21T00:00:00"/>
    <s v="Standard Class"/>
    <x v="563"/>
    <s v="Rick Huthwaite"/>
    <x v="2"/>
    <s v="United States"/>
    <s v="Provo"/>
    <x v="7"/>
    <n v="84604"/>
    <x v="1"/>
    <x v="1280"/>
    <x v="1"/>
    <x v="14"/>
    <x v="1265"/>
    <x v="1821"/>
    <x v="7"/>
    <x v="0"/>
  </r>
  <r>
    <n v="2239"/>
    <x v="1098"/>
    <x v="693"/>
    <d v="2018-04-26T00:00:00"/>
    <s v="Standard Class"/>
    <x v="319"/>
    <s v="Sanjit Jacobs"/>
    <x v="2"/>
    <s v="United States"/>
    <s v="Chicago"/>
    <x v="10"/>
    <n v="60610"/>
    <x v="2"/>
    <x v="1281"/>
    <x v="0"/>
    <x v="5"/>
    <x v="1266"/>
    <x v="1821"/>
    <x v="3"/>
    <x v="3"/>
  </r>
  <r>
    <n v="2240"/>
    <x v="1099"/>
    <x v="625"/>
    <d v="2017-11-17T00:00:00"/>
    <s v="Second Class"/>
    <x v="592"/>
    <s v="Toby Gnade"/>
    <x v="0"/>
    <s v="United States"/>
    <s v="Los Angeles"/>
    <x v="1"/>
    <n v="90049"/>
    <x v="1"/>
    <x v="450"/>
    <x v="1"/>
    <x v="8"/>
    <x v="451"/>
    <x v="1868"/>
    <x v="0"/>
    <x v="0"/>
  </r>
  <r>
    <n v="2241"/>
    <x v="1099"/>
    <x v="625"/>
    <d v="2017-11-17T00:00:00"/>
    <s v="Second Class"/>
    <x v="592"/>
    <s v="Toby Gnade"/>
    <x v="0"/>
    <s v="United States"/>
    <s v="Los Angeles"/>
    <x v="1"/>
    <n v="90049"/>
    <x v="1"/>
    <x v="1282"/>
    <x v="1"/>
    <x v="8"/>
    <x v="1267"/>
    <x v="1869"/>
    <x v="0"/>
    <x v="0"/>
  </r>
  <r>
    <n v="2242"/>
    <x v="1100"/>
    <x v="491"/>
    <d v="2017-12-01T00:00:00"/>
    <s v="Standard Class"/>
    <x v="564"/>
    <s v="Carol Triggs"/>
    <x v="0"/>
    <s v="United States"/>
    <s v="Philadelphia"/>
    <x v="9"/>
    <n v="19134"/>
    <x v="3"/>
    <x v="903"/>
    <x v="2"/>
    <x v="7"/>
    <x v="895"/>
    <x v="1870"/>
    <x v="0"/>
    <x v="0"/>
  </r>
  <r>
    <n v="2243"/>
    <x v="1101"/>
    <x v="610"/>
    <d v="2018-11-25T00:00:00"/>
    <s v="Standard Class"/>
    <x v="593"/>
    <s v="Barry Franz"/>
    <x v="2"/>
    <s v="United States"/>
    <s v="Pasadena"/>
    <x v="1"/>
    <n v="91104"/>
    <x v="1"/>
    <x v="86"/>
    <x v="1"/>
    <x v="4"/>
    <x v="86"/>
    <x v="400"/>
    <x v="0"/>
    <x v="3"/>
  </r>
  <r>
    <n v="2244"/>
    <x v="1101"/>
    <x v="610"/>
    <d v="2018-11-25T00:00:00"/>
    <s v="Standard Class"/>
    <x v="593"/>
    <s v="Barry Franz"/>
    <x v="2"/>
    <s v="United States"/>
    <s v="Pasadena"/>
    <x v="1"/>
    <n v="91104"/>
    <x v="1"/>
    <x v="449"/>
    <x v="1"/>
    <x v="6"/>
    <x v="449"/>
    <x v="345"/>
    <x v="0"/>
    <x v="3"/>
  </r>
  <r>
    <n v="2245"/>
    <x v="1101"/>
    <x v="610"/>
    <d v="2018-11-25T00:00:00"/>
    <s v="Standard Class"/>
    <x v="593"/>
    <s v="Barry Franz"/>
    <x v="2"/>
    <s v="United States"/>
    <s v="Pasadena"/>
    <x v="1"/>
    <n v="91104"/>
    <x v="1"/>
    <x v="485"/>
    <x v="1"/>
    <x v="13"/>
    <x v="485"/>
    <x v="1871"/>
    <x v="0"/>
    <x v="3"/>
  </r>
  <r>
    <n v="2246"/>
    <x v="1101"/>
    <x v="610"/>
    <d v="2018-11-25T00:00:00"/>
    <s v="Standard Class"/>
    <x v="593"/>
    <s v="Barry Franz"/>
    <x v="2"/>
    <s v="United States"/>
    <s v="Pasadena"/>
    <x v="1"/>
    <n v="91104"/>
    <x v="1"/>
    <x v="22"/>
    <x v="1"/>
    <x v="9"/>
    <x v="22"/>
    <x v="1872"/>
    <x v="0"/>
    <x v="3"/>
  </r>
  <r>
    <n v="2247"/>
    <x v="1101"/>
    <x v="610"/>
    <d v="2018-11-25T00:00:00"/>
    <s v="Standard Class"/>
    <x v="593"/>
    <s v="Barry Franz"/>
    <x v="2"/>
    <s v="United States"/>
    <s v="Pasadena"/>
    <x v="1"/>
    <n v="91104"/>
    <x v="1"/>
    <x v="903"/>
    <x v="2"/>
    <x v="7"/>
    <x v="895"/>
    <x v="1640"/>
    <x v="0"/>
    <x v="3"/>
  </r>
  <r>
    <n v="2248"/>
    <x v="1102"/>
    <x v="586"/>
    <d v="2016-02-18T00:00:00"/>
    <s v="Second Class"/>
    <x v="594"/>
    <s v="Justin MacKendrick"/>
    <x v="0"/>
    <s v="United States"/>
    <s v="Los Angeles"/>
    <x v="1"/>
    <n v="90004"/>
    <x v="1"/>
    <x v="1283"/>
    <x v="1"/>
    <x v="10"/>
    <x v="1268"/>
    <x v="518"/>
    <x v="11"/>
    <x v="1"/>
  </r>
  <r>
    <n v="2249"/>
    <x v="1102"/>
    <x v="586"/>
    <d v="2016-02-18T00:00:00"/>
    <s v="Second Class"/>
    <x v="594"/>
    <s v="Justin MacKendrick"/>
    <x v="0"/>
    <s v="United States"/>
    <s v="Los Angeles"/>
    <x v="1"/>
    <n v="90004"/>
    <x v="1"/>
    <x v="1124"/>
    <x v="1"/>
    <x v="8"/>
    <x v="1112"/>
    <x v="1818"/>
    <x v="11"/>
    <x v="1"/>
  </r>
  <r>
    <n v="2250"/>
    <x v="1102"/>
    <x v="586"/>
    <d v="2016-02-18T00:00:00"/>
    <s v="Second Class"/>
    <x v="594"/>
    <s v="Justin MacKendrick"/>
    <x v="0"/>
    <s v="United States"/>
    <s v="Los Angeles"/>
    <x v="1"/>
    <n v="90004"/>
    <x v="1"/>
    <x v="614"/>
    <x v="1"/>
    <x v="8"/>
    <x v="614"/>
    <x v="132"/>
    <x v="11"/>
    <x v="1"/>
  </r>
  <r>
    <n v="2251"/>
    <x v="1102"/>
    <x v="586"/>
    <d v="2016-02-18T00:00:00"/>
    <s v="Second Class"/>
    <x v="594"/>
    <s v="Justin MacKendrick"/>
    <x v="0"/>
    <s v="United States"/>
    <s v="Los Angeles"/>
    <x v="1"/>
    <n v="90004"/>
    <x v="1"/>
    <x v="1284"/>
    <x v="1"/>
    <x v="9"/>
    <x v="1269"/>
    <x v="1873"/>
    <x v="11"/>
    <x v="1"/>
  </r>
  <r>
    <n v="2252"/>
    <x v="1102"/>
    <x v="586"/>
    <d v="2016-02-18T00:00:00"/>
    <s v="Second Class"/>
    <x v="594"/>
    <s v="Justin MacKendrick"/>
    <x v="0"/>
    <s v="United States"/>
    <s v="Los Angeles"/>
    <x v="1"/>
    <n v="90004"/>
    <x v="1"/>
    <x v="1231"/>
    <x v="1"/>
    <x v="10"/>
    <x v="1270"/>
    <x v="537"/>
    <x v="11"/>
    <x v="1"/>
  </r>
  <r>
    <n v="2253"/>
    <x v="1103"/>
    <x v="173"/>
    <d v="2017-04-17T00:00:00"/>
    <s v="Second Class"/>
    <x v="451"/>
    <s v="Julie Kriz"/>
    <x v="2"/>
    <s v="United States"/>
    <s v="San Diego"/>
    <x v="1"/>
    <n v="92105"/>
    <x v="1"/>
    <x v="136"/>
    <x v="1"/>
    <x v="10"/>
    <x v="137"/>
    <x v="140"/>
    <x v="3"/>
    <x v="0"/>
  </r>
  <r>
    <n v="2254"/>
    <x v="1104"/>
    <x v="694"/>
    <d v="2016-10-01T00:00:00"/>
    <s v="First Class"/>
    <x v="428"/>
    <s v="Henry Goldwyn"/>
    <x v="1"/>
    <s v="United States"/>
    <s v="San Francisco"/>
    <x v="1"/>
    <n v="94110"/>
    <x v="1"/>
    <x v="336"/>
    <x v="1"/>
    <x v="9"/>
    <x v="336"/>
    <x v="1874"/>
    <x v="8"/>
    <x v="1"/>
  </r>
  <r>
    <n v="2255"/>
    <x v="1104"/>
    <x v="694"/>
    <d v="2016-10-01T00:00:00"/>
    <s v="First Class"/>
    <x v="428"/>
    <s v="Henry Goldwyn"/>
    <x v="1"/>
    <s v="United States"/>
    <s v="San Francisco"/>
    <x v="1"/>
    <n v="94110"/>
    <x v="1"/>
    <x v="1112"/>
    <x v="1"/>
    <x v="9"/>
    <x v="1101"/>
    <x v="1875"/>
    <x v="8"/>
    <x v="1"/>
  </r>
  <r>
    <n v="2256"/>
    <x v="1105"/>
    <x v="42"/>
    <d v="2017-09-22T00:00:00"/>
    <s v="Standard Class"/>
    <x v="156"/>
    <s v="Laura Armstrong"/>
    <x v="1"/>
    <s v="United States"/>
    <s v="Bangor"/>
    <x v="43"/>
    <n v="4401"/>
    <x v="3"/>
    <x v="1285"/>
    <x v="2"/>
    <x v="7"/>
    <x v="1271"/>
    <x v="1876"/>
    <x v="8"/>
    <x v="0"/>
  </r>
  <r>
    <n v="2257"/>
    <x v="1105"/>
    <x v="42"/>
    <d v="2017-09-22T00:00:00"/>
    <s v="Standard Class"/>
    <x v="156"/>
    <s v="Laura Armstrong"/>
    <x v="1"/>
    <s v="United States"/>
    <s v="Bangor"/>
    <x v="43"/>
    <n v="4401"/>
    <x v="3"/>
    <x v="859"/>
    <x v="0"/>
    <x v="5"/>
    <x v="853"/>
    <x v="1041"/>
    <x v="8"/>
    <x v="0"/>
  </r>
  <r>
    <n v="2258"/>
    <x v="1106"/>
    <x v="114"/>
    <d v="2018-06-19T00:00:00"/>
    <s v="First Class"/>
    <x v="59"/>
    <s v="Troy Staebel"/>
    <x v="0"/>
    <s v="United States"/>
    <s v="San Francisco"/>
    <x v="1"/>
    <n v="94122"/>
    <x v="1"/>
    <x v="377"/>
    <x v="0"/>
    <x v="1"/>
    <x v="378"/>
    <x v="1877"/>
    <x v="1"/>
    <x v="3"/>
  </r>
  <r>
    <n v="2259"/>
    <x v="1106"/>
    <x v="114"/>
    <d v="2018-06-19T00:00:00"/>
    <s v="First Class"/>
    <x v="59"/>
    <s v="Troy Staebel"/>
    <x v="0"/>
    <s v="United States"/>
    <s v="San Francisco"/>
    <x v="1"/>
    <n v="94122"/>
    <x v="1"/>
    <x v="1286"/>
    <x v="1"/>
    <x v="10"/>
    <x v="1272"/>
    <x v="1878"/>
    <x v="1"/>
    <x v="3"/>
  </r>
  <r>
    <n v="2260"/>
    <x v="1107"/>
    <x v="627"/>
    <d v="2016-11-10T00:00:00"/>
    <s v="Second Class"/>
    <x v="595"/>
    <s v="Maria Zettner"/>
    <x v="2"/>
    <s v="United States"/>
    <s v="San Diego"/>
    <x v="1"/>
    <n v="92024"/>
    <x v="1"/>
    <x v="659"/>
    <x v="1"/>
    <x v="13"/>
    <x v="659"/>
    <x v="1879"/>
    <x v="0"/>
    <x v="1"/>
  </r>
  <r>
    <n v="2261"/>
    <x v="1107"/>
    <x v="627"/>
    <d v="2016-11-10T00:00:00"/>
    <s v="Second Class"/>
    <x v="595"/>
    <s v="Maria Zettner"/>
    <x v="2"/>
    <s v="United States"/>
    <s v="San Diego"/>
    <x v="1"/>
    <n v="92024"/>
    <x v="1"/>
    <x v="695"/>
    <x v="2"/>
    <x v="11"/>
    <x v="695"/>
    <x v="804"/>
    <x v="0"/>
    <x v="1"/>
  </r>
  <r>
    <n v="2262"/>
    <x v="1108"/>
    <x v="217"/>
    <d v="2016-12-18T00:00:00"/>
    <s v="Same Day"/>
    <x v="596"/>
    <s v="Mitch Webber"/>
    <x v="0"/>
    <s v="United States"/>
    <s v="New York City"/>
    <x v="15"/>
    <n v="10035"/>
    <x v="3"/>
    <x v="577"/>
    <x v="2"/>
    <x v="11"/>
    <x v="577"/>
    <x v="652"/>
    <x v="4"/>
    <x v="1"/>
  </r>
  <r>
    <n v="2263"/>
    <x v="1109"/>
    <x v="695"/>
    <d v="2018-02-09T00:00:00"/>
    <s v="First Class"/>
    <x v="597"/>
    <s v="Mark Van Huff"/>
    <x v="0"/>
    <s v="United States"/>
    <s v="Arlington"/>
    <x v="17"/>
    <n v="22204"/>
    <x v="0"/>
    <x v="574"/>
    <x v="0"/>
    <x v="0"/>
    <x v="574"/>
    <x v="1880"/>
    <x v="11"/>
    <x v="3"/>
  </r>
  <r>
    <n v="2264"/>
    <x v="1110"/>
    <x v="696"/>
    <d v="2017-11-16T00:00:00"/>
    <s v="Second Class"/>
    <x v="211"/>
    <s v="Allen Armold"/>
    <x v="0"/>
    <s v="United States"/>
    <s v="Atlanta"/>
    <x v="32"/>
    <n v="30318"/>
    <x v="0"/>
    <x v="1287"/>
    <x v="2"/>
    <x v="11"/>
    <x v="1273"/>
    <x v="1881"/>
    <x v="0"/>
    <x v="0"/>
  </r>
  <r>
    <n v="2265"/>
    <x v="1110"/>
    <x v="696"/>
    <d v="2017-11-16T00:00:00"/>
    <s v="Second Class"/>
    <x v="211"/>
    <s v="Allen Armold"/>
    <x v="0"/>
    <s v="United States"/>
    <s v="Atlanta"/>
    <x v="32"/>
    <n v="30318"/>
    <x v="0"/>
    <x v="218"/>
    <x v="1"/>
    <x v="10"/>
    <x v="219"/>
    <x v="266"/>
    <x v="0"/>
    <x v="0"/>
  </r>
  <r>
    <n v="2266"/>
    <x v="1110"/>
    <x v="696"/>
    <d v="2017-11-16T00:00:00"/>
    <s v="Second Class"/>
    <x v="211"/>
    <s v="Allen Armold"/>
    <x v="0"/>
    <s v="United States"/>
    <s v="Atlanta"/>
    <x v="32"/>
    <n v="30318"/>
    <x v="0"/>
    <x v="925"/>
    <x v="1"/>
    <x v="8"/>
    <x v="917"/>
    <x v="338"/>
    <x v="0"/>
    <x v="0"/>
  </r>
  <r>
    <n v="2267"/>
    <x v="1111"/>
    <x v="386"/>
    <d v="2018-10-12T00:00:00"/>
    <s v="Same Day"/>
    <x v="598"/>
    <s v="Sean Miller"/>
    <x v="2"/>
    <s v="United States"/>
    <s v="Monroe"/>
    <x v="3"/>
    <n v="28110"/>
    <x v="0"/>
    <x v="1288"/>
    <x v="1"/>
    <x v="10"/>
    <x v="1274"/>
    <x v="885"/>
    <x v="2"/>
    <x v="3"/>
  </r>
  <r>
    <n v="2268"/>
    <x v="1112"/>
    <x v="697"/>
    <d v="2018-09-17T00:00:00"/>
    <s v="Same Day"/>
    <x v="599"/>
    <s v="Tom Prescott"/>
    <x v="0"/>
    <s v="United States"/>
    <s v="Seattle"/>
    <x v="4"/>
    <n v="98115"/>
    <x v="1"/>
    <x v="1289"/>
    <x v="1"/>
    <x v="10"/>
    <x v="1275"/>
    <x v="91"/>
    <x v="8"/>
    <x v="3"/>
  </r>
  <r>
    <n v="2269"/>
    <x v="1113"/>
    <x v="698"/>
    <d v="2018-12-26T00:00:00"/>
    <s v="Standard Class"/>
    <x v="158"/>
    <s v="Dean Katz"/>
    <x v="1"/>
    <s v="United States"/>
    <s v="Rochester"/>
    <x v="15"/>
    <n v="14609"/>
    <x v="3"/>
    <x v="1290"/>
    <x v="1"/>
    <x v="10"/>
    <x v="1276"/>
    <x v="90"/>
    <x v="4"/>
    <x v="3"/>
  </r>
  <r>
    <n v="2270"/>
    <x v="1113"/>
    <x v="698"/>
    <d v="2018-12-26T00:00:00"/>
    <s v="Standard Class"/>
    <x v="158"/>
    <s v="Dean Katz"/>
    <x v="1"/>
    <s v="United States"/>
    <s v="Rochester"/>
    <x v="15"/>
    <n v="14609"/>
    <x v="3"/>
    <x v="44"/>
    <x v="1"/>
    <x v="8"/>
    <x v="44"/>
    <x v="1882"/>
    <x v="4"/>
    <x v="3"/>
  </r>
  <r>
    <n v="2271"/>
    <x v="1114"/>
    <x v="574"/>
    <d v="2018-12-07T00:00:00"/>
    <s v="Standard Class"/>
    <x v="149"/>
    <s v="Michael Kennedy"/>
    <x v="1"/>
    <s v="United States"/>
    <s v="Miami"/>
    <x v="2"/>
    <n v="33180"/>
    <x v="0"/>
    <x v="369"/>
    <x v="1"/>
    <x v="6"/>
    <x v="370"/>
    <x v="1883"/>
    <x v="4"/>
    <x v="3"/>
  </r>
  <r>
    <n v="2272"/>
    <x v="1115"/>
    <x v="481"/>
    <d v="2016-09-27T00:00:00"/>
    <s v="Standard Class"/>
    <x v="79"/>
    <s v="Chad Sievert"/>
    <x v="0"/>
    <s v="United States"/>
    <s v="Seattle"/>
    <x v="4"/>
    <n v="98105"/>
    <x v="1"/>
    <x v="1291"/>
    <x v="1"/>
    <x v="4"/>
    <x v="1277"/>
    <x v="1884"/>
    <x v="8"/>
    <x v="1"/>
  </r>
  <r>
    <n v="2273"/>
    <x v="1116"/>
    <x v="699"/>
    <d v="2016-03-11T00:00:00"/>
    <s v="Standard Class"/>
    <x v="139"/>
    <s v="John Lucas"/>
    <x v="0"/>
    <s v="United States"/>
    <s v="San Francisco"/>
    <x v="1"/>
    <n v="94122"/>
    <x v="1"/>
    <x v="1292"/>
    <x v="0"/>
    <x v="5"/>
    <x v="1278"/>
    <x v="1885"/>
    <x v="10"/>
    <x v="1"/>
  </r>
  <r>
    <n v="2274"/>
    <x v="1116"/>
    <x v="699"/>
    <d v="2016-03-11T00:00:00"/>
    <s v="Standard Class"/>
    <x v="139"/>
    <s v="John Lucas"/>
    <x v="0"/>
    <s v="United States"/>
    <s v="San Francisco"/>
    <x v="1"/>
    <n v="94122"/>
    <x v="1"/>
    <x v="1293"/>
    <x v="2"/>
    <x v="16"/>
    <x v="1279"/>
    <x v="1886"/>
    <x v="10"/>
    <x v="1"/>
  </r>
  <r>
    <n v="2275"/>
    <x v="1117"/>
    <x v="462"/>
    <d v="2015-10-08T00:00:00"/>
    <s v="Second Class"/>
    <x v="153"/>
    <s v="Allen Rosenblatt"/>
    <x v="1"/>
    <s v="United States"/>
    <s v="Los Angeles"/>
    <x v="1"/>
    <n v="90036"/>
    <x v="1"/>
    <x v="1294"/>
    <x v="0"/>
    <x v="3"/>
    <x v="1280"/>
    <x v="1887"/>
    <x v="2"/>
    <x v="2"/>
  </r>
  <r>
    <n v="2276"/>
    <x v="1117"/>
    <x v="462"/>
    <d v="2015-10-08T00:00:00"/>
    <s v="Second Class"/>
    <x v="153"/>
    <s v="Allen Rosenblatt"/>
    <x v="1"/>
    <s v="United States"/>
    <s v="Los Angeles"/>
    <x v="1"/>
    <n v="90036"/>
    <x v="1"/>
    <x v="23"/>
    <x v="0"/>
    <x v="1"/>
    <x v="23"/>
    <x v="1888"/>
    <x v="2"/>
    <x v="2"/>
  </r>
  <r>
    <n v="2277"/>
    <x v="1118"/>
    <x v="700"/>
    <d v="2015-07-01T00:00:00"/>
    <s v="Standard Class"/>
    <x v="215"/>
    <s v="Liz MacKendrick"/>
    <x v="0"/>
    <s v="United States"/>
    <s v="Southaven"/>
    <x v="35"/>
    <n v="38671"/>
    <x v="0"/>
    <x v="854"/>
    <x v="1"/>
    <x v="4"/>
    <x v="847"/>
    <x v="1889"/>
    <x v="1"/>
    <x v="2"/>
  </r>
  <r>
    <n v="2278"/>
    <x v="1118"/>
    <x v="700"/>
    <d v="2015-07-01T00:00:00"/>
    <s v="Standard Class"/>
    <x v="215"/>
    <s v="Liz MacKendrick"/>
    <x v="0"/>
    <s v="United States"/>
    <s v="Southaven"/>
    <x v="35"/>
    <n v="38671"/>
    <x v="0"/>
    <x v="977"/>
    <x v="0"/>
    <x v="3"/>
    <x v="832"/>
    <x v="1890"/>
    <x v="1"/>
    <x v="2"/>
  </r>
  <r>
    <n v="2279"/>
    <x v="1118"/>
    <x v="700"/>
    <d v="2015-07-01T00:00:00"/>
    <s v="Standard Class"/>
    <x v="215"/>
    <s v="Liz MacKendrick"/>
    <x v="0"/>
    <s v="United States"/>
    <s v="Southaven"/>
    <x v="35"/>
    <n v="38671"/>
    <x v="0"/>
    <x v="201"/>
    <x v="2"/>
    <x v="11"/>
    <x v="202"/>
    <x v="1891"/>
    <x v="1"/>
    <x v="2"/>
  </r>
  <r>
    <n v="2280"/>
    <x v="1119"/>
    <x v="505"/>
    <d v="2018-11-02T00:00:00"/>
    <s v="First Class"/>
    <x v="600"/>
    <s v="Jim Karlsson"/>
    <x v="0"/>
    <s v="United States"/>
    <s v="Seattle"/>
    <x v="4"/>
    <n v="98115"/>
    <x v="1"/>
    <x v="1225"/>
    <x v="0"/>
    <x v="1"/>
    <x v="1209"/>
    <x v="1892"/>
    <x v="2"/>
    <x v="3"/>
  </r>
  <r>
    <n v="2281"/>
    <x v="1119"/>
    <x v="505"/>
    <d v="2018-11-02T00:00:00"/>
    <s v="First Class"/>
    <x v="600"/>
    <s v="Jim Karlsson"/>
    <x v="0"/>
    <s v="United States"/>
    <s v="Seattle"/>
    <x v="4"/>
    <n v="98115"/>
    <x v="1"/>
    <x v="992"/>
    <x v="0"/>
    <x v="1"/>
    <x v="984"/>
    <x v="1893"/>
    <x v="2"/>
    <x v="3"/>
  </r>
  <r>
    <n v="2282"/>
    <x v="1119"/>
    <x v="505"/>
    <d v="2018-11-02T00:00:00"/>
    <s v="First Class"/>
    <x v="600"/>
    <s v="Jim Karlsson"/>
    <x v="0"/>
    <s v="United States"/>
    <s v="Seattle"/>
    <x v="4"/>
    <n v="98115"/>
    <x v="1"/>
    <x v="899"/>
    <x v="0"/>
    <x v="0"/>
    <x v="892"/>
    <x v="1636"/>
    <x v="2"/>
    <x v="3"/>
  </r>
  <r>
    <n v="2283"/>
    <x v="1120"/>
    <x v="323"/>
    <d v="2017-09-05T00:00:00"/>
    <s v="First Class"/>
    <x v="524"/>
    <s v="Filia McAdams"/>
    <x v="1"/>
    <s v="United States"/>
    <s v="Middletown"/>
    <x v="29"/>
    <n v="6457"/>
    <x v="3"/>
    <x v="320"/>
    <x v="1"/>
    <x v="10"/>
    <x v="320"/>
    <x v="1894"/>
    <x v="8"/>
    <x v="0"/>
  </r>
  <r>
    <n v="2284"/>
    <x v="1121"/>
    <x v="616"/>
    <d v="2016-03-09T00:00:00"/>
    <s v="Standard Class"/>
    <x v="227"/>
    <s v="Sarah Foster"/>
    <x v="0"/>
    <s v="United States"/>
    <s v="New Castle"/>
    <x v="14"/>
    <n v="47362"/>
    <x v="2"/>
    <x v="179"/>
    <x v="2"/>
    <x v="7"/>
    <x v="180"/>
    <x v="100"/>
    <x v="10"/>
    <x v="1"/>
  </r>
  <r>
    <n v="2285"/>
    <x v="1121"/>
    <x v="616"/>
    <d v="2016-03-09T00:00:00"/>
    <s v="Standard Class"/>
    <x v="227"/>
    <s v="Sarah Foster"/>
    <x v="0"/>
    <s v="United States"/>
    <s v="New Castle"/>
    <x v="14"/>
    <n v="47362"/>
    <x v="2"/>
    <x v="1295"/>
    <x v="1"/>
    <x v="9"/>
    <x v="360"/>
    <x v="1895"/>
    <x v="10"/>
    <x v="1"/>
  </r>
  <r>
    <n v="2286"/>
    <x v="1122"/>
    <x v="465"/>
    <d v="2017-05-08T00:00:00"/>
    <s v="First Class"/>
    <x v="601"/>
    <s v="Patrick Jones"/>
    <x v="1"/>
    <s v="United States"/>
    <s v="Murfreesboro"/>
    <x v="18"/>
    <n v="37130"/>
    <x v="0"/>
    <x v="1296"/>
    <x v="1"/>
    <x v="10"/>
    <x v="1281"/>
    <x v="642"/>
    <x v="5"/>
    <x v="0"/>
  </r>
  <r>
    <n v="2287"/>
    <x v="1123"/>
    <x v="701"/>
    <d v="2018-11-23T00:00:00"/>
    <s v="Standard Class"/>
    <x v="394"/>
    <s v="Christine Sundaresam"/>
    <x v="0"/>
    <s v="United States"/>
    <s v="Salem"/>
    <x v="17"/>
    <n v="24153"/>
    <x v="0"/>
    <x v="1297"/>
    <x v="1"/>
    <x v="9"/>
    <x v="1282"/>
    <x v="1896"/>
    <x v="0"/>
    <x v="3"/>
  </r>
  <r>
    <n v="2288"/>
    <x v="1124"/>
    <x v="702"/>
    <d v="2018-06-05T00:00:00"/>
    <s v="Second Class"/>
    <x v="121"/>
    <s v="Barry Blumstein"/>
    <x v="1"/>
    <s v="United States"/>
    <s v="Toledo"/>
    <x v="24"/>
    <n v="43615"/>
    <x v="3"/>
    <x v="1298"/>
    <x v="1"/>
    <x v="9"/>
    <x v="1283"/>
    <x v="1897"/>
    <x v="1"/>
    <x v="3"/>
  </r>
  <r>
    <n v="2289"/>
    <x v="1125"/>
    <x v="193"/>
    <d v="2018-06-13T00:00:00"/>
    <s v="First Class"/>
    <x v="572"/>
    <s v="Ben Wallace"/>
    <x v="0"/>
    <s v="United States"/>
    <s v="Los Angeles"/>
    <x v="1"/>
    <n v="90032"/>
    <x v="1"/>
    <x v="836"/>
    <x v="1"/>
    <x v="6"/>
    <x v="831"/>
    <x v="1220"/>
    <x v="1"/>
    <x v="3"/>
  </r>
  <r>
    <n v="2290"/>
    <x v="1126"/>
    <x v="703"/>
    <d v="2018-01-11T00:00:00"/>
    <s v="First Class"/>
    <x v="602"/>
    <s v="Ricardo Sperren"/>
    <x v="1"/>
    <s v="United States"/>
    <s v="Seattle"/>
    <x v="4"/>
    <n v="98115"/>
    <x v="1"/>
    <x v="1299"/>
    <x v="0"/>
    <x v="3"/>
    <x v="1284"/>
    <x v="1898"/>
    <x v="9"/>
    <x v="3"/>
  </r>
  <r>
    <n v="2291"/>
    <x v="1127"/>
    <x v="704"/>
    <d v="2016-04-25T00:00:00"/>
    <s v="Standard Class"/>
    <x v="378"/>
    <s v="Theresa Swint"/>
    <x v="1"/>
    <s v="United States"/>
    <s v="Columbus"/>
    <x v="32"/>
    <n v="31907"/>
    <x v="0"/>
    <x v="664"/>
    <x v="2"/>
    <x v="7"/>
    <x v="664"/>
    <x v="1158"/>
    <x v="3"/>
    <x v="1"/>
  </r>
  <r>
    <n v="2292"/>
    <x v="1127"/>
    <x v="704"/>
    <d v="2016-04-25T00:00:00"/>
    <s v="Standard Class"/>
    <x v="378"/>
    <s v="Theresa Swint"/>
    <x v="1"/>
    <s v="United States"/>
    <s v="Columbus"/>
    <x v="32"/>
    <n v="31907"/>
    <x v="0"/>
    <x v="1071"/>
    <x v="0"/>
    <x v="5"/>
    <x v="1060"/>
    <x v="1899"/>
    <x v="3"/>
    <x v="1"/>
  </r>
  <r>
    <n v="2293"/>
    <x v="1127"/>
    <x v="704"/>
    <d v="2016-04-25T00:00:00"/>
    <s v="Standard Class"/>
    <x v="378"/>
    <s v="Theresa Swint"/>
    <x v="1"/>
    <s v="United States"/>
    <s v="Columbus"/>
    <x v="32"/>
    <n v="31907"/>
    <x v="0"/>
    <x v="778"/>
    <x v="1"/>
    <x v="10"/>
    <x v="777"/>
    <x v="91"/>
    <x v="3"/>
    <x v="1"/>
  </r>
  <r>
    <n v="2294"/>
    <x v="1128"/>
    <x v="549"/>
    <d v="2016-11-06T00:00:00"/>
    <s v="Standard Class"/>
    <x v="425"/>
    <s v="Quincy Jones"/>
    <x v="1"/>
    <s v="United States"/>
    <s v="New York City"/>
    <x v="15"/>
    <n v="10009"/>
    <x v="3"/>
    <x v="500"/>
    <x v="2"/>
    <x v="7"/>
    <x v="500"/>
    <x v="1900"/>
    <x v="0"/>
    <x v="1"/>
  </r>
  <r>
    <n v="2295"/>
    <x v="1129"/>
    <x v="331"/>
    <d v="2018-12-27T00:00:00"/>
    <s v="Standard Class"/>
    <x v="524"/>
    <s v="Filia McAdams"/>
    <x v="1"/>
    <s v="United States"/>
    <s v="Middletown"/>
    <x v="29"/>
    <n v="6457"/>
    <x v="3"/>
    <x v="71"/>
    <x v="0"/>
    <x v="5"/>
    <x v="71"/>
    <x v="1901"/>
    <x v="4"/>
    <x v="3"/>
  </r>
  <r>
    <n v="2296"/>
    <x v="1130"/>
    <x v="549"/>
    <d v="2016-11-05T00:00:00"/>
    <s v="Standard Class"/>
    <x v="104"/>
    <s v="Valerie Dominguez"/>
    <x v="0"/>
    <s v="United States"/>
    <s v="New York City"/>
    <x v="15"/>
    <n v="10011"/>
    <x v="3"/>
    <x v="938"/>
    <x v="1"/>
    <x v="10"/>
    <x v="931"/>
    <x v="1902"/>
    <x v="0"/>
    <x v="1"/>
  </r>
  <r>
    <n v="2297"/>
    <x v="1130"/>
    <x v="549"/>
    <d v="2016-11-05T00:00:00"/>
    <s v="Standard Class"/>
    <x v="104"/>
    <s v="Valerie Dominguez"/>
    <x v="0"/>
    <s v="United States"/>
    <s v="New York City"/>
    <x v="15"/>
    <n v="10011"/>
    <x v="3"/>
    <x v="689"/>
    <x v="0"/>
    <x v="5"/>
    <x v="689"/>
    <x v="1903"/>
    <x v="0"/>
    <x v="1"/>
  </r>
  <r>
    <n v="2298"/>
    <x v="1130"/>
    <x v="549"/>
    <d v="2016-11-05T00:00:00"/>
    <s v="Standard Class"/>
    <x v="104"/>
    <s v="Valerie Dominguez"/>
    <x v="0"/>
    <s v="United States"/>
    <s v="New York City"/>
    <x v="15"/>
    <n v="10011"/>
    <x v="3"/>
    <x v="1300"/>
    <x v="2"/>
    <x v="7"/>
    <x v="1285"/>
    <x v="1904"/>
    <x v="0"/>
    <x v="1"/>
  </r>
  <r>
    <n v="2299"/>
    <x v="1130"/>
    <x v="549"/>
    <d v="2016-11-05T00:00:00"/>
    <s v="Standard Class"/>
    <x v="104"/>
    <s v="Valerie Dominguez"/>
    <x v="0"/>
    <s v="United States"/>
    <s v="New York City"/>
    <x v="15"/>
    <n v="10011"/>
    <x v="3"/>
    <x v="651"/>
    <x v="2"/>
    <x v="11"/>
    <x v="651"/>
    <x v="751"/>
    <x v="0"/>
    <x v="1"/>
  </r>
  <r>
    <n v="2300"/>
    <x v="1130"/>
    <x v="549"/>
    <d v="2016-11-05T00:00:00"/>
    <s v="Standard Class"/>
    <x v="104"/>
    <s v="Valerie Dominguez"/>
    <x v="0"/>
    <s v="United States"/>
    <s v="New York City"/>
    <x v="15"/>
    <n v="10011"/>
    <x v="3"/>
    <x v="478"/>
    <x v="2"/>
    <x v="7"/>
    <x v="479"/>
    <x v="178"/>
    <x v="0"/>
    <x v="1"/>
  </r>
  <r>
    <n v="2301"/>
    <x v="1131"/>
    <x v="687"/>
    <d v="2015-11-18T00:00:00"/>
    <s v="Standard Class"/>
    <x v="145"/>
    <s v="Jeremy Lonsdale"/>
    <x v="0"/>
    <s v="United States"/>
    <s v="Midland"/>
    <x v="12"/>
    <n v="48640"/>
    <x v="2"/>
    <x v="15"/>
    <x v="1"/>
    <x v="8"/>
    <x v="15"/>
    <x v="1905"/>
    <x v="0"/>
    <x v="2"/>
  </r>
  <r>
    <n v="2302"/>
    <x v="1131"/>
    <x v="687"/>
    <d v="2015-11-18T00:00:00"/>
    <s v="Standard Class"/>
    <x v="145"/>
    <s v="Jeremy Lonsdale"/>
    <x v="0"/>
    <s v="United States"/>
    <s v="Midland"/>
    <x v="12"/>
    <n v="48640"/>
    <x v="2"/>
    <x v="614"/>
    <x v="1"/>
    <x v="8"/>
    <x v="614"/>
    <x v="132"/>
    <x v="0"/>
    <x v="2"/>
  </r>
  <r>
    <n v="2303"/>
    <x v="1132"/>
    <x v="327"/>
    <d v="2017-01-21T00:00:00"/>
    <s v="Standard Class"/>
    <x v="393"/>
    <s v="Dionis Lloyd"/>
    <x v="1"/>
    <s v="United States"/>
    <s v="Columbus"/>
    <x v="32"/>
    <n v="31907"/>
    <x v="0"/>
    <x v="552"/>
    <x v="2"/>
    <x v="11"/>
    <x v="551"/>
    <x v="613"/>
    <x v="9"/>
    <x v="0"/>
  </r>
  <r>
    <n v="2304"/>
    <x v="1133"/>
    <x v="697"/>
    <d v="2018-09-22T00:00:00"/>
    <s v="Second Class"/>
    <x v="246"/>
    <s v="Meg O'Connel"/>
    <x v="2"/>
    <s v="United States"/>
    <s v="Roswell"/>
    <x v="32"/>
    <n v="30076"/>
    <x v="0"/>
    <x v="323"/>
    <x v="0"/>
    <x v="1"/>
    <x v="323"/>
    <x v="1906"/>
    <x v="8"/>
    <x v="3"/>
  </r>
  <r>
    <n v="2305"/>
    <x v="1133"/>
    <x v="697"/>
    <d v="2018-09-22T00:00:00"/>
    <s v="Second Class"/>
    <x v="246"/>
    <s v="Meg O'Connel"/>
    <x v="2"/>
    <s v="United States"/>
    <s v="Roswell"/>
    <x v="32"/>
    <n v="30076"/>
    <x v="0"/>
    <x v="258"/>
    <x v="1"/>
    <x v="10"/>
    <x v="33"/>
    <x v="1907"/>
    <x v="8"/>
    <x v="3"/>
  </r>
  <r>
    <n v="2306"/>
    <x v="1134"/>
    <x v="443"/>
    <d v="2017-12-24T00:00:00"/>
    <s v="First Class"/>
    <x v="130"/>
    <s v="Ben Peterman"/>
    <x v="1"/>
    <s v="United States"/>
    <s v="Chicago"/>
    <x v="10"/>
    <n v="60623"/>
    <x v="2"/>
    <x v="713"/>
    <x v="0"/>
    <x v="0"/>
    <x v="712"/>
    <x v="1078"/>
    <x v="4"/>
    <x v="0"/>
  </r>
  <r>
    <n v="2307"/>
    <x v="1135"/>
    <x v="705"/>
    <d v="2016-08-08T00:00:00"/>
    <s v="First Class"/>
    <x v="99"/>
    <s v="Michael Stewart"/>
    <x v="1"/>
    <s v="United States"/>
    <s v="Houston"/>
    <x v="5"/>
    <n v="77041"/>
    <x v="2"/>
    <x v="752"/>
    <x v="1"/>
    <x v="10"/>
    <x v="750"/>
    <x v="1908"/>
    <x v="6"/>
    <x v="1"/>
  </r>
  <r>
    <n v="2308"/>
    <x v="1136"/>
    <x v="60"/>
    <d v="2018-11-09T00:00:00"/>
    <s v="Standard Class"/>
    <x v="603"/>
    <s v="Susan Vittorini"/>
    <x v="0"/>
    <s v="United States"/>
    <s v="New York City"/>
    <x v="15"/>
    <n v="10009"/>
    <x v="3"/>
    <x v="475"/>
    <x v="2"/>
    <x v="11"/>
    <x v="476"/>
    <x v="1909"/>
    <x v="0"/>
    <x v="3"/>
  </r>
  <r>
    <n v="2309"/>
    <x v="1137"/>
    <x v="532"/>
    <d v="2018-06-12T00:00:00"/>
    <s v="First Class"/>
    <x v="604"/>
    <s v="Becky Castell"/>
    <x v="2"/>
    <s v="United States"/>
    <s v="Peoria"/>
    <x v="16"/>
    <n v="85345"/>
    <x v="1"/>
    <x v="654"/>
    <x v="0"/>
    <x v="1"/>
    <x v="654"/>
    <x v="1910"/>
    <x v="1"/>
    <x v="3"/>
  </r>
  <r>
    <n v="2310"/>
    <x v="1137"/>
    <x v="532"/>
    <d v="2018-06-12T00:00:00"/>
    <s v="First Class"/>
    <x v="604"/>
    <s v="Becky Castell"/>
    <x v="2"/>
    <s v="United States"/>
    <s v="Peoria"/>
    <x v="16"/>
    <n v="85345"/>
    <x v="1"/>
    <x v="80"/>
    <x v="1"/>
    <x v="4"/>
    <x v="80"/>
    <x v="1911"/>
    <x v="1"/>
    <x v="3"/>
  </r>
  <r>
    <n v="2311"/>
    <x v="1137"/>
    <x v="532"/>
    <d v="2018-06-12T00:00:00"/>
    <s v="First Class"/>
    <x v="604"/>
    <s v="Becky Castell"/>
    <x v="2"/>
    <s v="United States"/>
    <s v="Peoria"/>
    <x v="16"/>
    <n v="85345"/>
    <x v="1"/>
    <x v="666"/>
    <x v="1"/>
    <x v="6"/>
    <x v="666"/>
    <x v="1912"/>
    <x v="1"/>
    <x v="3"/>
  </r>
  <r>
    <n v="2312"/>
    <x v="1137"/>
    <x v="532"/>
    <d v="2018-06-12T00:00:00"/>
    <s v="First Class"/>
    <x v="604"/>
    <s v="Becky Castell"/>
    <x v="2"/>
    <s v="United States"/>
    <s v="Peoria"/>
    <x v="16"/>
    <n v="85345"/>
    <x v="1"/>
    <x v="1041"/>
    <x v="1"/>
    <x v="6"/>
    <x v="1030"/>
    <x v="1810"/>
    <x v="1"/>
    <x v="3"/>
  </r>
  <r>
    <n v="2313"/>
    <x v="1137"/>
    <x v="532"/>
    <d v="2018-06-12T00:00:00"/>
    <s v="First Class"/>
    <x v="604"/>
    <s v="Becky Castell"/>
    <x v="2"/>
    <s v="United States"/>
    <s v="Peoria"/>
    <x v="16"/>
    <n v="85345"/>
    <x v="1"/>
    <x v="435"/>
    <x v="1"/>
    <x v="4"/>
    <x v="435"/>
    <x v="1913"/>
    <x v="1"/>
    <x v="3"/>
  </r>
  <r>
    <n v="2314"/>
    <x v="1138"/>
    <x v="228"/>
    <d v="2018-07-25T00:00:00"/>
    <s v="Standard Class"/>
    <x v="605"/>
    <s v="Elizabeth Moffitt"/>
    <x v="1"/>
    <s v="United States"/>
    <s v="Sioux Falls"/>
    <x v="44"/>
    <n v="57103"/>
    <x v="2"/>
    <x v="676"/>
    <x v="1"/>
    <x v="2"/>
    <x v="676"/>
    <x v="2"/>
    <x v="7"/>
    <x v="3"/>
  </r>
  <r>
    <n v="2315"/>
    <x v="1138"/>
    <x v="228"/>
    <d v="2018-07-25T00:00:00"/>
    <s v="Standard Class"/>
    <x v="605"/>
    <s v="Elizabeth Moffitt"/>
    <x v="1"/>
    <s v="United States"/>
    <s v="Sioux Falls"/>
    <x v="44"/>
    <n v="57103"/>
    <x v="2"/>
    <x v="77"/>
    <x v="1"/>
    <x v="9"/>
    <x v="77"/>
    <x v="1914"/>
    <x v="7"/>
    <x v="3"/>
  </r>
  <r>
    <n v="2316"/>
    <x v="1138"/>
    <x v="228"/>
    <d v="2018-07-25T00:00:00"/>
    <s v="Standard Class"/>
    <x v="605"/>
    <s v="Elizabeth Moffitt"/>
    <x v="1"/>
    <s v="United States"/>
    <s v="Sioux Falls"/>
    <x v="44"/>
    <n v="57103"/>
    <x v="2"/>
    <x v="480"/>
    <x v="1"/>
    <x v="8"/>
    <x v="481"/>
    <x v="1915"/>
    <x v="7"/>
    <x v="3"/>
  </r>
  <r>
    <n v="2317"/>
    <x v="1138"/>
    <x v="228"/>
    <d v="2018-07-25T00:00:00"/>
    <s v="Standard Class"/>
    <x v="605"/>
    <s v="Elizabeth Moffitt"/>
    <x v="1"/>
    <s v="United States"/>
    <s v="Sioux Falls"/>
    <x v="44"/>
    <n v="57103"/>
    <x v="2"/>
    <x v="1225"/>
    <x v="0"/>
    <x v="1"/>
    <x v="1209"/>
    <x v="1091"/>
    <x v="7"/>
    <x v="3"/>
  </r>
  <r>
    <n v="2318"/>
    <x v="1138"/>
    <x v="228"/>
    <d v="2018-07-25T00:00:00"/>
    <s v="Standard Class"/>
    <x v="605"/>
    <s v="Elizabeth Moffitt"/>
    <x v="1"/>
    <s v="United States"/>
    <s v="Sioux Falls"/>
    <x v="44"/>
    <n v="57103"/>
    <x v="2"/>
    <x v="844"/>
    <x v="1"/>
    <x v="8"/>
    <x v="838"/>
    <x v="1916"/>
    <x v="7"/>
    <x v="3"/>
  </r>
  <r>
    <n v="2319"/>
    <x v="1138"/>
    <x v="228"/>
    <d v="2018-07-25T00:00:00"/>
    <s v="Standard Class"/>
    <x v="605"/>
    <s v="Elizabeth Moffitt"/>
    <x v="1"/>
    <s v="United States"/>
    <s v="Sioux Falls"/>
    <x v="44"/>
    <n v="57103"/>
    <x v="2"/>
    <x v="1301"/>
    <x v="2"/>
    <x v="11"/>
    <x v="1286"/>
    <x v="1917"/>
    <x v="7"/>
    <x v="3"/>
  </r>
  <r>
    <n v="2320"/>
    <x v="1139"/>
    <x v="706"/>
    <d v="2016-12-26T00:00:00"/>
    <s v="First Class"/>
    <x v="214"/>
    <s v="Bradley Drucker"/>
    <x v="0"/>
    <s v="United States"/>
    <s v="Richmond"/>
    <x v="17"/>
    <n v="23223"/>
    <x v="0"/>
    <x v="535"/>
    <x v="1"/>
    <x v="9"/>
    <x v="535"/>
    <x v="1918"/>
    <x v="4"/>
    <x v="1"/>
  </r>
  <r>
    <n v="2321"/>
    <x v="1140"/>
    <x v="177"/>
    <d v="2018-03-24T00:00:00"/>
    <s v="Standard Class"/>
    <x v="304"/>
    <s v="Helen Wasserman"/>
    <x v="1"/>
    <s v="United States"/>
    <s v="Seattle"/>
    <x v="4"/>
    <n v="98115"/>
    <x v="1"/>
    <x v="1302"/>
    <x v="2"/>
    <x v="11"/>
    <x v="1287"/>
    <x v="1919"/>
    <x v="10"/>
    <x v="3"/>
  </r>
  <r>
    <n v="2322"/>
    <x v="1141"/>
    <x v="620"/>
    <d v="2017-01-03T00:00:00"/>
    <s v="Second Class"/>
    <x v="346"/>
    <s v="Karen Carlisle"/>
    <x v="1"/>
    <s v="United States"/>
    <s v="Henderson"/>
    <x v="0"/>
    <n v="42420"/>
    <x v="0"/>
    <x v="351"/>
    <x v="1"/>
    <x v="8"/>
    <x v="351"/>
    <x v="1920"/>
    <x v="4"/>
    <x v="1"/>
  </r>
  <r>
    <n v="2323"/>
    <x v="1141"/>
    <x v="620"/>
    <d v="2017-01-03T00:00:00"/>
    <s v="Second Class"/>
    <x v="346"/>
    <s v="Karen Carlisle"/>
    <x v="1"/>
    <s v="United States"/>
    <s v="Henderson"/>
    <x v="0"/>
    <n v="42420"/>
    <x v="0"/>
    <x v="280"/>
    <x v="1"/>
    <x v="8"/>
    <x v="280"/>
    <x v="1921"/>
    <x v="4"/>
    <x v="1"/>
  </r>
  <r>
    <n v="2324"/>
    <x v="1141"/>
    <x v="620"/>
    <d v="2017-01-03T00:00:00"/>
    <s v="Second Class"/>
    <x v="346"/>
    <s v="Karen Carlisle"/>
    <x v="1"/>
    <s v="United States"/>
    <s v="Henderson"/>
    <x v="0"/>
    <n v="42420"/>
    <x v="0"/>
    <x v="785"/>
    <x v="1"/>
    <x v="8"/>
    <x v="784"/>
    <x v="1922"/>
    <x v="4"/>
    <x v="1"/>
  </r>
  <r>
    <n v="2325"/>
    <x v="1141"/>
    <x v="620"/>
    <d v="2017-01-03T00:00:00"/>
    <s v="Second Class"/>
    <x v="346"/>
    <s v="Karen Carlisle"/>
    <x v="1"/>
    <s v="United States"/>
    <s v="Henderson"/>
    <x v="0"/>
    <n v="42420"/>
    <x v="0"/>
    <x v="999"/>
    <x v="1"/>
    <x v="8"/>
    <x v="991"/>
    <x v="1923"/>
    <x v="4"/>
    <x v="1"/>
  </r>
  <r>
    <n v="2326"/>
    <x v="1142"/>
    <x v="426"/>
    <d v="2016-09-19T00:00:00"/>
    <s v="Second Class"/>
    <x v="606"/>
    <s v="Brendan Murry"/>
    <x v="1"/>
    <s v="United States"/>
    <s v="New York City"/>
    <x v="15"/>
    <n v="10035"/>
    <x v="3"/>
    <x v="1197"/>
    <x v="1"/>
    <x v="8"/>
    <x v="1182"/>
    <x v="1924"/>
    <x v="8"/>
    <x v="1"/>
  </r>
  <r>
    <n v="2327"/>
    <x v="1142"/>
    <x v="426"/>
    <d v="2016-09-19T00:00:00"/>
    <s v="Second Class"/>
    <x v="606"/>
    <s v="Brendan Murry"/>
    <x v="1"/>
    <s v="United States"/>
    <s v="New York City"/>
    <x v="15"/>
    <n v="10035"/>
    <x v="3"/>
    <x v="266"/>
    <x v="0"/>
    <x v="0"/>
    <x v="266"/>
    <x v="1925"/>
    <x v="8"/>
    <x v="1"/>
  </r>
  <r>
    <n v="2328"/>
    <x v="1142"/>
    <x v="426"/>
    <d v="2016-09-19T00:00:00"/>
    <s v="Second Class"/>
    <x v="606"/>
    <s v="Brendan Murry"/>
    <x v="1"/>
    <s v="United States"/>
    <s v="New York City"/>
    <x v="15"/>
    <n v="10035"/>
    <x v="3"/>
    <x v="12"/>
    <x v="1"/>
    <x v="10"/>
    <x v="12"/>
    <x v="91"/>
    <x v="8"/>
    <x v="1"/>
  </r>
  <r>
    <n v="2329"/>
    <x v="1143"/>
    <x v="397"/>
    <d v="2018-09-26T00:00:00"/>
    <s v="First Class"/>
    <x v="607"/>
    <s v="Kristina Nunn"/>
    <x v="2"/>
    <s v="United States"/>
    <s v="Fort Collins"/>
    <x v="22"/>
    <n v="80525"/>
    <x v="1"/>
    <x v="1303"/>
    <x v="1"/>
    <x v="12"/>
    <x v="1288"/>
    <x v="642"/>
    <x v="8"/>
    <x v="3"/>
  </r>
  <r>
    <n v="2330"/>
    <x v="1144"/>
    <x v="707"/>
    <d v="2016-12-29T00:00:00"/>
    <s v="Standard Class"/>
    <x v="251"/>
    <s v="Justin Deggeller"/>
    <x v="1"/>
    <s v="United States"/>
    <s v="Philadelphia"/>
    <x v="9"/>
    <n v="19140"/>
    <x v="3"/>
    <x v="1304"/>
    <x v="0"/>
    <x v="5"/>
    <x v="1289"/>
    <x v="1926"/>
    <x v="4"/>
    <x v="1"/>
  </r>
  <r>
    <n v="2331"/>
    <x v="1145"/>
    <x v="446"/>
    <d v="2017-09-26T00:00:00"/>
    <s v="Second Class"/>
    <x v="156"/>
    <s v="Laura Armstrong"/>
    <x v="1"/>
    <s v="United States"/>
    <s v="Los Angeles"/>
    <x v="1"/>
    <n v="90004"/>
    <x v="1"/>
    <x v="193"/>
    <x v="1"/>
    <x v="4"/>
    <x v="194"/>
    <x v="108"/>
    <x v="8"/>
    <x v="0"/>
  </r>
  <r>
    <n v="2332"/>
    <x v="1145"/>
    <x v="446"/>
    <d v="2017-09-26T00:00:00"/>
    <s v="Second Class"/>
    <x v="156"/>
    <s v="Laura Armstrong"/>
    <x v="1"/>
    <s v="United States"/>
    <s v="Los Angeles"/>
    <x v="1"/>
    <n v="90004"/>
    <x v="1"/>
    <x v="1305"/>
    <x v="1"/>
    <x v="10"/>
    <x v="1290"/>
    <x v="1927"/>
    <x v="8"/>
    <x v="0"/>
  </r>
  <r>
    <n v="2333"/>
    <x v="1146"/>
    <x v="708"/>
    <d v="2018-03-25T00:00:00"/>
    <s v="Standard Class"/>
    <x v="355"/>
    <s v="Robert Waldorf"/>
    <x v="0"/>
    <s v="United States"/>
    <s v="Lafayette"/>
    <x v="14"/>
    <n v="47905"/>
    <x v="2"/>
    <x v="417"/>
    <x v="1"/>
    <x v="10"/>
    <x v="417"/>
    <x v="1928"/>
    <x v="10"/>
    <x v="3"/>
  </r>
  <r>
    <n v="2334"/>
    <x v="1146"/>
    <x v="708"/>
    <d v="2018-03-25T00:00:00"/>
    <s v="Standard Class"/>
    <x v="355"/>
    <s v="Robert Waldorf"/>
    <x v="0"/>
    <s v="United States"/>
    <s v="Lafayette"/>
    <x v="14"/>
    <n v="47905"/>
    <x v="2"/>
    <x v="609"/>
    <x v="1"/>
    <x v="10"/>
    <x v="609"/>
    <x v="396"/>
    <x v="10"/>
    <x v="3"/>
  </r>
  <r>
    <n v="2335"/>
    <x v="1147"/>
    <x v="587"/>
    <d v="2015-10-04T00:00:00"/>
    <s v="Standard Class"/>
    <x v="608"/>
    <s v="Kelly Williams"/>
    <x v="0"/>
    <s v="United States"/>
    <s v="Clarksville"/>
    <x v="18"/>
    <n v="37042"/>
    <x v="0"/>
    <x v="336"/>
    <x v="1"/>
    <x v="9"/>
    <x v="336"/>
    <x v="1929"/>
    <x v="8"/>
    <x v="2"/>
  </r>
  <r>
    <n v="2336"/>
    <x v="1148"/>
    <x v="389"/>
    <d v="2018-12-10T00:00:00"/>
    <s v="Same Day"/>
    <x v="417"/>
    <s v="Chris Cortes"/>
    <x v="0"/>
    <s v="United States"/>
    <s v="Fairfield"/>
    <x v="29"/>
    <n v="6824"/>
    <x v="3"/>
    <x v="135"/>
    <x v="1"/>
    <x v="12"/>
    <x v="136"/>
    <x v="139"/>
    <x v="4"/>
    <x v="3"/>
  </r>
  <r>
    <n v="2337"/>
    <x v="1148"/>
    <x v="389"/>
    <d v="2018-12-10T00:00:00"/>
    <s v="Same Day"/>
    <x v="417"/>
    <s v="Chris Cortes"/>
    <x v="0"/>
    <s v="United States"/>
    <s v="Fairfield"/>
    <x v="29"/>
    <n v="6824"/>
    <x v="3"/>
    <x v="1306"/>
    <x v="1"/>
    <x v="9"/>
    <x v="1291"/>
    <x v="1930"/>
    <x v="4"/>
    <x v="3"/>
  </r>
  <r>
    <n v="2338"/>
    <x v="1149"/>
    <x v="709"/>
    <d v="2015-08-23T00:00:00"/>
    <s v="Same Day"/>
    <x v="302"/>
    <s v="Rick Hansen"/>
    <x v="0"/>
    <s v="United States"/>
    <s v="New York City"/>
    <x v="15"/>
    <n v="10009"/>
    <x v="3"/>
    <x v="1307"/>
    <x v="1"/>
    <x v="10"/>
    <x v="1292"/>
    <x v="233"/>
    <x v="6"/>
    <x v="2"/>
  </r>
  <r>
    <n v="2339"/>
    <x v="1149"/>
    <x v="709"/>
    <d v="2015-08-23T00:00:00"/>
    <s v="Same Day"/>
    <x v="302"/>
    <s v="Rick Hansen"/>
    <x v="0"/>
    <s v="United States"/>
    <s v="New York City"/>
    <x v="15"/>
    <n v="10009"/>
    <x v="3"/>
    <x v="496"/>
    <x v="1"/>
    <x v="10"/>
    <x v="496"/>
    <x v="1931"/>
    <x v="6"/>
    <x v="2"/>
  </r>
  <r>
    <n v="2340"/>
    <x v="1150"/>
    <x v="710"/>
    <d v="2015-08-24T00:00:00"/>
    <s v="Standard Class"/>
    <x v="600"/>
    <s v="Jim Karlsson"/>
    <x v="0"/>
    <s v="United States"/>
    <s v="Columbus"/>
    <x v="24"/>
    <n v="43229"/>
    <x v="3"/>
    <x v="87"/>
    <x v="1"/>
    <x v="6"/>
    <x v="87"/>
    <x v="1932"/>
    <x v="6"/>
    <x v="2"/>
  </r>
  <r>
    <n v="2341"/>
    <x v="1151"/>
    <x v="338"/>
    <d v="2017-11-15T00:00:00"/>
    <s v="Standard Class"/>
    <x v="290"/>
    <s v="Debra Catini"/>
    <x v="0"/>
    <s v="United States"/>
    <s v="Warner Robins"/>
    <x v="32"/>
    <n v="31088"/>
    <x v="0"/>
    <x v="879"/>
    <x v="1"/>
    <x v="6"/>
    <x v="873"/>
    <x v="1075"/>
    <x v="0"/>
    <x v="0"/>
  </r>
  <r>
    <n v="2342"/>
    <x v="1152"/>
    <x v="520"/>
    <d v="2016-01-03T00:00:00"/>
    <s v="First Class"/>
    <x v="39"/>
    <s v="Gary Mitchum"/>
    <x v="2"/>
    <s v="United States"/>
    <s v="Franklin"/>
    <x v="31"/>
    <n v="2038"/>
    <x v="3"/>
    <x v="1308"/>
    <x v="0"/>
    <x v="5"/>
    <x v="1293"/>
    <x v="1933"/>
    <x v="4"/>
    <x v="2"/>
  </r>
  <r>
    <n v="2343"/>
    <x v="1152"/>
    <x v="520"/>
    <d v="2016-01-03T00:00:00"/>
    <s v="First Class"/>
    <x v="39"/>
    <s v="Gary Mitchum"/>
    <x v="2"/>
    <s v="United States"/>
    <s v="Franklin"/>
    <x v="31"/>
    <n v="2038"/>
    <x v="3"/>
    <x v="1302"/>
    <x v="2"/>
    <x v="11"/>
    <x v="1287"/>
    <x v="1934"/>
    <x v="4"/>
    <x v="2"/>
  </r>
  <r>
    <n v="2344"/>
    <x v="1153"/>
    <x v="711"/>
    <d v="2015-07-30T00:00:00"/>
    <s v="Second Class"/>
    <x v="488"/>
    <s v="Carl Ludwig"/>
    <x v="0"/>
    <s v="United States"/>
    <s v="Chicago"/>
    <x v="10"/>
    <n v="60623"/>
    <x v="2"/>
    <x v="232"/>
    <x v="1"/>
    <x v="4"/>
    <x v="233"/>
    <x v="1935"/>
    <x v="7"/>
    <x v="2"/>
  </r>
  <r>
    <n v="2345"/>
    <x v="1154"/>
    <x v="712"/>
    <d v="2017-02-28T00:00:00"/>
    <s v="Standard Class"/>
    <x v="391"/>
    <s v="Paul Van Hugh"/>
    <x v="2"/>
    <s v="United States"/>
    <s v="Milwaukee"/>
    <x v="6"/>
    <n v="53209"/>
    <x v="2"/>
    <x v="1309"/>
    <x v="1"/>
    <x v="9"/>
    <x v="1294"/>
    <x v="1936"/>
    <x v="11"/>
    <x v="0"/>
  </r>
  <r>
    <n v="2346"/>
    <x v="1155"/>
    <x v="69"/>
    <d v="2017-03-18T00:00:00"/>
    <s v="Standard Class"/>
    <x v="299"/>
    <s v="Liz Thompson"/>
    <x v="0"/>
    <s v="United States"/>
    <s v="San Antonio"/>
    <x v="5"/>
    <n v="78207"/>
    <x v="2"/>
    <x v="161"/>
    <x v="1"/>
    <x v="10"/>
    <x v="1295"/>
    <x v="1826"/>
    <x v="10"/>
    <x v="0"/>
  </r>
  <r>
    <n v="2347"/>
    <x v="1155"/>
    <x v="69"/>
    <d v="2017-03-18T00:00:00"/>
    <s v="Standard Class"/>
    <x v="299"/>
    <s v="Liz Thompson"/>
    <x v="0"/>
    <s v="United States"/>
    <s v="San Antonio"/>
    <x v="5"/>
    <n v="78207"/>
    <x v="2"/>
    <x v="1310"/>
    <x v="1"/>
    <x v="8"/>
    <x v="1296"/>
    <x v="1937"/>
    <x v="10"/>
    <x v="0"/>
  </r>
  <r>
    <n v="2348"/>
    <x v="1155"/>
    <x v="69"/>
    <d v="2017-03-18T00:00:00"/>
    <s v="Standard Class"/>
    <x v="299"/>
    <s v="Liz Thompson"/>
    <x v="0"/>
    <s v="United States"/>
    <s v="San Antonio"/>
    <x v="5"/>
    <n v="78207"/>
    <x v="2"/>
    <x v="898"/>
    <x v="0"/>
    <x v="3"/>
    <x v="891"/>
    <x v="1938"/>
    <x v="10"/>
    <x v="0"/>
  </r>
  <r>
    <n v="2349"/>
    <x v="1156"/>
    <x v="574"/>
    <d v="2018-12-03T00:00:00"/>
    <s v="Same Day"/>
    <x v="87"/>
    <s v="Alice McCarthy"/>
    <x v="1"/>
    <s v="United States"/>
    <s v="Los Angeles"/>
    <x v="1"/>
    <n v="90032"/>
    <x v="1"/>
    <x v="620"/>
    <x v="1"/>
    <x v="8"/>
    <x v="620"/>
    <x v="1939"/>
    <x v="4"/>
    <x v="3"/>
  </r>
  <r>
    <n v="2350"/>
    <x v="1156"/>
    <x v="574"/>
    <d v="2018-12-03T00:00:00"/>
    <s v="Same Day"/>
    <x v="87"/>
    <s v="Alice McCarthy"/>
    <x v="1"/>
    <s v="United States"/>
    <s v="Los Angeles"/>
    <x v="1"/>
    <n v="90032"/>
    <x v="1"/>
    <x v="1311"/>
    <x v="1"/>
    <x v="8"/>
    <x v="1297"/>
    <x v="1940"/>
    <x v="4"/>
    <x v="3"/>
  </r>
  <r>
    <n v="2351"/>
    <x v="1156"/>
    <x v="574"/>
    <d v="2018-12-03T00:00:00"/>
    <s v="Same Day"/>
    <x v="87"/>
    <s v="Alice McCarthy"/>
    <x v="1"/>
    <s v="United States"/>
    <s v="Los Angeles"/>
    <x v="1"/>
    <n v="90032"/>
    <x v="1"/>
    <x v="362"/>
    <x v="1"/>
    <x v="10"/>
    <x v="362"/>
    <x v="139"/>
    <x v="4"/>
    <x v="3"/>
  </r>
  <r>
    <n v="2352"/>
    <x v="1156"/>
    <x v="574"/>
    <d v="2018-12-03T00:00:00"/>
    <s v="Same Day"/>
    <x v="87"/>
    <s v="Alice McCarthy"/>
    <x v="1"/>
    <s v="United States"/>
    <s v="Los Angeles"/>
    <x v="1"/>
    <n v="90032"/>
    <x v="1"/>
    <x v="1276"/>
    <x v="1"/>
    <x v="9"/>
    <x v="1261"/>
    <x v="1941"/>
    <x v="4"/>
    <x v="3"/>
  </r>
  <r>
    <n v="2353"/>
    <x v="1156"/>
    <x v="574"/>
    <d v="2018-12-03T00:00:00"/>
    <s v="Same Day"/>
    <x v="87"/>
    <s v="Alice McCarthy"/>
    <x v="1"/>
    <s v="United States"/>
    <s v="Los Angeles"/>
    <x v="1"/>
    <n v="90032"/>
    <x v="1"/>
    <x v="59"/>
    <x v="1"/>
    <x v="6"/>
    <x v="59"/>
    <x v="1942"/>
    <x v="4"/>
    <x v="3"/>
  </r>
  <r>
    <n v="2354"/>
    <x v="1157"/>
    <x v="284"/>
    <d v="2016-09-02T00:00:00"/>
    <s v="First Class"/>
    <x v="609"/>
    <s v="Scott Cohen"/>
    <x v="1"/>
    <s v="United States"/>
    <s v="San Francisco"/>
    <x v="1"/>
    <n v="94122"/>
    <x v="1"/>
    <x v="37"/>
    <x v="0"/>
    <x v="0"/>
    <x v="37"/>
    <x v="1943"/>
    <x v="6"/>
    <x v="1"/>
  </r>
  <r>
    <n v="2355"/>
    <x v="1157"/>
    <x v="284"/>
    <d v="2016-09-02T00:00:00"/>
    <s v="First Class"/>
    <x v="609"/>
    <s v="Scott Cohen"/>
    <x v="1"/>
    <s v="United States"/>
    <s v="San Francisco"/>
    <x v="1"/>
    <n v="94122"/>
    <x v="1"/>
    <x v="141"/>
    <x v="1"/>
    <x v="8"/>
    <x v="142"/>
    <x v="1944"/>
    <x v="6"/>
    <x v="1"/>
  </r>
  <r>
    <n v="2356"/>
    <x v="1157"/>
    <x v="284"/>
    <d v="2016-09-02T00:00:00"/>
    <s v="First Class"/>
    <x v="609"/>
    <s v="Scott Cohen"/>
    <x v="1"/>
    <s v="United States"/>
    <s v="San Francisco"/>
    <x v="1"/>
    <n v="94122"/>
    <x v="1"/>
    <x v="1312"/>
    <x v="2"/>
    <x v="11"/>
    <x v="1298"/>
    <x v="1945"/>
    <x v="6"/>
    <x v="1"/>
  </r>
  <r>
    <n v="2357"/>
    <x v="1157"/>
    <x v="284"/>
    <d v="2016-09-02T00:00:00"/>
    <s v="First Class"/>
    <x v="609"/>
    <s v="Scott Cohen"/>
    <x v="1"/>
    <s v="United States"/>
    <s v="San Francisco"/>
    <x v="1"/>
    <n v="94122"/>
    <x v="1"/>
    <x v="1313"/>
    <x v="2"/>
    <x v="15"/>
    <x v="1299"/>
    <x v="1946"/>
    <x v="6"/>
    <x v="1"/>
  </r>
  <r>
    <n v="2358"/>
    <x v="1158"/>
    <x v="461"/>
    <d v="2015-03-21T00:00:00"/>
    <s v="Standard Class"/>
    <x v="291"/>
    <s v="Christine Phan"/>
    <x v="1"/>
    <s v="United States"/>
    <s v="New York City"/>
    <x v="15"/>
    <n v="10024"/>
    <x v="3"/>
    <x v="215"/>
    <x v="0"/>
    <x v="3"/>
    <x v="216"/>
    <x v="1947"/>
    <x v="10"/>
    <x v="2"/>
  </r>
  <r>
    <n v="2359"/>
    <x v="1158"/>
    <x v="461"/>
    <d v="2015-03-21T00:00:00"/>
    <s v="Standard Class"/>
    <x v="291"/>
    <s v="Christine Phan"/>
    <x v="1"/>
    <s v="United States"/>
    <s v="New York City"/>
    <x v="15"/>
    <n v="10024"/>
    <x v="3"/>
    <x v="1299"/>
    <x v="0"/>
    <x v="3"/>
    <x v="1284"/>
    <x v="1948"/>
    <x v="10"/>
    <x v="2"/>
  </r>
  <r>
    <n v="2360"/>
    <x v="1158"/>
    <x v="461"/>
    <d v="2015-03-21T00:00:00"/>
    <s v="Standard Class"/>
    <x v="291"/>
    <s v="Christine Phan"/>
    <x v="1"/>
    <s v="United States"/>
    <s v="New York City"/>
    <x v="15"/>
    <n v="10024"/>
    <x v="3"/>
    <x v="1168"/>
    <x v="0"/>
    <x v="3"/>
    <x v="1155"/>
    <x v="1949"/>
    <x v="10"/>
    <x v="2"/>
  </r>
  <r>
    <n v="2361"/>
    <x v="1158"/>
    <x v="461"/>
    <d v="2015-03-21T00:00:00"/>
    <s v="Standard Class"/>
    <x v="291"/>
    <s v="Christine Phan"/>
    <x v="1"/>
    <s v="United States"/>
    <s v="New York City"/>
    <x v="15"/>
    <n v="10024"/>
    <x v="3"/>
    <x v="1314"/>
    <x v="1"/>
    <x v="10"/>
    <x v="1300"/>
    <x v="1950"/>
    <x v="10"/>
    <x v="2"/>
  </r>
  <r>
    <n v="2362"/>
    <x v="1158"/>
    <x v="461"/>
    <d v="2015-03-21T00:00:00"/>
    <s v="Standard Class"/>
    <x v="291"/>
    <s v="Christine Phan"/>
    <x v="1"/>
    <s v="United States"/>
    <s v="New York City"/>
    <x v="15"/>
    <n v="10024"/>
    <x v="3"/>
    <x v="1315"/>
    <x v="1"/>
    <x v="10"/>
    <x v="1301"/>
    <x v="1951"/>
    <x v="10"/>
    <x v="2"/>
  </r>
  <r>
    <n v="2363"/>
    <x v="1159"/>
    <x v="513"/>
    <d v="2018-04-20T00:00:00"/>
    <s v="Standard Class"/>
    <x v="167"/>
    <s v="Roy Französisch"/>
    <x v="0"/>
    <s v="United States"/>
    <s v="Columbus"/>
    <x v="24"/>
    <n v="43229"/>
    <x v="3"/>
    <x v="1316"/>
    <x v="1"/>
    <x v="8"/>
    <x v="1302"/>
    <x v="1662"/>
    <x v="3"/>
    <x v="3"/>
  </r>
  <r>
    <n v="2364"/>
    <x v="1160"/>
    <x v="69"/>
    <d v="2017-03-18T00:00:00"/>
    <s v="Standard Class"/>
    <x v="144"/>
    <s v="Adam Bellavance"/>
    <x v="2"/>
    <s v="United States"/>
    <s v="Waynesboro"/>
    <x v="17"/>
    <n v="22980"/>
    <x v="0"/>
    <x v="441"/>
    <x v="0"/>
    <x v="5"/>
    <x v="441"/>
    <x v="1952"/>
    <x v="10"/>
    <x v="0"/>
  </r>
  <r>
    <n v="2365"/>
    <x v="1160"/>
    <x v="69"/>
    <d v="2017-03-18T00:00:00"/>
    <s v="Standard Class"/>
    <x v="144"/>
    <s v="Adam Bellavance"/>
    <x v="2"/>
    <s v="United States"/>
    <s v="Waynesboro"/>
    <x v="17"/>
    <n v="22980"/>
    <x v="0"/>
    <x v="1317"/>
    <x v="1"/>
    <x v="9"/>
    <x v="1303"/>
    <x v="1953"/>
    <x v="10"/>
    <x v="0"/>
  </r>
  <r>
    <n v="2366"/>
    <x v="1160"/>
    <x v="69"/>
    <d v="2017-03-18T00:00:00"/>
    <s v="Standard Class"/>
    <x v="144"/>
    <s v="Adam Bellavance"/>
    <x v="2"/>
    <s v="United States"/>
    <s v="Waynesboro"/>
    <x v="17"/>
    <n v="22980"/>
    <x v="0"/>
    <x v="1023"/>
    <x v="1"/>
    <x v="8"/>
    <x v="1014"/>
    <x v="1954"/>
    <x v="10"/>
    <x v="0"/>
  </r>
  <r>
    <n v="2367"/>
    <x v="1161"/>
    <x v="156"/>
    <d v="2015-11-26T00:00:00"/>
    <s v="Second Class"/>
    <x v="552"/>
    <s v="Erica Hackney"/>
    <x v="0"/>
    <s v="United States"/>
    <s v="Sacramento"/>
    <x v="1"/>
    <n v="95823"/>
    <x v="1"/>
    <x v="1318"/>
    <x v="0"/>
    <x v="1"/>
    <x v="1304"/>
    <x v="1955"/>
    <x v="0"/>
    <x v="2"/>
  </r>
  <r>
    <n v="2368"/>
    <x v="1162"/>
    <x v="516"/>
    <d v="2018-02-13T00:00:00"/>
    <s v="First Class"/>
    <x v="438"/>
    <s v="Michael Nguyen"/>
    <x v="0"/>
    <s v="United States"/>
    <s v="Clinton"/>
    <x v="39"/>
    <n v="20735"/>
    <x v="3"/>
    <x v="1010"/>
    <x v="1"/>
    <x v="10"/>
    <x v="1002"/>
    <x v="1062"/>
    <x v="11"/>
    <x v="3"/>
  </r>
  <r>
    <n v="2369"/>
    <x v="1163"/>
    <x v="713"/>
    <d v="2017-09-27T00:00:00"/>
    <s v="Standard Class"/>
    <x v="126"/>
    <s v="Kelly Lampkin"/>
    <x v="1"/>
    <s v="United States"/>
    <s v="Fairfield"/>
    <x v="24"/>
    <n v="45014"/>
    <x v="3"/>
    <x v="1319"/>
    <x v="0"/>
    <x v="5"/>
    <x v="1305"/>
    <x v="1956"/>
    <x v="8"/>
    <x v="0"/>
  </r>
  <r>
    <n v="2370"/>
    <x v="1163"/>
    <x v="713"/>
    <d v="2017-09-27T00:00:00"/>
    <s v="Standard Class"/>
    <x v="126"/>
    <s v="Kelly Lampkin"/>
    <x v="1"/>
    <s v="United States"/>
    <s v="Fairfield"/>
    <x v="24"/>
    <n v="45014"/>
    <x v="3"/>
    <x v="1320"/>
    <x v="1"/>
    <x v="6"/>
    <x v="1306"/>
    <x v="1957"/>
    <x v="8"/>
    <x v="0"/>
  </r>
  <r>
    <n v="2371"/>
    <x v="1164"/>
    <x v="437"/>
    <d v="2018-07-09T00:00:00"/>
    <s v="Second Class"/>
    <x v="172"/>
    <s v="Michael Paige"/>
    <x v="1"/>
    <s v="United States"/>
    <s v="Warwick"/>
    <x v="34"/>
    <n v="2886"/>
    <x v="3"/>
    <x v="725"/>
    <x v="2"/>
    <x v="11"/>
    <x v="724"/>
    <x v="842"/>
    <x v="7"/>
    <x v="3"/>
  </r>
  <r>
    <n v="2372"/>
    <x v="1165"/>
    <x v="274"/>
    <d v="2017-07-11T00:00:00"/>
    <s v="Second Class"/>
    <x v="292"/>
    <s v="Barry Französisch"/>
    <x v="1"/>
    <s v="United States"/>
    <s v="Aurora"/>
    <x v="10"/>
    <n v="60505"/>
    <x v="2"/>
    <x v="1155"/>
    <x v="0"/>
    <x v="5"/>
    <x v="1143"/>
    <x v="1958"/>
    <x v="7"/>
    <x v="0"/>
  </r>
  <r>
    <n v="2373"/>
    <x v="1165"/>
    <x v="274"/>
    <d v="2017-07-11T00:00:00"/>
    <s v="Second Class"/>
    <x v="292"/>
    <s v="Barry Französisch"/>
    <x v="1"/>
    <s v="United States"/>
    <s v="Aurora"/>
    <x v="10"/>
    <n v="60505"/>
    <x v="2"/>
    <x v="1321"/>
    <x v="1"/>
    <x v="13"/>
    <x v="1307"/>
    <x v="1959"/>
    <x v="7"/>
    <x v="0"/>
  </r>
  <r>
    <n v="2374"/>
    <x v="1165"/>
    <x v="274"/>
    <d v="2017-07-11T00:00:00"/>
    <s v="Second Class"/>
    <x v="292"/>
    <s v="Barry Französisch"/>
    <x v="1"/>
    <s v="United States"/>
    <s v="Aurora"/>
    <x v="10"/>
    <n v="60505"/>
    <x v="2"/>
    <x v="1128"/>
    <x v="1"/>
    <x v="10"/>
    <x v="1116"/>
    <x v="1960"/>
    <x v="7"/>
    <x v="0"/>
  </r>
  <r>
    <n v="2375"/>
    <x v="1165"/>
    <x v="274"/>
    <d v="2017-07-11T00:00:00"/>
    <s v="Second Class"/>
    <x v="292"/>
    <s v="Barry Französisch"/>
    <x v="1"/>
    <s v="United States"/>
    <s v="Aurora"/>
    <x v="10"/>
    <n v="60505"/>
    <x v="2"/>
    <x v="323"/>
    <x v="0"/>
    <x v="1"/>
    <x v="323"/>
    <x v="1961"/>
    <x v="7"/>
    <x v="0"/>
  </r>
  <r>
    <n v="2376"/>
    <x v="1166"/>
    <x v="714"/>
    <d v="2018-01-30T00:00:00"/>
    <s v="Standard Class"/>
    <x v="236"/>
    <s v="Theone Pippenger"/>
    <x v="0"/>
    <s v="United States"/>
    <s v="Smyrna"/>
    <x v="32"/>
    <n v="30080"/>
    <x v="0"/>
    <x v="969"/>
    <x v="1"/>
    <x v="13"/>
    <x v="962"/>
    <x v="1962"/>
    <x v="9"/>
    <x v="3"/>
  </r>
  <r>
    <n v="2377"/>
    <x v="1167"/>
    <x v="710"/>
    <d v="2015-08-21T00:00:00"/>
    <s v="Second Class"/>
    <x v="474"/>
    <s v="Maxwell Schwartz"/>
    <x v="0"/>
    <s v="United States"/>
    <s v="Columbus"/>
    <x v="24"/>
    <n v="43229"/>
    <x v="3"/>
    <x v="1242"/>
    <x v="1"/>
    <x v="8"/>
    <x v="1225"/>
    <x v="1963"/>
    <x v="6"/>
    <x v="2"/>
  </r>
  <r>
    <n v="2378"/>
    <x v="1167"/>
    <x v="710"/>
    <d v="2015-08-21T00:00:00"/>
    <s v="Second Class"/>
    <x v="474"/>
    <s v="Maxwell Schwartz"/>
    <x v="0"/>
    <s v="United States"/>
    <s v="Columbus"/>
    <x v="24"/>
    <n v="43229"/>
    <x v="3"/>
    <x v="1322"/>
    <x v="1"/>
    <x v="14"/>
    <x v="1308"/>
    <x v="1964"/>
    <x v="6"/>
    <x v="2"/>
  </r>
  <r>
    <n v="2379"/>
    <x v="1168"/>
    <x v="401"/>
    <d v="2016-12-11T00:00:00"/>
    <s v="Standard Class"/>
    <x v="454"/>
    <s v="Katherine Murray"/>
    <x v="2"/>
    <s v="United States"/>
    <s v="Thousand Oaks"/>
    <x v="1"/>
    <n v="91360"/>
    <x v="1"/>
    <x v="1254"/>
    <x v="1"/>
    <x v="10"/>
    <x v="1238"/>
    <x v="1965"/>
    <x v="4"/>
    <x v="1"/>
  </r>
  <r>
    <n v="2380"/>
    <x v="1169"/>
    <x v="715"/>
    <d v="2017-05-10T00:00:00"/>
    <s v="Standard Class"/>
    <x v="534"/>
    <s v="Brad Eason"/>
    <x v="2"/>
    <s v="United States"/>
    <s v="Lorain"/>
    <x v="24"/>
    <n v="44052"/>
    <x v="3"/>
    <x v="485"/>
    <x v="1"/>
    <x v="13"/>
    <x v="485"/>
    <x v="1966"/>
    <x v="5"/>
    <x v="0"/>
  </r>
  <r>
    <n v="2381"/>
    <x v="1169"/>
    <x v="715"/>
    <d v="2017-05-10T00:00:00"/>
    <s v="Standard Class"/>
    <x v="534"/>
    <s v="Brad Eason"/>
    <x v="2"/>
    <s v="United States"/>
    <s v="Lorain"/>
    <x v="24"/>
    <n v="44052"/>
    <x v="3"/>
    <x v="1323"/>
    <x v="1"/>
    <x v="10"/>
    <x v="1309"/>
    <x v="1967"/>
    <x v="5"/>
    <x v="0"/>
  </r>
  <r>
    <n v="2382"/>
    <x v="1169"/>
    <x v="715"/>
    <d v="2017-05-10T00:00:00"/>
    <s v="Standard Class"/>
    <x v="534"/>
    <s v="Brad Eason"/>
    <x v="2"/>
    <s v="United States"/>
    <s v="Lorain"/>
    <x v="24"/>
    <n v="44052"/>
    <x v="3"/>
    <x v="28"/>
    <x v="0"/>
    <x v="5"/>
    <x v="1310"/>
    <x v="1968"/>
    <x v="5"/>
    <x v="0"/>
  </r>
  <r>
    <n v="2383"/>
    <x v="1170"/>
    <x v="613"/>
    <d v="2018-03-26T00:00:00"/>
    <s v="First Class"/>
    <x v="610"/>
    <s v="Christina VanderZanden"/>
    <x v="0"/>
    <s v="United States"/>
    <s v="Fresno"/>
    <x v="1"/>
    <n v="93727"/>
    <x v="1"/>
    <x v="1324"/>
    <x v="1"/>
    <x v="9"/>
    <x v="1311"/>
    <x v="1969"/>
    <x v="10"/>
    <x v="3"/>
  </r>
  <r>
    <n v="2384"/>
    <x v="1170"/>
    <x v="613"/>
    <d v="2018-03-26T00:00:00"/>
    <s v="First Class"/>
    <x v="610"/>
    <s v="Christina VanderZanden"/>
    <x v="0"/>
    <s v="United States"/>
    <s v="Fresno"/>
    <x v="1"/>
    <n v="93727"/>
    <x v="1"/>
    <x v="1325"/>
    <x v="1"/>
    <x v="6"/>
    <x v="772"/>
    <x v="1970"/>
    <x v="10"/>
    <x v="3"/>
  </r>
  <r>
    <n v="2385"/>
    <x v="1170"/>
    <x v="613"/>
    <d v="2018-03-26T00:00:00"/>
    <s v="First Class"/>
    <x v="610"/>
    <s v="Christina VanderZanden"/>
    <x v="0"/>
    <s v="United States"/>
    <s v="Fresno"/>
    <x v="1"/>
    <n v="93727"/>
    <x v="1"/>
    <x v="920"/>
    <x v="1"/>
    <x v="8"/>
    <x v="912"/>
    <x v="1971"/>
    <x v="10"/>
    <x v="3"/>
  </r>
  <r>
    <n v="2386"/>
    <x v="1170"/>
    <x v="613"/>
    <d v="2018-03-26T00:00:00"/>
    <s v="First Class"/>
    <x v="610"/>
    <s v="Christina VanderZanden"/>
    <x v="0"/>
    <s v="United States"/>
    <s v="Fresno"/>
    <x v="1"/>
    <n v="93727"/>
    <x v="1"/>
    <x v="1326"/>
    <x v="2"/>
    <x v="7"/>
    <x v="1312"/>
    <x v="1972"/>
    <x v="10"/>
    <x v="3"/>
  </r>
  <r>
    <n v="2387"/>
    <x v="1170"/>
    <x v="613"/>
    <d v="2018-03-26T00:00:00"/>
    <s v="First Class"/>
    <x v="610"/>
    <s v="Christina VanderZanden"/>
    <x v="0"/>
    <s v="United States"/>
    <s v="Fresno"/>
    <x v="1"/>
    <n v="93727"/>
    <x v="1"/>
    <x v="1327"/>
    <x v="2"/>
    <x v="16"/>
    <x v="1313"/>
    <x v="1973"/>
    <x v="10"/>
    <x v="3"/>
  </r>
  <r>
    <n v="2388"/>
    <x v="1171"/>
    <x v="295"/>
    <d v="2016-12-15T00:00:00"/>
    <s v="First Class"/>
    <x v="589"/>
    <s v="Dennis Kane"/>
    <x v="0"/>
    <s v="United States"/>
    <s v="San Diego"/>
    <x v="1"/>
    <n v="92105"/>
    <x v="1"/>
    <x v="1328"/>
    <x v="1"/>
    <x v="13"/>
    <x v="128"/>
    <x v="1974"/>
    <x v="4"/>
    <x v="1"/>
  </r>
  <r>
    <n v="2389"/>
    <x v="1171"/>
    <x v="295"/>
    <d v="2016-12-15T00:00:00"/>
    <s v="First Class"/>
    <x v="589"/>
    <s v="Dennis Kane"/>
    <x v="0"/>
    <s v="United States"/>
    <s v="San Diego"/>
    <x v="1"/>
    <n v="92105"/>
    <x v="1"/>
    <x v="1329"/>
    <x v="1"/>
    <x v="8"/>
    <x v="1314"/>
    <x v="667"/>
    <x v="4"/>
    <x v="1"/>
  </r>
  <r>
    <n v="2390"/>
    <x v="1172"/>
    <x v="401"/>
    <d v="2016-12-10T00:00:00"/>
    <s v="Standard Class"/>
    <x v="611"/>
    <s v="Speros Goranitis"/>
    <x v="0"/>
    <s v="United States"/>
    <s v="New York City"/>
    <x v="15"/>
    <n v="10009"/>
    <x v="3"/>
    <x v="1330"/>
    <x v="1"/>
    <x v="10"/>
    <x v="1315"/>
    <x v="90"/>
    <x v="4"/>
    <x v="1"/>
  </r>
  <r>
    <n v="2391"/>
    <x v="1172"/>
    <x v="401"/>
    <d v="2016-12-10T00:00:00"/>
    <s v="Standard Class"/>
    <x v="611"/>
    <s v="Speros Goranitis"/>
    <x v="0"/>
    <s v="United States"/>
    <s v="New York City"/>
    <x v="15"/>
    <n v="10009"/>
    <x v="3"/>
    <x v="1331"/>
    <x v="1"/>
    <x v="10"/>
    <x v="1316"/>
    <x v="1075"/>
    <x v="4"/>
    <x v="1"/>
  </r>
  <r>
    <n v="2392"/>
    <x v="1172"/>
    <x v="401"/>
    <d v="2016-12-10T00:00:00"/>
    <s v="Standard Class"/>
    <x v="611"/>
    <s v="Speros Goranitis"/>
    <x v="0"/>
    <s v="United States"/>
    <s v="New York City"/>
    <x v="15"/>
    <n v="10009"/>
    <x v="3"/>
    <x v="1332"/>
    <x v="2"/>
    <x v="11"/>
    <x v="1317"/>
    <x v="1975"/>
    <x v="4"/>
    <x v="1"/>
  </r>
  <r>
    <n v="2393"/>
    <x v="1172"/>
    <x v="401"/>
    <d v="2016-12-10T00:00:00"/>
    <s v="Standard Class"/>
    <x v="611"/>
    <s v="Speros Goranitis"/>
    <x v="0"/>
    <s v="United States"/>
    <s v="New York City"/>
    <x v="15"/>
    <n v="10009"/>
    <x v="3"/>
    <x v="1146"/>
    <x v="0"/>
    <x v="5"/>
    <x v="1134"/>
    <x v="1976"/>
    <x v="4"/>
    <x v="1"/>
  </r>
  <r>
    <n v="2394"/>
    <x v="1173"/>
    <x v="716"/>
    <d v="2017-03-23T00:00:00"/>
    <s v="Standard Class"/>
    <x v="394"/>
    <s v="Christine Sundaresam"/>
    <x v="0"/>
    <s v="United States"/>
    <s v="Malden"/>
    <x v="31"/>
    <n v="2148"/>
    <x v="3"/>
    <x v="397"/>
    <x v="1"/>
    <x v="6"/>
    <x v="398"/>
    <x v="1977"/>
    <x v="10"/>
    <x v="0"/>
  </r>
  <r>
    <n v="2395"/>
    <x v="1174"/>
    <x v="717"/>
    <d v="2016-11-19T00:00:00"/>
    <s v="Standard Class"/>
    <x v="601"/>
    <s v="Patrick Jones"/>
    <x v="1"/>
    <s v="United States"/>
    <s v="New York City"/>
    <x v="15"/>
    <n v="10035"/>
    <x v="3"/>
    <x v="1202"/>
    <x v="2"/>
    <x v="11"/>
    <x v="1187"/>
    <x v="1978"/>
    <x v="0"/>
    <x v="1"/>
  </r>
  <r>
    <n v="2396"/>
    <x v="1174"/>
    <x v="717"/>
    <d v="2016-11-19T00:00:00"/>
    <s v="Standard Class"/>
    <x v="601"/>
    <s v="Patrick Jones"/>
    <x v="1"/>
    <s v="United States"/>
    <s v="New York City"/>
    <x v="15"/>
    <n v="10035"/>
    <x v="3"/>
    <x v="538"/>
    <x v="2"/>
    <x v="11"/>
    <x v="538"/>
    <x v="1979"/>
    <x v="0"/>
    <x v="1"/>
  </r>
  <r>
    <n v="2397"/>
    <x v="1174"/>
    <x v="717"/>
    <d v="2016-11-19T00:00:00"/>
    <s v="Standard Class"/>
    <x v="601"/>
    <s v="Patrick Jones"/>
    <x v="1"/>
    <s v="United States"/>
    <s v="New York City"/>
    <x v="15"/>
    <n v="10035"/>
    <x v="3"/>
    <x v="956"/>
    <x v="1"/>
    <x v="10"/>
    <x v="949"/>
    <x v="1980"/>
    <x v="0"/>
    <x v="1"/>
  </r>
  <r>
    <n v="2398"/>
    <x v="1175"/>
    <x v="718"/>
    <d v="2018-08-16T00:00:00"/>
    <s v="Second Class"/>
    <x v="413"/>
    <s v="Nora Preis"/>
    <x v="0"/>
    <s v="United States"/>
    <s v="San Francisco"/>
    <x v="1"/>
    <n v="94109"/>
    <x v="1"/>
    <x v="745"/>
    <x v="1"/>
    <x v="2"/>
    <x v="743"/>
    <x v="1755"/>
    <x v="6"/>
    <x v="3"/>
  </r>
  <r>
    <n v="2399"/>
    <x v="1175"/>
    <x v="718"/>
    <d v="2018-08-16T00:00:00"/>
    <s v="Second Class"/>
    <x v="413"/>
    <s v="Nora Preis"/>
    <x v="0"/>
    <s v="United States"/>
    <s v="San Francisco"/>
    <x v="1"/>
    <n v="94109"/>
    <x v="1"/>
    <x v="21"/>
    <x v="1"/>
    <x v="6"/>
    <x v="21"/>
    <x v="1438"/>
    <x v="6"/>
    <x v="3"/>
  </r>
  <r>
    <n v="2400"/>
    <x v="1176"/>
    <x v="428"/>
    <d v="2018-09-15T00:00:00"/>
    <s v="Standard Class"/>
    <x v="115"/>
    <s v="Sean Braxton"/>
    <x v="1"/>
    <s v="United States"/>
    <s v="Florence"/>
    <x v="20"/>
    <n v="29501"/>
    <x v="0"/>
    <x v="435"/>
    <x v="1"/>
    <x v="4"/>
    <x v="435"/>
    <x v="1981"/>
    <x v="8"/>
    <x v="3"/>
  </r>
  <r>
    <n v="2401"/>
    <x v="1176"/>
    <x v="428"/>
    <d v="2018-09-15T00:00:00"/>
    <s v="Standard Class"/>
    <x v="115"/>
    <s v="Sean Braxton"/>
    <x v="1"/>
    <s v="United States"/>
    <s v="Florence"/>
    <x v="20"/>
    <n v="29501"/>
    <x v="0"/>
    <x v="1011"/>
    <x v="1"/>
    <x v="4"/>
    <x v="1003"/>
    <x v="1982"/>
    <x v="8"/>
    <x v="3"/>
  </r>
  <r>
    <n v="2402"/>
    <x v="1177"/>
    <x v="719"/>
    <d v="2018-04-04T00:00:00"/>
    <s v="Second Class"/>
    <x v="548"/>
    <s v="Adam Shillingsburg"/>
    <x v="0"/>
    <s v="United States"/>
    <s v="Springfield"/>
    <x v="25"/>
    <n v="65807"/>
    <x v="2"/>
    <x v="953"/>
    <x v="1"/>
    <x v="4"/>
    <x v="946"/>
    <x v="1983"/>
    <x v="3"/>
    <x v="3"/>
  </r>
  <r>
    <n v="2403"/>
    <x v="1177"/>
    <x v="719"/>
    <d v="2018-04-04T00:00:00"/>
    <s v="Second Class"/>
    <x v="548"/>
    <s v="Adam Shillingsburg"/>
    <x v="0"/>
    <s v="United States"/>
    <s v="Springfield"/>
    <x v="25"/>
    <n v="65807"/>
    <x v="2"/>
    <x v="152"/>
    <x v="1"/>
    <x v="12"/>
    <x v="153"/>
    <x v="158"/>
    <x v="3"/>
    <x v="3"/>
  </r>
  <r>
    <n v="2404"/>
    <x v="1178"/>
    <x v="720"/>
    <d v="2017-10-03T00:00:00"/>
    <s v="Standard Class"/>
    <x v="447"/>
    <s v="Harry Marie"/>
    <x v="1"/>
    <s v="United States"/>
    <s v="Huntsville"/>
    <x v="5"/>
    <n v="77340"/>
    <x v="2"/>
    <x v="1333"/>
    <x v="0"/>
    <x v="0"/>
    <x v="1318"/>
    <x v="1984"/>
    <x v="8"/>
    <x v="0"/>
  </r>
  <r>
    <n v="2405"/>
    <x v="1179"/>
    <x v="566"/>
    <d v="2018-10-11T00:00:00"/>
    <s v="Standard Class"/>
    <x v="207"/>
    <s v="Mike Gockenbach"/>
    <x v="0"/>
    <s v="United States"/>
    <s v="Los Angeles"/>
    <x v="1"/>
    <n v="90045"/>
    <x v="1"/>
    <x v="695"/>
    <x v="2"/>
    <x v="11"/>
    <x v="695"/>
    <x v="1985"/>
    <x v="2"/>
    <x v="3"/>
  </r>
  <r>
    <n v="2406"/>
    <x v="1179"/>
    <x v="566"/>
    <d v="2018-10-11T00:00:00"/>
    <s v="Standard Class"/>
    <x v="207"/>
    <s v="Mike Gockenbach"/>
    <x v="0"/>
    <s v="United States"/>
    <s v="Los Angeles"/>
    <x v="1"/>
    <n v="90045"/>
    <x v="1"/>
    <x v="461"/>
    <x v="2"/>
    <x v="7"/>
    <x v="462"/>
    <x v="1986"/>
    <x v="2"/>
    <x v="3"/>
  </r>
  <r>
    <n v="2407"/>
    <x v="1179"/>
    <x v="566"/>
    <d v="2018-10-11T00:00:00"/>
    <s v="Standard Class"/>
    <x v="207"/>
    <s v="Mike Gockenbach"/>
    <x v="0"/>
    <s v="United States"/>
    <s v="Los Angeles"/>
    <x v="1"/>
    <n v="90045"/>
    <x v="1"/>
    <x v="312"/>
    <x v="2"/>
    <x v="7"/>
    <x v="312"/>
    <x v="705"/>
    <x v="2"/>
    <x v="3"/>
  </r>
  <r>
    <n v="2408"/>
    <x v="1180"/>
    <x v="176"/>
    <d v="2018-01-25T00:00:00"/>
    <s v="Standard Class"/>
    <x v="612"/>
    <s v="Tamara Manning"/>
    <x v="0"/>
    <s v="United States"/>
    <s v="San Francisco"/>
    <x v="1"/>
    <n v="94122"/>
    <x v="1"/>
    <x v="1159"/>
    <x v="1"/>
    <x v="6"/>
    <x v="772"/>
    <x v="1987"/>
    <x v="9"/>
    <x v="3"/>
  </r>
  <r>
    <n v="2409"/>
    <x v="1180"/>
    <x v="176"/>
    <d v="2018-01-25T00:00:00"/>
    <s v="Standard Class"/>
    <x v="612"/>
    <s v="Tamara Manning"/>
    <x v="0"/>
    <s v="United States"/>
    <s v="San Francisco"/>
    <x v="1"/>
    <n v="94122"/>
    <x v="1"/>
    <x v="1334"/>
    <x v="2"/>
    <x v="7"/>
    <x v="1319"/>
    <x v="1988"/>
    <x v="9"/>
    <x v="3"/>
  </r>
  <r>
    <n v="2410"/>
    <x v="1181"/>
    <x v="721"/>
    <d v="2018-03-25T00:00:00"/>
    <s v="First Class"/>
    <x v="336"/>
    <s v="Bill Eplett"/>
    <x v="2"/>
    <s v="United States"/>
    <s v="San Francisco"/>
    <x v="1"/>
    <n v="94122"/>
    <x v="1"/>
    <x v="1092"/>
    <x v="0"/>
    <x v="5"/>
    <x v="1082"/>
    <x v="1989"/>
    <x v="10"/>
    <x v="3"/>
  </r>
  <r>
    <n v="2411"/>
    <x v="1182"/>
    <x v="601"/>
    <d v="2015-08-06T00:00:00"/>
    <s v="Standard Class"/>
    <x v="357"/>
    <s v="Ann Steele"/>
    <x v="2"/>
    <s v="United States"/>
    <s v="Philadelphia"/>
    <x v="9"/>
    <n v="19120"/>
    <x v="3"/>
    <x v="1053"/>
    <x v="1"/>
    <x v="13"/>
    <x v="1042"/>
    <x v="1093"/>
    <x v="6"/>
    <x v="2"/>
  </r>
  <r>
    <n v="2412"/>
    <x v="1183"/>
    <x v="722"/>
    <d v="2016-06-09T00:00:00"/>
    <s v="Second Class"/>
    <x v="613"/>
    <s v="Eleni McCrary"/>
    <x v="1"/>
    <s v="United States"/>
    <s v="Los Angeles"/>
    <x v="1"/>
    <n v="90036"/>
    <x v="1"/>
    <x v="620"/>
    <x v="1"/>
    <x v="8"/>
    <x v="620"/>
    <x v="1990"/>
    <x v="1"/>
    <x v="1"/>
  </r>
  <r>
    <n v="2413"/>
    <x v="1184"/>
    <x v="607"/>
    <d v="2015-11-16T00:00:00"/>
    <s v="Standard Class"/>
    <x v="350"/>
    <s v="Joseph Airdo"/>
    <x v="0"/>
    <s v="United States"/>
    <s v="Los Angeles"/>
    <x v="1"/>
    <n v="90045"/>
    <x v="1"/>
    <x v="358"/>
    <x v="1"/>
    <x v="10"/>
    <x v="358"/>
    <x v="489"/>
    <x v="0"/>
    <x v="2"/>
  </r>
  <r>
    <n v="2414"/>
    <x v="1184"/>
    <x v="607"/>
    <d v="2015-11-16T00:00:00"/>
    <s v="Standard Class"/>
    <x v="350"/>
    <s v="Joseph Airdo"/>
    <x v="0"/>
    <s v="United States"/>
    <s v="Los Angeles"/>
    <x v="1"/>
    <n v="90045"/>
    <x v="1"/>
    <x v="736"/>
    <x v="0"/>
    <x v="3"/>
    <x v="735"/>
    <x v="1991"/>
    <x v="0"/>
    <x v="2"/>
  </r>
  <r>
    <n v="2415"/>
    <x v="1185"/>
    <x v="723"/>
    <d v="2018-01-02T00:00:00"/>
    <s v="Standard Class"/>
    <x v="180"/>
    <s v="Troy Blackwell"/>
    <x v="0"/>
    <s v="United States"/>
    <s v="Milwaukee"/>
    <x v="6"/>
    <n v="53209"/>
    <x v="2"/>
    <x v="1318"/>
    <x v="0"/>
    <x v="1"/>
    <x v="1304"/>
    <x v="1992"/>
    <x v="4"/>
    <x v="0"/>
  </r>
  <r>
    <n v="2416"/>
    <x v="1186"/>
    <x v="380"/>
    <d v="2016-07-11T00:00:00"/>
    <s v="Standard Class"/>
    <x v="452"/>
    <s v="Paul Prost"/>
    <x v="2"/>
    <s v="United States"/>
    <s v="Holyoke"/>
    <x v="31"/>
    <n v="1040"/>
    <x v="3"/>
    <x v="415"/>
    <x v="0"/>
    <x v="0"/>
    <x v="415"/>
    <x v="85"/>
    <x v="7"/>
    <x v="1"/>
  </r>
  <r>
    <n v="2417"/>
    <x v="1187"/>
    <x v="386"/>
    <d v="2018-10-18T00:00:00"/>
    <s v="Standard Class"/>
    <x v="614"/>
    <s v="Michelle Lonsdale"/>
    <x v="1"/>
    <s v="United States"/>
    <s v="Albuquerque"/>
    <x v="27"/>
    <n v="87105"/>
    <x v="1"/>
    <x v="1200"/>
    <x v="2"/>
    <x v="11"/>
    <x v="1185"/>
    <x v="1993"/>
    <x v="2"/>
    <x v="3"/>
  </r>
  <r>
    <n v="2418"/>
    <x v="1187"/>
    <x v="386"/>
    <d v="2018-10-18T00:00:00"/>
    <s v="Standard Class"/>
    <x v="614"/>
    <s v="Michelle Lonsdale"/>
    <x v="1"/>
    <s v="United States"/>
    <s v="Albuquerque"/>
    <x v="27"/>
    <n v="87105"/>
    <x v="1"/>
    <x v="1197"/>
    <x v="1"/>
    <x v="8"/>
    <x v="1182"/>
    <x v="1924"/>
    <x v="2"/>
    <x v="3"/>
  </r>
  <r>
    <n v="2419"/>
    <x v="1188"/>
    <x v="206"/>
    <d v="2017-05-28T00:00:00"/>
    <s v="Standard Class"/>
    <x v="18"/>
    <s v="Linda Cazamias"/>
    <x v="1"/>
    <s v="United States"/>
    <s v="Sparks"/>
    <x v="33"/>
    <n v="89431"/>
    <x v="1"/>
    <x v="1335"/>
    <x v="2"/>
    <x v="15"/>
    <x v="1320"/>
    <x v="1994"/>
    <x v="5"/>
    <x v="0"/>
  </r>
  <r>
    <n v="2420"/>
    <x v="1189"/>
    <x v="45"/>
    <d v="2018-11-14T00:00:00"/>
    <s v="Standard Class"/>
    <x v="565"/>
    <s v="Matt Collister"/>
    <x v="1"/>
    <s v="United States"/>
    <s v="Coachella"/>
    <x v="1"/>
    <n v="92236"/>
    <x v="1"/>
    <x v="967"/>
    <x v="1"/>
    <x v="4"/>
    <x v="960"/>
    <x v="1995"/>
    <x v="0"/>
    <x v="3"/>
  </r>
  <r>
    <n v="2421"/>
    <x v="1189"/>
    <x v="45"/>
    <d v="2018-11-14T00:00:00"/>
    <s v="Standard Class"/>
    <x v="565"/>
    <s v="Matt Collister"/>
    <x v="1"/>
    <s v="United States"/>
    <s v="Coachella"/>
    <x v="1"/>
    <n v="92236"/>
    <x v="1"/>
    <x v="1336"/>
    <x v="2"/>
    <x v="11"/>
    <x v="1321"/>
    <x v="311"/>
    <x v="0"/>
    <x v="3"/>
  </r>
  <r>
    <n v="2422"/>
    <x v="1190"/>
    <x v="724"/>
    <d v="2017-04-23T00:00:00"/>
    <s v="Standard Class"/>
    <x v="615"/>
    <s v="Clay Rozendal"/>
    <x v="2"/>
    <s v="United States"/>
    <s v="Elmhurst"/>
    <x v="10"/>
    <n v="60126"/>
    <x v="2"/>
    <x v="82"/>
    <x v="1"/>
    <x v="4"/>
    <x v="82"/>
    <x v="84"/>
    <x v="3"/>
    <x v="0"/>
  </r>
  <r>
    <n v="2423"/>
    <x v="1190"/>
    <x v="724"/>
    <d v="2017-04-23T00:00:00"/>
    <s v="Standard Class"/>
    <x v="615"/>
    <s v="Clay Rozendal"/>
    <x v="2"/>
    <s v="United States"/>
    <s v="Elmhurst"/>
    <x v="10"/>
    <n v="60126"/>
    <x v="2"/>
    <x v="670"/>
    <x v="1"/>
    <x v="10"/>
    <x v="670"/>
    <x v="772"/>
    <x v="3"/>
    <x v="0"/>
  </r>
  <r>
    <n v="2424"/>
    <x v="1191"/>
    <x v="53"/>
    <d v="2018-12-30T00:00:00"/>
    <s v="Standard Class"/>
    <x v="603"/>
    <s v="Susan Vittorini"/>
    <x v="0"/>
    <s v="United States"/>
    <s v="Fairfield"/>
    <x v="24"/>
    <n v="45014"/>
    <x v="3"/>
    <x v="721"/>
    <x v="2"/>
    <x v="11"/>
    <x v="720"/>
    <x v="1996"/>
    <x v="4"/>
    <x v="3"/>
  </r>
  <r>
    <n v="2425"/>
    <x v="1191"/>
    <x v="53"/>
    <d v="2018-12-30T00:00:00"/>
    <s v="Standard Class"/>
    <x v="603"/>
    <s v="Susan Vittorini"/>
    <x v="0"/>
    <s v="United States"/>
    <s v="Fairfield"/>
    <x v="24"/>
    <n v="45014"/>
    <x v="3"/>
    <x v="1311"/>
    <x v="1"/>
    <x v="8"/>
    <x v="1297"/>
    <x v="1997"/>
    <x v="4"/>
    <x v="3"/>
  </r>
  <r>
    <n v="2426"/>
    <x v="1191"/>
    <x v="53"/>
    <d v="2018-12-30T00:00:00"/>
    <s v="Standard Class"/>
    <x v="603"/>
    <s v="Susan Vittorini"/>
    <x v="0"/>
    <s v="United States"/>
    <s v="Fairfield"/>
    <x v="24"/>
    <n v="45014"/>
    <x v="3"/>
    <x v="1337"/>
    <x v="0"/>
    <x v="3"/>
    <x v="1322"/>
    <x v="1998"/>
    <x v="4"/>
    <x v="3"/>
  </r>
  <r>
    <n v="2427"/>
    <x v="1191"/>
    <x v="53"/>
    <d v="2018-12-30T00:00:00"/>
    <s v="Standard Class"/>
    <x v="603"/>
    <s v="Susan Vittorini"/>
    <x v="0"/>
    <s v="United States"/>
    <s v="Fairfield"/>
    <x v="24"/>
    <n v="45014"/>
    <x v="3"/>
    <x v="1228"/>
    <x v="1"/>
    <x v="13"/>
    <x v="128"/>
    <x v="1999"/>
    <x v="4"/>
    <x v="3"/>
  </r>
  <r>
    <n v="2428"/>
    <x v="1192"/>
    <x v="725"/>
    <d v="2017-06-17T00:00:00"/>
    <s v="Standard Class"/>
    <x v="89"/>
    <s v="Mary Zewe"/>
    <x v="1"/>
    <s v="United States"/>
    <s v="Arlington"/>
    <x v="5"/>
    <n v="76017"/>
    <x v="2"/>
    <x v="1338"/>
    <x v="1"/>
    <x v="8"/>
    <x v="1323"/>
    <x v="2000"/>
    <x v="1"/>
    <x v="0"/>
  </r>
  <r>
    <n v="2429"/>
    <x v="1192"/>
    <x v="725"/>
    <d v="2017-06-17T00:00:00"/>
    <s v="Standard Class"/>
    <x v="89"/>
    <s v="Mary Zewe"/>
    <x v="1"/>
    <s v="United States"/>
    <s v="Arlington"/>
    <x v="5"/>
    <n v="76017"/>
    <x v="2"/>
    <x v="1339"/>
    <x v="1"/>
    <x v="8"/>
    <x v="1324"/>
    <x v="2001"/>
    <x v="1"/>
    <x v="0"/>
  </r>
  <r>
    <n v="2430"/>
    <x v="1192"/>
    <x v="725"/>
    <d v="2017-06-17T00:00:00"/>
    <s v="Standard Class"/>
    <x v="89"/>
    <s v="Mary Zewe"/>
    <x v="1"/>
    <s v="United States"/>
    <s v="Arlington"/>
    <x v="5"/>
    <n v="76017"/>
    <x v="2"/>
    <x v="1073"/>
    <x v="0"/>
    <x v="5"/>
    <x v="1063"/>
    <x v="2002"/>
    <x v="1"/>
    <x v="0"/>
  </r>
  <r>
    <n v="2431"/>
    <x v="1193"/>
    <x v="726"/>
    <d v="2018-05-20T00:00:00"/>
    <s v="Standard Class"/>
    <x v="176"/>
    <s v="Ross Baird"/>
    <x v="2"/>
    <s v="United States"/>
    <s v="San Francisco"/>
    <x v="1"/>
    <n v="94110"/>
    <x v="1"/>
    <x v="2"/>
    <x v="1"/>
    <x v="2"/>
    <x v="2"/>
    <x v="2003"/>
    <x v="5"/>
    <x v="3"/>
  </r>
  <r>
    <n v="2432"/>
    <x v="1194"/>
    <x v="116"/>
    <d v="2019-01-02T00:00:00"/>
    <s v="Standard Class"/>
    <x v="447"/>
    <s v="Harry Marie"/>
    <x v="1"/>
    <s v="United States"/>
    <s v="Seattle"/>
    <x v="4"/>
    <n v="98103"/>
    <x v="1"/>
    <x v="345"/>
    <x v="0"/>
    <x v="5"/>
    <x v="345"/>
    <x v="2004"/>
    <x v="4"/>
    <x v="3"/>
  </r>
  <r>
    <n v="2433"/>
    <x v="1195"/>
    <x v="727"/>
    <d v="2015-04-01T00:00:00"/>
    <s v="Standard Class"/>
    <x v="616"/>
    <s v="Annie Zypern"/>
    <x v="0"/>
    <s v="United States"/>
    <s v="New York City"/>
    <x v="15"/>
    <n v="10009"/>
    <x v="3"/>
    <x v="1340"/>
    <x v="0"/>
    <x v="1"/>
    <x v="1325"/>
    <x v="2005"/>
    <x v="10"/>
    <x v="2"/>
  </r>
  <r>
    <n v="2434"/>
    <x v="1196"/>
    <x v="39"/>
    <d v="2018-06-01T00:00:00"/>
    <s v="Standard Class"/>
    <x v="101"/>
    <s v="Jonathan Howell"/>
    <x v="0"/>
    <s v="United States"/>
    <s v="Houston"/>
    <x v="5"/>
    <n v="77070"/>
    <x v="2"/>
    <x v="1259"/>
    <x v="2"/>
    <x v="7"/>
    <x v="1243"/>
    <x v="2006"/>
    <x v="5"/>
    <x v="3"/>
  </r>
  <r>
    <n v="2435"/>
    <x v="1197"/>
    <x v="717"/>
    <d v="2016-11-17T00:00:00"/>
    <s v="First Class"/>
    <x v="601"/>
    <s v="Patrick Jones"/>
    <x v="1"/>
    <s v="United States"/>
    <s v="Springfield"/>
    <x v="17"/>
    <n v="22153"/>
    <x v="0"/>
    <x v="618"/>
    <x v="1"/>
    <x v="12"/>
    <x v="618"/>
    <x v="2007"/>
    <x v="0"/>
    <x v="1"/>
  </r>
  <r>
    <n v="2436"/>
    <x v="1197"/>
    <x v="717"/>
    <d v="2016-11-17T00:00:00"/>
    <s v="First Class"/>
    <x v="601"/>
    <s v="Patrick Jones"/>
    <x v="1"/>
    <s v="United States"/>
    <s v="Springfield"/>
    <x v="17"/>
    <n v="22153"/>
    <x v="0"/>
    <x v="1341"/>
    <x v="1"/>
    <x v="9"/>
    <x v="1326"/>
    <x v="2008"/>
    <x v="0"/>
    <x v="1"/>
  </r>
  <r>
    <n v="2437"/>
    <x v="1198"/>
    <x v="445"/>
    <d v="2018-07-10T00:00:00"/>
    <s v="Standard Class"/>
    <x v="244"/>
    <s v="Christina Anderson"/>
    <x v="0"/>
    <s v="United States"/>
    <s v="Farmington"/>
    <x v="27"/>
    <n v="87401"/>
    <x v="1"/>
    <x v="71"/>
    <x v="0"/>
    <x v="5"/>
    <x v="71"/>
    <x v="2009"/>
    <x v="7"/>
    <x v="3"/>
  </r>
  <r>
    <n v="2438"/>
    <x v="1199"/>
    <x v="728"/>
    <d v="2015-11-20T00:00:00"/>
    <s v="Second Class"/>
    <x v="617"/>
    <s v="Pierre Wener"/>
    <x v="0"/>
    <s v="United States"/>
    <s v="Louisville"/>
    <x v="22"/>
    <n v="80027"/>
    <x v="1"/>
    <x v="1342"/>
    <x v="0"/>
    <x v="3"/>
    <x v="1327"/>
    <x v="2010"/>
    <x v="0"/>
    <x v="2"/>
  </r>
  <r>
    <n v="2439"/>
    <x v="1199"/>
    <x v="728"/>
    <d v="2015-11-20T00:00:00"/>
    <s v="Second Class"/>
    <x v="617"/>
    <s v="Pierre Wener"/>
    <x v="0"/>
    <s v="United States"/>
    <s v="Louisville"/>
    <x v="22"/>
    <n v="80027"/>
    <x v="1"/>
    <x v="862"/>
    <x v="1"/>
    <x v="10"/>
    <x v="856"/>
    <x v="2011"/>
    <x v="0"/>
    <x v="2"/>
  </r>
  <r>
    <n v="2440"/>
    <x v="1200"/>
    <x v="729"/>
    <d v="2018-07-22T00:00:00"/>
    <s v="Standard Class"/>
    <x v="517"/>
    <s v="Shaun Weien"/>
    <x v="0"/>
    <s v="United States"/>
    <s v="Tampa"/>
    <x v="2"/>
    <n v="33614"/>
    <x v="0"/>
    <x v="627"/>
    <x v="0"/>
    <x v="5"/>
    <x v="627"/>
    <x v="2012"/>
    <x v="7"/>
    <x v="3"/>
  </r>
  <r>
    <n v="2441"/>
    <x v="1201"/>
    <x v="730"/>
    <d v="2017-05-27T00:00:00"/>
    <s v="Standard Class"/>
    <x v="578"/>
    <s v="Art Ferguson"/>
    <x v="0"/>
    <s v="United States"/>
    <s v="Passaic"/>
    <x v="30"/>
    <n v="7055"/>
    <x v="3"/>
    <x v="302"/>
    <x v="2"/>
    <x v="7"/>
    <x v="302"/>
    <x v="2013"/>
    <x v="5"/>
    <x v="0"/>
  </r>
  <r>
    <n v="2442"/>
    <x v="1201"/>
    <x v="730"/>
    <d v="2017-05-27T00:00:00"/>
    <s v="Standard Class"/>
    <x v="578"/>
    <s v="Art Ferguson"/>
    <x v="0"/>
    <s v="United States"/>
    <s v="Passaic"/>
    <x v="30"/>
    <n v="7055"/>
    <x v="3"/>
    <x v="209"/>
    <x v="0"/>
    <x v="3"/>
    <x v="210"/>
    <x v="2014"/>
    <x v="5"/>
    <x v="0"/>
  </r>
  <r>
    <n v="2443"/>
    <x v="1201"/>
    <x v="730"/>
    <d v="2017-05-27T00:00:00"/>
    <s v="Standard Class"/>
    <x v="578"/>
    <s v="Art Ferguson"/>
    <x v="0"/>
    <s v="United States"/>
    <s v="Passaic"/>
    <x v="30"/>
    <n v="7055"/>
    <x v="3"/>
    <x v="190"/>
    <x v="1"/>
    <x v="9"/>
    <x v="191"/>
    <x v="2015"/>
    <x v="5"/>
    <x v="0"/>
  </r>
  <r>
    <n v="2444"/>
    <x v="1201"/>
    <x v="730"/>
    <d v="2017-05-27T00:00:00"/>
    <s v="Standard Class"/>
    <x v="578"/>
    <s v="Art Ferguson"/>
    <x v="0"/>
    <s v="United States"/>
    <s v="Passaic"/>
    <x v="30"/>
    <n v="7055"/>
    <x v="3"/>
    <x v="452"/>
    <x v="2"/>
    <x v="11"/>
    <x v="453"/>
    <x v="2016"/>
    <x v="5"/>
    <x v="0"/>
  </r>
  <r>
    <n v="2445"/>
    <x v="1201"/>
    <x v="730"/>
    <d v="2017-05-27T00:00:00"/>
    <s v="Standard Class"/>
    <x v="578"/>
    <s v="Art Ferguson"/>
    <x v="0"/>
    <s v="United States"/>
    <s v="Passaic"/>
    <x v="30"/>
    <n v="7055"/>
    <x v="3"/>
    <x v="1343"/>
    <x v="1"/>
    <x v="12"/>
    <x v="1328"/>
    <x v="2017"/>
    <x v="5"/>
    <x v="0"/>
  </r>
  <r>
    <n v="2446"/>
    <x v="1201"/>
    <x v="730"/>
    <d v="2017-05-27T00:00:00"/>
    <s v="Standard Class"/>
    <x v="578"/>
    <s v="Art Ferguson"/>
    <x v="0"/>
    <s v="United States"/>
    <s v="Passaic"/>
    <x v="30"/>
    <n v="7055"/>
    <x v="3"/>
    <x v="957"/>
    <x v="2"/>
    <x v="7"/>
    <x v="950"/>
    <x v="2018"/>
    <x v="5"/>
    <x v="0"/>
  </r>
  <r>
    <n v="2447"/>
    <x v="1202"/>
    <x v="12"/>
    <d v="2016-10-01T00:00:00"/>
    <s v="Standard Class"/>
    <x v="562"/>
    <s v="Anne McFarland"/>
    <x v="0"/>
    <s v="United States"/>
    <s v="Los Angeles"/>
    <x v="1"/>
    <n v="90004"/>
    <x v="1"/>
    <x v="755"/>
    <x v="1"/>
    <x v="12"/>
    <x v="753"/>
    <x v="1897"/>
    <x v="8"/>
    <x v="1"/>
  </r>
  <r>
    <n v="2448"/>
    <x v="1203"/>
    <x v="731"/>
    <d v="2017-11-06T00:00:00"/>
    <s v="Standard Class"/>
    <x v="217"/>
    <s v="Bill Donatelli"/>
    <x v="0"/>
    <s v="United States"/>
    <s v="Philadelphia"/>
    <x v="9"/>
    <n v="19143"/>
    <x v="3"/>
    <x v="1153"/>
    <x v="0"/>
    <x v="1"/>
    <x v="1141"/>
    <x v="2019"/>
    <x v="2"/>
    <x v="0"/>
  </r>
  <r>
    <n v="2449"/>
    <x v="1204"/>
    <x v="471"/>
    <d v="2016-09-17T00:00:00"/>
    <s v="Second Class"/>
    <x v="200"/>
    <s v="Christopher Martinez"/>
    <x v="0"/>
    <s v="United States"/>
    <s v="North Charleston"/>
    <x v="20"/>
    <n v="29406"/>
    <x v="0"/>
    <x v="435"/>
    <x v="1"/>
    <x v="4"/>
    <x v="435"/>
    <x v="2020"/>
    <x v="8"/>
    <x v="1"/>
  </r>
  <r>
    <n v="2450"/>
    <x v="1205"/>
    <x v="732"/>
    <d v="2017-11-10T00:00:00"/>
    <s v="Standard Class"/>
    <x v="37"/>
    <s v="Christopher Schild"/>
    <x v="2"/>
    <s v="United States"/>
    <s v="San Jose"/>
    <x v="1"/>
    <n v="95123"/>
    <x v="1"/>
    <x v="1344"/>
    <x v="1"/>
    <x v="8"/>
    <x v="1329"/>
    <x v="2021"/>
    <x v="0"/>
    <x v="0"/>
  </r>
  <r>
    <n v="2451"/>
    <x v="1206"/>
    <x v="294"/>
    <d v="2018-03-22T00:00:00"/>
    <s v="Second Class"/>
    <x v="591"/>
    <s v="Denny Blanton"/>
    <x v="0"/>
    <s v="United States"/>
    <s v="New York City"/>
    <x v="15"/>
    <n v="10011"/>
    <x v="3"/>
    <x v="1345"/>
    <x v="1"/>
    <x v="2"/>
    <x v="1330"/>
    <x v="2022"/>
    <x v="10"/>
    <x v="3"/>
  </r>
  <r>
    <n v="2452"/>
    <x v="1206"/>
    <x v="294"/>
    <d v="2018-03-22T00:00:00"/>
    <s v="Second Class"/>
    <x v="591"/>
    <s v="Denny Blanton"/>
    <x v="0"/>
    <s v="United States"/>
    <s v="New York City"/>
    <x v="15"/>
    <n v="10011"/>
    <x v="3"/>
    <x v="424"/>
    <x v="2"/>
    <x v="7"/>
    <x v="424"/>
    <x v="2023"/>
    <x v="10"/>
    <x v="3"/>
  </r>
  <r>
    <n v="2453"/>
    <x v="1206"/>
    <x v="294"/>
    <d v="2018-03-22T00:00:00"/>
    <s v="Second Class"/>
    <x v="591"/>
    <s v="Denny Blanton"/>
    <x v="0"/>
    <s v="United States"/>
    <s v="New York City"/>
    <x v="15"/>
    <n v="10011"/>
    <x v="3"/>
    <x v="536"/>
    <x v="1"/>
    <x v="8"/>
    <x v="536"/>
    <x v="1073"/>
    <x v="10"/>
    <x v="3"/>
  </r>
  <r>
    <n v="2454"/>
    <x v="1206"/>
    <x v="294"/>
    <d v="2018-03-22T00:00:00"/>
    <s v="Second Class"/>
    <x v="591"/>
    <s v="Denny Blanton"/>
    <x v="0"/>
    <s v="United States"/>
    <s v="New York City"/>
    <x v="15"/>
    <n v="10011"/>
    <x v="3"/>
    <x v="452"/>
    <x v="2"/>
    <x v="11"/>
    <x v="453"/>
    <x v="2024"/>
    <x v="10"/>
    <x v="3"/>
  </r>
  <r>
    <n v="2455"/>
    <x v="1206"/>
    <x v="294"/>
    <d v="2018-03-22T00:00:00"/>
    <s v="Second Class"/>
    <x v="591"/>
    <s v="Denny Blanton"/>
    <x v="0"/>
    <s v="United States"/>
    <s v="New York City"/>
    <x v="15"/>
    <n v="10011"/>
    <x v="3"/>
    <x v="1044"/>
    <x v="2"/>
    <x v="11"/>
    <x v="1033"/>
    <x v="1819"/>
    <x v="10"/>
    <x v="3"/>
  </r>
  <r>
    <n v="2456"/>
    <x v="1206"/>
    <x v="294"/>
    <d v="2018-03-22T00:00:00"/>
    <s v="Second Class"/>
    <x v="591"/>
    <s v="Denny Blanton"/>
    <x v="0"/>
    <s v="United States"/>
    <s v="New York City"/>
    <x v="15"/>
    <n v="10011"/>
    <x v="3"/>
    <x v="1031"/>
    <x v="1"/>
    <x v="4"/>
    <x v="1022"/>
    <x v="2025"/>
    <x v="10"/>
    <x v="3"/>
  </r>
  <r>
    <n v="2457"/>
    <x v="1206"/>
    <x v="294"/>
    <d v="2018-03-22T00:00:00"/>
    <s v="Second Class"/>
    <x v="591"/>
    <s v="Denny Blanton"/>
    <x v="0"/>
    <s v="United States"/>
    <s v="New York City"/>
    <x v="15"/>
    <n v="10011"/>
    <x v="3"/>
    <x v="676"/>
    <x v="1"/>
    <x v="2"/>
    <x v="676"/>
    <x v="2026"/>
    <x v="10"/>
    <x v="3"/>
  </r>
  <r>
    <n v="2458"/>
    <x v="1206"/>
    <x v="294"/>
    <d v="2018-03-22T00:00:00"/>
    <s v="Second Class"/>
    <x v="591"/>
    <s v="Denny Blanton"/>
    <x v="0"/>
    <s v="United States"/>
    <s v="New York City"/>
    <x v="15"/>
    <n v="10011"/>
    <x v="3"/>
    <x v="32"/>
    <x v="1"/>
    <x v="6"/>
    <x v="32"/>
    <x v="2027"/>
    <x v="10"/>
    <x v="3"/>
  </r>
  <r>
    <n v="2459"/>
    <x v="1206"/>
    <x v="294"/>
    <d v="2018-03-22T00:00:00"/>
    <s v="Second Class"/>
    <x v="591"/>
    <s v="Denny Blanton"/>
    <x v="0"/>
    <s v="United States"/>
    <s v="New York City"/>
    <x v="15"/>
    <n v="10011"/>
    <x v="3"/>
    <x v="170"/>
    <x v="1"/>
    <x v="4"/>
    <x v="171"/>
    <x v="2028"/>
    <x v="10"/>
    <x v="3"/>
  </r>
  <r>
    <n v="2460"/>
    <x v="1207"/>
    <x v="733"/>
    <d v="2018-08-21T00:00:00"/>
    <s v="Standard Class"/>
    <x v="506"/>
    <s v="James Galang"/>
    <x v="0"/>
    <s v="United States"/>
    <s v="Plainfield"/>
    <x v="30"/>
    <n v="7060"/>
    <x v="3"/>
    <x v="414"/>
    <x v="1"/>
    <x v="9"/>
    <x v="414"/>
    <x v="2029"/>
    <x v="6"/>
    <x v="3"/>
  </r>
  <r>
    <n v="2461"/>
    <x v="1208"/>
    <x v="655"/>
    <d v="2016-07-13T00:00:00"/>
    <s v="Second Class"/>
    <x v="618"/>
    <s v="Shahid Collister"/>
    <x v="0"/>
    <s v="United States"/>
    <s v="Seattle"/>
    <x v="4"/>
    <n v="98115"/>
    <x v="1"/>
    <x v="843"/>
    <x v="1"/>
    <x v="10"/>
    <x v="837"/>
    <x v="2030"/>
    <x v="7"/>
    <x v="1"/>
  </r>
  <r>
    <n v="2462"/>
    <x v="1208"/>
    <x v="655"/>
    <d v="2016-07-13T00:00:00"/>
    <s v="Second Class"/>
    <x v="618"/>
    <s v="Shahid Collister"/>
    <x v="0"/>
    <s v="United States"/>
    <s v="Seattle"/>
    <x v="4"/>
    <n v="98115"/>
    <x v="1"/>
    <x v="800"/>
    <x v="1"/>
    <x v="8"/>
    <x v="798"/>
    <x v="2031"/>
    <x v="7"/>
    <x v="1"/>
  </r>
  <r>
    <n v="2463"/>
    <x v="1209"/>
    <x v="734"/>
    <d v="2018-12-09T00:00:00"/>
    <s v="Standard Class"/>
    <x v="427"/>
    <s v="Chuck Sachs"/>
    <x v="0"/>
    <s v="United States"/>
    <s v="New York City"/>
    <x v="15"/>
    <n v="10009"/>
    <x v="3"/>
    <x v="301"/>
    <x v="1"/>
    <x v="8"/>
    <x v="301"/>
    <x v="202"/>
    <x v="4"/>
    <x v="3"/>
  </r>
  <r>
    <n v="2464"/>
    <x v="1209"/>
    <x v="734"/>
    <d v="2018-12-09T00:00:00"/>
    <s v="Standard Class"/>
    <x v="427"/>
    <s v="Chuck Sachs"/>
    <x v="0"/>
    <s v="United States"/>
    <s v="New York City"/>
    <x v="15"/>
    <n v="10009"/>
    <x v="3"/>
    <x v="1316"/>
    <x v="1"/>
    <x v="8"/>
    <x v="1302"/>
    <x v="892"/>
    <x v="4"/>
    <x v="3"/>
  </r>
  <r>
    <n v="2465"/>
    <x v="1209"/>
    <x v="734"/>
    <d v="2018-12-09T00:00:00"/>
    <s v="Standard Class"/>
    <x v="427"/>
    <s v="Chuck Sachs"/>
    <x v="0"/>
    <s v="United States"/>
    <s v="New York City"/>
    <x v="15"/>
    <n v="10009"/>
    <x v="3"/>
    <x v="819"/>
    <x v="2"/>
    <x v="7"/>
    <x v="815"/>
    <x v="2032"/>
    <x v="4"/>
    <x v="3"/>
  </r>
  <r>
    <n v="2466"/>
    <x v="1209"/>
    <x v="734"/>
    <d v="2018-12-09T00:00:00"/>
    <s v="Standard Class"/>
    <x v="427"/>
    <s v="Chuck Sachs"/>
    <x v="0"/>
    <s v="United States"/>
    <s v="New York City"/>
    <x v="15"/>
    <n v="10009"/>
    <x v="3"/>
    <x v="395"/>
    <x v="1"/>
    <x v="2"/>
    <x v="396"/>
    <x v="974"/>
    <x v="4"/>
    <x v="3"/>
  </r>
  <r>
    <n v="2467"/>
    <x v="1210"/>
    <x v="464"/>
    <d v="2018-05-08T00:00:00"/>
    <s v="Standard Class"/>
    <x v="177"/>
    <s v="Mike Kennedy"/>
    <x v="0"/>
    <s v="United States"/>
    <s v="Newport News"/>
    <x v="17"/>
    <n v="23602"/>
    <x v="0"/>
    <x v="1346"/>
    <x v="1"/>
    <x v="10"/>
    <x v="1331"/>
    <x v="2033"/>
    <x v="5"/>
    <x v="3"/>
  </r>
  <r>
    <n v="2468"/>
    <x v="1210"/>
    <x v="464"/>
    <d v="2018-05-08T00:00:00"/>
    <s v="Standard Class"/>
    <x v="177"/>
    <s v="Mike Kennedy"/>
    <x v="0"/>
    <s v="United States"/>
    <s v="Newport News"/>
    <x v="17"/>
    <n v="23602"/>
    <x v="0"/>
    <x v="384"/>
    <x v="1"/>
    <x v="4"/>
    <x v="385"/>
    <x v="2034"/>
    <x v="5"/>
    <x v="3"/>
  </r>
  <r>
    <n v="2469"/>
    <x v="1210"/>
    <x v="464"/>
    <d v="2018-05-08T00:00:00"/>
    <s v="Standard Class"/>
    <x v="177"/>
    <s v="Mike Kennedy"/>
    <x v="0"/>
    <s v="United States"/>
    <s v="Newport News"/>
    <x v="17"/>
    <n v="23602"/>
    <x v="0"/>
    <x v="1347"/>
    <x v="1"/>
    <x v="10"/>
    <x v="1332"/>
    <x v="56"/>
    <x v="5"/>
    <x v="3"/>
  </r>
  <r>
    <n v="2470"/>
    <x v="1210"/>
    <x v="464"/>
    <d v="2018-05-08T00:00:00"/>
    <s v="Standard Class"/>
    <x v="177"/>
    <s v="Mike Kennedy"/>
    <x v="0"/>
    <s v="United States"/>
    <s v="Newport News"/>
    <x v="17"/>
    <n v="23602"/>
    <x v="0"/>
    <x v="1036"/>
    <x v="1"/>
    <x v="4"/>
    <x v="1026"/>
    <x v="2035"/>
    <x v="5"/>
    <x v="3"/>
  </r>
  <r>
    <n v="2471"/>
    <x v="1211"/>
    <x v="115"/>
    <d v="2017-01-28T00:00:00"/>
    <s v="Standard Class"/>
    <x v="619"/>
    <s v="Carlos Meador"/>
    <x v="0"/>
    <s v="United States"/>
    <s v="Fayetteville"/>
    <x v="3"/>
    <n v="28314"/>
    <x v="0"/>
    <x v="1348"/>
    <x v="0"/>
    <x v="5"/>
    <x v="1333"/>
    <x v="2036"/>
    <x v="9"/>
    <x v="0"/>
  </r>
  <r>
    <n v="2472"/>
    <x v="1211"/>
    <x v="115"/>
    <d v="2017-01-28T00:00:00"/>
    <s v="Standard Class"/>
    <x v="619"/>
    <s v="Carlos Meador"/>
    <x v="0"/>
    <s v="United States"/>
    <s v="Fayetteville"/>
    <x v="3"/>
    <n v="28314"/>
    <x v="0"/>
    <x v="1248"/>
    <x v="0"/>
    <x v="0"/>
    <x v="1334"/>
    <x v="2037"/>
    <x v="9"/>
    <x v="0"/>
  </r>
  <r>
    <n v="2473"/>
    <x v="1211"/>
    <x v="115"/>
    <d v="2017-01-28T00:00:00"/>
    <s v="Standard Class"/>
    <x v="619"/>
    <s v="Carlos Meador"/>
    <x v="0"/>
    <s v="United States"/>
    <s v="Fayetteville"/>
    <x v="3"/>
    <n v="28314"/>
    <x v="0"/>
    <x v="1266"/>
    <x v="1"/>
    <x v="9"/>
    <x v="1250"/>
    <x v="2038"/>
    <x v="9"/>
    <x v="0"/>
  </r>
  <r>
    <n v="2474"/>
    <x v="1212"/>
    <x v="54"/>
    <d v="2017-11-06T00:00:00"/>
    <s v="First Class"/>
    <x v="418"/>
    <s v="Phillip Flathmann"/>
    <x v="0"/>
    <s v="United States"/>
    <s v="Los Angeles"/>
    <x v="1"/>
    <n v="90032"/>
    <x v="1"/>
    <x v="1349"/>
    <x v="0"/>
    <x v="1"/>
    <x v="1335"/>
    <x v="2039"/>
    <x v="0"/>
    <x v="0"/>
  </r>
  <r>
    <n v="2475"/>
    <x v="1212"/>
    <x v="54"/>
    <d v="2017-11-06T00:00:00"/>
    <s v="First Class"/>
    <x v="418"/>
    <s v="Phillip Flathmann"/>
    <x v="0"/>
    <s v="United States"/>
    <s v="Los Angeles"/>
    <x v="1"/>
    <n v="90032"/>
    <x v="1"/>
    <x v="1350"/>
    <x v="2"/>
    <x v="11"/>
    <x v="1336"/>
    <x v="2040"/>
    <x v="0"/>
    <x v="0"/>
  </r>
  <r>
    <n v="2476"/>
    <x v="1212"/>
    <x v="54"/>
    <d v="2017-11-06T00:00:00"/>
    <s v="First Class"/>
    <x v="418"/>
    <s v="Phillip Flathmann"/>
    <x v="0"/>
    <s v="United States"/>
    <s v="Los Angeles"/>
    <x v="1"/>
    <n v="90032"/>
    <x v="1"/>
    <x v="1351"/>
    <x v="1"/>
    <x v="2"/>
    <x v="1337"/>
    <x v="2041"/>
    <x v="0"/>
    <x v="0"/>
  </r>
  <r>
    <n v="2477"/>
    <x v="1212"/>
    <x v="54"/>
    <d v="2017-11-06T00:00:00"/>
    <s v="First Class"/>
    <x v="418"/>
    <s v="Phillip Flathmann"/>
    <x v="0"/>
    <s v="United States"/>
    <s v="Los Angeles"/>
    <x v="1"/>
    <n v="90032"/>
    <x v="1"/>
    <x v="1341"/>
    <x v="1"/>
    <x v="9"/>
    <x v="1326"/>
    <x v="2042"/>
    <x v="0"/>
    <x v="0"/>
  </r>
  <r>
    <n v="2478"/>
    <x v="1213"/>
    <x v="507"/>
    <d v="2018-09-08T00:00:00"/>
    <s v="Second Class"/>
    <x v="620"/>
    <s v="Greg Maxwell"/>
    <x v="1"/>
    <s v="United States"/>
    <s v="Los Angeles"/>
    <x v="1"/>
    <n v="90036"/>
    <x v="1"/>
    <x v="594"/>
    <x v="0"/>
    <x v="3"/>
    <x v="594"/>
    <x v="2043"/>
    <x v="8"/>
    <x v="3"/>
  </r>
  <r>
    <n v="2479"/>
    <x v="1214"/>
    <x v="103"/>
    <d v="2015-09-19T00:00:00"/>
    <s v="Standard Class"/>
    <x v="419"/>
    <s v="Dan Campbell"/>
    <x v="0"/>
    <s v="United States"/>
    <s v="New York City"/>
    <x v="15"/>
    <n v="10011"/>
    <x v="3"/>
    <x v="6"/>
    <x v="1"/>
    <x v="6"/>
    <x v="6"/>
    <x v="1392"/>
    <x v="8"/>
    <x v="2"/>
  </r>
  <r>
    <n v="2480"/>
    <x v="1215"/>
    <x v="249"/>
    <d v="2018-06-25T00:00:00"/>
    <s v="Standard Class"/>
    <x v="383"/>
    <s v="Frank Olsen"/>
    <x v="0"/>
    <s v="United States"/>
    <s v="Dallas"/>
    <x v="5"/>
    <n v="75220"/>
    <x v="2"/>
    <x v="1352"/>
    <x v="1"/>
    <x v="14"/>
    <x v="1338"/>
    <x v="2044"/>
    <x v="1"/>
    <x v="3"/>
  </r>
  <r>
    <n v="2481"/>
    <x v="1215"/>
    <x v="249"/>
    <d v="2018-06-25T00:00:00"/>
    <s v="Standard Class"/>
    <x v="383"/>
    <s v="Frank Olsen"/>
    <x v="0"/>
    <s v="United States"/>
    <s v="Dallas"/>
    <x v="5"/>
    <n v="75220"/>
    <x v="2"/>
    <x v="82"/>
    <x v="1"/>
    <x v="4"/>
    <x v="82"/>
    <x v="2045"/>
    <x v="1"/>
    <x v="3"/>
  </r>
  <r>
    <n v="2482"/>
    <x v="1216"/>
    <x v="165"/>
    <d v="2018-12-31T00:00:00"/>
    <s v="Standard Class"/>
    <x v="117"/>
    <s v="Alan Hwang"/>
    <x v="0"/>
    <s v="United States"/>
    <s v="Seattle"/>
    <x v="4"/>
    <n v="98105"/>
    <x v="1"/>
    <x v="749"/>
    <x v="1"/>
    <x v="4"/>
    <x v="747"/>
    <x v="2046"/>
    <x v="4"/>
    <x v="3"/>
  </r>
  <r>
    <n v="2483"/>
    <x v="1217"/>
    <x v="735"/>
    <d v="2018-09-03T00:00:00"/>
    <s v="Standard Class"/>
    <x v="607"/>
    <s v="Kristina Nunn"/>
    <x v="2"/>
    <s v="United States"/>
    <s v="Seattle"/>
    <x v="4"/>
    <n v="98105"/>
    <x v="1"/>
    <x v="1353"/>
    <x v="2"/>
    <x v="7"/>
    <x v="1339"/>
    <x v="200"/>
    <x v="6"/>
    <x v="3"/>
  </r>
  <r>
    <n v="2484"/>
    <x v="1217"/>
    <x v="735"/>
    <d v="2018-09-03T00:00:00"/>
    <s v="Standard Class"/>
    <x v="607"/>
    <s v="Kristina Nunn"/>
    <x v="2"/>
    <s v="United States"/>
    <s v="Seattle"/>
    <x v="4"/>
    <n v="98105"/>
    <x v="1"/>
    <x v="342"/>
    <x v="0"/>
    <x v="3"/>
    <x v="342"/>
    <x v="2047"/>
    <x v="6"/>
    <x v="3"/>
  </r>
  <r>
    <n v="2485"/>
    <x v="1217"/>
    <x v="735"/>
    <d v="2018-09-03T00:00:00"/>
    <s v="Standard Class"/>
    <x v="607"/>
    <s v="Kristina Nunn"/>
    <x v="2"/>
    <s v="United States"/>
    <s v="Seattle"/>
    <x v="4"/>
    <n v="98105"/>
    <x v="1"/>
    <x v="444"/>
    <x v="1"/>
    <x v="8"/>
    <x v="444"/>
    <x v="2048"/>
    <x v="6"/>
    <x v="3"/>
  </r>
  <r>
    <n v="2486"/>
    <x v="1217"/>
    <x v="735"/>
    <d v="2018-09-03T00:00:00"/>
    <s v="Standard Class"/>
    <x v="607"/>
    <s v="Kristina Nunn"/>
    <x v="2"/>
    <s v="United States"/>
    <s v="Seattle"/>
    <x v="4"/>
    <n v="98105"/>
    <x v="1"/>
    <x v="449"/>
    <x v="1"/>
    <x v="6"/>
    <x v="449"/>
    <x v="345"/>
    <x v="6"/>
    <x v="3"/>
  </r>
  <r>
    <n v="2487"/>
    <x v="1218"/>
    <x v="98"/>
    <d v="2016-01-04T00:00:00"/>
    <s v="Second Class"/>
    <x v="118"/>
    <s v="Claudia Bergmann"/>
    <x v="1"/>
    <s v="United States"/>
    <s v="Newark"/>
    <x v="13"/>
    <n v="19711"/>
    <x v="3"/>
    <x v="1354"/>
    <x v="1"/>
    <x v="4"/>
    <x v="1340"/>
    <x v="2049"/>
    <x v="9"/>
    <x v="1"/>
  </r>
  <r>
    <n v="2488"/>
    <x v="1218"/>
    <x v="98"/>
    <d v="2016-01-04T00:00:00"/>
    <s v="Second Class"/>
    <x v="118"/>
    <s v="Claudia Bergmann"/>
    <x v="1"/>
    <s v="United States"/>
    <s v="Newark"/>
    <x v="13"/>
    <n v="19711"/>
    <x v="3"/>
    <x v="1355"/>
    <x v="1"/>
    <x v="6"/>
    <x v="1341"/>
    <x v="294"/>
    <x v="9"/>
    <x v="1"/>
  </r>
  <r>
    <n v="2489"/>
    <x v="1218"/>
    <x v="98"/>
    <d v="2016-01-04T00:00:00"/>
    <s v="Second Class"/>
    <x v="118"/>
    <s v="Claudia Bergmann"/>
    <x v="1"/>
    <s v="United States"/>
    <s v="Newark"/>
    <x v="13"/>
    <n v="19711"/>
    <x v="3"/>
    <x v="1283"/>
    <x v="1"/>
    <x v="10"/>
    <x v="1268"/>
    <x v="130"/>
    <x v="9"/>
    <x v="1"/>
  </r>
  <r>
    <n v="2490"/>
    <x v="1219"/>
    <x v="330"/>
    <d v="2016-10-13T00:00:00"/>
    <s v="Second Class"/>
    <x v="621"/>
    <s v="Tim Brockman"/>
    <x v="0"/>
    <s v="United States"/>
    <s v="New York City"/>
    <x v="15"/>
    <n v="10024"/>
    <x v="3"/>
    <x v="1356"/>
    <x v="2"/>
    <x v="7"/>
    <x v="1342"/>
    <x v="2050"/>
    <x v="2"/>
    <x v="1"/>
  </r>
  <r>
    <n v="2491"/>
    <x v="1219"/>
    <x v="330"/>
    <d v="2016-10-13T00:00:00"/>
    <s v="Second Class"/>
    <x v="621"/>
    <s v="Tim Brockman"/>
    <x v="0"/>
    <s v="United States"/>
    <s v="New York City"/>
    <x v="15"/>
    <n v="10024"/>
    <x v="3"/>
    <x v="1357"/>
    <x v="1"/>
    <x v="10"/>
    <x v="1343"/>
    <x v="100"/>
    <x v="2"/>
    <x v="1"/>
  </r>
  <r>
    <n v="2492"/>
    <x v="1220"/>
    <x v="736"/>
    <d v="2015-12-15T00:00:00"/>
    <s v="Second Class"/>
    <x v="44"/>
    <s v="Katherine Ducich"/>
    <x v="0"/>
    <s v="United States"/>
    <s v="Los Angeles"/>
    <x v="1"/>
    <n v="90049"/>
    <x v="1"/>
    <x v="1111"/>
    <x v="1"/>
    <x v="10"/>
    <x v="1100"/>
    <x v="2051"/>
    <x v="4"/>
    <x v="2"/>
  </r>
  <r>
    <n v="2493"/>
    <x v="1221"/>
    <x v="84"/>
    <d v="2015-11-23T00:00:00"/>
    <s v="Standard Class"/>
    <x v="622"/>
    <s v="John Murray"/>
    <x v="0"/>
    <s v="United States"/>
    <s v="Jamestown"/>
    <x v="15"/>
    <n v="14701"/>
    <x v="3"/>
    <x v="1148"/>
    <x v="2"/>
    <x v="7"/>
    <x v="1136"/>
    <x v="2052"/>
    <x v="0"/>
    <x v="2"/>
  </r>
  <r>
    <n v="2494"/>
    <x v="1222"/>
    <x v="545"/>
    <d v="2017-09-14T00:00:00"/>
    <s v="Second Class"/>
    <x v="409"/>
    <s v="Kean Thornton"/>
    <x v="0"/>
    <s v="United States"/>
    <s v="Houston"/>
    <x v="5"/>
    <n v="77095"/>
    <x v="2"/>
    <x v="838"/>
    <x v="0"/>
    <x v="3"/>
    <x v="832"/>
    <x v="2053"/>
    <x v="8"/>
    <x v="0"/>
  </r>
  <r>
    <n v="2495"/>
    <x v="1222"/>
    <x v="545"/>
    <d v="2017-09-14T00:00:00"/>
    <s v="Second Class"/>
    <x v="409"/>
    <s v="Kean Thornton"/>
    <x v="0"/>
    <s v="United States"/>
    <s v="Houston"/>
    <x v="5"/>
    <n v="77095"/>
    <x v="2"/>
    <x v="1149"/>
    <x v="2"/>
    <x v="7"/>
    <x v="1137"/>
    <x v="2054"/>
    <x v="8"/>
    <x v="0"/>
  </r>
  <r>
    <n v="2496"/>
    <x v="1223"/>
    <x v="737"/>
    <d v="2015-06-22T00:00:00"/>
    <s v="Standard Class"/>
    <x v="623"/>
    <s v="Sonia Cooley"/>
    <x v="0"/>
    <s v="United States"/>
    <s v="Mishawaka"/>
    <x v="14"/>
    <n v="46544"/>
    <x v="2"/>
    <x v="405"/>
    <x v="0"/>
    <x v="1"/>
    <x v="406"/>
    <x v="342"/>
    <x v="1"/>
    <x v="2"/>
  </r>
  <r>
    <n v="2497"/>
    <x v="1224"/>
    <x v="120"/>
    <d v="2016-10-01T00:00:00"/>
    <s v="Standard Class"/>
    <x v="354"/>
    <s v="Bryan Spruell"/>
    <x v="2"/>
    <s v="United States"/>
    <s v="San Diego"/>
    <x v="1"/>
    <n v="92037"/>
    <x v="1"/>
    <x v="80"/>
    <x v="1"/>
    <x v="4"/>
    <x v="80"/>
    <x v="2055"/>
    <x v="8"/>
    <x v="1"/>
  </r>
  <r>
    <n v="2498"/>
    <x v="1224"/>
    <x v="120"/>
    <d v="2016-10-01T00:00:00"/>
    <s v="Standard Class"/>
    <x v="354"/>
    <s v="Bryan Spruell"/>
    <x v="2"/>
    <s v="United States"/>
    <s v="San Diego"/>
    <x v="1"/>
    <n v="92037"/>
    <x v="1"/>
    <x v="633"/>
    <x v="1"/>
    <x v="12"/>
    <x v="633"/>
    <x v="2056"/>
    <x v="8"/>
    <x v="1"/>
  </r>
  <r>
    <n v="2499"/>
    <x v="1225"/>
    <x v="288"/>
    <d v="2017-05-24T00:00:00"/>
    <s v="Standard Class"/>
    <x v="387"/>
    <s v="Bill Tyler"/>
    <x v="1"/>
    <s v="United States"/>
    <s v="San Francisco"/>
    <x v="1"/>
    <n v="94109"/>
    <x v="1"/>
    <x v="1224"/>
    <x v="1"/>
    <x v="8"/>
    <x v="1208"/>
    <x v="2057"/>
    <x v="5"/>
    <x v="0"/>
  </r>
  <r>
    <n v="2500"/>
    <x v="1226"/>
    <x v="738"/>
    <d v="2018-06-23T00:00:00"/>
    <s v="First Class"/>
    <x v="419"/>
    <s v="Dan Campbell"/>
    <x v="0"/>
    <s v="United States"/>
    <s v="Miami"/>
    <x v="2"/>
    <n v="33178"/>
    <x v="0"/>
    <x v="1358"/>
    <x v="1"/>
    <x v="12"/>
    <x v="1344"/>
    <x v="2058"/>
    <x v="1"/>
    <x v="3"/>
  </r>
  <r>
    <n v="2501"/>
    <x v="1227"/>
    <x v="46"/>
    <d v="2018-06-20T00:00:00"/>
    <s v="First Class"/>
    <x v="624"/>
    <s v="Luke Schmidt"/>
    <x v="1"/>
    <s v="United States"/>
    <s v="Skokie"/>
    <x v="10"/>
    <n v="60076"/>
    <x v="2"/>
    <x v="827"/>
    <x v="1"/>
    <x v="10"/>
    <x v="823"/>
    <x v="2059"/>
    <x v="1"/>
    <x v="3"/>
  </r>
  <r>
    <n v="2502"/>
    <x v="1227"/>
    <x v="46"/>
    <d v="2018-06-20T00:00:00"/>
    <s v="First Class"/>
    <x v="624"/>
    <s v="Luke Schmidt"/>
    <x v="1"/>
    <s v="United States"/>
    <s v="Skokie"/>
    <x v="10"/>
    <n v="60076"/>
    <x v="2"/>
    <x v="614"/>
    <x v="1"/>
    <x v="8"/>
    <x v="614"/>
    <x v="2060"/>
    <x v="1"/>
    <x v="3"/>
  </r>
  <r>
    <n v="2503"/>
    <x v="1227"/>
    <x v="46"/>
    <d v="2018-06-20T00:00:00"/>
    <s v="First Class"/>
    <x v="624"/>
    <s v="Luke Schmidt"/>
    <x v="1"/>
    <s v="United States"/>
    <s v="Skokie"/>
    <x v="10"/>
    <n v="60076"/>
    <x v="2"/>
    <x v="673"/>
    <x v="1"/>
    <x v="8"/>
    <x v="673"/>
    <x v="2061"/>
    <x v="1"/>
    <x v="3"/>
  </r>
  <r>
    <n v="2504"/>
    <x v="1228"/>
    <x v="696"/>
    <d v="2017-11-19T00:00:00"/>
    <s v="Standard Class"/>
    <x v="625"/>
    <s v="Ralph Ritter"/>
    <x v="0"/>
    <s v="United States"/>
    <s v="San Francisco"/>
    <x v="1"/>
    <n v="94110"/>
    <x v="1"/>
    <x v="1238"/>
    <x v="1"/>
    <x v="2"/>
    <x v="1221"/>
    <x v="1552"/>
    <x v="0"/>
    <x v="0"/>
  </r>
  <r>
    <n v="2505"/>
    <x v="1229"/>
    <x v="739"/>
    <d v="2015-07-27T00:00:00"/>
    <s v="Second Class"/>
    <x v="107"/>
    <s v="Ken Lonsdale"/>
    <x v="0"/>
    <s v="United States"/>
    <s v="San Francisco"/>
    <x v="1"/>
    <n v="94122"/>
    <x v="1"/>
    <x v="230"/>
    <x v="1"/>
    <x v="4"/>
    <x v="231"/>
    <x v="2062"/>
    <x v="7"/>
    <x v="2"/>
  </r>
  <r>
    <n v="2506"/>
    <x v="1229"/>
    <x v="739"/>
    <d v="2015-07-27T00:00:00"/>
    <s v="Second Class"/>
    <x v="107"/>
    <s v="Ken Lonsdale"/>
    <x v="0"/>
    <s v="United States"/>
    <s v="San Francisco"/>
    <x v="1"/>
    <n v="94122"/>
    <x v="1"/>
    <x v="1359"/>
    <x v="1"/>
    <x v="14"/>
    <x v="1345"/>
    <x v="2063"/>
    <x v="7"/>
    <x v="2"/>
  </r>
  <r>
    <n v="2507"/>
    <x v="1229"/>
    <x v="739"/>
    <d v="2015-07-27T00:00:00"/>
    <s v="Second Class"/>
    <x v="107"/>
    <s v="Ken Lonsdale"/>
    <x v="0"/>
    <s v="United States"/>
    <s v="San Francisco"/>
    <x v="1"/>
    <n v="94122"/>
    <x v="1"/>
    <x v="221"/>
    <x v="0"/>
    <x v="5"/>
    <x v="222"/>
    <x v="2064"/>
    <x v="7"/>
    <x v="2"/>
  </r>
  <r>
    <n v="2508"/>
    <x v="1230"/>
    <x v="740"/>
    <d v="2016-07-02T00:00:00"/>
    <s v="Same Day"/>
    <x v="579"/>
    <s v="Richard Bierner"/>
    <x v="0"/>
    <s v="United States"/>
    <s v="Houston"/>
    <x v="5"/>
    <n v="77070"/>
    <x v="2"/>
    <x v="1360"/>
    <x v="1"/>
    <x v="9"/>
    <x v="1346"/>
    <x v="2065"/>
    <x v="7"/>
    <x v="1"/>
  </r>
  <r>
    <n v="2509"/>
    <x v="1231"/>
    <x v="580"/>
    <d v="2018-03-08T00:00:00"/>
    <s v="Standard Class"/>
    <x v="199"/>
    <s v="Maribeth Yedwab"/>
    <x v="1"/>
    <s v="United States"/>
    <s v="Los Angeles"/>
    <x v="1"/>
    <n v="90045"/>
    <x v="1"/>
    <x v="1361"/>
    <x v="2"/>
    <x v="7"/>
    <x v="1347"/>
    <x v="2066"/>
    <x v="10"/>
    <x v="3"/>
  </r>
  <r>
    <n v="2510"/>
    <x v="1231"/>
    <x v="580"/>
    <d v="2018-03-08T00:00:00"/>
    <s v="Standard Class"/>
    <x v="199"/>
    <s v="Maribeth Yedwab"/>
    <x v="1"/>
    <s v="United States"/>
    <s v="Los Angeles"/>
    <x v="1"/>
    <n v="90045"/>
    <x v="1"/>
    <x v="914"/>
    <x v="2"/>
    <x v="11"/>
    <x v="906"/>
    <x v="2067"/>
    <x v="10"/>
    <x v="3"/>
  </r>
  <r>
    <n v="2511"/>
    <x v="1232"/>
    <x v="741"/>
    <d v="2017-11-23T00:00:00"/>
    <s v="Standard Class"/>
    <x v="585"/>
    <s v="Arthur Wiediger"/>
    <x v="2"/>
    <s v="United States"/>
    <s v="Oklahoma City"/>
    <x v="26"/>
    <n v="73120"/>
    <x v="2"/>
    <x v="1362"/>
    <x v="1"/>
    <x v="4"/>
    <x v="1348"/>
    <x v="2068"/>
    <x v="0"/>
    <x v="0"/>
  </r>
  <r>
    <n v="2512"/>
    <x v="1233"/>
    <x v="24"/>
    <d v="2016-04-19T00:00:00"/>
    <s v="First Class"/>
    <x v="608"/>
    <s v="Kelly Williams"/>
    <x v="0"/>
    <s v="United States"/>
    <s v="Monroe"/>
    <x v="28"/>
    <n v="71203"/>
    <x v="0"/>
    <x v="936"/>
    <x v="2"/>
    <x v="11"/>
    <x v="929"/>
    <x v="2069"/>
    <x v="3"/>
    <x v="1"/>
  </r>
  <r>
    <n v="2513"/>
    <x v="1234"/>
    <x v="574"/>
    <d v="2018-12-06T00:00:00"/>
    <s v="Standard Class"/>
    <x v="626"/>
    <s v="Daniel Byrd"/>
    <x v="2"/>
    <s v="United States"/>
    <s v="Tampa"/>
    <x v="2"/>
    <n v="33614"/>
    <x v="0"/>
    <x v="471"/>
    <x v="1"/>
    <x v="8"/>
    <x v="472"/>
    <x v="2070"/>
    <x v="4"/>
    <x v="3"/>
  </r>
  <r>
    <n v="2514"/>
    <x v="1235"/>
    <x v="583"/>
    <d v="2017-11-17T00:00:00"/>
    <s v="Standard Class"/>
    <x v="179"/>
    <s v="Brenda Bowman"/>
    <x v="1"/>
    <s v="United States"/>
    <s v="Chicago"/>
    <x v="10"/>
    <n v="60623"/>
    <x v="2"/>
    <x v="1048"/>
    <x v="2"/>
    <x v="11"/>
    <x v="1037"/>
    <x v="1651"/>
    <x v="0"/>
    <x v="0"/>
  </r>
  <r>
    <n v="2515"/>
    <x v="1235"/>
    <x v="583"/>
    <d v="2017-11-17T00:00:00"/>
    <s v="Standard Class"/>
    <x v="179"/>
    <s v="Brenda Bowman"/>
    <x v="1"/>
    <s v="United States"/>
    <s v="Chicago"/>
    <x v="10"/>
    <n v="60623"/>
    <x v="2"/>
    <x v="877"/>
    <x v="0"/>
    <x v="1"/>
    <x v="871"/>
    <x v="1388"/>
    <x v="0"/>
    <x v="0"/>
  </r>
  <r>
    <n v="2516"/>
    <x v="1236"/>
    <x v="742"/>
    <d v="2015-09-10T00:00:00"/>
    <s v="Standard Class"/>
    <x v="413"/>
    <s v="Nora Preis"/>
    <x v="0"/>
    <s v="United States"/>
    <s v="Bowling Green"/>
    <x v="24"/>
    <n v="43402"/>
    <x v="3"/>
    <x v="546"/>
    <x v="1"/>
    <x v="4"/>
    <x v="546"/>
    <x v="2071"/>
    <x v="8"/>
    <x v="2"/>
  </r>
  <r>
    <n v="2517"/>
    <x v="1237"/>
    <x v="647"/>
    <d v="2015-11-22T00:00:00"/>
    <s v="Standard Class"/>
    <x v="287"/>
    <s v="Peter Bühler"/>
    <x v="0"/>
    <s v="United States"/>
    <s v="Houston"/>
    <x v="5"/>
    <n v="77095"/>
    <x v="2"/>
    <x v="970"/>
    <x v="1"/>
    <x v="12"/>
    <x v="964"/>
    <x v="2072"/>
    <x v="0"/>
    <x v="2"/>
  </r>
  <r>
    <n v="2518"/>
    <x v="1238"/>
    <x v="743"/>
    <d v="2018-05-07T00:00:00"/>
    <s v="Standard Class"/>
    <x v="61"/>
    <s v="Dorothy Wardle"/>
    <x v="1"/>
    <s v="United States"/>
    <s v="Westfield"/>
    <x v="30"/>
    <n v="7090"/>
    <x v="3"/>
    <x v="784"/>
    <x v="0"/>
    <x v="5"/>
    <x v="783"/>
    <x v="2073"/>
    <x v="5"/>
    <x v="3"/>
  </r>
  <r>
    <n v="2519"/>
    <x v="1239"/>
    <x v="680"/>
    <d v="2017-10-21T00:00:00"/>
    <s v="Standard Class"/>
    <x v="522"/>
    <s v="Cynthia Delaney"/>
    <x v="2"/>
    <s v="United States"/>
    <s v="Oklahoma City"/>
    <x v="26"/>
    <n v="73120"/>
    <x v="2"/>
    <x v="1363"/>
    <x v="1"/>
    <x v="2"/>
    <x v="1349"/>
    <x v="171"/>
    <x v="2"/>
    <x v="0"/>
  </r>
  <r>
    <n v="2520"/>
    <x v="1239"/>
    <x v="680"/>
    <d v="2017-10-21T00:00:00"/>
    <s v="Standard Class"/>
    <x v="522"/>
    <s v="Cynthia Delaney"/>
    <x v="2"/>
    <s v="United States"/>
    <s v="Oklahoma City"/>
    <x v="26"/>
    <n v="73120"/>
    <x v="2"/>
    <x v="607"/>
    <x v="1"/>
    <x v="2"/>
    <x v="607"/>
    <x v="2074"/>
    <x v="2"/>
    <x v="0"/>
  </r>
  <r>
    <n v="2521"/>
    <x v="1239"/>
    <x v="680"/>
    <d v="2017-10-21T00:00:00"/>
    <s v="Standard Class"/>
    <x v="522"/>
    <s v="Cynthia Delaney"/>
    <x v="2"/>
    <s v="United States"/>
    <s v="Oklahoma City"/>
    <x v="26"/>
    <n v="73120"/>
    <x v="2"/>
    <x v="1364"/>
    <x v="1"/>
    <x v="9"/>
    <x v="1350"/>
    <x v="2075"/>
    <x v="2"/>
    <x v="0"/>
  </r>
  <r>
    <n v="2522"/>
    <x v="1239"/>
    <x v="680"/>
    <d v="2017-10-21T00:00:00"/>
    <s v="Standard Class"/>
    <x v="522"/>
    <s v="Cynthia Delaney"/>
    <x v="2"/>
    <s v="United States"/>
    <s v="Oklahoma City"/>
    <x v="26"/>
    <n v="73120"/>
    <x v="2"/>
    <x v="89"/>
    <x v="1"/>
    <x v="10"/>
    <x v="89"/>
    <x v="91"/>
    <x v="2"/>
    <x v="0"/>
  </r>
  <r>
    <n v="2523"/>
    <x v="1239"/>
    <x v="680"/>
    <d v="2017-10-21T00:00:00"/>
    <s v="Standard Class"/>
    <x v="522"/>
    <s v="Cynthia Delaney"/>
    <x v="2"/>
    <s v="United States"/>
    <s v="Oklahoma City"/>
    <x v="26"/>
    <n v="73120"/>
    <x v="2"/>
    <x v="895"/>
    <x v="2"/>
    <x v="7"/>
    <x v="888"/>
    <x v="2076"/>
    <x v="2"/>
    <x v="0"/>
  </r>
  <r>
    <n v="2524"/>
    <x v="1239"/>
    <x v="680"/>
    <d v="2017-10-21T00:00:00"/>
    <s v="Standard Class"/>
    <x v="522"/>
    <s v="Cynthia Delaney"/>
    <x v="2"/>
    <s v="United States"/>
    <s v="Oklahoma City"/>
    <x v="26"/>
    <n v="73120"/>
    <x v="2"/>
    <x v="999"/>
    <x v="1"/>
    <x v="8"/>
    <x v="991"/>
    <x v="2077"/>
    <x v="2"/>
    <x v="0"/>
  </r>
  <r>
    <n v="2525"/>
    <x v="1240"/>
    <x v="744"/>
    <d v="2016-04-10T00:00:00"/>
    <s v="Standard Class"/>
    <x v="627"/>
    <s v="Thomas Thornton"/>
    <x v="0"/>
    <s v="United States"/>
    <s v="Houston"/>
    <x v="5"/>
    <n v="77041"/>
    <x v="2"/>
    <x v="512"/>
    <x v="1"/>
    <x v="6"/>
    <x v="512"/>
    <x v="2078"/>
    <x v="3"/>
    <x v="1"/>
  </r>
  <r>
    <n v="2526"/>
    <x v="1240"/>
    <x v="744"/>
    <d v="2016-04-10T00:00:00"/>
    <s v="Standard Class"/>
    <x v="627"/>
    <s v="Thomas Thornton"/>
    <x v="0"/>
    <s v="United States"/>
    <s v="Houston"/>
    <x v="5"/>
    <n v="77041"/>
    <x v="2"/>
    <x v="1365"/>
    <x v="2"/>
    <x v="11"/>
    <x v="1351"/>
    <x v="2079"/>
    <x v="3"/>
    <x v="1"/>
  </r>
  <r>
    <n v="2527"/>
    <x v="1240"/>
    <x v="744"/>
    <d v="2016-04-10T00:00:00"/>
    <s v="Standard Class"/>
    <x v="627"/>
    <s v="Thomas Thornton"/>
    <x v="0"/>
    <s v="United States"/>
    <s v="Houston"/>
    <x v="5"/>
    <n v="77041"/>
    <x v="2"/>
    <x v="1023"/>
    <x v="1"/>
    <x v="8"/>
    <x v="1014"/>
    <x v="2080"/>
    <x v="3"/>
    <x v="1"/>
  </r>
  <r>
    <n v="2528"/>
    <x v="1240"/>
    <x v="744"/>
    <d v="2016-04-10T00:00:00"/>
    <s v="Standard Class"/>
    <x v="627"/>
    <s v="Thomas Thornton"/>
    <x v="0"/>
    <s v="United States"/>
    <s v="Houston"/>
    <x v="5"/>
    <n v="77041"/>
    <x v="2"/>
    <x v="1232"/>
    <x v="1"/>
    <x v="8"/>
    <x v="1215"/>
    <x v="2081"/>
    <x v="3"/>
    <x v="1"/>
  </r>
  <r>
    <n v="2529"/>
    <x v="1240"/>
    <x v="744"/>
    <d v="2016-04-10T00:00:00"/>
    <s v="Standard Class"/>
    <x v="627"/>
    <s v="Thomas Thornton"/>
    <x v="0"/>
    <s v="United States"/>
    <s v="Houston"/>
    <x v="5"/>
    <n v="77041"/>
    <x v="2"/>
    <x v="1050"/>
    <x v="1"/>
    <x v="10"/>
    <x v="1039"/>
    <x v="885"/>
    <x v="3"/>
    <x v="1"/>
  </r>
  <r>
    <n v="2530"/>
    <x v="1241"/>
    <x v="745"/>
    <d v="2015-10-29T00:00:00"/>
    <s v="Standard Class"/>
    <x v="626"/>
    <s v="Daniel Byrd"/>
    <x v="2"/>
    <s v="United States"/>
    <s v="Fort Lauderdale"/>
    <x v="2"/>
    <n v="33311"/>
    <x v="0"/>
    <x v="739"/>
    <x v="1"/>
    <x v="10"/>
    <x v="738"/>
    <x v="559"/>
    <x v="2"/>
    <x v="2"/>
  </r>
  <r>
    <n v="2531"/>
    <x v="1242"/>
    <x v="654"/>
    <d v="2015-08-21T00:00:00"/>
    <s v="Standard Class"/>
    <x v="137"/>
    <s v="Don Jones"/>
    <x v="1"/>
    <s v="United States"/>
    <s v="Little Rock"/>
    <x v="36"/>
    <n v="72209"/>
    <x v="0"/>
    <x v="1138"/>
    <x v="1"/>
    <x v="10"/>
    <x v="1126"/>
    <x v="1147"/>
    <x v="6"/>
    <x v="2"/>
  </r>
  <r>
    <n v="2532"/>
    <x v="1242"/>
    <x v="654"/>
    <d v="2015-08-21T00:00:00"/>
    <s v="Standard Class"/>
    <x v="137"/>
    <s v="Don Jones"/>
    <x v="1"/>
    <s v="United States"/>
    <s v="Little Rock"/>
    <x v="36"/>
    <n v="72209"/>
    <x v="0"/>
    <x v="1366"/>
    <x v="1"/>
    <x v="8"/>
    <x v="307"/>
    <x v="2082"/>
    <x v="6"/>
    <x v="2"/>
  </r>
  <r>
    <n v="2533"/>
    <x v="1242"/>
    <x v="654"/>
    <d v="2015-08-21T00:00:00"/>
    <s v="Standard Class"/>
    <x v="137"/>
    <s v="Don Jones"/>
    <x v="1"/>
    <s v="United States"/>
    <s v="Little Rock"/>
    <x v="36"/>
    <n v="72209"/>
    <x v="0"/>
    <x v="1088"/>
    <x v="1"/>
    <x v="13"/>
    <x v="1078"/>
    <x v="2083"/>
    <x v="6"/>
    <x v="2"/>
  </r>
  <r>
    <n v="2534"/>
    <x v="1242"/>
    <x v="654"/>
    <d v="2015-08-21T00:00:00"/>
    <s v="Standard Class"/>
    <x v="137"/>
    <s v="Don Jones"/>
    <x v="1"/>
    <s v="United States"/>
    <s v="Little Rock"/>
    <x v="36"/>
    <n v="72209"/>
    <x v="0"/>
    <x v="106"/>
    <x v="2"/>
    <x v="11"/>
    <x v="106"/>
    <x v="107"/>
    <x v="6"/>
    <x v="2"/>
  </r>
  <r>
    <n v="2535"/>
    <x v="1243"/>
    <x v="733"/>
    <d v="2018-08-18T00:00:00"/>
    <s v="Second Class"/>
    <x v="393"/>
    <s v="Dionis Lloyd"/>
    <x v="1"/>
    <s v="United States"/>
    <s v="Philadelphia"/>
    <x v="9"/>
    <n v="19120"/>
    <x v="3"/>
    <x v="458"/>
    <x v="1"/>
    <x v="4"/>
    <x v="459"/>
    <x v="2084"/>
    <x v="6"/>
    <x v="3"/>
  </r>
  <r>
    <n v="2536"/>
    <x v="1244"/>
    <x v="684"/>
    <d v="2016-09-08T00:00:00"/>
    <s v="First Class"/>
    <x v="628"/>
    <s v="Lori Olson"/>
    <x v="1"/>
    <s v="United States"/>
    <s v="La Quinta"/>
    <x v="1"/>
    <n v="92253"/>
    <x v="1"/>
    <x v="103"/>
    <x v="2"/>
    <x v="11"/>
    <x v="103"/>
    <x v="2085"/>
    <x v="8"/>
    <x v="1"/>
  </r>
  <r>
    <n v="2537"/>
    <x v="1245"/>
    <x v="746"/>
    <d v="2016-01-29T00:00:00"/>
    <s v="Second Class"/>
    <x v="277"/>
    <s v="Seth Vernon"/>
    <x v="0"/>
    <s v="United States"/>
    <s v="Cleveland"/>
    <x v="24"/>
    <n v="44105"/>
    <x v="3"/>
    <x v="70"/>
    <x v="0"/>
    <x v="1"/>
    <x v="70"/>
    <x v="2086"/>
    <x v="9"/>
    <x v="1"/>
  </r>
  <r>
    <n v="2538"/>
    <x v="1245"/>
    <x v="746"/>
    <d v="2016-01-29T00:00:00"/>
    <s v="Second Class"/>
    <x v="277"/>
    <s v="Seth Vernon"/>
    <x v="0"/>
    <s v="United States"/>
    <s v="Cleveland"/>
    <x v="24"/>
    <n v="44105"/>
    <x v="3"/>
    <x v="1149"/>
    <x v="2"/>
    <x v="7"/>
    <x v="1137"/>
    <x v="2087"/>
    <x v="9"/>
    <x v="1"/>
  </r>
  <r>
    <n v="2539"/>
    <x v="1245"/>
    <x v="746"/>
    <d v="2016-01-29T00:00:00"/>
    <s v="Second Class"/>
    <x v="277"/>
    <s v="Seth Vernon"/>
    <x v="0"/>
    <s v="United States"/>
    <s v="Cleveland"/>
    <x v="24"/>
    <n v="44105"/>
    <x v="3"/>
    <x v="1367"/>
    <x v="2"/>
    <x v="7"/>
    <x v="1352"/>
    <x v="2088"/>
    <x v="9"/>
    <x v="1"/>
  </r>
  <r>
    <n v="2540"/>
    <x v="1246"/>
    <x v="747"/>
    <d v="2016-07-16T00:00:00"/>
    <s v="Same Day"/>
    <x v="613"/>
    <s v="Eleni McCrary"/>
    <x v="1"/>
    <s v="United States"/>
    <s v="San Francisco"/>
    <x v="1"/>
    <n v="94122"/>
    <x v="1"/>
    <x v="299"/>
    <x v="0"/>
    <x v="1"/>
    <x v="299"/>
    <x v="2089"/>
    <x v="7"/>
    <x v="1"/>
  </r>
  <r>
    <n v="2541"/>
    <x v="1246"/>
    <x v="747"/>
    <d v="2016-07-16T00:00:00"/>
    <s v="Same Day"/>
    <x v="613"/>
    <s v="Eleni McCrary"/>
    <x v="1"/>
    <s v="United States"/>
    <s v="San Francisco"/>
    <x v="1"/>
    <n v="94122"/>
    <x v="1"/>
    <x v="284"/>
    <x v="0"/>
    <x v="1"/>
    <x v="284"/>
    <x v="2090"/>
    <x v="7"/>
    <x v="1"/>
  </r>
  <r>
    <n v="2542"/>
    <x v="1247"/>
    <x v="567"/>
    <d v="2017-05-04T00:00:00"/>
    <s v="Standard Class"/>
    <x v="629"/>
    <s v="Ken Dana"/>
    <x v="1"/>
    <s v="United States"/>
    <s v="Scottsdale"/>
    <x v="16"/>
    <n v="85254"/>
    <x v="1"/>
    <x v="561"/>
    <x v="0"/>
    <x v="5"/>
    <x v="560"/>
    <x v="2091"/>
    <x v="3"/>
    <x v="0"/>
  </r>
  <r>
    <n v="2543"/>
    <x v="1248"/>
    <x v="467"/>
    <d v="2015-10-01T00:00:00"/>
    <s v="Second Class"/>
    <x v="630"/>
    <s v="Nicole Brennan"/>
    <x v="1"/>
    <s v="United States"/>
    <s v="Philadelphia"/>
    <x v="9"/>
    <n v="19134"/>
    <x v="3"/>
    <x v="810"/>
    <x v="1"/>
    <x v="9"/>
    <x v="808"/>
    <x v="2092"/>
    <x v="8"/>
    <x v="2"/>
  </r>
  <r>
    <n v="2544"/>
    <x v="1249"/>
    <x v="162"/>
    <d v="2017-09-14T00:00:00"/>
    <s v="Standard Class"/>
    <x v="399"/>
    <s v="Anne Pryor"/>
    <x v="2"/>
    <s v="United States"/>
    <s v="Malden"/>
    <x v="31"/>
    <n v="2148"/>
    <x v="3"/>
    <x v="1368"/>
    <x v="0"/>
    <x v="0"/>
    <x v="1353"/>
    <x v="2093"/>
    <x v="8"/>
    <x v="0"/>
  </r>
  <r>
    <n v="2545"/>
    <x v="1249"/>
    <x v="162"/>
    <d v="2017-09-14T00:00:00"/>
    <s v="Standard Class"/>
    <x v="399"/>
    <s v="Anne Pryor"/>
    <x v="2"/>
    <s v="United States"/>
    <s v="Malden"/>
    <x v="31"/>
    <n v="2148"/>
    <x v="3"/>
    <x v="1238"/>
    <x v="1"/>
    <x v="2"/>
    <x v="1221"/>
    <x v="1787"/>
    <x v="8"/>
    <x v="0"/>
  </r>
  <r>
    <n v="2546"/>
    <x v="1250"/>
    <x v="513"/>
    <d v="2018-04-20T00:00:00"/>
    <s v="Standard Class"/>
    <x v="32"/>
    <s v="Joel Eaton"/>
    <x v="0"/>
    <s v="United States"/>
    <s v="San Jose"/>
    <x v="1"/>
    <n v="95123"/>
    <x v="1"/>
    <x v="232"/>
    <x v="1"/>
    <x v="4"/>
    <x v="233"/>
    <x v="2094"/>
    <x v="3"/>
    <x v="3"/>
  </r>
  <r>
    <n v="2547"/>
    <x v="1250"/>
    <x v="513"/>
    <d v="2018-04-20T00:00:00"/>
    <s v="Standard Class"/>
    <x v="32"/>
    <s v="Joel Eaton"/>
    <x v="0"/>
    <s v="United States"/>
    <s v="San Jose"/>
    <x v="1"/>
    <n v="95123"/>
    <x v="1"/>
    <x v="430"/>
    <x v="0"/>
    <x v="0"/>
    <x v="430"/>
    <x v="2095"/>
    <x v="3"/>
    <x v="3"/>
  </r>
  <r>
    <n v="2548"/>
    <x v="1251"/>
    <x v="748"/>
    <d v="2016-08-22T00:00:00"/>
    <s v="Standard Class"/>
    <x v="622"/>
    <s v="John Murray"/>
    <x v="0"/>
    <s v="United States"/>
    <s v="Phoenix"/>
    <x v="16"/>
    <n v="85023"/>
    <x v="1"/>
    <x v="826"/>
    <x v="1"/>
    <x v="6"/>
    <x v="822"/>
    <x v="2060"/>
    <x v="6"/>
    <x v="1"/>
  </r>
  <r>
    <n v="2549"/>
    <x v="1251"/>
    <x v="748"/>
    <d v="2016-08-22T00:00:00"/>
    <s v="Standard Class"/>
    <x v="622"/>
    <s v="John Murray"/>
    <x v="0"/>
    <s v="United States"/>
    <s v="Phoenix"/>
    <x v="16"/>
    <n v="85023"/>
    <x v="1"/>
    <x v="1147"/>
    <x v="2"/>
    <x v="7"/>
    <x v="1135"/>
    <x v="2096"/>
    <x v="6"/>
    <x v="1"/>
  </r>
  <r>
    <n v="2550"/>
    <x v="1251"/>
    <x v="748"/>
    <d v="2016-08-22T00:00:00"/>
    <s v="Standard Class"/>
    <x v="622"/>
    <s v="John Murray"/>
    <x v="0"/>
    <s v="United States"/>
    <s v="Phoenix"/>
    <x v="16"/>
    <n v="85023"/>
    <x v="1"/>
    <x v="1184"/>
    <x v="1"/>
    <x v="10"/>
    <x v="1170"/>
    <x v="2097"/>
    <x v="6"/>
    <x v="1"/>
  </r>
  <r>
    <n v="2551"/>
    <x v="1251"/>
    <x v="748"/>
    <d v="2016-08-22T00:00:00"/>
    <s v="Standard Class"/>
    <x v="622"/>
    <s v="John Murray"/>
    <x v="0"/>
    <s v="United States"/>
    <s v="Phoenix"/>
    <x v="16"/>
    <n v="85023"/>
    <x v="1"/>
    <x v="816"/>
    <x v="1"/>
    <x v="2"/>
    <x v="812"/>
    <x v="1310"/>
    <x v="6"/>
    <x v="1"/>
  </r>
  <r>
    <n v="2552"/>
    <x v="1252"/>
    <x v="123"/>
    <d v="2018-11-23T00:00:00"/>
    <s v="Standard Class"/>
    <x v="455"/>
    <s v="Adrian Barton"/>
    <x v="0"/>
    <s v="United States"/>
    <s v="Henderson"/>
    <x v="0"/>
    <n v="42420"/>
    <x v="0"/>
    <x v="1369"/>
    <x v="0"/>
    <x v="5"/>
    <x v="1354"/>
    <x v="2098"/>
    <x v="0"/>
    <x v="3"/>
  </r>
  <r>
    <n v="2553"/>
    <x v="1252"/>
    <x v="123"/>
    <d v="2018-11-23T00:00:00"/>
    <s v="Standard Class"/>
    <x v="455"/>
    <s v="Adrian Barton"/>
    <x v="0"/>
    <s v="United States"/>
    <s v="Henderson"/>
    <x v="0"/>
    <n v="42420"/>
    <x v="0"/>
    <x v="1045"/>
    <x v="1"/>
    <x v="8"/>
    <x v="1034"/>
    <x v="2099"/>
    <x v="0"/>
    <x v="3"/>
  </r>
  <r>
    <n v="2554"/>
    <x v="1253"/>
    <x v="749"/>
    <d v="2017-09-18T00:00:00"/>
    <s v="Standard Class"/>
    <x v="43"/>
    <s v="Parhena Norris"/>
    <x v="2"/>
    <s v="United States"/>
    <s v="Columbia"/>
    <x v="20"/>
    <n v="29203"/>
    <x v="0"/>
    <x v="815"/>
    <x v="1"/>
    <x v="10"/>
    <x v="811"/>
    <x v="233"/>
    <x v="8"/>
    <x v="0"/>
  </r>
  <r>
    <n v="2555"/>
    <x v="1254"/>
    <x v="243"/>
    <d v="2017-08-20T00:00:00"/>
    <s v="Standard Class"/>
    <x v="547"/>
    <s v="John Castell"/>
    <x v="0"/>
    <s v="United States"/>
    <s v="Tallahassee"/>
    <x v="2"/>
    <n v="32303"/>
    <x v="0"/>
    <x v="1370"/>
    <x v="2"/>
    <x v="7"/>
    <x v="1355"/>
    <x v="2100"/>
    <x v="6"/>
    <x v="0"/>
  </r>
  <r>
    <n v="2556"/>
    <x v="1255"/>
    <x v="120"/>
    <d v="2016-09-30T00:00:00"/>
    <s v="Standard Class"/>
    <x v="58"/>
    <s v="Philip Fox"/>
    <x v="0"/>
    <s v="United States"/>
    <s v="New York City"/>
    <x v="15"/>
    <n v="10035"/>
    <x v="3"/>
    <x v="1371"/>
    <x v="2"/>
    <x v="11"/>
    <x v="1356"/>
    <x v="1406"/>
    <x v="8"/>
    <x v="1"/>
  </r>
  <r>
    <n v="2557"/>
    <x v="1256"/>
    <x v="750"/>
    <d v="2017-10-14T00:00:00"/>
    <s v="Standard Class"/>
    <x v="308"/>
    <s v="Bart Watters"/>
    <x v="1"/>
    <s v="United States"/>
    <s v="Houston"/>
    <x v="5"/>
    <n v="77070"/>
    <x v="2"/>
    <x v="1372"/>
    <x v="0"/>
    <x v="5"/>
    <x v="1357"/>
    <x v="2101"/>
    <x v="2"/>
    <x v="0"/>
  </r>
  <r>
    <n v="2558"/>
    <x v="1257"/>
    <x v="539"/>
    <d v="2016-03-30T00:00:00"/>
    <s v="Standard Class"/>
    <x v="130"/>
    <s v="Ben Peterman"/>
    <x v="1"/>
    <s v="United States"/>
    <s v="Coral Springs"/>
    <x v="2"/>
    <n v="33065"/>
    <x v="0"/>
    <x v="1298"/>
    <x v="1"/>
    <x v="9"/>
    <x v="1283"/>
    <x v="2102"/>
    <x v="10"/>
    <x v="1"/>
  </r>
  <r>
    <n v="2559"/>
    <x v="1258"/>
    <x v="70"/>
    <d v="2016-06-04T00:00:00"/>
    <s v="Standard Class"/>
    <x v="612"/>
    <s v="Tamara Manning"/>
    <x v="0"/>
    <s v="United States"/>
    <s v="Orem"/>
    <x v="7"/>
    <n v="84057"/>
    <x v="1"/>
    <x v="1373"/>
    <x v="0"/>
    <x v="0"/>
    <x v="1358"/>
    <x v="2103"/>
    <x v="5"/>
    <x v="1"/>
  </r>
  <r>
    <n v="2560"/>
    <x v="1258"/>
    <x v="70"/>
    <d v="2016-06-04T00:00:00"/>
    <s v="Standard Class"/>
    <x v="612"/>
    <s v="Tamara Manning"/>
    <x v="0"/>
    <s v="United States"/>
    <s v="Orem"/>
    <x v="7"/>
    <n v="84057"/>
    <x v="1"/>
    <x v="365"/>
    <x v="1"/>
    <x v="2"/>
    <x v="365"/>
    <x v="2104"/>
    <x v="5"/>
    <x v="1"/>
  </r>
  <r>
    <n v="2561"/>
    <x v="1258"/>
    <x v="70"/>
    <d v="2016-06-04T00:00:00"/>
    <s v="Standard Class"/>
    <x v="612"/>
    <s v="Tamara Manning"/>
    <x v="0"/>
    <s v="United States"/>
    <s v="Orem"/>
    <x v="7"/>
    <n v="84057"/>
    <x v="1"/>
    <x v="765"/>
    <x v="1"/>
    <x v="4"/>
    <x v="764"/>
    <x v="2105"/>
    <x v="5"/>
    <x v="1"/>
  </r>
  <r>
    <n v="2562"/>
    <x v="1259"/>
    <x v="707"/>
    <d v="2016-12-31T00:00:00"/>
    <s v="Standard Class"/>
    <x v="93"/>
    <s v="Maria Bertelson"/>
    <x v="0"/>
    <s v="United States"/>
    <s v="Nashville"/>
    <x v="18"/>
    <n v="37211"/>
    <x v="0"/>
    <x v="1186"/>
    <x v="1"/>
    <x v="2"/>
    <x v="1172"/>
    <x v="2106"/>
    <x v="4"/>
    <x v="1"/>
  </r>
  <r>
    <n v="2563"/>
    <x v="1259"/>
    <x v="707"/>
    <d v="2016-12-31T00:00:00"/>
    <s v="Standard Class"/>
    <x v="93"/>
    <s v="Maria Bertelson"/>
    <x v="0"/>
    <s v="United States"/>
    <s v="Nashville"/>
    <x v="18"/>
    <n v="37211"/>
    <x v="0"/>
    <x v="1290"/>
    <x v="1"/>
    <x v="10"/>
    <x v="1276"/>
    <x v="559"/>
    <x v="4"/>
    <x v="1"/>
  </r>
  <r>
    <n v="2564"/>
    <x v="1260"/>
    <x v="751"/>
    <d v="2016-03-22T00:00:00"/>
    <s v="Second Class"/>
    <x v="403"/>
    <s v="Harold Ryan"/>
    <x v="1"/>
    <s v="United States"/>
    <s v="New York City"/>
    <x v="15"/>
    <n v="10009"/>
    <x v="3"/>
    <x v="1374"/>
    <x v="2"/>
    <x v="11"/>
    <x v="1359"/>
    <x v="2107"/>
    <x v="10"/>
    <x v="1"/>
  </r>
  <r>
    <n v="2565"/>
    <x v="1260"/>
    <x v="751"/>
    <d v="2016-03-22T00:00:00"/>
    <s v="Second Class"/>
    <x v="403"/>
    <s v="Harold Ryan"/>
    <x v="1"/>
    <s v="United States"/>
    <s v="New York City"/>
    <x v="15"/>
    <n v="10009"/>
    <x v="3"/>
    <x v="1036"/>
    <x v="1"/>
    <x v="4"/>
    <x v="1026"/>
    <x v="2108"/>
    <x v="10"/>
    <x v="1"/>
  </r>
  <r>
    <n v="2566"/>
    <x v="1261"/>
    <x v="202"/>
    <d v="2018-12-24T00:00:00"/>
    <s v="First Class"/>
    <x v="631"/>
    <s v="Brian Derr"/>
    <x v="0"/>
    <s v="United States"/>
    <s v="Bowling Green"/>
    <x v="0"/>
    <n v="42104"/>
    <x v="0"/>
    <x v="936"/>
    <x v="2"/>
    <x v="11"/>
    <x v="929"/>
    <x v="2109"/>
    <x v="4"/>
    <x v="3"/>
  </r>
  <r>
    <n v="2567"/>
    <x v="1262"/>
    <x v="752"/>
    <d v="2018-11-03T00:00:00"/>
    <s v="Second Class"/>
    <x v="227"/>
    <s v="Sarah Foster"/>
    <x v="0"/>
    <s v="United States"/>
    <s v="Bellingham"/>
    <x v="4"/>
    <n v="98226"/>
    <x v="1"/>
    <x v="1375"/>
    <x v="1"/>
    <x v="8"/>
    <x v="1360"/>
    <x v="1415"/>
    <x v="0"/>
    <x v="3"/>
  </r>
  <r>
    <n v="2568"/>
    <x v="1262"/>
    <x v="752"/>
    <d v="2018-11-03T00:00:00"/>
    <s v="Second Class"/>
    <x v="227"/>
    <s v="Sarah Foster"/>
    <x v="0"/>
    <s v="United States"/>
    <s v="Bellingham"/>
    <x v="4"/>
    <n v="98226"/>
    <x v="1"/>
    <x v="1234"/>
    <x v="0"/>
    <x v="3"/>
    <x v="1217"/>
    <x v="2110"/>
    <x v="0"/>
    <x v="3"/>
  </r>
  <r>
    <n v="2569"/>
    <x v="1263"/>
    <x v="210"/>
    <d v="2018-09-11T00:00:00"/>
    <s v="Standard Class"/>
    <x v="407"/>
    <s v="Stefania Perrino"/>
    <x v="1"/>
    <s v="United States"/>
    <s v="New York City"/>
    <x v="15"/>
    <n v="10011"/>
    <x v="3"/>
    <x v="42"/>
    <x v="1"/>
    <x v="4"/>
    <x v="42"/>
    <x v="2111"/>
    <x v="8"/>
    <x v="3"/>
  </r>
  <r>
    <n v="2570"/>
    <x v="1264"/>
    <x v="753"/>
    <d v="2018-12-27T00:00:00"/>
    <s v="Same Day"/>
    <x v="112"/>
    <s v="Dan Reichenbach"/>
    <x v="1"/>
    <s v="United States"/>
    <s v="Newark"/>
    <x v="24"/>
    <n v="43055"/>
    <x v="3"/>
    <x v="819"/>
    <x v="2"/>
    <x v="7"/>
    <x v="815"/>
    <x v="2112"/>
    <x v="4"/>
    <x v="3"/>
  </r>
  <r>
    <n v="2571"/>
    <x v="1264"/>
    <x v="753"/>
    <d v="2018-12-27T00:00:00"/>
    <s v="Same Day"/>
    <x v="112"/>
    <s v="Dan Reichenbach"/>
    <x v="1"/>
    <s v="United States"/>
    <s v="Newark"/>
    <x v="24"/>
    <n v="43055"/>
    <x v="3"/>
    <x v="154"/>
    <x v="1"/>
    <x v="6"/>
    <x v="155"/>
    <x v="2113"/>
    <x v="4"/>
    <x v="3"/>
  </r>
  <r>
    <n v="2572"/>
    <x v="1265"/>
    <x v="11"/>
    <d v="2018-07-21T00:00:00"/>
    <s v="Standard Class"/>
    <x v="91"/>
    <s v="Valerie Mitchum"/>
    <x v="2"/>
    <s v="United States"/>
    <s v="Woodstock"/>
    <x v="10"/>
    <n v="60098"/>
    <x v="2"/>
    <x v="853"/>
    <x v="1"/>
    <x v="6"/>
    <x v="846"/>
    <x v="2114"/>
    <x v="7"/>
    <x v="3"/>
  </r>
  <r>
    <n v="2573"/>
    <x v="1266"/>
    <x v="399"/>
    <d v="2017-08-15T00:00:00"/>
    <s v="Second Class"/>
    <x v="632"/>
    <s v="Chris McAfee"/>
    <x v="0"/>
    <s v="United States"/>
    <s v="Carrollton"/>
    <x v="5"/>
    <n v="75007"/>
    <x v="2"/>
    <x v="1287"/>
    <x v="2"/>
    <x v="11"/>
    <x v="1273"/>
    <x v="2115"/>
    <x v="6"/>
    <x v="0"/>
  </r>
  <r>
    <n v="2574"/>
    <x v="1267"/>
    <x v="362"/>
    <d v="2018-07-14T00:00:00"/>
    <s v="Standard Class"/>
    <x v="598"/>
    <s v="Sean Miller"/>
    <x v="2"/>
    <s v="United States"/>
    <s v="Lafayette"/>
    <x v="14"/>
    <n v="47905"/>
    <x v="2"/>
    <x v="793"/>
    <x v="0"/>
    <x v="5"/>
    <x v="791"/>
    <x v="1862"/>
    <x v="7"/>
    <x v="3"/>
  </r>
  <r>
    <n v="2575"/>
    <x v="1268"/>
    <x v="754"/>
    <d v="2015-11-27T00:00:00"/>
    <s v="Standard Class"/>
    <x v="19"/>
    <s v="Ruben Ausman"/>
    <x v="1"/>
    <s v="United States"/>
    <s v="Columbus"/>
    <x v="32"/>
    <n v="31907"/>
    <x v="0"/>
    <x v="897"/>
    <x v="1"/>
    <x v="12"/>
    <x v="890"/>
    <x v="2116"/>
    <x v="0"/>
    <x v="2"/>
  </r>
  <r>
    <n v="2576"/>
    <x v="1268"/>
    <x v="754"/>
    <d v="2015-11-27T00:00:00"/>
    <s v="Standard Class"/>
    <x v="19"/>
    <s v="Ruben Ausman"/>
    <x v="1"/>
    <s v="United States"/>
    <s v="Columbus"/>
    <x v="32"/>
    <n v="31907"/>
    <x v="0"/>
    <x v="669"/>
    <x v="1"/>
    <x v="8"/>
    <x v="669"/>
    <x v="2117"/>
    <x v="0"/>
    <x v="2"/>
  </r>
  <r>
    <n v="2577"/>
    <x v="1268"/>
    <x v="754"/>
    <d v="2015-11-27T00:00:00"/>
    <s v="Standard Class"/>
    <x v="19"/>
    <s v="Ruben Ausman"/>
    <x v="1"/>
    <s v="United States"/>
    <s v="Columbus"/>
    <x v="32"/>
    <n v="31907"/>
    <x v="0"/>
    <x v="152"/>
    <x v="1"/>
    <x v="12"/>
    <x v="153"/>
    <x v="710"/>
    <x v="0"/>
    <x v="2"/>
  </r>
  <r>
    <n v="2578"/>
    <x v="1268"/>
    <x v="754"/>
    <d v="2015-11-27T00:00:00"/>
    <s v="Standard Class"/>
    <x v="19"/>
    <s v="Ruben Ausman"/>
    <x v="1"/>
    <s v="United States"/>
    <s v="Columbus"/>
    <x v="32"/>
    <n v="31907"/>
    <x v="0"/>
    <x v="1376"/>
    <x v="1"/>
    <x v="9"/>
    <x v="1361"/>
    <x v="2118"/>
    <x v="0"/>
    <x v="2"/>
  </r>
  <r>
    <n v="2579"/>
    <x v="1269"/>
    <x v="755"/>
    <d v="2015-01-31T00:00:00"/>
    <s v="Standard Class"/>
    <x v="174"/>
    <s v="Shirley Daniels"/>
    <x v="2"/>
    <s v="United States"/>
    <s v="Alexandria"/>
    <x v="17"/>
    <n v="22304"/>
    <x v="0"/>
    <x v="1377"/>
    <x v="0"/>
    <x v="5"/>
    <x v="1362"/>
    <x v="2119"/>
    <x v="9"/>
    <x v="2"/>
  </r>
  <r>
    <n v="2580"/>
    <x v="1269"/>
    <x v="755"/>
    <d v="2015-01-31T00:00:00"/>
    <s v="Standard Class"/>
    <x v="174"/>
    <s v="Shirley Daniels"/>
    <x v="2"/>
    <s v="United States"/>
    <s v="Alexandria"/>
    <x v="17"/>
    <n v="22304"/>
    <x v="0"/>
    <x v="854"/>
    <x v="1"/>
    <x v="4"/>
    <x v="847"/>
    <x v="2120"/>
    <x v="9"/>
    <x v="2"/>
  </r>
  <r>
    <n v="2581"/>
    <x v="1269"/>
    <x v="755"/>
    <d v="2015-01-31T00:00:00"/>
    <s v="Standard Class"/>
    <x v="174"/>
    <s v="Shirley Daniels"/>
    <x v="2"/>
    <s v="United States"/>
    <s v="Alexandria"/>
    <x v="17"/>
    <n v="22304"/>
    <x v="0"/>
    <x v="934"/>
    <x v="1"/>
    <x v="10"/>
    <x v="927"/>
    <x v="537"/>
    <x v="9"/>
    <x v="2"/>
  </r>
  <r>
    <n v="2582"/>
    <x v="1269"/>
    <x v="755"/>
    <d v="2015-01-31T00:00:00"/>
    <s v="Standard Class"/>
    <x v="174"/>
    <s v="Shirley Daniels"/>
    <x v="2"/>
    <s v="United States"/>
    <s v="Alexandria"/>
    <x v="17"/>
    <n v="22304"/>
    <x v="0"/>
    <x v="1305"/>
    <x v="1"/>
    <x v="10"/>
    <x v="1290"/>
    <x v="1438"/>
    <x v="9"/>
    <x v="2"/>
  </r>
  <r>
    <n v="2583"/>
    <x v="1269"/>
    <x v="755"/>
    <d v="2015-01-31T00:00:00"/>
    <s v="Standard Class"/>
    <x v="174"/>
    <s v="Shirley Daniels"/>
    <x v="2"/>
    <s v="United States"/>
    <s v="Alexandria"/>
    <x v="17"/>
    <n v="22304"/>
    <x v="0"/>
    <x v="1378"/>
    <x v="2"/>
    <x v="7"/>
    <x v="1363"/>
    <x v="2121"/>
    <x v="9"/>
    <x v="2"/>
  </r>
  <r>
    <n v="2584"/>
    <x v="1269"/>
    <x v="755"/>
    <d v="2015-01-31T00:00:00"/>
    <s v="Standard Class"/>
    <x v="174"/>
    <s v="Shirley Daniels"/>
    <x v="2"/>
    <s v="United States"/>
    <s v="Alexandria"/>
    <x v="17"/>
    <n v="22304"/>
    <x v="0"/>
    <x v="1379"/>
    <x v="0"/>
    <x v="5"/>
    <x v="1364"/>
    <x v="2122"/>
    <x v="9"/>
    <x v="2"/>
  </r>
  <r>
    <n v="2585"/>
    <x v="1269"/>
    <x v="755"/>
    <d v="2015-01-31T00:00:00"/>
    <s v="Standard Class"/>
    <x v="174"/>
    <s v="Shirley Daniels"/>
    <x v="2"/>
    <s v="United States"/>
    <s v="Alexandria"/>
    <x v="17"/>
    <n v="22304"/>
    <x v="0"/>
    <x v="539"/>
    <x v="2"/>
    <x v="7"/>
    <x v="539"/>
    <x v="2123"/>
    <x v="9"/>
    <x v="2"/>
  </r>
  <r>
    <n v="2586"/>
    <x v="1270"/>
    <x v="502"/>
    <d v="2016-11-10T00:00:00"/>
    <s v="Standard Class"/>
    <x v="294"/>
    <s v="Chris Selesnick"/>
    <x v="1"/>
    <s v="United States"/>
    <s v="Haltom City"/>
    <x v="5"/>
    <n v="76117"/>
    <x v="2"/>
    <x v="318"/>
    <x v="1"/>
    <x v="12"/>
    <x v="318"/>
    <x v="2124"/>
    <x v="0"/>
    <x v="1"/>
  </r>
  <r>
    <n v="2587"/>
    <x v="1271"/>
    <x v="160"/>
    <d v="2018-07-06T00:00:00"/>
    <s v="Standard Class"/>
    <x v="267"/>
    <s v="Ralph Arnett"/>
    <x v="0"/>
    <s v="United States"/>
    <s v="New York City"/>
    <x v="15"/>
    <n v="10024"/>
    <x v="3"/>
    <x v="841"/>
    <x v="1"/>
    <x v="4"/>
    <x v="835"/>
    <x v="2125"/>
    <x v="1"/>
    <x v="3"/>
  </r>
  <r>
    <n v="2588"/>
    <x v="1271"/>
    <x v="160"/>
    <d v="2018-07-06T00:00:00"/>
    <s v="Standard Class"/>
    <x v="267"/>
    <s v="Ralph Arnett"/>
    <x v="0"/>
    <s v="United States"/>
    <s v="New York City"/>
    <x v="15"/>
    <n v="10024"/>
    <x v="3"/>
    <x v="1380"/>
    <x v="0"/>
    <x v="5"/>
    <x v="1365"/>
    <x v="743"/>
    <x v="1"/>
    <x v="3"/>
  </r>
  <r>
    <n v="2589"/>
    <x v="1272"/>
    <x v="465"/>
    <d v="2017-05-09T00:00:00"/>
    <s v="Standard Class"/>
    <x v="593"/>
    <s v="Barry Franz"/>
    <x v="2"/>
    <s v="United States"/>
    <s v="Los Angeles"/>
    <x v="1"/>
    <n v="90004"/>
    <x v="1"/>
    <x v="1198"/>
    <x v="1"/>
    <x v="4"/>
    <x v="1183"/>
    <x v="156"/>
    <x v="5"/>
    <x v="0"/>
  </r>
  <r>
    <n v="2590"/>
    <x v="1272"/>
    <x v="465"/>
    <d v="2017-05-09T00:00:00"/>
    <s v="Standard Class"/>
    <x v="593"/>
    <s v="Barry Franz"/>
    <x v="2"/>
    <s v="United States"/>
    <s v="Los Angeles"/>
    <x v="1"/>
    <n v="90004"/>
    <x v="1"/>
    <x v="239"/>
    <x v="2"/>
    <x v="7"/>
    <x v="240"/>
    <x v="2126"/>
    <x v="5"/>
    <x v="0"/>
  </r>
  <r>
    <n v="2591"/>
    <x v="1273"/>
    <x v="162"/>
    <d v="2017-09-14T00:00:00"/>
    <s v="Standard Class"/>
    <x v="339"/>
    <s v="Sanjit Engle"/>
    <x v="0"/>
    <s v="United States"/>
    <s v="Wheeling"/>
    <x v="10"/>
    <n v="60090"/>
    <x v="2"/>
    <x v="1381"/>
    <x v="0"/>
    <x v="5"/>
    <x v="1366"/>
    <x v="2127"/>
    <x v="8"/>
    <x v="0"/>
  </r>
  <r>
    <n v="2592"/>
    <x v="1273"/>
    <x v="162"/>
    <d v="2017-09-14T00:00:00"/>
    <s v="Standard Class"/>
    <x v="339"/>
    <s v="Sanjit Engle"/>
    <x v="0"/>
    <s v="United States"/>
    <s v="Wheeling"/>
    <x v="10"/>
    <n v="60090"/>
    <x v="2"/>
    <x v="1382"/>
    <x v="0"/>
    <x v="3"/>
    <x v="1367"/>
    <x v="2128"/>
    <x v="8"/>
    <x v="0"/>
  </r>
  <r>
    <n v="2593"/>
    <x v="1274"/>
    <x v="221"/>
    <d v="2018-11-26T00:00:00"/>
    <s v="Second Class"/>
    <x v="276"/>
    <s v="Roland Schwarz"/>
    <x v="1"/>
    <s v="United States"/>
    <s v="Summerville"/>
    <x v="20"/>
    <n v="29483"/>
    <x v="0"/>
    <x v="1255"/>
    <x v="2"/>
    <x v="7"/>
    <x v="1239"/>
    <x v="2129"/>
    <x v="0"/>
    <x v="3"/>
  </r>
  <r>
    <n v="2594"/>
    <x v="1274"/>
    <x v="221"/>
    <d v="2018-11-26T00:00:00"/>
    <s v="Second Class"/>
    <x v="276"/>
    <s v="Roland Schwarz"/>
    <x v="1"/>
    <s v="United States"/>
    <s v="Summerville"/>
    <x v="20"/>
    <n v="29483"/>
    <x v="0"/>
    <x v="800"/>
    <x v="1"/>
    <x v="8"/>
    <x v="798"/>
    <x v="2130"/>
    <x v="0"/>
    <x v="3"/>
  </r>
  <r>
    <n v="2595"/>
    <x v="1275"/>
    <x v="726"/>
    <d v="2018-05-17T00:00:00"/>
    <s v="Standard Class"/>
    <x v="312"/>
    <s v="Brian Moss"/>
    <x v="1"/>
    <s v="United States"/>
    <s v="Columbus"/>
    <x v="14"/>
    <n v="47201"/>
    <x v="2"/>
    <x v="231"/>
    <x v="1"/>
    <x v="12"/>
    <x v="232"/>
    <x v="2131"/>
    <x v="5"/>
    <x v="3"/>
  </r>
  <r>
    <n v="2596"/>
    <x v="1275"/>
    <x v="726"/>
    <d v="2018-05-17T00:00:00"/>
    <s v="Standard Class"/>
    <x v="312"/>
    <s v="Brian Moss"/>
    <x v="1"/>
    <s v="United States"/>
    <s v="Columbus"/>
    <x v="14"/>
    <n v="47201"/>
    <x v="2"/>
    <x v="569"/>
    <x v="1"/>
    <x v="8"/>
    <x v="569"/>
    <x v="2132"/>
    <x v="5"/>
    <x v="3"/>
  </r>
  <r>
    <n v="2597"/>
    <x v="1275"/>
    <x v="726"/>
    <d v="2018-05-17T00:00:00"/>
    <s v="Standard Class"/>
    <x v="312"/>
    <s v="Brian Moss"/>
    <x v="1"/>
    <s v="United States"/>
    <s v="Columbus"/>
    <x v="14"/>
    <n v="47201"/>
    <x v="2"/>
    <x v="966"/>
    <x v="2"/>
    <x v="7"/>
    <x v="1368"/>
    <x v="2133"/>
    <x v="5"/>
    <x v="3"/>
  </r>
  <r>
    <n v="2598"/>
    <x v="1275"/>
    <x v="726"/>
    <d v="2018-05-17T00:00:00"/>
    <s v="Standard Class"/>
    <x v="312"/>
    <s v="Brian Moss"/>
    <x v="1"/>
    <s v="United States"/>
    <s v="Columbus"/>
    <x v="14"/>
    <n v="47201"/>
    <x v="2"/>
    <x v="1244"/>
    <x v="1"/>
    <x v="4"/>
    <x v="1227"/>
    <x v="2134"/>
    <x v="5"/>
    <x v="3"/>
  </r>
  <r>
    <n v="2599"/>
    <x v="1275"/>
    <x v="726"/>
    <d v="2018-05-17T00:00:00"/>
    <s v="Standard Class"/>
    <x v="312"/>
    <s v="Brian Moss"/>
    <x v="1"/>
    <s v="United States"/>
    <s v="Columbus"/>
    <x v="14"/>
    <n v="47201"/>
    <x v="2"/>
    <x v="1383"/>
    <x v="1"/>
    <x v="10"/>
    <x v="1369"/>
    <x v="1801"/>
    <x v="5"/>
    <x v="3"/>
  </r>
  <r>
    <n v="2600"/>
    <x v="1276"/>
    <x v="756"/>
    <d v="2018-04-29T00:00:00"/>
    <s v="Standard Class"/>
    <x v="85"/>
    <s v="Sally Knutson"/>
    <x v="0"/>
    <s v="United States"/>
    <s v="New York City"/>
    <x v="15"/>
    <n v="10024"/>
    <x v="3"/>
    <x v="1306"/>
    <x v="1"/>
    <x v="9"/>
    <x v="1291"/>
    <x v="2135"/>
    <x v="3"/>
    <x v="3"/>
  </r>
  <r>
    <n v="2601"/>
    <x v="1276"/>
    <x v="756"/>
    <d v="2018-04-29T00:00:00"/>
    <s v="Standard Class"/>
    <x v="85"/>
    <s v="Sally Knutson"/>
    <x v="0"/>
    <s v="United States"/>
    <s v="New York City"/>
    <x v="15"/>
    <n v="10024"/>
    <x v="3"/>
    <x v="354"/>
    <x v="1"/>
    <x v="14"/>
    <x v="354"/>
    <x v="2136"/>
    <x v="3"/>
    <x v="3"/>
  </r>
  <r>
    <n v="2602"/>
    <x v="1277"/>
    <x v="30"/>
    <d v="2017-06-04T00:00:00"/>
    <s v="Same Day"/>
    <x v="633"/>
    <s v="Edward Nazzal"/>
    <x v="0"/>
    <s v="United States"/>
    <s v="New York City"/>
    <x v="15"/>
    <n v="10035"/>
    <x v="3"/>
    <x v="811"/>
    <x v="1"/>
    <x v="10"/>
    <x v="33"/>
    <x v="1801"/>
    <x v="1"/>
    <x v="0"/>
  </r>
  <r>
    <n v="2603"/>
    <x v="1277"/>
    <x v="30"/>
    <d v="2017-06-04T00:00:00"/>
    <s v="Same Day"/>
    <x v="633"/>
    <s v="Edward Nazzal"/>
    <x v="0"/>
    <s v="United States"/>
    <s v="New York City"/>
    <x v="15"/>
    <n v="10035"/>
    <x v="3"/>
    <x v="1384"/>
    <x v="2"/>
    <x v="15"/>
    <x v="1370"/>
    <x v="2137"/>
    <x v="1"/>
    <x v="0"/>
  </r>
  <r>
    <n v="2604"/>
    <x v="1277"/>
    <x v="30"/>
    <d v="2017-06-04T00:00:00"/>
    <s v="Same Day"/>
    <x v="633"/>
    <s v="Edward Nazzal"/>
    <x v="0"/>
    <s v="United States"/>
    <s v="New York City"/>
    <x v="15"/>
    <n v="10035"/>
    <x v="3"/>
    <x v="1057"/>
    <x v="0"/>
    <x v="0"/>
    <x v="1046"/>
    <x v="2138"/>
    <x v="1"/>
    <x v="0"/>
  </r>
  <r>
    <n v="2605"/>
    <x v="1277"/>
    <x v="30"/>
    <d v="2017-06-04T00:00:00"/>
    <s v="Same Day"/>
    <x v="633"/>
    <s v="Edward Nazzal"/>
    <x v="0"/>
    <s v="United States"/>
    <s v="New York City"/>
    <x v="15"/>
    <n v="10035"/>
    <x v="3"/>
    <x v="677"/>
    <x v="0"/>
    <x v="5"/>
    <x v="677"/>
    <x v="2139"/>
    <x v="1"/>
    <x v="0"/>
  </r>
  <r>
    <n v="2606"/>
    <x v="1278"/>
    <x v="757"/>
    <d v="2015-12-21T00:00:00"/>
    <s v="Standard Class"/>
    <x v="634"/>
    <s v="Kean Nguyen"/>
    <x v="1"/>
    <s v="United States"/>
    <s v="Jacksonville"/>
    <x v="2"/>
    <n v="32216"/>
    <x v="0"/>
    <x v="1065"/>
    <x v="1"/>
    <x v="8"/>
    <x v="1054"/>
    <x v="2140"/>
    <x v="4"/>
    <x v="2"/>
  </r>
  <r>
    <n v="2607"/>
    <x v="1279"/>
    <x v="758"/>
    <d v="2017-03-10T00:00:00"/>
    <s v="Standard Class"/>
    <x v="450"/>
    <s v="Michael Granlund"/>
    <x v="2"/>
    <s v="United States"/>
    <s v="San Diego"/>
    <x v="1"/>
    <n v="92024"/>
    <x v="1"/>
    <x v="1385"/>
    <x v="1"/>
    <x v="6"/>
    <x v="1371"/>
    <x v="2141"/>
    <x v="10"/>
    <x v="0"/>
  </r>
  <r>
    <n v="2608"/>
    <x v="1280"/>
    <x v="641"/>
    <d v="2015-11-30T00:00:00"/>
    <s v="Standard Class"/>
    <x v="565"/>
    <s v="Matt Collister"/>
    <x v="1"/>
    <s v="United States"/>
    <s v="Arlington"/>
    <x v="5"/>
    <n v="76017"/>
    <x v="2"/>
    <x v="1386"/>
    <x v="2"/>
    <x v="11"/>
    <x v="1372"/>
    <x v="1063"/>
    <x v="0"/>
    <x v="2"/>
  </r>
  <r>
    <n v="2609"/>
    <x v="1280"/>
    <x v="641"/>
    <d v="2015-11-30T00:00:00"/>
    <s v="Standard Class"/>
    <x v="565"/>
    <s v="Matt Collister"/>
    <x v="1"/>
    <s v="United States"/>
    <s v="Arlington"/>
    <x v="5"/>
    <n v="76017"/>
    <x v="2"/>
    <x v="395"/>
    <x v="1"/>
    <x v="2"/>
    <x v="396"/>
    <x v="2142"/>
    <x v="0"/>
    <x v="2"/>
  </r>
  <r>
    <n v="2610"/>
    <x v="1280"/>
    <x v="641"/>
    <d v="2015-11-30T00:00:00"/>
    <s v="Standard Class"/>
    <x v="565"/>
    <s v="Matt Collister"/>
    <x v="1"/>
    <s v="United States"/>
    <s v="Arlington"/>
    <x v="5"/>
    <n v="76017"/>
    <x v="2"/>
    <x v="3"/>
    <x v="0"/>
    <x v="3"/>
    <x v="3"/>
    <x v="2143"/>
    <x v="0"/>
    <x v="2"/>
  </r>
  <r>
    <n v="2611"/>
    <x v="1280"/>
    <x v="641"/>
    <d v="2015-11-30T00:00:00"/>
    <s v="Standard Class"/>
    <x v="565"/>
    <s v="Matt Collister"/>
    <x v="1"/>
    <s v="United States"/>
    <s v="Arlington"/>
    <x v="5"/>
    <n v="76017"/>
    <x v="2"/>
    <x v="1238"/>
    <x v="1"/>
    <x v="2"/>
    <x v="1221"/>
    <x v="2144"/>
    <x v="0"/>
    <x v="2"/>
  </r>
  <r>
    <n v="2612"/>
    <x v="1280"/>
    <x v="641"/>
    <d v="2015-11-30T00:00:00"/>
    <s v="Standard Class"/>
    <x v="565"/>
    <s v="Matt Collister"/>
    <x v="1"/>
    <s v="United States"/>
    <s v="Arlington"/>
    <x v="5"/>
    <n v="76017"/>
    <x v="2"/>
    <x v="783"/>
    <x v="1"/>
    <x v="10"/>
    <x v="782"/>
    <x v="929"/>
    <x v="0"/>
    <x v="2"/>
  </r>
  <r>
    <n v="2613"/>
    <x v="1280"/>
    <x v="641"/>
    <d v="2015-11-30T00:00:00"/>
    <s v="Standard Class"/>
    <x v="565"/>
    <s v="Matt Collister"/>
    <x v="1"/>
    <s v="United States"/>
    <s v="Arlington"/>
    <x v="5"/>
    <n v="76017"/>
    <x v="2"/>
    <x v="534"/>
    <x v="0"/>
    <x v="5"/>
    <x v="534"/>
    <x v="855"/>
    <x v="0"/>
    <x v="2"/>
  </r>
  <r>
    <n v="2614"/>
    <x v="1281"/>
    <x v="236"/>
    <d v="2017-05-05T00:00:00"/>
    <s v="Standard Class"/>
    <x v="635"/>
    <s v="Bill Overfelt"/>
    <x v="1"/>
    <s v="United States"/>
    <s v="Los Angeles"/>
    <x v="1"/>
    <n v="90045"/>
    <x v="1"/>
    <x v="792"/>
    <x v="0"/>
    <x v="1"/>
    <x v="790"/>
    <x v="1501"/>
    <x v="3"/>
    <x v="0"/>
  </r>
  <r>
    <n v="2615"/>
    <x v="1282"/>
    <x v="759"/>
    <d v="2015-05-03T00:00:00"/>
    <s v="Standard Class"/>
    <x v="636"/>
    <s v="Aleksandra Gannaway"/>
    <x v="1"/>
    <s v="United States"/>
    <s v="Los Angeles"/>
    <x v="1"/>
    <n v="90049"/>
    <x v="1"/>
    <x v="370"/>
    <x v="0"/>
    <x v="1"/>
    <x v="371"/>
    <x v="2145"/>
    <x v="3"/>
    <x v="2"/>
  </r>
  <r>
    <n v="2616"/>
    <x v="1282"/>
    <x v="759"/>
    <d v="2015-05-03T00:00:00"/>
    <s v="Standard Class"/>
    <x v="636"/>
    <s v="Aleksandra Gannaway"/>
    <x v="1"/>
    <s v="United States"/>
    <s v="Los Angeles"/>
    <x v="1"/>
    <n v="90049"/>
    <x v="1"/>
    <x v="31"/>
    <x v="1"/>
    <x v="8"/>
    <x v="31"/>
    <x v="2146"/>
    <x v="3"/>
    <x v="2"/>
  </r>
  <r>
    <n v="2617"/>
    <x v="1283"/>
    <x v="719"/>
    <d v="2018-04-05T00:00:00"/>
    <s v="Standard Class"/>
    <x v="333"/>
    <s v="Maribeth Schnelling"/>
    <x v="0"/>
    <s v="United States"/>
    <s v="San Francisco"/>
    <x v="1"/>
    <n v="94110"/>
    <x v="1"/>
    <x v="1387"/>
    <x v="1"/>
    <x v="2"/>
    <x v="1373"/>
    <x v="396"/>
    <x v="3"/>
    <x v="3"/>
  </r>
  <r>
    <n v="2618"/>
    <x v="1283"/>
    <x v="719"/>
    <d v="2018-04-05T00:00:00"/>
    <s v="Standard Class"/>
    <x v="333"/>
    <s v="Maribeth Schnelling"/>
    <x v="0"/>
    <s v="United States"/>
    <s v="San Francisco"/>
    <x v="1"/>
    <n v="94110"/>
    <x v="1"/>
    <x v="673"/>
    <x v="1"/>
    <x v="8"/>
    <x v="673"/>
    <x v="2147"/>
    <x v="3"/>
    <x v="3"/>
  </r>
  <r>
    <n v="2619"/>
    <x v="1284"/>
    <x v="66"/>
    <d v="2018-12-26T00:00:00"/>
    <s v="Standard Class"/>
    <x v="487"/>
    <s v="Jim Mitchum"/>
    <x v="1"/>
    <s v="United States"/>
    <s v="Carlsbad"/>
    <x v="27"/>
    <n v="88220"/>
    <x v="1"/>
    <x v="381"/>
    <x v="1"/>
    <x v="6"/>
    <x v="382"/>
    <x v="2148"/>
    <x v="4"/>
    <x v="3"/>
  </r>
  <r>
    <n v="2620"/>
    <x v="1284"/>
    <x v="66"/>
    <d v="2018-12-26T00:00:00"/>
    <s v="Standard Class"/>
    <x v="487"/>
    <s v="Jim Mitchum"/>
    <x v="1"/>
    <s v="United States"/>
    <s v="Carlsbad"/>
    <x v="27"/>
    <n v="88220"/>
    <x v="1"/>
    <x v="1020"/>
    <x v="2"/>
    <x v="7"/>
    <x v="1011"/>
    <x v="2149"/>
    <x v="4"/>
    <x v="3"/>
  </r>
  <r>
    <n v="2621"/>
    <x v="1284"/>
    <x v="66"/>
    <d v="2018-12-26T00:00:00"/>
    <s v="Standard Class"/>
    <x v="487"/>
    <s v="Jim Mitchum"/>
    <x v="1"/>
    <s v="United States"/>
    <s v="Carlsbad"/>
    <x v="27"/>
    <n v="88220"/>
    <x v="1"/>
    <x v="253"/>
    <x v="1"/>
    <x v="4"/>
    <x v="254"/>
    <x v="2150"/>
    <x v="4"/>
    <x v="3"/>
  </r>
  <r>
    <n v="2622"/>
    <x v="1284"/>
    <x v="66"/>
    <d v="2018-12-26T00:00:00"/>
    <s v="Standard Class"/>
    <x v="487"/>
    <s v="Jim Mitchum"/>
    <x v="1"/>
    <s v="United States"/>
    <s v="Carlsbad"/>
    <x v="27"/>
    <n v="88220"/>
    <x v="1"/>
    <x v="932"/>
    <x v="1"/>
    <x v="2"/>
    <x v="925"/>
    <x v="1753"/>
    <x v="4"/>
    <x v="3"/>
  </r>
  <r>
    <n v="2623"/>
    <x v="1285"/>
    <x v="640"/>
    <d v="2015-12-06T00:00:00"/>
    <s v="Second Class"/>
    <x v="637"/>
    <s v="Matthew Clasen"/>
    <x v="1"/>
    <s v="United States"/>
    <s v="Saint Louis"/>
    <x v="25"/>
    <n v="63116"/>
    <x v="2"/>
    <x v="1193"/>
    <x v="1"/>
    <x v="10"/>
    <x v="1178"/>
    <x v="233"/>
    <x v="4"/>
    <x v="2"/>
  </r>
  <r>
    <n v="2624"/>
    <x v="1286"/>
    <x v="760"/>
    <d v="2018-10-24T00:00:00"/>
    <s v="First Class"/>
    <x v="638"/>
    <s v="Tom Ashbrook"/>
    <x v="2"/>
    <s v="United States"/>
    <s v="New York City"/>
    <x v="15"/>
    <n v="10024"/>
    <x v="3"/>
    <x v="1388"/>
    <x v="2"/>
    <x v="16"/>
    <x v="1374"/>
    <x v="2151"/>
    <x v="2"/>
    <x v="3"/>
  </r>
  <r>
    <n v="2625"/>
    <x v="1286"/>
    <x v="760"/>
    <d v="2018-10-24T00:00:00"/>
    <s v="First Class"/>
    <x v="638"/>
    <s v="Tom Ashbrook"/>
    <x v="2"/>
    <s v="United States"/>
    <s v="New York City"/>
    <x v="15"/>
    <n v="10024"/>
    <x v="3"/>
    <x v="716"/>
    <x v="2"/>
    <x v="7"/>
    <x v="715"/>
    <x v="2152"/>
    <x v="2"/>
    <x v="3"/>
  </r>
  <r>
    <n v="2626"/>
    <x v="1286"/>
    <x v="760"/>
    <d v="2018-10-24T00:00:00"/>
    <s v="First Class"/>
    <x v="638"/>
    <s v="Tom Ashbrook"/>
    <x v="2"/>
    <s v="United States"/>
    <s v="New York City"/>
    <x v="15"/>
    <n v="10024"/>
    <x v="3"/>
    <x v="118"/>
    <x v="1"/>
    <x v="12"/>
    <x v="118"/>
    <x v="1011"/>
    <x v="2"/>
    <x v="3"/>
  </r>
  <r>
    <n v="2627"/>
    <x v="1286"/>
    <x v="760"/>
    <d v="2018-10-24T00:00:00"/>
    <s v="First Class"/>
    <x v="638"/>
    <s v="Tom Ashbrook"/>
    <x v="2"/>
    <s v="United States"/>
    <s v="New York City"/>
    <x v="15"/>
    <n v="10024"/>
    <x v="3"/>
    <x v="509"/>
    <x v="2"/>
    <x v="7"/>
    <x v="509"/>
    <x v="2153"/>
    <x v="2"/>
    <x v="3"/>
  </r>
  <r>
    <n v="2628"/>
    <x v="1287"/>
    <x v="38"/>
    <d v="2018-11-15T00:00:00"/>
    <s v="First Class"/>
    <x v="115"/>
    <s v="Sean Braxton"/>
    <x v="1"/>
    <s v="United States"/>
    <s v="Springfield"/>
    <x v="24"/>
    <n v="45503"/>
    <x v="3"/>
    <x v="452"/>
    <x v="2"/>
    <x v="11"/>
    <x v="453"/>
    <x v="2154"/>
    <x v="0"/>
    <x v="3"/>
  </r>
  <r>
    <n v="2629"/>
    <x v="1287"/>
    <x v="38"/>
    <d v="2018-11-15T00:00:00"/>
    <s v="First Class"/>
    <x v="115"/>
    <s v="Sean Braxton"/>
    <x v="1"/>
    <s v="United States"/>
    <s v="Springfield"/>
    <x v="24"/>
    <n v="45503"/>
    <x v="3"/>
    <x v="1389"/>
    <x v="2"/>
    <x v="15"/>
    <x v="1375"/>
    <x v="2155"/>
    <x v="0"/>
    <x v="3"/>
  </r>
  <r>
    <n v="2630"/>
    <x v="1287"/>
    <x v="38"/>
    <d v="2018-11-15T00:00:00"/>
    <s v="First Class"/>
    <x v="115"/>
    <s v="Sean Braxton"/>
    <x v="1"/>
    <s v="United States"/>
    <s v="Springfield"/>
    <x v="24"/>
    <n v="45503"/>
    <x v="3"/>
    <x v="1390"/>
    <x v="1"/>
    <x v="8"/>
    <x v="1376"/>
    <x v="2156"/>
    <x v="0"/>
    <x v="3"/>
  </r>
  <r>
    <n v="2631"/>
    <x v="1288"/>
    <x v="229"/>
    <d v="2016-09-15T00:00:00"/>
    <s v="Standard Class"/>
    <x v="492"/>
    <s v="Aimee Bixby"/>
    <x v="0"/>
    <s v="United States"/>
    <s v="Tulsa"/>
    <x v="26"/>
    <n v="74133"/>
    <x v="2"/>
    <x v="1231"/>
    <x v="1"/>
    <x v="10"/>
    <x v="1214"/>
    <x v="1801"/>
    <x v="8"/>
    <x v="1"/>
  </r>
  <r>
    <n v="2632"/>
    <x v="1289"/>
    <x v="356"/>
    <d v="2018-05-20T00:00:00"/>
    <s v="Standard Class"/>
    <x v="639"/>
    <s v="Jason Fortune-"/>
    <x v="0"/>
    <s v="United States"/>
    <s v="Seattle"/>
    <x v="4"/>
    <n v="98103"/>
    <x v="1"/>
    <x v="891"/>
    <x v="0"/>
    <x v="5"/>
    <x v="884"/>
    <x v="786"/>
    <x v="5"/>
    <x v="3"/>
  </r>
  <r>
    <n v="2633"/>
    <x v="1289"/>
    <x v="356"/>
    <d v="2018-05-20T00:00:00"/>
    <s v="Standard Class"/>
    <x v="639"/>
    <s v="Jason Fortune-"/>
    <x v="0"/>
    <s v="United States"/>
    <s v="Seattle"/>
    <x v="4"/>
    <n v="98103"/>
    <x v="1"/>
    <x v="1391"/>
    <x v="0"/>
    <x v="1"/>
    <x v="1377"/>
    <x v="2157"/>
    <x v="5"/>
    <x v="3"/>
  </r>
  <r>
    <n v="2634"/>
    <x v="1289"/>
    <x v="356"/>
    <d v="2018-05-20T00:00:00"/>
    <s v="Standard Class"/>
    <x v="639"/>
    <s v="Jason Fortune-"/>
    <x v="0"/>
    <s v="United States"/>
    <s v="Seattle"/>
    <x v="4"/>
    <n v="98103"/>
    <x v="1"/>
    <x v="157"/>
    <x v="0"/>
    <x v="1"/>
    <x v="158"/>
    <x v="2158"/>
    <x v="5"/>
    <x v="3"/>
  </r>
  <r>
    <n v="2635"/>
    <x v="1290"/>
    <x v="761"/>
    <d v="2016-07-10T00:00:00"/>
    <s v="Second Class"/>
    <x v="541"/>
    <s v="Barbara Fisher"/>
    <x v="1"/>
    <s v="United States"/>
    <s v="Fayetteville"/>
    <x v="3"/>
    <n v="28314"/>
    <x v="0"/>
    <x v="1392"/>
    <x v="0"/>
    <x v="5"/>
    <x v="1378"/>
    <x v="1253"/>
    <x v="7"/>
    <x v="1"/>
  </r>
  <r>
    <n v="2636"/>
    <x v="1290"/>
    <x v="761"/>
    <d v="2016-07-10T00:00:00"/>
    <s v="Second Class"/>
    <x v="541"/>
    <s v="Barbara Fisher"/>
    <x v="1"/>
    <s v="United States"/>
    <s v="Fayetteville"/>
    <x v="3"/>
    <n v="28314"/>
    <x v="0"/>
    <x v="544"/>
    <x v="1"/>
    <x v="8"/>
    <x v="544"/>
    <x v="2159"/>
    <x v="7"/>
    <x v="1"/>
  </r>
  <r>
    <n v="2637"/>
    <x v="1291"/>
    <x v="762"/>
    <d v="2016-08-19T00:00:00"/>
    <s v="Standard Class"/>
    <x v="640"/>
    <s v="Tim Taslimi"/>
    <x v="1"/>
    <s v="United States"/>
    <s v="Los Angeles"/>
    <x v="1"/>
    <n v="90045"/>
    <x v="1"/>
    <x v="765"/>
    <x v="1"/>
    <x v="4"/>
    <x v="764"/>
    <x v="2105"/>
    <x v="6"/>
    <x v="1"/>
  </r>
  <r>
    <n v="2638"/>
    <x v="1292"/>
    <x v="492"/>
    <d v="2018-06-18T00:00:00"/>
    <s v="Standard Class"/>
    <x v="641"/>
    <s v="Sarah Bern"/>
    <x v="0"/>
    <s v="United States"/>
    <s v="New York City"/>
    <x v="15"/>
    <n v="10035"/>
    <x v="3"/>
    <x v="1393"/>
    <x v="1"/>
    <x v="10"/>
    <x v="1379"/>
    <x v="2160"/>
    <x v="1"/>
    <x v="3"/>
  </r>
  <r>
    <n v="2639"/>
    <x v="1292"/>
    <x v="492"/>
    <d v="2018-06-18T00:00:00"/>
    <s v="Standard Class"/>
    <x v="641"/>
    <s v="Sarah Bern"/>
    <x v="0"/>
    <s v="United States"/>
    <s v="New York City"/>
    <x v="15"/>
    <n v="10035"/>
    <x v="3"/>
    <x v="520"/>
    <x v="1"/>
    <x v="8"/>
    <x v="520"/>
    <x v="531"/>
    <x v="1"/>
    <x v="3"/>
  </r>
  <r>
    <n v="2640"/>
    <x v="1292"/>
    <x v="492"/>
    <d v="2018-06-18T00:00:00"/>
    <s v="Standard Class"/>
    <x v="641"/>
    <s v="Sarah Bern"/>
    <x v="0"/>
    <s v="United States"/>
    <s v="New York City"/>
    <x v="15"/>
    <n v="10035"/>
    <x v="3"/>
    <x v="1394"/>
    <x v="1"/>
    <x v="6"/>
    <x v="1380"/>
    <x v="2161"/>
    <x v="1"/>
    <x v="3"/>
  </r>
  <r>
    <n v="2641"/>
    <x v="1292"/>
    <x v="492"/>
    <d v="2018-06-18T00:00:00"/>
    <s v="Standard Class"/>
    <x v="641"/>
    <s v="Sarah Bern"/>
    <x v="0"/>
    <s v="United States"/>
    <s v="New York City"/>
    <x v="15"/>
    <n v="10035"/>
    <x v="3"/>
    <x v="467"/>
    <x v="0"/>
    <x v="1"/>
    <x v="468"/>
    <x v="2162"/>
    <x v="1"/>
    <x v="3"/>
  </r>
  <r>
    <n v="2642"/>
    <x v="1293"/>
    <x v="763"/>
    <d v="2016-02-25T00:00:00"/>
    <s v="Standard Class"/>
    <x v="215"/>
    <s v="Liz MacKendrick"/>
    <x v="0"/>
    <s v="United States"/>
    <s v="Hot Springs"/>
    <x v="36"/>
    <n v="71901"/>
    <x v="0"/>
    <x v="701"/>
    <x v="2"/>
    <x v="11"/>
    <x v="701"/>
    <x v="803"/>
    <x v="11"/>
    <x v="1"/>
  </r>
  <r>
    <n v="2643"/>
    <x v="1294"/>
    <x v="723"/>
    <d v="2017-12-30T00:00:00"/>
    <s v="First Class"/>
    <x v="567"/>
    <s v="Kelly Andreada"/>
    <x v="0"/>
    <s v="United States"/>
    <s v="Aurora"/>
    <x v="10"/>
    <n v="60505"/>
    <x v="2"/>
    <x v="968"/>
    <x v="1"/>
    <x v="10"/>
    <x v="961"/>
    <x v="775"/>
    <x v="4"/>
    <x v="0"/>
  </r>
  <r>
    <n v="2644"/>
    <x v="1295"/>
    <x v="764"/>
    <d v="2017-04-21T00:00:00"/>
    <s v="Second Class"/>
    <x v="408"/>
    <s v="Ben Ferrer"/>
    <x v="2"/>
    <s v="United States"/>
    <s v="Raleigh"/>
    <x v="3"/>
    <n v="27604"/>
    <x v="0"/>
    <x v="521"/>
    <x v="2"/>
    <x v="7"/>
    <x v="521"/>
    <x v="2163"/>
    <x v="3"/>
    <x v="0"/>
  </r>
  <r>
    <n v="2645"/>
    <x v="1295"/>
    <x v="764"/>
    <d v="2017-04-21T00:00:00"/>
    <s v="Second Class"/>
    <x v="408"/>
    <s v="Ben Ferrer"/>
    <x v="2"/>
    <s v="United States"/>
    <s v="Raleigh"/>
    <x v="3"/>
    <n v="27604"/>
    <x v="0"/>
    <x v="396"/>
    <x v="0"/>
    <x v="5"/>
    <x v="397"/>
    <x v="2164"/>
    <x v="3"/>
    <x v="0"/>
  </r>
  <r>
    <n v="2646"/>
    <x v="1296"/>
    <x v="557"/>
    <d v="2015-09-12T00:00:00"/>
    <s v="Second Class"/>
    <x v="483"/>
    <s v="Tom Boeckenhauer"/>
    <x v="0"/>
    <s v="United States"/>
    <s v="Tulsa"/>
    <x v="26"/>
    <n v="74133"/>
    <x v="2"/>
    <x v="1006"/>
    <x v="0"/>
    <x v="5"/>
    <x v="1381"/>
    <x v="2165"/>
    <x v="8"/>
    <x v="2"/>
  </r>
  <r>
    <n v="2647"/>
    <x v="1296"/>
    <x v="557"/>
    <d v="2015-09-12T00:00:00"/>
    <s v="Second Class"/>
    <x v="483"/>
    <s v="Tom Boeckenhauer"/>
    <x v="0"/>
    <s v="United States"/>
    <s v="Tulsa"/>
    <x v="26"/>
    <n v="74133"/>
    <x v="2"/>
    <x v="1395"/>
    <x v="1"/>
    <x v="8"/>
    <x v="1382"/>
    <x v="2166"/>
    <x v="8"/>
    <x v="2"/>
  </r>
  <r>
    <n v="2648"/>
    <x v="1296"/>
    <x v="557"/>
    <d v="2015-09-12T00:00:00"/>
    <s v="Second Class"/>
    <x v="483"/>
    <s v="Tom Boeckenhauer"/>
    <x v="0"/>
    <s v="United States"/>
    <s v="Tulsa"/>
    <x v="26"/>
    <n v="74133"/>
    <x v="2"/>
    <x v="1396"/>
    <x v="1"/>
    <x v="10"/>
    <x v="1383"/>
    <x v="91"/>
    <x v="8"/>
    <x v="2"/>
  </r>
  <r>
    <n v="2649"/>
    <x v="1296"/>
    <x v="557"/>
    <d v="2015-09-12T00:00:00"/>
    <s v="Second Class"/>
    <x v="483"/>
    <s v="Tom Boeckenhauer"/>
    <x v="0"/>
    <s v="United States"/>
    <s v="Tulsa"/>
    <x v="26"/>
    <n v="74133"/>
    <x v="2"/>
    <x v="1369"/>
    <x v="0"/>
    <x v="5"/>
    <x v="1354"/>
    <x v="2098"/>
    <x v="8"/>
    <x v="2"/>
  </r>
  <r>
    <n v="2650"/>
    <x v="1296"/>
    <x v="557"/>
    <d v="2015-09-12T00:00:00"/>
    <s v="Second Class"/>
    <x v="483"/>
    <s v="Tom Boeckenhauer"/>
    <x v="0"/>
    <s v="United States"/>
    <s v="Tulsa"/>
    <x v="26"/>
    <n v="74133"/>
    <x v="2"/>
    <x v="139"/>
    <x v="2"/>
    <x v="7"/>
    <x v="140"/>
    <x v="1230"/>
    <x v="8"/>
    <x v="2"/>
  </r>
  <r>
    <n v="2651"/>
    <x v="1297"/>
    <x v="182"/>
    <d v="2017-10-01T00:00:00"/>
    <s v="Standard Class"/>
    <x v="64"/>
    <s v="Sally Hughsby"/>
    <x v="1"/>
    <s v="United States"/>
    <s v="Hesperia"/>
    <x v="1"/>
    <n v="92345"/>
    <x v="1"/>
    <x v="899"/>
    <x v="0"/>
    <x v="0"/>
    <x v="892"/>
    <x v="2167"/>
    <x v="8"/>
    <x v="0"/>
  </r>
  <r>
    <n v="2652"/>
    <x v="1298"/>
    <x v="697"/>
    <d v="2018-09-21T00:00:00"/>
    <s v="Second Class"/>
    <x v="127"/>
    <s v="Alan Schoenberger"/>
    <x v="1"/>
    <s v="United States"/>
    <s v="Provo"/>
    <x v="7"/>
    <n v="84604"/>
    <x v="1"/>
    <x v="1366"/>
    <x v="1"/>
    <x v="8"/>
    <x v="307"/>
    <x v="2168"/>
    <x v="8"/>
    <x v="3"/>
  </r>
  <r>
    <n v="2653"/>
    <x v="1298"/>
    <x v="697"/>
    <d v="2018-09-21T00:00:00"/>
    <s v="Second Class"/>
    <x v="127"/>
    <s v="Alan Schoenberger"/>
    <x v="1"/>
    <s v="United States"/>
    <s v="Provo"/>
    <x v="7"/>
    <n v="84604"/>
    <x v="1"/>
    <x v="696"/>
    <x v="1"/>
    <x v="8"/>
    <x v="696"/>
    <x v="692"/>
    <x v="8"/>
    <x v="3"/>
  </r>
  <r>
    <n v="2654"/>
    <x v="1298"/>
    <x v="697"/>
    <d v="2018-09-21T00:00:00"/>
    <s v="Second Class"/>
    <x v="127"/>
    <s v="Alan Schoenberger"/>
    <x v="1"/>
    <s v="United States"/>
    <s v="Provo"/>
    <x v="7"/>
    <n v="84604"/>
    <x v="1"/>
    <x v="1397"/>
    <x v="1"/>
    <x v="10"/>
    <x v="1384"/>
    <x v="2169"/>
    <x v="8"/>
    <x v="3"/>
  </r>
  <r>
    <n v="2655"/>
    <x v="1298"/>
    <x v="697"/>
    <d v="2018-09-21T00:00:00"/>
    <s v="Second Class"/>
    <x v="127"/>
    <s v="Alan Schoenberger"/>
    <x v="1"/>
    <s v="United States"/>
    <s v="Provo"/>
    <x v="7"/>
    <n v="84604"/>
    <x v="1"/>
    <x v="1398"/>
    <x v="0"/>
    <x v="0"/>
    <x v="1385"/>
    <x v="2170"/>
    <x v="8"/>
    <x v="3"/>
  </r>
  <r>
    <n v="2656"/>
    <x v="1298"/>
    <x v="697"/>
    <d v="2018-09-21T00:00:00"/>
    <s v="Second Class"/>
    <x v="127"/>
    <s v="Alan Schoenberger"/>
    <x v="1"/>
    <s v="United States"/>
    <s v="Provo"/>
    <x v="7"/>
    <n v="84604"/>
    <x v="1"/>
    <x v="1399"/>
    <x v="1"/>
    <x v="8"/>
    <x v="1386"/>
    <x v="2171"/>
    <x v="8"/>
    <x v="3"/>
  </r>
  <r>
    <n v="2657"/>
    <x v="1298"/>
    <x v="697"/>
    <d v="2018-09-21T00:00:00"/>
    <s v="Second Class"/>
    <x v="127"/>
    <s v="Alan Schoenberger"/>
    <x v="1"/>
    <s v="United States"/>
    <s v="Provo"/>
    <x v="7"/>
    <n v="84604"/>
    <x v="1"/>
    <x v="533"/>
    <x v="1"/>
    <x v="4"/>
    <x v="533"/>
    <x v="2172"/>
    <x v="8"/>
    <x v="3"/>
  </r>
  <r>
    <n v="2658"/>
    <x v="1298"/>
    <x v="697"/>
    <d v="2018-09-21T00:00:00"/>
    <s v="Second Class"/>
    <x v="127"/>
    <s v="Alan Schoenberger"/>
    <x v="1"/>
    <s v="United States"/>
    <s v="Provo"/>
    <x v="7"/>
    <n v="84604"/>
    <x v="1"/>
    <x v="782"/>
    <x v="1"/>
    <x v="2"/>
    <x v="781"/>
    <x v="928"/>
    <x v="8"/>
    <x v="3"/>
  </r>
  <r>
    <n v="2659"/>
    <x v="1299"/>
    <x v="765"/>
    <d v="2017-08-20T00:00:00"/>
    <s v="Standard Class"/>
    <x v="7"/>
    <s v="Pete Kriz"/>
    <x v="0"/>
    <s v="United States"/>
    <s v="San Francisco"/>
    <x v="1"/>
    <n v="94110"/>
    <x v="1"/>
    <x v="135"/>
    <x v="1"/>
    <x v="12"/>
    <x v="136"/>
    <x v="139"/>
    <x v="6"/>
    <x v="0"/>
  </r>
  <r>
    <n v="2660"/>
    <x v="1300"/>
    <x v="100"/>
    <d v="2016-12-28T00:00:00"/>
    <s v="Standard Class"/>
    <x v="403"/>
    <s v="Harold Ryan"/>
    <x v="1"/>
    <s v="United States"/>
    <s v="Gilbert"/>
    <x v="16"/>
    <n v="85234"/>
    <x v="1"/>
    <x v="157"/>
    <x v="0"/>
    <x v="1"/>
    <x v="158"/>
    <x v="2173"/>
    <x v="4"/>
    <x v="1"/>
  </r>
  <r>
    <n v="2661"/>
    <x v="1301"/>
    <x v="354"/>
    <d v="2018-12-02T00:00:00"/>
    <s v="Standard Class"/>
    <x v="375"/>
    <s v="Deirdre Greer"/>
    <x v="1"/>
    <s v="United States"/>
    <s v="New York City"/>
    <x v="15"/>
    <n v="10035"/>
    <x v="3"/>
    <x v="1400"/>
    <x v="2"/>
    <x v="7"/>
    <x v="1387"/>
    <x v="2174"/>
    <x v="0"/>
    <x v="3"/>
  </r>
  <r>
    <n v="2662"/>
    <x v="1301"/>
    <x v="354"/>
    <d v="2018-12-02T00:00:00"/>
    <s v="Standard Class"/>
    <x v="375"/>
    <s v="Deirdre Greer"/>
    <x v="1"/>
    <s v="United States"/>
    <s v="New York City"/>
    <x v="15"/>
    <n v="10035"/>
    <x v="3"/>
    <x v="889"/>
    <x v="1"/>
    <x v="12"/>
    <x v="882"/>
    <x v="1095"/>
    <x v="0"/>
    <x v="3"/>
  </r>
  <r>
    <n v="2663"/>
    <x v="1302"/>
    <x v="349"/>
    <d v="2018-04-15T00:00:00"/>
    <s v="First Class"/>
    <x v="642"/>
    <s v="Craig Leslie"/>
    <x v="2"/>
    <s v="United States"/>
    <s v="Springfield"/>
    <x v="25"/>
    <n v="65807"/>
    <x v="2"/>
    <x v="236"/>
    <x v="1"/>
    <x v="8"/>
    <x v="237"/>
    <x v="2175"/>
    <x v="3"/>
    <x v="3"/>
  </r>
  <r>
    <n v="2664"/>
    <x v="1303"/>
    <x v="766"/>
    <d v="2017-05-04T00:00:00"/>
    <s v="First Class"/>
    <x v="520"/>
    <s v="Herbert Flentye"/>
    <x v="0"/>
    <s v="United States"/>
    <s v="Memphis"/>
    <x v="18"/>
    <n v="38109"/>
    <x v="0"/>
    <x v="639"/>
    <x v="1"/>
    <x v="2"/>
    <x v="639"/>
    <x v="2176"/>
    <x v="5"/>
    <x v="0"/>
  </r>
  <r>
    <n v="2665"/>
    <x v="1303"/>
    <x v="766"/>
    <d v="2017-05-04T00:00:00"/>
    <s v="First Class"/>
    <x v="520"/>
    <s v="Herbert Flentye"/>
    <x v="0"/>
    <s v="United States"/>
    <s v="Memphis"/>
    <x v="18"/>
    <n v="38109"/>
    <x v="0"/>
    <x v="121"/>
    <x v="0"/>
    <x v="3"/>
    <x v="121"/>
    <x v="2177"/>
    <x v="5"/>
    <x v="0"/>
  </r>
  <r>
    <n v="2666"/>
    <x v="1303"/>
    <x v="766"/>
    <d v="2017-05-04T00:00:00"/>
    <s v="First Class"/>
    <x v="520"/>
    <s v="Herbert Flentye"/>
    <x v="0"/>
    <s v="United States"/>
    <s v="Memphis"/>
    <x v="18"/>
    <n v="38109"/>
    <x v="0"/>
    <x v="1203"/>
    <x v="1"/>
    <x v="8"/>
    <x v="1188"/>
    <x v="2178"/>
    <x v="5"/>
    <x v="0"/>
  </r>
  <r>
    <n v="2667"/>
    <x v="1304"/>
    <x v="393"/>
    <d v="2017-10-01T00:00:00"/>
    <s v="Same Day"/>
    <x v="643"/>
    <s v="Hunter Glantz"/>
    <x v="0"/>
    <s v="United States"/>
    <s v="Amarillo"/>
    <x v="5"/>
    <n v="79109"/>
    <x v="2"/>
    <x v="217"/>
    <x v="2"/>
    <x v="11"/>
    <x v="463"/>
    <x v="2179"/>
    <x v="2"/>
    <x v="0"/>
  </r>
  <r>
    <n v="2668"/>
    <x v="1304"/>
    <x v="393"/>
    <d v="2017-10-01T00:00:00"/>
    <s v="Same Day"/>
    <x v="643"/>
    <s v="Hunter Glantz"/>
    <x v="0"/>
    <s v="United States"/>
    <s v="Amarillo"/>
    <x v="5"/>
    <n v="79109"/>
    <x v="2"/>
    <x v="258"/>
    <x v="1"/>
    <x v="10"/>
    <x v="33"/>
    <x v="2180"/>
    <x v="2"/>
    <x v="0"/>
  </r>
  <r>
    <n v="2669"/>
    <x v="1305"/>
    <x v="767"/>
    <d v="2016-08-30T00:00:00"/>
    <s v="Standard Class"/>
    <x v="644"/>
    <s v="Nancy Lomonaco"/>
    <x v="2"/>
    <s v="United States"/>
    <s v="Los Angeles"/>
    <x v="1"/>
    <n v="90045"/>
    <x v="1"/>
    <x v="23"/>
    <x v="0"/>
    <x v="1"/>
    <x v="23"/>
    <x v="1573"/>
    <x v="6"/>
    <x v="1"/>
  </r>
  <r>
    <n v="2670"/>
    <x v="1305"/>
    <x v="767"/>
    <d v="2016-08-30T00:00:00"/>
    <s v="Standard Class"/>
    <x v="644"/>
    <s v="Nancy Lomonaco"/>
    <x v="2"/>
    <s v="United States"/>
    <s v="Los Angeles"/>
    <x v="1"/>
    <n v="90045"/>
    <x v="1"/>
    <x v="1276"/>
    <x v="1"/>
    <x v="9"/>
    <x v="1261"/>
    <x v="2181"/>
    <x v="6"/>
    <x v="1"/>
  </r>
  <r>
    <n v="2671"/>
    <x v="1306"/>
    <x v="340"/>
    <d v="2015-09-12T00:00:00"/>
    <s v="Second Class"/>
    <x v="645"/>
    <s v="Rick Reed"/>
    <x v="1"/>
    <s v="United States"/>
    <s v="Lowell"/>
    <x v="31"/>
    <n v="1852"/>
    <x v="3"/>
    <x v="162"/>
    <x v="1"/>
    <x v="10"/>
    <x v="163"/>
    <x v="1668"/>
    <x v="8"/>
    <x v="2"/>
  </r>
  <r>
    <n v="2672"/>
    <x v="1306"/>
    <x v="340"/>
    <d v="2015-09-12T00:00:00"/>
    <s v="Second Class"/>
    <x v="645"/>
    <s v="Rick Reed"/>
    <x v="1"/>
    <s v="United States"/>
    <s v="Lowell"/>
    <x v="31"/>
    <n v="1852"/>
    <x v="3"/>
    <x v="1401"/>
    <x v="0"/>
    <x v="1"/>
    <x v="1388"/>
    <x v="2182"/>
    <x v="8"/>
    <x v="2"/>
  </r>
  <r>
    <n v="2673"/>
    <x v="1306"/>
    <x v="340"/>
    <d v="2015-09-12T00:00:00"/>
    <s v="Second Class"/>
    <x v="645"/>
    <s v="Rick Reed"/>
    <x v="1"/>
    <s v="United States"/>
    <s v="Lowell"/>
    <x v="31"/>
    <n v="1852"/>
    <x v="3"/>
    <x v="1402"/>
    <x v="1"/>
    <x v="10"/>
    <x v="1389"/>
    <x v="2183"/>
    <x v="8"/>
    <x v="2"/>
  </r>
  <r>
    <n v="2674"/>
    <x v="1306"/>
    <x v="340"/>
    <d v="2015-09-12T00:00:00"/>
    <s v="Second Class"/>
    <x v="645"/>
    <s v="Rick Reed"/>
    <x v="1"/>
    <s v="United States"/>
    <s v="Lowell"/>
    <x v="31"/>
    <n v="1852"/>
    <x v="3"/>
    <x v="1244"/>
    <x v="1"/>
    <x v="4"/>
    <x v="1227"/>
    <x v="2184"/>
    <x v="8"/>
    <x v="2"/>
  </r>
  <r>
    <n v="2675"/>
    <x v="1307"/>
    <x v="734"/>
    <d v="2018-12-03T00:00:00"/>
    <s v="Same Day"/>
    <x v="646"/>
    <s v="Toby Carlisle"/>
    <x v="0"/>
    <s v="United States"/>
    <s v="San Diego"/>
    <x v="1"/>
    <n v="92024"/>
    <x v="1"/>
    <x v="447"/>
    <x v="1"/>
    <x v="10"/>
    <x v="1228"/>
    <x v="1668"/>
    <x v="4"/>
    <x v="3"/>
  </r>
  <r>
    <n v="2676"/>
    <x v="1308"/>
    <x v="344"/>
    <d v="2018-12-02T00:00:00"/>
    <s v="Standard Class"/>
    <x v="140"/>
    <s v="Doug Bickford"/>
    <x v="0"/>
    <s v="United States"/>
    <s v="Asheville"/>
    <x v="3"/>
    <n v="28806"/>
    <x v="0"/>
    <x v="909"/>
    <x v="1"/>
    <x v="6"/>
    <x v="901"/>
    <x v="2175"/>
    <x v="0"/>
    <x v="3"/>
  </r>
  <r>
    <n v="2677"/>
    <x v="1308"/>
    <x v="344"/>
    <d v="2018-12-02T00:00:00"/>
    <s v="Standard Class"/>
    <x v="140"/>
    <s v="Doug Bickford"/>
    <x v="0"/>
    <s v="United States"/>
    <s v="Asheville"/>
    <x v="3"/>
    <n v="28806"/>
    <x v="0"/>
    <x v="1309"/>
    <x v="1"/>
    <x v="9"/>
    <x v="1294"/>
    <x v="2185"/>
    <x v="0"/>
    <x v="3"/>
  </r>
  <r>
    <n v="2678"/>
    <x v="1309"/>
    <x v="261"/>
    <d v="2015-06-21T00:00:00"/>
    <s v="Same Day"/>
    <x v="647"/>
    <s v="Stewart Visinsky"/>
    <x v="0"/>
    <s v="United States"/>
    <s v="Pueblo"/>
    <x v="22"/>
    <n v="81001"/>
    <x v="1"/>
    <x v="1085"/>
    <x v="1"/>
    <x v="8"/>
    <x v="1075"/>
    <x v="2186"/>
    <x v="1"/>
    <x v="2"/>
  </r>
  <r>
    <n v="2679"/>
    <x v="1309"/>
    <x v="261"/>
    <d v="2015-06-21T00:00:00"/>
    <s v="Same Day"/>
    <x v="647"/>
    <s v="Stewart Visinsky"/>
    <x v="0"/>
    <s v="United States"/>
    <s v="Pueblo"/>
    <x v="22"/>
    <n v="81001"/>
    <x v="1"/>
    <x v="735"/>
    <x v="1"/>
    <x v="8"/>
    <x v="734"/>
    <x v="2187"/>
    <x v="1"/>
    <x v="2"/>
  </r>
  <r>
    <n v="2680"/>
    <x v="1310"/>
    <x v="276"/>
    <d v="2018-01-27T00:00:00"/>
    <s v="Standard Class"/>
    <x v="414"/>
    <s v="Mick Hernandez"/>
    <x v="2"/>
    <s v="United States"/>
    <s v="Jackson"/>
    <x v="12"/>
    <n v="49201"/>
    <x v="2"/>
    <x v="614"/>
    <x v="1"/>
    <x v="8"/>
    <x v="614"/>
    <x v="928"/>
    <x v="9"/>
    <x v="3"/>
  </r>
  <r>
    <n v="2681"/>
    <x v="1310"/>
    <x v="276"/>
    <d v="2018-01-27T00:00:00"/>
    <s v="Standard Class"/>
    <x v="414"/>
    <s v="Mick Hernandez"/>
    <x v="2"/>
    <s v="United States"/>
    <s v="Jackson"/>
    <x v="12"/>
    <n v="49201"/>
    <x v="2"/>
    <x v="695"/>
    <x v="2"/>
    <x v="11"/>
    <x v="695"/>
    <x v="1000"/>
    <x v="9"/>
    <x v="3"/>
  </r>
  <r>
    <n v="2682"/>
    <x v="1310"/>
    <x v="276"/>
    <d v="2018-01-27T00:00:00"/>
    <s v="Standard Class"/>
    <x v="414"/>
    <s v="Mick Hernandez"/>
    <x v="2"/>
    <s v="United States"/>
    <s v="Jackson"/>
    <x v="12"/>
    <n v="49201"/>
    <x v="2"/>
    <x v="1403"/>
    <x v="1"/>
    <x v="8"/>
    <x v="1390"/>
    <x v="2188"/>
    <x v="9"/>
    <x v="3"/>
  </r>
  <r>
    <n v="2683"/>
    <x v="1310"/>
    <x v="276"/>
    <d v="2018-01-27T00:00:00"/>
    <s v="Standard Class"/>
    <x v="414"/>
    <s v="Mick Hernandez"/>
    <x v="2"/>
    <s v="United States"/>
    <s v="Jackson"/>
    <x v="12"/>
    <n v="49201"/>
    <x v="2"/>
    <x v="1404"/>
    <x v="2"/>
    <x v="15"/>
    <x v="1391"/>
    <x v="2189"/>
    <x v="9"/>
    <x v="3"/>
  </r>
  <r>
    <n v="2684"/>
    <x v="1310"/>
    <x v="276"/>
    <d v="2018-01-27T00:00:00"/>
    <s v="Standard Class"/>
    <x v="414"/>
    <s v="Mick Hernandez"/>
    <x v="2"/>
    <s v="United States"/>
    <s v="Jackson"/>
    <x v="12"/>
    <n v="49201"/>
    <x v="2"/>
    <x v="1405"/>
    <x v="2"/>
    <x v="7"/>
    <x v="1392"/>
    <x v="2190"/>
    <x v="9"/>
    <x v="3"/>
  </r>
  <r>
    <n v="2685"/>
    <x v="1311"/>
    <x v="222"/>
    <d v="2018-07-06T00:00:00"/>
    <s v="Standard Class"/>
    <x v="564"/>
    <s v="Carol Triggs"/>
    <x v="0"/>
    <s v="United States"/>
    <s v="Los Angeles"/>
    <x v="1"/>
    <n v="90004"/>
    <x v="1"/>
    <x v="1311"/>
    <x v="1"/>
    <x v="8"/>
    <x v="1297"/>
    <x v="2191"/>
    <x v="1"/>
    <x v="3"/>
  </r>
  <r>
    <n v="2686"/>
    <x v="1312"/>
    <x v="47"/>
    <d v="2017-09-11T00:00:00"/>
    <s v="Standard Class"/>
    <x v="41"/>
    <s v="Karl Braun"/>
    <x v="0"/>
    <s v="United States"/>
    <s v="Thomasville"/>
    <x v="3"/>
    <n v="27360"/>
    <x v="0"/>
    <x v="889"/>
    <x v="1"/>
    <x v="12"/>
    <x v="882"/>
    <x v="2192"/>
    <x v="8"/>
    <x v="0"/>
  </r>
  <r>
    <n v="2687"/>
    <x v="1312"/>
    <x v="47"/>
    <d v="2017-09-11T00:00:00"/>
    <s v="Standard Class"/>
    <x v="41"/>
    <s v="Karl Braun"/>
    <x v="0"/>
    <s v="United States"/>
    <s v="Thomasville"/>
    <x v="3"/>
    <n v="27360"/>
    <x v="0"/>
    <x v="880"/>
    <x v="1"/>
    <x v="8"/>
    <x v="874"/>
    <x v="2193"/>
    <x v="8"/>
    <x v="0"/>
  </r>
  <r>
    <n v="2688"/>
    <x v="1313"/>
    <x v="578"/>
    <d v="2017-08-05T00:00:00"/>
    <s v="First Class"/>
    <x v="267"/>
    <s v="Ralph Arnett"/>
    <x v="0"/>
    <s v="United States"/>
    <s v="Peoria"/>
    <x v="10"/>
    <n v="61604"/>
    <x v="2"/>
    <x v="1406"/>
    <x v="1"/>
    <x v="8"/>
    <x v="1393"/>
    <x v="2194"/>
    <x v="6"/>
    <x v="0"/>
  </r>
  <r>
    <n v="2689"/>
    <x v="1314"/>
    <x v="768"/>
    <d v="2016-11-14T00:00:00"/>
    <s v="First Class"/>
    <x v="289"/>
    <s v="Yoseph Carroll"/>
    <x v="1"/>
    <s v="United States"/>
    <s v="Los Angeles"/>
    <x v="1"/>
    <n v="90032"/>
    <x v="1"/>
    <x v="1407"/>
    <x v="1"/>
    <x v="10"/>
    <x v="1394"/>
    <x v="2195"/>
    <x v="0"/>
    <x v="1"/>
  </r>
  <r>
    <n v="2690"/>
    <x v="1315"/>
    <x v="479"/>
    <d v="2015-07-02T00:00:00"/>
    <s v="First Class"/>
    <x v="154"/>
    <s v="Russell Applegate"/>
    <x v="0"/>
    <s v="United States"/>
    <s v="Chicago"/>
    <x v="10"/>
    <n v="60653"/>
    <x v="2"/>
    <x v="1199"/>
    <x v="1"/>
    <x v="6"/>
    <x v="1184"/>
    <x v="791"/>
    <x v="1"/>
    <x v="2"/>
  </r>
  <r>
    <n v="2691"/>
    <x v="1316"/>
    <x v="769"/>
    <d v="2018-12-08T00:00:00"/>
    <s v="Standard Class"/>
    <x v="380"/>
    <s v="Charles McCrossin"/>
    <x v="0"/>
    <s v="United States"/>
    <s v="Philadelphia"/>
    <x v="9"/>
    <n v="19134"/>
    <x v="3"/>
    <x v="990"/>
    <x v="1"/>
    <x v="8"/>
    <x v="305"/>
    <x v="2196"/>
    <x v="4"/>
    <x v="3"/>
  </r>
  <r>
    <n v="2692"/>
    <x v="1317"/>
    <x v="770"/>
    <d v="2017-09-02T00:00:00"/>
    <s v="Standard Class"/>
    <x v="79"/>
    <s v="Chad Sievert"/>
    <x v="0"/>
    <s v="United States"/>
    <s v="Englewood"/>
    <x v="22"/>
    <n v="80112"/>
    <x v="1"/>
    <x v="1408"/>
    <x v="1"/>
    <x v="10"/>
    <x v="1395"/>
    <x v="1142"/>
    <x v="6"/>
    <x v="0"/>
  </r>
  <r>
    <n v="2693"/>
    <x v="1317"/>
    <x v="770"/>
    <d v="2017-09-02T00:00:00"/>
    <s v="Standard Class"/>
    <x v="79"/>
    <s v="Chad Sievert"/>
    <x v="0"/>
    <s v="United States"/>
    <s v="Englewood"/>
    <x v="22"/>
    <n v="80112"/>
    <x v="1"/>
    <x v="1409"/>
    <x v="2"/>
    <x v="7"/>
    <x v="1396"/>
    <x v="2197"/>
    <x v="6"/>
    <x v="0"/>
  </r>
  <r>
    <n v="2694"/>
    <x v="1318"/>
    <x v="115"/>
    <d v="2017-01-28T00:00:00"/>
    <s v="Standard Class"/>
    <x v="295"/>
    <s v="Anthony Johnson"/>
    <x v="1"/>
    <s v="United States"/>
    <s v="Seattle"/>
    <x v="4"/>
    <n v="98115"/>
    <x v="1"/>
    <x v="504"/>
    <x v="0"/>
    <x v="5"/>
    <x v="504"/>
    <x v="2198"/>
    <x v="9"/>
    <x v="0"/>
  </r>
  <r>
    <n v="2695"/>
    <x v="1319"/>
    <x v="771"/>
    <d v="2015-10-20T00:00:00"/>
    <s v="Standard Class"/>
    <x v="297"/>
    <s v="Dan Lawera"/>
    <x v="0"/>
    <s v="United States"/>
    <s v="Hialeah"/>
    <x v="2"/>
    <n v="33012"/>
    <x v="0"/>
    <x v="1006"/>
    <x v="0"/>
    <x v="5"/>
    <x v="1381"/>
    <x v="2199"/>
    <x v="2"/>
    <x v="2"/>
  </r>
  <r>
    <n v="2696"/>
    <x v="1320"/>
    <x v="569"/>
    <d v="2017-02-09T00:00:00"/>
    <s v="First Class"/>
    <x v="648"/>
    <s v="Bobby Elias"/>
    <x v="0"/>
    <s v="United States"/>
    <s v="Lancaster"/>
    <x v="24"/>
    <n v="43130"/>
    <x v="3"/>
    <x v="423"/>
    <x v="1"/>
    <x v="10"/>
    <x v="423"/>
    <x v="2200"/>
    <x v="11"/>
    <x v="0"/>
  </r>
  <r>
    <n v="2697"/>
    <x v="1321"/>
    <x v="772"/>
    <d v="2015-03-23T00:00:00"/>
    <s v="Standard Class"/>
    <x v="598"/>
    <s v="Sean Miller"/>
    <x v="2"/>
    <s v="United States"/>
    <s v="Jacksonville"/>
    <x v="2"/>
    <n v="32216"/>
    <x v="0"/>
    <x v="1410"/>
    <x v="2"/>
    <x v="15"/>
    <x v="1397"/>
    <x v="2201"/>
    <x v="10"/>
    <x v="2"/>
  </r>
  <r>
    <n v="2698"/>
    <x v="1321"/>
    <x v="772"/>
    <d v="2015-03-23T00:00:00"/>
    <s v="Standard Class"/>
    <x v="598"/>
    <s v="Sean Miller"/>
    <x v="2"/>
    <s v="United States"/>
    <s v="Jacksonville"/>
    <x v="2"/>
    <n v="32216"/>
    <x v="0"/>
    <x v="1411"/>
    <x v="2"/>
    <x v="15"/>
    <x v="1398"/>
    <x v="2202"/>
    <x v="10"/>
    <x v="2"/>
  </r>
  <r>
    <n v="2699"/>
    <x v="1321"/>
    <x v="772"/>
    <d v="2015-03-23T00:00:00"/>
    <s v="Standard Class"/>
    <x v="598"/>
    <s v="Sean Miller"/>
    <x v="2"/>
    <s v="United States"/>
    <s v="Jacksonville"/>
    <x v="2"/>
    <n v="32216"/>
    <x v="0"/>
    <x v="128"/>
    <x v="1"/>
    <x v="10"/>
    <x v="129"/>
    <x v="2203"/>
    <x v="10"/>
    <x v="2"/>
  </r>
  <r>
    <n v="2700"/>
    <x v="1321"/>
    <x v="772"/>
    <d v="2015-03-23T00:00:00"/>
    <s v="Standard Class"/>
    <x v="598"/>
    <s v="Sean Miller"/>
    <x v="2"/>
    <s v="United States"/>
    <s v="Jacksonville"/>
    <x v="2"/>
    <n v="32216"/>
    <x v="0"/>
    <x v="1412"/>
    <x v="1"/>
    <x v="6"/>
    <x v="1399"/>
    <x v="2204"/>
    <x v="10"/>
    <x v="2"/>
  </r>
  <r>
    <n v="2701"/>
    <x v="1321"/>
    <x v="772"/>
    <d v="2015-03-23T00:00:00"/>
    <s v="Standard Class"/>
    <x v="598"/>
    <s v="Sean Miller"/>
    <x v="2"/>
    <s v="United States"/>
    <s v="Jacksonville"/>
    <x v="2"/>
    <n v="32216"/>
    <x v="0"/>
    <x v="1006"/>
    <x v="0"/>
    <x v="5"/>
    <x v="1381"/>
    <x v="2205"/>
    <x v="10"/>
    <x v="2"/>
  </r>
  <r>
    <n v="2702"/>
    <x v="1321"/>
    <x v="772"/>
    <d v="2015-03-23T00:00:00"/>
    <s v="Standard Class"/>
    <x v="598"/>
    <s v="Sean Miller"/>
    <x v="2"/>
    <s v="United States"/>
    <s v="Jacksonville"/>
    <x v="2"/>
    <n v="32216"/>
    <x v="0"/>
    <x v="550"/>
    <x v="1"/>
    <x v="13"/>
    <x v="128"/>
    <x v="2206"/>
    <x v="10"/>
    <x v="2"/>
  </r>
  <r>
    <n v="2703"/>
    <x v="1321"/>
    <x v="772"/>
    <d v="2015-03-23T00:00:00"/>
    <s v="Standard Class"/>
    <x v="598"/>
    <s v="Sean Miller"/>
    <x v="2"/>
    <s v="United States"/>
    <s v="Jacksonville"/>
    <x v="2"/>
    <n v="32216"/>
    <x v="0"/>
    <x v="1154"/>
    <x v="0"/>
    <x v="5"/>
    <x v="1142"/>
    <x v="1888"/>
    <x v="10"/>
    <x v="2"/>
  </r>
  <r>
    <n v="2704"/>
    <x v="1322"/>
    <x v="773"/>
    <d v="2015-05-30T00:00:00"/>
    <s v="Standard Class"/>
    <x v="261"/>
    <s v="Resi Pölking"/>
    <x v="0"/>
    <s v="United States"/>
    <s v="Baltimore"/>
    <x v="39"/>
    <n v="21215"/>
    <x v="3"/>
    <x v="1413"/>
    <x v="1"/>
    <x v="10"/>
    <x v="1400"/>
    <x v="2207"/>
    <x v="5"/>
    <x v="2"/>
  </r>
  <r>
    <n v="2705"/>
    <x v="1323"/>
    <x v="497"/>
    <d v="2018-07-13T00:00:00"/>
    <s v="Second Class"/>
    <x v="557"/>
    <s v="Joy Daniels"/>
    <x v="0"/>
    <s v="United States"/>
    <s v="New York City"/>
    <x v="15"/>
    <n v="10009"/>
    <x v="3"/>
    <x v="176"/>
    <x v="2"/>
    <x v="11"/>
    <x v="177"/>
    <x v="2208"/>
    <x v="7"/>
    <x v="3"/>
  </r>
  <r>
    <n v="2706"/>
    <x v="1324"/>
    <x v="114"/>
    <d v="2018-06-21T00:00:00"/>
    <s v="Standard Class"/>
    <x v="437"/>
    <s v="Alejandro Ballentine"/>
    <x v="2"/>
    <s v="United States"/>
    <s v="Carlsbad"/>
    <x v="27"/>
    <n v="88220"/>
    <x v="1"/>
    <x v="1059"/>
    <x v="1"/>
    <x v="14"/>
    <x v="1048"/>
    <x v="1438"/>
    <x v="1"/>
    <x v="3"/>
  </r>
  <r>
    <n v="2707"/>
    <x v="1324"/>
    <x v="114"/>
    <d v="2018-06-21T00:00:00"/>
    <s v="Standard Class"/>
    <x v="437"/>
    <s v="Alejandro Ballentine"/>
    <x v="2"/>
    <s v="United States"/>
    <s v="Carlsbad"/>
    <x v="27"/>
    <n v="88220"/>
    <x v="1"/>
    <x v="1414"/>
    <x v="1"/>
    <x v="10"/>
    <x v="1401"/>
    <x v="537"/>
    <x v="1"/>
    <x v="3"/>
  </r>
  <r>
    <n v="2708"/>
    <x v="1324"/>
    <x v="114"/>
    <d v="2018-06-21T00:00:00"/>
    <s v="Standard Class"/>
    <x v="437"/>
    <s v="Alejandro Ballentine"/>
    <x v="2"/>
    <s v="United States"/>
    <s v="Carlsbad"/>
    <x v="27"/>
    <n v="88220"/>
    <x v="1"/>
    <x v="1415"/>
    <x v="1"/>
    <x v="10"/>
    <x v="1402"/>
    <x v="801"/>
    <x v="1"/>
    <x v="3"/>
  </r>
  <r>
    <n v="2709"/>
    <x v="1325"/>
    <x v="564"/>
    <d v="2016-02-06T00:00:00"/>
    <s v="Standard Class"/>
    <x v="230"/>
    <s v="Charles Crestani"/>
    <x v="0"/>
    <s v="United States"/>
    <s v="Los Angeles"/>
    <x v="1"/>
    <n v="90049"/>
    <x v="1"/>
    <x v="1416"/>
    <x v="0"/>
    <x v="5"/>
    <x v="1403"/>
    <x v="2209"/>
    <x v="9"/>
    <x v="1"/>
  </r>
  <r>
    <n v="2710"/>
    <x v="1325"/>
    <x v="564"/>
    <d v="2016-02-06T00:00:00"/>
    <s v="Standard Class"/>
    <x v="230"/>
    <s v="Charles Crestani"/>
    <x v="0"/>
    <s v="United States"/>
    <s v="Los Angeles"/>
    <x v="1"/>
    <n v="90049"/>
    <x v="1"/>
    <x v="1150"/>
    <x v="2"/>
    <x v="15"/>
    <x v="1138"/>
    <x v="2210"/>
    <x v="9"/>
    <x v="1"/>
  </r>
  <r>
    <n v="2711"/>
    <x v="1326"/>
    <x v="555"/>
    <d v="2016-12-15T00:00:00"/>
    <s v="Standard Class"/>
    <x v="485"/>
    <s v="Gary Hwang"/>
    <x v="0"/>
    <s v="United States"/>
    <s v="Jacksonville"/>
    <x v="2"/>
    <n v="32216"/>
    <x v="0"/>
    <x v="410"/>
    <x v="1"/>
    <x v="8"/>
    <x v="410"/>
    <x v="2211"/>
    <x v="4"/>
    <x v="1"/>
  </r>
  <r>
    <n v="2712"/>
    <x v="1327"/>
    <x v="449"/>
    <d v="2018-10-11T00:00:00"/>
    <s v="First Class"/>
    <x v="434"/>
    <s v="Cathy Prescott"/>
    <x v="1"/>
    <s v="United States"/>
    <s v="Lakewood"/>
    <x v="24"/>
    <n v="44107"/>
    <x v="3"/>
    <x v="613"/>
    <x v="0"/>
    <x v="5"/>
    <x v="613"/>
    <x v="2212"/>
    <x v="2"/>
    <x v="3"/>
  </r>
  <r>
    <n v="2713"/>
    <x v="1328"/>
    <x v="570"/>
    <d v="2018-08-01T00:00:00"/>
    <s v="Second Class"/>
    <x v="306"/>
    <s v="Gary McGarr"/>
    <x v="0"/>
    <s v="United States"/>
    <s v="Troy"/>
    <x v="15"/>
    <n v="12180"/>
    <x v="3"/>
    <x v="158"/>
    <x v="1"/>
    <x v="6"/>
    <x v="159"/>
    <x v="1817"/>
    <x v="7"/>
    <x v="3"/>
  </r>
  <r>
    <n v="2714"/>
    <x v="1329"/>
    <x v="573"/>
    <d v="2015-04-29T00:00:00"/>
    <s v="Standard Class"/>
    <x v="62"/>
    <s v="Lena Creighton"/>
    <x v="0"/>
    <s v="United States"/>
    <s v="Wilmington"/>
    <x v="3"/>
    <n v="28403"/>
    <x v="0"/>
    <x v="722"/>
    <x v="2"/>
    <x v="7"/>
    <x v="1404"/>
    <x v="214"/>
    <x v="3"/>
    <x v="2"/>
  </r>
  <r>
    <n v="2715"/>
    <x v="1330"/>
    <x v="494"/>
    <d v="2016-12-06T00:00:00"/>
    <s v="Standard Class"/>
    <x v="457"/>
    <s v="Beth Thompson"/>
    <x v="2"/>
    <s v="United States"/>
    <s v="Seattle"/>
    <x v="4"/>
    <n v="98105"/>
    <x v="1"/>
    <x v="1061"/>
    <x v="1"/>
    <x v="6"/>
    <x v="1050"/>
    <x v="2213"/>
    <x v="4"/>
    <x v="1"/>
  </r>
  <r>
    <n v="2716"/>
    <x v="1331"/>
    <x v="774"/>
    <d v="2015-12-08T00:00:00"/>
    <s v="Standard Class"/>
    <x v="434"/>
    <s v="Cathy Prescott"/>
    <x v="1"/>
    <s v="United States"/>
    <s v="New York City"/>
    <x v="15"/>
    <n v="10024"/>
    <x v="3"/>
    <x v="1417"/>
    <x v="2"/>
    <x v="7"/>
    <x v="1405"/>
    <x v="2214"/>
    <x v="4"/>
    <x v="2"/>
  </r>
  <r>
    <n v="2717"/>
    <x v="1332"/>
    <x v="775"/>
    <d v="2018-09-01T00:00:00"/>
    <s v="Standard Class"/>
    <x v="649"/>
    <s v="Steve Carroll"/>
    <x v="2"/>
    <s v="United States"/>
    <s v="Columbus"/>
    <x v="32"/>
    <n v="31907"/>
    <x v="0"/>
    <x v="357"/>
    <x v="2"/>
    <x v="11"/>
    <x v="357"/>
    <x v="2215"/>
    <x v="6"/>
    <x v="3"/>
  </r>
  <r>
    <n v="2718"/>
    <x v="1333"/>
    <x v="557"/>
    <d v="2015-09-13T00:00:00"/>
    <s v="Standard Class"/>
    <x v="589"/>
    <s v="Dennis Kane"/>
    <x v="0"/>
    <s v="United States"/>
    <s v="New York City"/>
    <x v="15"/>
    <n v="10024"/>
    <x v="3"/>
    <x v="1418"/>
    <x v="2"/>
    <x v="7"/>
    <x v="1406"/>
    <x v="2216"/>
    <x v="8"/>
    <x v="2"/>
  </r>
  <r>
    <n v="2719"/>
    <x v="1334"/>
    <x v="202"/>
    <d v="2018-12-27T00:00:00"/>
    <s v="Standard Class"/>
    <x v="339"/>
    <s v="Sanjit Engle"/>
    <x v="0"/>
    <s v="United States"/>
    <s v="Costa Mesa"/>
    <x v="1"/>
    <n v="92627"/>
    <x v="1"/>
    <x v="821"/>
    <x v="1"/>
    <x v="4"/>
    <x v="817"/>
    <x v="2217"/>
    <x v="4"/>
    <x v="3"/>
  </r>
  <r>
    <n v="2720"/>
    <x v="1335"/>
    <x v="776"/>
    <d v="2015-12-08T00:00:00"/>
    <s v="Second Class"/>
    <x v="166"/>
    <s v="Luke Foster"/>
    <x v="0"/>
    <s v="United States"/>
    <s v="Houston"/>
    <x v="5"/>
    <n v="77095"/>
    <x v="2"/>
    <x v="561"/>
    <x v="0"/>
    <x v="5"/>
    <x v="560"/>
    <x v="112"/>
    <x v="4"/>
    <x v="2"/>
  </r>
  <r>
    <n v="2721"/>
    <x v="1336"/>
    <x v="130"/>
    <d v="2015-11-08T00:00:00"/>
    <s v="Second Class"/>
    <x v="21"/>
    <s v="Odella Nelson"/>
    <x v="1"/>
    <s v="United States"/>
    <s v="Cary"/>
    <x v="3"/>
    <n v="27511"/>
    <x v="0"/>
    <x v="203"/>
    <x v="1"/>
    <x v="13"/>
    <x v="204"/>
    <x v="1341"/>
    <x v="0"/>
    <x v="2"/>
  </r>
  <r>
    <n v="2722"/>
    <x v="1336"/>
    <x v="130"/>
    <d v="2015-11-08T00:00:00"/>
    <s v="Second Class"/>
    <x v="21"/>
    <s v="Odella Nelson"/>
    <x v="1"/>
    <s v="United States"/>
    <s v="Cary"/>
    <x v="3"/>
    <n v="27511"/>
    <x v="0"/>
    <x v="937"/>
    <x v="1"/>
    <x v="9"/>
    <x v="930"/>
    <x v="2218"/>
    <x v="0"/>
    <x v="2"/>
  </r>
  <r>
    <n v="2723"/>
    <x v="1337"/>
    <x v="167"/>
    <d v="2017-04-19T00:00:00"/>
    <s v="Second Class"/>
    <x v="483"/>
    <s v="Tom Boeckenhauer"/>
    <x v="0"/>
    <s v="United States"/>
    <s v="Alexandria"/>
    <x v="17"/>
    <n v="22304"/>
    <x v="0"/>
    <x v="720"/>
    <x v="1"/>
    <x v="4"/>
    <x v="719"/>
    <x v="2219"/>
    <x v="3"/>
    <x v="0"/>
  </r>
  <r>
    <n v="2724"/>
    <x v="1338"/>
    <x v="777"/>
    <d v="2015-10-08T00:00:00"/>
    <s v="Standard Class"/>
    <x v="650"/>
    <s v="David Flashing"/>
    <x v="0"/>
    <s v="United States"/>
    <s v="Vallejo"/>
    <x v="1"/>
    <n v="94591"/>
    <x v="1"/>
    <x v="264"/>
    <x v="1"/>
    <x v="2"/>
    <x v="264"/>
    <x v="2220"/>
    <x v="2"/>
    <x v="2"/>
  </r>
  <r>
    <n v="2725"/>
    <x v="1338"/>
    <x v="777"/>
    <d v="2015-10-08T00:00:00"/>
    <s v="Standard Class"/>
    <x v="650"/>
    <s v="David Flashing"/>
    <x v="0"/>
    <s v="United States"/>
    <s v="Vallejo"/>
    <x v="1"/>
    <n v="94591"/>
    <x v="1"/>
    <x v="979"/>
    <x v="1"/>
    <x v="8"/>
    <x v="972"/>
    <x v="2221"/>
    <x v="2"/>
    <x v="2"/>
  </r>
  <r>
    <n v="2726"/>
    <x v="1339"/>
    <x v="659"/>
    <d v="2018-11-13T00:00:00"/>
    <s v="Standard Class"/>
    <x v="212"/>
    <s v="Emily Phan"/>
    <x v="0"/>
    <s v="United States"/>
    <s v="Philadelphia"/>
    <x v="9"/>
    <n v="19120"/>
    <x v="3"/>
    <x v="1211"/>
    <x v="2"/>
    <x v="7"/>
    <x v="1196"/>
    <x v="1880"/>
    <x v="0"/>
    <x v="3"/>
  </r>
  <r>
    <n v="2727"/>
    <x v="1339"/>
    <x v="659"/>
    <d v="2018-11-13T00:00:00"/>
    <s v="Standard Class"/>
    <x v="212"/>
    <s v="Emily Phan"/>
    <x v="0"/>
    <s v="United States"/>
    <s v="Philadelphia"/>
    <x v="9"/>
    <n v="19120"/>
    <x v="3"/>
    <x v="1342"/>
    <x v="0"/>
    <x v="3"/>
    <x v="1327"/>
    <x v="2222"/>
    <x v="0"/>
    <x v="3"/>
  </r>
  <r>
    <n v="2728"/>
    <x v="1340"/>
    <x v="66"/>
    <d v="2018-12-24T00:00:00"/>
    <s v="First Class"/>
    <x v="85"/>
    <s v="Sally Knutson"/>
    <x v="0"/>
    <s v="United States"/>
    <s v="Toledo"/>
    <x v="24"/>
    <n v="43615"/>
    <x v="3"/>
    <x v="520"/>
    <x v="1"/>
    <x v="8"/>
    <x v="520"/>
    <x v="2223"/>
    <x v="4"/>
    <x v="3"/>
  </r>
  <r>
    <n v="2729"/>
    <x v="1340"/>
    <x v="66"/>
    <d v="2018-12-24T00:00:00"/>
    <s v="First Class"/>
    <x v="85"/>
    <s v="Sally Knutson"/>
    <x v="0"/>
    <s v="United States"/>
    <s v="Toledo"/>
    <x v="24"/>
    <n v="43615"/>
    <x v="3"/>
    <x v="1334"/>
    <x v="2"/>
    <x v="7"/>
    <x v="1319"/>
    <x v="2224"/>
    <x v="4"/>
    <x v="3"/>
  </r>
  <r>
    <n v="2730"/>
    <x v="1341"/>
    <x v="778"/>
    <d v="2018-02-19T00:00:00"/>
    <s v="Standard Class"/>
    <x v="651"/>
    <s v="Fred Harton"/>
    <x v="0"/>
    <s v="United States"/>
    <s v="Seattle"/>
    <x v="4"/>
    <n v="98105"/>
    <x v="1"/>
    <x v="147"/>
    <x v="1"/>
    <x v="6"/>
    <x v="148"/>
    <x v="153"/>
    <x v="11"/>
    <x v="3"/>
  </r>
  <r>
    <n v="2731"/>
    <x v="1341"/>
    <x v="778"/>
    <d v="2018-02-19T00:00:00"/>
    <s v="Standard Class"/>
    <x v="651"/>
    <s v="Fred Harton"/>
    <x v="0"/>
    <s v="United States"/>
    <s v="Seattle"/>
    <x v="4"/>
    <n v="98105"/>
    <x v="1"/>
    <x v="651"/>
    <x v="2"/>
    <x v="11"/>
    <x v="651"/>
    <x v="2225"/>
    <x v="11"/>
    <x v="3"/>
  </r>
  <r>
    <n v="2732"/>
    <x v="1341"/>
    <x v="778"/>
    <d v="2018-02-19T00:00:00"/>
    <s v="Standard Class"/>
    <x v="651"/>
    <s v="Fred Harton"/>
    <x v="0"/>
    <s v="United States"/>
    <s v="Seattle"/>
    <x v="4"/>
    <n v="98105"/>
    <x v="1"/>
    <x v="216"/>
    <x v="0"/>
    <x v="5"/>
    <x v="217"/>
    <x v="2226"/>
    <x v="11"/>
    <x v="3"/>
  </r>
  <r>
    <n v="2733"/>
    <x v="1342"/>
    <x v="779"/>
    <d v="2015-07-06T00:00:00"/>
    <s v="Standard Class"/>
    <x v="13"/>
    <s v="Eric Hoffmann"/>
    <x v="0"/>
    <s v="United States"/>
    <s v="Plainfield"/>
    <x v="30"/>
    <n v="7060"/>
    <x v="3"/>
    <x v="687"/>
    <x v="2"/>
    <x v="7"/>
    <x v="687"/>
    <x v="2227"/>
    <x v="7"/>
    <x v="2"/>
  </r>
  <r>
    <n v="2734"/>
    <x v="1342"/>
    <x v="779"/>
    <d v="2015-07-06T00:00:00"/>
    <s v="Standard Class"/>
    <x v="13"/>
    <s v="Eric Hoffmann"/>
    <x v="0"/>
    <s v="United States"/>
    <s v="Plainfield"/>
    <x v="30"/>
    <n v="7060"/>
    <x v="3"/>
    <x v="796"/>
    <x v="1"/>
    <x v="6"/>
    <x v="794"/>
    <x v="2228"/>
    <x v="7"/>
    <x v="2"/>
  </r>
  <r>
    <n v="2735"/>
    <x v="1343"/>
    <x v="780"/>
    <d v="2016-02-23T00:00:00"/>
    <s v="Second Class"/>
    <x v="555"/>
    <s v="Joe Elijah"/>
    <x v="0"/>
    <s v="United States"/>
    <s v="Las Cruces"/>
    <x v="27"/>
    <n v="88001"/>
    <x v="1"/>
    <x v="33"/>
    <x v="1"/>
    <x v="10"/>
    <x v="33"/>
    <x v="335"/>
    <x v="11"/>
    <x v="1"/>
  </r>
  <r>
    <n v="2736"/>
    <x v="1344"/>
    <x v="50"/>
    <d v="2016-11-19T00:00:00"/>
    <s v="Standard Class"/>
    <x v="107"/>
    <s v="Ken Lonsdale"/>
    <x v="0"/>
    <s v="United States"/>
    <s v="Newark"/>
    <x v="13"/>
    <n v="19711"/>
    <x v="3"/>
    <x v="1419"/>
    <x v="2"/>
    <x v="7"/>
    <x v="1407"/>
    <x v="2216"/>
    <x v="0"/>
    <x v="1"/>
  </r>
  <r>
    <n v="2737"/>
    <x v="1344"/>
    <x v="50"/>
    <d v="2016-11-19T00:00:00"/>
    <s v="Standard Class"/>
    <x v="107"/>
    <s v="Ken Lonsdale"/>
    <x v="0"/>
    <s v="United States"/>
    <s v="Newark"/>
    <x v="13"/>
    <n v="19711"/>
    <x v="3"/>
    <x v="670"/>
    <x v="1"/>
    <x v="10"/>
    <x v="670"/>
    <x v="2229"/>
    <x v="0"/>
    <x v="1"/>
  </r>
  <r>
    <n v="2738"/>
    <x v="1344"/>
    <x v="50"/>
    <d v="2016-11-19T00:00:00"/>
    <s v="Standard Class"/>
    <x v="107"/>
    <s v="Ken Lonsdale"/>
    <x v="0"/>
    <s v="United States"/>
    <s v="Newark"/>
    <x v="13"/>
    <n v="19711"/>
    <x v="3"/>
    <x v="899"/>
    <x v="0"/>
    <x v="0"/>
    <x v="892"/>
    <x v="670"/>
    <x v="0"/>
    <x v="1"/>
  </r>
  <r>
    <n v="2739"/>
    <x v="1344"/>
    <x v="50"/>
    <d v="2016-11-19T00:00:00"/>
    <s v="Standard Class"/>
    <x v="107"/>
    <s v="Ken Lonsdale"/>
    <x v="0"/>
    <s v="United States"/>
    <s v="Newark"/>
    <x v="13"/>
    <n v="19711"/>
    <x v="3"/>
    <x v="817"/>
    <x v="2"/>
    <x v="7"/>
    <x v="813"/>
    <x v="2230"/>
    <x v="0"/>
    <x v="1"/>
  </r>
  <r>
    <n v="2740"/>
    <x v="1345"/>
    <x v="513"/>
    <d v="2018-04-18T00:00:00"/>
    <s v="First Class"/>
    <x v="494"/>
    <s v="Edward Becker"/>
    <x v="1"/>
    <s v="United States"/>
    <s v="Hoover"/>
    <x v="19"/>
    <n v="35244"/>
    <x v="0"/>
    <x v="1420"/>
    <x v="1"/>
    <x v="14"/>
    <x v="1408"/>
    <x v="2231"/>
    <x v="3"/>
    <x v="3"/>
  </r>
  <r>
    <n v="2741"/>
    <x v="1345"/>
    <x v="513"/>
    <d v="2018-04-18T00:00:00"/>
    <s v="First Class"/>
    <x v="494"/>
    <s v="Edward Becker"/>
    <x v="1"/>
    <s v="United States"/>
    <s v="Hoover"/>
    <x v="19"/>
    <n v="35244"/>
    <x v="0"/>
    <x v="1421"/>
    <x v="2"/>
    <x v="11"/>
    <x v="1409"/>
    <x v="2232"/>
    <x v="3"/>
    <x v="3"/>
  </r>
  <r>
    <n v="2742"/>
    <x v="1346"/>
    <x v="781"/>
    <d v="2017-02-27T00:00:00"/>
    <s v="Second Class"/>
    <x v="232"/>
    <s v="Bruce Degenhardt"/>
    <x v="0"/>
    <s v="United States"/>
    <s v="Newark"/>
    <x v="24"/>
    <n v="43055"/>
    <x v="3"/>
    <x v="1040"/>
    <x v="1"/>
    <x v="12"/>
    <x v="153"/>
    <x v="666"/>
    <x v="11"/>
    <x v="0"/>
  </r>
  <r>
    <n v="2743"/>
    <x v="1347"/>
    <x v="130"/>
    <d v="2015-11-08T00:00:00"/>
    <s v="Standard Class"/>
    <x v="652"/>
    <s v="MaryBeth Skach"/>
    <x v="0"/>
    <s v="United States"/>
    <s v="San Diego"/>
    <x v="1"/>
    <n v="92037"/>
    <x v="1"/>
    <x v="1381"/>
    <x v="0"/>
    <x v="5"/>
    <x v="1366"/>
    <x v="2233"/>
    <x v="0"/>
    <x v="2"/>
  </r>
  <r>
    <n v="2744"/>
    <x v="1348"/>
    <x v="782"/>
    <d v="2016-06-25T00:00:00"/>
    <s v="Second Class"/>
    <x v="34"/>
    <s v="Stewart Carmichael"/>
    <x v="1"/>
    <s v="United States"/>
    <s v="San Francisco"/>
    <x v="1"/>
    <n v="94122"/>
    <x v="1"/>
    <x v="592"/>
    <x v="0"/>
    <x v="5"/>
    <x v="592"/>
    <x v="2234"/>
    <x v="1"/>
    <x v="1"/>
  </r>
  <r>
    <n v="2745"/>
    <x v="1348"/>
    <x v="782"/>
    <d v="2016-06-25T00:00:00"/>
    <s v="Second Class"/>
    <x v="34"/>
    <s v="Stewart Carmichael"/>
    <x v="1"/>
    <s v="United States"/>
    <s v="San Francisco"/>
    <x v="1"/>
    <n v="94122"/>
    <x v="1"/>
    <x v="66"/>
    <x v="2"/>
    <x v="7"/>
    <x v="66"/>
    <x v="2235"/>
    <x v="1"/>
    <x v="1"/>
  </r>
  <r>
    <n v="2746"/>
    <x v="1349"/>
    <x v="783"/>
    <d v="2018-08-11T00:00:00"/>
    <s v="Second Class"/>
    <x v="248"/>
    <s v="Fred McMath"/>
    <x v="0"/>
    <s v="United States"/>
    <s v="Jacksonville"/>
    <x v="3"/>
    <n v="28540"/>
    <x v="0"/>
    <x v="409"/>
    <x v="2"/>
    <x v="11"/>
    <x v="409"/>
    <x v="2236"/>
    <x v="6"/>
    <x v="3"/>
  </r>
  <r>
    <n v="2747"/>
    <x v="1350"/>
    <x v="552"/>
    <d v="2015-05-17T00:00:00"/>
    <s v="Standard Class"/>
    <x v="409"/>
    <s v="Kean Thornton"/>
    <x v="0"/>
    <s v="United States"/>
    <s v="Franklin"/>
    <x v="31"/>
    <n v="2038"/>
    <x v="3"/>
    <x v="601"/>
    <x v="0"/>
    <x v="3"/>
    <x v="601"/>
    <x v="2237"/>
    <x v="5"/>
    <x v="2"/>
  </r>
  <r>
    <n v="2748"/>
    <x v="1351"/>
    <x v="6"/>
    <d v="2016-11-26T00:00:00"/>
    <s v="Standard Class"/>
    <x v="399"/>
    <s v="Anne Pryor"/>
    <x v="2"/>
    <s v="United States"/>
    <s v="Frisco"/>
    <x v="5"/>
    <n v="75034"/>
    <x v="2"/>
    <x v="1422"/>
    <x v="2"/>
    <x v="11"/>
    <x v="1410"/>
    <x v="220"/>
    <x v="0"/>
    <x v="1"/>
  </r>
  <r>
    <n v="2749"/>
    <x v="1352"/>
    <x v="784"/>
    <d v="2016-12-08T00:00:00"/>
    <s v="Standard Class"/>
    <x v="653"/>
    <s v="Ritsa Hightower"/>
    <x v="0"/>
    <s v="United States"/>
    <s v="Tallahassee"/>
    <x v="2"/>
    <n v="32303"/>
    <x v="0"/>
    <x v="1316"/>
    <x v="1"/>
    <x v="8"/>
    <x v="1302"/>
    <x v="2238"/>
    <x v="4"/>
    <x v="1"/>
  </r>
  <r>
    <n v="2750"/>
    <x v="1353"/>
    <x v="785"/>
    <d v="2015-06-14T00:00:00"/>
    <s v="Standard Class"/>
    <x v="229"/>
    <s v="Carlos Soltero"/>
    <x v="0"/>
    <s v="United States"/>
    <s v="Seattle"/>
    <x v="4"/>
    <n v="98115"/>
    <x v="1"/>
    <x v="1423"/>
    <x v="0"/>
    <x v="1"/>
    <x v="1411"/>
    <x v="2239"/>
    <x v="1"/>
    <x v="2"/>
  </r>
  <r>
    <n v="2751"/>
    <x v="1354"/>
    <x v="233"/>
    <d v="2015-08-11T00:00:00"/>
    <s v="Second Class"/>
    <x v="612"/>
    <s v="Tamara Manning"/>
    <x v="0"/>
    <s v="United States"/>
    <s v="Vacaville"/>
    <x v="1"/>
    <n v="95687"/>
    <x v="1"/>
    <x v="1424"/>
    <x v="1"/>
    <x v="4"/>
    <x v="1412"/>
    <x v="2240"/>
    <x v="6"/>
    <x v="2"/>
  </r>
  <r>
    <n v="2752"/>
    <x v="1355"/>
    <x v="542"/>
    <d v="2015-05-30T00:00:00"/>
    <s v="Standard Class"/>
    <x v="520"/>
    <s v="Herbert Flentye"/>
    <x v="0"/>
    <s v="United States"/>
    <s v="Los Angeles"/>
    <x v="1"/>
    <n v="90008"/>
    <x v="1"/>
    <x v="1153"/>
    <x v="0"/>
    <x v="1"/>
    <x v="1141"/>
    <x v="2241"/>
    <x v="5"/>
    <x v="2"/>
  </r>
  <r>
    <n v="2753"/>
    <x v="1356"/>
    <x v="786"/>
    <d v="2016-04-21T00:00:00"/>
    <s v="Standard Class"/>
    <x v="654"/>
    <s v="George Ashbrook"/>
    <x v="0"/>
    <s v="United States"/>
    <s v="San Francisco"/>
    <x v="1"/>
    <n v="94122"/>
    <x v="1"/>
    <x v="1061"/>
    <x v="1"/>
    <x v="6"/>
    <x v="1050"/>
    <x v="345"/>
    <x v="3"/>
    <x v="1"/>
  </r>
  <r>
    <n v="2754"/>
    <x v="1356"/>
    <x v="786"/>
    <d v="2016-04-21T00:00:00"/>
    <s v="Standard Class"/>
    <x v="654"/>
    <s v="George Ashbrook"/>
    <x v="0"/>
    <s v="United States"/>
    <s v="San Francisco"/>
    <x v="1"/>
    <n v="94122"/>
    <x v="1"/>
    <x v="619"/>
    <x v="2"/>
    <x v="11"/>
    <x v="619"/>
    <x v="2242"/>
    <x v="3"/>
    <x v="1"/>
  </r>
  <r>
    <n v="2755"/>
    <x v="1356"/>
    <x v="786"/>
    <d v="2016-04-21T00:00:00"/>
    <s v="Standard Class"/>
    <x v="654"/>
    <s v="George Ashbrook"/>
    <x v="0"/>
    <s v="United States"/>
    <s v="San Francisco"/>
    <x v="1"/>
    <n v="94122"/>
    <x v="1"/>
    <x v="966"/>
    <x v="2"/>
    <x v="7"/>
    <x v="1368"/>
    <x v="2243"/>
    <x v="3"/>
    <x v="1"/>
  </r>
  <r>
    <n v="2756"/>
    <x v="1356"/>
    <x v="786"/>
    <d v="2016-04-21T00:00:00"/>
    <s v="Standard Class"/>
    <x v="654"/>
    <s v="George Ashbrook"/>
    <x v="0"/>
    <s v="United States"/>
    <s v="San Francisco"/>
    <x v="1"/>
    <n v="94122"/>
    <x v="1"/>
    <x v="1364"/>
    <x v="1"/>
    <x v="9"/>
    <x v="1350"/>
    <x v="2244"/>
    <x v="3"/>
    <x v="1"/>
  </r>
  <r>
    <n v="2757"/>
    <x v="1356"/>
    <x v="786"/>
    <d v="2016-04-21T00:00:00"/>
    <s v="Standard Class"/>
    <x v="654"/>
    <s v="George Ashbrook"/>
    <x v="0"/>
    <s v="United States"/>
    <s v="San Francisco"/>
    <x v="1"/>
    <n v="94122"/>
    <x v="1"/>
    <x v="1331"/>
    <x v="1"/>
    <x v="10"/>
    <x v="1316"/>
    <x v="489"/>
    <x v="3"/>
    <x v="1"/>
  </r>
  <r>
    <n v="2758"/>
    <x v="1357"/>
    <x v="725"/>
    <d v="2017-06-13T00:00:00"/>
    <s v="Second Class"/>
    <x v="301"/>
    <s v="Erica Smith"/>
    <x v="0"/>
    <s v="United States"/>
    <s v="New York City"/>
    <x v="15"/>
    <n v="10035"/>
    <x v="3"/>
    <x v="657"/>
    <x v="2"/>
    <x v="11"/>
    <x v="657"/>
    <x v="758"/>
    <x v="1"/>
    <x v="0"/>
  </r>
  <r>
    <n v="2759"/>
    <x v="1358"/>
    <x v="21"/>
    <d v="2017-03-15T00:00:00"/>
    <s v="Standard Class"/>
    <x v="655"/>
    <s v="Julie Prescott"/>
    <x v="2"/>
    <s v="United States"/>
    <s v="Columbus"/>
    <x v="32"/>
    <n v="31907"/>
    <x v="0"/>
    <x v="1006"/>
    <x v="0"/>
    <x v="5"/>
    <x v="1381"/>
    <x v="2245"/>
    <x v="10"/>
    <x v="0"/>
  </r>
  <r>
    <n v="2760"/>
    <x v="1358"/>
    <x v="21"/>
    <d v="2017-03-15T00:00:00"/>
    <s v="Standard Class"/>
    <x v="655"/>
    <s v="Julie Prescott"/>
    <x v="2"/>
    <s v="United States"/>
    <s v="Columbus"/>
    <x v="32"/>
    <n v="31907"/>
    <x v="0"/>
    <x v="772"/>
    <x v="1"/>
    <x v="4"/>
    <x v="771"/>
    <x v="2246"/>
    <x v="10"/>
    <x v="0"/>
  </r>
  <r>
    <n v="2761"/>
    <x v="1359"/>
    <x v="542"/>
    <d v="2015-05-29T00:00:00"/>
    <s v="First Class"/>
    <x v="656"/>
    <s v="Dean percer"/>
    <x v="2"/>
    <s v="United States"/>
    <s v="Murray"/>
    <x v="7"/>
    <n v="84107"/>
    <x v="1"/>
    <x v="364"/>
    <x v="1"/>
    <x v="10"/>
    <x v="364"/>
    <x v="2247"/>
    <x v="5"/>
    <x v="2"/>
  </r>
  <r>
    <n v="2762"/>
    <x v="1360"/>
    <x v="386"/>
    <d v="2018-10-14T00:00:00"/>
    <s v="First Class"/>
    <x v="71"/>
    <s v="Neil Knudson"/>
    <x v="2"/>
    <s v="United States"/>
    <s v="San Francisco"/>
    <x v="1"/>
    <n v="94110"/>
    <x v="1"/>
    <x v="1425"/>
    <x v="2"/>
    <x v="11"/>
    <x v="1413"/>
    <x v="2248"/>
    <x v="2"/>
    <x v="3"/>
  </r>
  <r>
    <n v="2763"/>
    <x v="1360"/>
    <x v="386"/>
    <d v="2018-10-14T00:00:00"/>
    <s v="First Class"/>
    <x v="71"/>
    <s v="Neil Knudson"/>
    <x v="2"/>
    <s v="United States"/>
    <s v="San Francisco"/>
    <x v="1"/>
    <n v="94110"/>
    <x v="1"/>
    <x v="986"/>
    <x v="1"/>
    <x v="8"/>
    <x v="979"/>
    <x v="2249"/>
    <x v="2"/>
    <x v="3"/>
  </r>
  <r>
    <n v="2764"/>
    <x v="1361"/>
    <x v="738"/>
    <d v="2018-06-28T00:00:00"/>
    <s v="Standard Class"/>
    <x v="484"/>
    <s v="Paul Lucas"/>
    <x v="2"/>
    <s v="United States"/>
    <s v="Philadelphia"/>
    <x v="9"/>
    <n v="19140"/>
    <x v="3"/>
    <x v="1426"/>
    <x v="1"/>
    <x v="8"/>
    <x v="1414"/>
    <x v="2250"/>
    <x v="1"/>
    <x v="3"/>
  </r>
  <r>
    <n v="2765"/>
    <x v="1361"/>
    <x v="738"/>
    <d v="2018-06-28T00:00:00"/>
    <s v="Standard Class"/>
    <x v="484"/>
    <s v="Paul Lucas"/>
    <x v="2"/>
    <s v="United States"/>
    <s v="Philadelphia"/>
    <x v="9"/>
    <n v="19140"/>
    <x v="3"/>
    <x v="350"/>
    <x v="1"/>
    <x v="8"/>
    <x v="350"/>
    <x v="2251"/>
    <x v="1"/>
    <x v="3"/>
  </r>
  <r>
    <n v="2766"/>
    <x v="1361"/>
    <x v="738"/>
    <d v="2018-06-28T00:00:00"/>
    <s v="Standard Class"/>
    <x v="484"/>
    <s v="Paul Lucas"/>
    <x v="2"/>
    <s v="United States"/>
    <s v="Philadelphia"/>
    <x v="9"/>
    <n v="19140"/>
    <x v="3"/>
    <x v="1427"/>
    <x v="1"/>
    <x v="4"/>
    <x v="1415"/>
    <x v="433"/>
    <x v="1"/>
    <x v="3"/>
  </r>
  <r>
    <n v="2767"/>
    <x v="1362"/>
    <x v="787"/>
    <d v="2018-01-18T00:00:00"/>
    <s v="First Class"/>
    <x v="355"/>
    <s v="Robert Waldorf"/>
    <x v="0"/>
    <s v="United States"/>
    <s v="Philadelphia"/>
    <x v="9"/>
    <n v="19134"/>
    <x v="3"/>
    <x v="1428"/>
    <x v="1"/>
    <x v="9"/>
    <x v="1416"/>
    <x v="2252"/>
    <x v="9"/>
    <x v="3"/>
  </r>
  <r>
    <n v="2768"/>
    <x v="1362"/>
    <x v="787"/>
    <d v="2018-01-18T00:00:00"/>
    <s v="First Class"/>
    <x v="355"/>
    <s v="Robert Waldorf"/>
    <x v="0"/>
    <s v="United States"/>
    <s v="Philadelphia"/>
    <x v="9"/>
    <n v="19134"/>
    <x v="3"/>
    <x v="227"/>
    <x v="1"/>
    <x v="9"/>
    <x v="228"/>
    <x v="2253"/>
    <x v="9"/>
    <x v="3"/>
  </r>
  <r>
    <n v="2769"/>
    <x v="1363"/>
    <x v="788"/>
    <d v="2016-04-07T00:00:00"/>
    <s v="Standard Class"/>
    <x v="657"/>
    <s v="Michael Oakman"/>
    <x v="0"/>
    <s v="United States"/>
    <s v="Dallas"/>
    <x v="5"/>
    <n v="75220"/>
    <x v="2"/>
    <x v="1429"/>
    <x v="1"/>
    <x v="9"/>
    <x v="1417"/>
    <x v="2254"/>
    <x v="3"/>
    <x v="1"/>
  </r>
  <r>
    <n v="2770"/>
    <x v="1363"/>
    <x v="788"/>
    <d v="2016-04-07T00:00:00"/>
    <s v="Standard Class"/>
    <x v="657"/>
    <s v="Michael Oakman"/>
    <x v="0"/>
    <s v="United States"/>
    <s v="Dallas"/>
    <x v="5"/>
    <n v="75220"/>
    <x v="2"/>
    <x v="1044"/>
    <x v="2"/>
    <x v="11"/>
    <x v="1033"/>
    <x v="2255"/>
    <x v="3"/>
    <x v="1"/>
  </r>
  <r>
    <n v="2771"/>
    <x v="1363"/>
    <x v="788"/>
    <d v="2016-04-07T00:00:00"/>
    <s v="Standard Class"/>
    <x v="657"/>
    <s v="Michael Oakman"/>
    <x v="0"/>
    <s v="United States"/>
    <s v="Dallas"/>
    <x v="5"/>
    <n v="75220"/>
    <x v="2"/>
    <x v="1235"/>
    <x v="2"/>
    <x v="11"/>
    <x v="1218"/>
    <x v="331"/>
    <x v="3"/>
    <x v="1"/>
  </r>
  <r>
    <n v="2772"/>
    <x v="1364"/>
    <x v="323"/>
    <d v="2017-09-10T00:00:00"/>
    <s v="Standard Class"/>
    <x v="370"/>
    <s v="Jennifer Jackson"/>
    <x v="0"/>
    <s v="United States"/>
    <s v="Waukesha"/>
    <x v="6"/>
    <n v="53186"/>
    <x v="2"/>
    <x v="376"/>
    <x v="1"/>
    <x v="4"/>
    <x v="377"/>
    <x v="2256"/>
    <x v="8"/>
    <x v="0"/>
  </r>
  <r>
    <n v="2773"/>
    <x v="1365"/>
    <x v="389"/>
    <d v="2018-12-12T00:00:00"/>
    <s v="First Class"/>
    <x v="537"/>
    <s v="Brian Thompson"/>
    <x v="0"/>
    <s v="United States"/>
    <s v="Fort Lauderdale"/>
    <x v="2"/>
    <n v="33311"/>
    <x v="0"/>
    <x v="740"/>
    <x v="0"/>
    <x v="5"/>
    <x v="222"/>
    <x v="2257"/>
    <x v="4"/>
    <x v="3"/>
  </r>
  <r>
    <n v="2774"/>
    <x v="1366"/>
    <x v="441"/>
    <d v="2017-11-26T00:00:00"/>
    <s v="Standard Class"/>
    <x v="361"/>
    <s v="Rob Dowd"/>
    <x v="0"/>
    <s v="United States"/>
    <s v="Detroit"/>
    <x v="12"/>
    <n v="48205"/>
    <x v="2"/>
    <x v="91"/>
    <x v="1"/>
    <x v="8"/>
    <x v="91"/>
    <x v="2258"/>
    <x v="0"/>
    <x v="0"/>
  </r>
  <r>
    <n v="2775"/>
    <x v="1367"/>
    <x v="343"/>
    <d v="2018-11-18T00:00:00"/>
    <s v="Standard Class"/>
    <x v="529"/>
    <s v="Max Ludwig"/>
    <x v="2"/>
    <s v="United States"/>
    <s v="Springfield"/>
    <x v="24"/>
    <n v="45503"/>
    <x v="3"/>
    <x v="498"/>
    <x v="1"/>
    <x v="10"/>
    <x v="498"/>
    <x v="559"/>
    <x v="0"/>
    <x v="3"/>
  </r>
  <r>
    <n v="2776"/>
    <x v="1368"/>
    <x v="147"/>
    <d v="2017-10-25T00:00:00"/>
    <s v="Standard Class"/>
    <x v="32"/>
    <s v="Joel Eaton"/>
    <x v="0"/>
    <s v="United States"/>
    <s v="San Diego"/>
    <x v="1"/>
    <n v="92037"/>
    <x v="1"/>
    <x v="232"/>
    <x v="1"/>
    <x v="4"/>
    <x v="233"/>
    <x v="1233"/>
    <x v="2"/>
    <x v="0"/>
  </r>
  <r>
    <n v="2777"/>
    <x v="1369"/>
    <x v="379"/>
    <d v="2016-12-25T00:00:00"/>
    <s v="Standard Class"/>
    <x v="45"/>
    <s v="Elpida Rittenbach"/>
    <x v="1"/>
    <s v="United States"/>
    <s v="Colorado Springs"/>
    <x v="22"/>
    <n v="80906"/>
    <x v="1"/>
    <x v="930"/>
    <x v="1"/>
    <x v="9"/>
    <x v="923"/>
    <x v="2259"/>
    <x v="4"/>
    <x v="1"/>
  </r>
  <r>
    <n v="2778"/>
    <x v="1370"/>
    <x v="789"/>
    <d v="2016-07-19T00:00:00"/>
    <s v="Second Class"/>
    <x v="341"/>
    <s v="Jessica Myrick"/>
    <x v="0"/>
    <s v="United States"/>
    <s v="Bakersfield"/>
    <x v="1"/>
    <n v="93309"/>
    <x v="1"/>
    <x v="1121"/>
    <x v="0"/>
    <x v="0"/>
    <x v="1109"/>
    <x v="2260"/>
    <x v="7"/>
    <x v="1"/>
  </r>
  <r>
    <n v="2779"/>
    <x v="1371"/>
    <x v="504"/>
    <d v="2018-05-05T00:00:00"/>
    <s v="Standard Class"/>
    <x v="164"/>
    <s v="Saphhira Shifley"/>
    <x v="1"/>
    <s v="United States"/>
    <s v="Pompano Beach"/>
    <x v="2"/>
    <n v="33068"/>
    <x v="0"/>
    <x v="345"/>
    <x v="0"/>
    <x v="5"/>
    <x v="345"/>
    <x v="208"/>
    <x v="3"/>
    <x v="3"/>
  </r>
  <r>
    <n v="2780"/>
    <x v="1371"/>
    <x v="504"/>
    <d v="2018-05-05T00:00:00"/>
    <s v="Standard Class"/>
    <x v="164"/>
    <s v="Saphhira Shifley"/>
    <x v="1"/>
    <s v="United States"/>
    <s v="Pompano Beach"/>
    <x v="2"/>
    <n v="33068"/>
    <x v="0"/>
    <x v="1430"/>
    <x v="2"/>
    <x v="11"/>
    <x v="1418"/>
    <x v="477"/>
    <x v="3"/>
    <x v="3"/>
  </r>
  <r>
    <n v="2781"/>
    <x v="1372"/>
    <x v="636"/>
    <d v="2018-05-08T00:00:00"/>
    <s v="First Class"/>
    <x v="646"/>
    <s v="Toby Carlisle"/>
    <x v="0"/>
    <s v="United States"/>
    <s v="New York City"/>
    <x v="15"/>
    <n v="10035"/>
    <x v="3"/>
    <x v="198"/>
    <x v="1"/>
    <x v="2"/>
    <x v="199"/>
    <x v="2261"/>
    <x v="5"/>
    <x v="3"/>
  </r>
  <r>
    <n v="2782"/>
    <x v="1373"/>
    <x v="225"/>
    <d v="2018-11-27T00:00:00"/>
    <s v="Standard Class"/>
    <x v="643"/>
    <s v="Hunter Glantz"/>
    <x v="0"/>
    <s v="United States"/>
    <s v="Lakeville"/>
    <x v="11"/>
    <n v="55044"/>
    <x v="2"/>
    <x v="208"/>
    <x v="1"/>
    <x v="6"/>
    <x v="209"/>
    <x v="1103"/>
    <x v="0"/>
    <x v="3"/>
  </r>
  <r>
    <n v="2783"/>
    <x v="1374"/>
    <x v="583"/>
    <d v="2017-11-16T00:00:00"/>
    <s v="Standard Class"/>
    <x v="436"/>
    <s v="Lisa DeCherney"/>
    <x v="0"/>
    <s v="United States"/>
    <s v="Detroit"/>
    <x v="12"/>
    <n v="48234"/>
    <x v="2"/>
    <x v="957"/>
    <x v="2"/>
    <x v="7"/>
    <x v="950"/>
    <x v="2018"/>
    <x v="0"/>
    <x v="0"/>
  </r>
  <r>
    <n v="2784"/>
    <x v="1375"/>
    <x v="732"/>
    <d v="2017-11-10T00:00:00"/>
    <s v="Standard Class"/>
    <x v="155"/>
    <s v="Alejandro Savely"/>
    <x v="1"/>
    <s v="United States"/>
    <s v="Philadelphia"/>
    <x v="9"/>
    <n v="19134"/>
    <x v="3"/>
    <x v="1431"/>
    <x v="2"/>
    <x v="7"/>
    <x v="1419"/>
    <x v="1792"/>
    <x v="0"/>
    <x v="0"/>
  </r>
  <r>
    <n v="2785"/>
    <x v="1376"/>
    <x v="790"/>
    <d v="2017-10-15T00:00:00"/>
    <s v="Standard Class"/>
    <x v="172"/>
    <s v="Michael Paige"/>
    <x v="1"/>
    <s v="United States"/>
    <s v="Troy"/>
    <x v="24"/>
    <n v="45373"/>
    <x v="3"/>
    <x v="1136"/>
    <x v="2"/>
    <x v="7"/>
    <x v="1124"/>
    <x v="112"/>
    <x v="2"/>
    <x v="0"/>
  </r>
  <r>
    <n v="2786"/>
    <x v="1377"/>
    <x v="481"/>
    <d v="2016-09-23T00:00:00"/>
    <s v="First Class"/>
    <x v="522"/>
    <s v="Cynthia Delaney"/>
    <x v="2"/>
    <s v="United States"/>
    <s v="Los Angeles"/>
    <x v="1"/>
    <n v="90036"/>
    <x v="1"/>
    <x v="499"/>
    <x v="0"/>
    <x v="1"/>
    <x v="499"/>
    <x v="2262"/>
    <x v="8"/>
    <x v="1"/>
  </r>
  <r>
    <n v="2787"/>
    <x v="1377"/>
    <x v="481"/>
    <d v="2016-09-23T00:00:00"/>
    <s v="First Class"/>
    <x v="522"/>
    <s v="Cynthia Delaney"/>
    <x v="2"/>
    <s v="United States"/>
    <s v="Los Angeles"/>
    <x v="1"/>
    <n v="90036"/>
    <x v="1"/>
    <x v="1432"/>
    <x v="1"/>
    <x v="13"/>
    <x v="1420"/>
    <x v="2263"/>
    <x v="8"/>
    <x v="1"/>
  </r>
  <r>
    <n v="2788"/>
    <x v="1378"/>
    <x v="266"/>
    <d v="2015-12-06T00:00:00"/>
    <s v="Standard Class"/>
    <x v="550"/>
    <s v="Michael Dominguez"/>
    <x v="1"/>
    <s v="United States"/>
    <s v="Corpus Christi"/>
    <x v="5"/>
    <n v="78415"/>
    <x v="2"/>
    <x v="287"/>
    <x v="0"/>
    <x v="5"/>
    <x v="287"/>
    <x v="2264"/>
    <x v="4"/>
    <x v="2"/>
  </r>
  <r>
    <n v="2789"/>
    <x v="1378"/>
    <x v="266"/>
    <d v="2015-12-06T00:00:00"/>
    <s v="Standard Class"/>
    <x v="550"/>
    <s v="Michael Dominguez"/>
    <x v="1"/>
    <s v="United States"/>
    <s v="Corpus Christi"/>
    <x v="5"/>
    <n v="78415"/>
    <x v="2"/>
    <x v="134"/>
    <x v="1"/>
    <x v="6"/>
    <x v="135"/>
    <x v="2265"/>
    <x v="4"/>
    <x v="2"/>
  </r>
  <r>
    <n v="2790"/>
    <x v="1378"/>
    <x v="266"/>
    <d v="2015-12-06T00:00:00"/>
    <s v="Standard Class"/>
    <x v="550"/>
    <s v="Michael Dominguez"/>
    <x v="1"/>
    <s v="United States"/>
    <s v="Corpus Christi"/>
    <x v="5"/>
    <n v="78415"/>
    <x v="2"/>
    <x v="561"/>
    <x v="0"/>
    <x v="5"/>
    <x v="560"/>
    <x v="786"/>
    <x v="4"/>
    <x v="2"/>
  </r>
  <r>
    <n v="2791"/>
    <x v="1379"/>
    <x v="158"/>
    <d v="2015-09-22T00:00:00"/>
    <s v="First Class"/>
    <x v="312"/>
    <s v="Brian Moss"/>
    <x v="1"/>
    <s v="United States"/>
    <s v="Omaha"/>
    <x v="8"/>
    <n v="68104"/>
    <x v="2"/>
    <x v="95"/>
    <x v="1"/>
    <x v="9"/>
    <x v="95"/>
    <x v="2266"/>
    <x v="8"/>
    <x v="2"/>
  </r>
  <r>
    <n v="2792"/>
    <x v="1379"/>
    <x v="158"/>
    <d v="2015-09-22T00:00:00"/>
    <s v="First Class"/>
    <x v="312"/>
    <s v="Brian Moss"/>
    <x v="1"/>
    <s v="United States"/>
    <s v="Omaha"/>
    <x v="8"/>
    <n v="68104"/>
    <x v="2"/>
    <x v="1204"/>
    <x v="1"/>
    <x v="9"/>
    <x v="1189"/>
    <x v="2267"/>
    <x v="8"/>
    <x v="2"/>
  </r>
  <r>
    <n v="2793"/>
    <x v="1379"/>
    <x v="158"/>
    <d v="2015-09-22T00:00:00"/>
    <s v="First Class"/>
    <x v="312"/>
    <s v="Brian Moss"/>
    <x v="1"/>
    <s v="United States"/>
    <s v="Omaha"/>
    <x v="8"/>
    <n v="68104"/>
    <x v="2"/>
    <x v="815"/>
    <x v="1"/>
    <x v="10"/>
    <x v="811"/>
    <x v="90"/>
    <x v="8"/>
    <x v="2"/>
  </r>
  <r>
    <n v="2794"/>
    <x v="1380"/>
    <x v="791"/>
    <d v="2015-04-17T00:00:00"/>
    <s v="Standard Class"/>
    <x v="634"/>
    <s v="Kean Nguyen"/>
    <x v="1"/>
    <s v="United States"/>
    <s v="Redondo Beach"/>
    <x v="1"/>
    <n v="90278"/>
    <x v="1"/>
    <x v="664"/>
    <x v="2"/>
    <x v="7"/>
    <x v="664"/>
    <x v="2268"/>
    <x v="3"/>
    <x v="2"/>
  </r>
  <r>
    <n v="2795"/>
    <x v="1380"/>
    <x v="791"/>
    <d v="2015-04-17T00:00:00"/>
    <s v="Standard Class"/>
    <x v="634"/>
    <s v="Kean Nguyen"/>
    <x v="1"/>
    <s v="United States"/>
    <s v="Redondo Beach"/>
    <x v="1"/>
    <n v="90278"/>
    <x v="1"/>
    <x v="819"/>
    <x v="2"/>
    <x v="7"/>
    <x v="815"/>
    <x v="2269"/>
    <x v="3"/>
    <x v="2"/>
  </r>
  <r>
    <n v="2796"/>
    <x v="1380"/>
    <x v="791"/>
    <d v="2015-04-17T00:00:00"/>
    <s v="Standard Class"/>
    <x v="634"/>
    <s v="Kean Nguyen"/>
    <x v="1"/>
    <s v="United States"/>
    <s v="Redondo Beach"/>
    <x v="1"/>
    <n v="90278"/>
    <x v="1"/>
    <x v="507"/>
    <x v="1"/>
    <x v="8"/>
    <x v="507"/>
    <x v="2270"/>
    <x v="3"/>
    <x v="2"/>
  </r>
  <r>
    <n v="2797"/>
    <x v="1380"/>
    <x v="791"/>
    <d v="2015-04-17T00:00:00"/>
    <s v="Standard Class"/>
    <x v="634"/>
    <s v="Kean Nguyen"/>
    <x v="1"/>
    <s v="United States"/>
    <s v="Redondo Beach"/>
    <x v="1"/>
    <n v="90278"/>
    <x v="1"/>
    <x v="430"/>
    <x v="0"/>
    <x v="0"/>
    <x v="430"/>
    <x v="2271"/>
    <x v="3"/>
    <x v="2"/>
  </r>
  <r>
    <n v="2798"/>
    <x v="1381"/>
    <x v="179"/>
    <d v="2018-10-27T00:00:00"/>
    <s v="Standard Class"/>
    <x v="490"/>
    <s v="Ivan Gibson"/>
    <x v="0"/>
    <s v="United States"/>
    <s v="Little Rock"/>
    <x v="36"/>
    <n v="72209"/>
    <x v="0"/>
    <x v="1216"/>
    <x v="1"/>
    <x v="6"/>
    <x v="1200"/>
    <x v="518"/>
    <x v="2"/>
    <x v="3"/>
  </r>
  <r>
    <n v="2799"/>
    <x v="1381"/>
    <x v="179"/>
    <d v="2018-10-27T00:00:00"/>
    <s v="Standard Class"/>
    <x v="490"/>
    <s v="Ivan Gibson"/>
    <x v="0"/>
    <s v="United States"/>
    <s v="Little Rock"/>
    <x v="36"/>
    <n v="72209"/>
    <x v="0"/>
    <x v="681"/>
    <x v="1"/>
    <x v="10"/>
    <x v="681"/>
    <x v="786"/>
    <x v="2"/>
    <x v="3"/>
  </r>
  <r>
    <n v="2800"/>
    <x v="1381"/>
    <x v="179"/>
    <d v="2018-10-27T00:00:00"/>
    <s v="Standard Class"/>
    <x v="490"/>
    <s v="Ivan Gibson"/>
    <x v="0"/>
    <s v="United States"/>
    <s v="Little Rock"/>
    <x v="36"/>
    <n v="72209"/>
    <x v="0"/>
    <x v="705"/>
    <x v="1"/>
    <x v="8"/>
    <x v="705"/>
    <x v="2272"/>
    <x v="2"/>
    <x v="3"/>
  </r>
  <r>
    <n v="2801"/>
    <x v="1382"/>
    <x v="792"/>
    <d v="2017-10-28T00:00:00"/>
    <s v="First Class"/>
    <x v="329"/>
    <s v="Jill Stevenson"/>
    <x v="1"/>
    <s v="United States"/>
    <s v="Miami"/>
    <x v="2"/>
    <n v="33180"/>
    <x v="0"/>
    <x v="469"/>
    <x v="2"/>
    <x v="7"/>
    <x v="470"/>
    <x v="2243"/>
    <x v="2"/>
    <x v="0"/>
  </r>
  <r>
    <n v="2802"/>
    <x v="1383"/>
    <x v="549"/>
    <d v="2016-11-04T00:00:00"/>
    <s v="First Class"/>
    <x v="315"/>
    <s v="Guy Armstrong"/>
    <x v="0"/>
    <s v="United States"/>
    <s v="Salem"/>
    <x v="21"/>
    <n v="97301"/>
    <x v="1"/>
    <x v="32"/>
    <x v="1"/>
    <x v="6"/>
    <x v="32"/>
    <x v="2273"/>
    <x v="0"/>
    <x v="1"/>
  </r>
  <r>
    <n v="2803"/>
    <x v="1384"/>
    <x v="132"/>
    <d v="2018-11-08T00:00:00"/>
    <s v="Standard Class"/>
    <x v="658"/>
    <s v="Denise Leinenbach"/>
    <x v="0"/>
    <s v="United States"/>
    <s v="Las Cruces"/>
    <x v="27"/>
    <n v="88001"/>
    <x v="1"/>
    <x v="93"/>
    <x v="0"/>
    <x v="5"/>
    <x v="93"/>
    <x v="1419"/>
    <x v="0"/>
    <x v="3"/>
  </r>
  <r>
    <n v="2804"/>
    <x v="1385"/>
    <x v="793"/>
    <d v="2016-05-16T00:00:00"/>
    <s v="Standard Class"/>
    <x v="473"/>
    <s v="Cindy Stewart"/>
    <x v="0"/>
    <s v="United States"/>
    <s v="San Francisco"/>
    <x v="1"/>
    <n v="94122"/>
    <x v="1"/>
    <x v="1117"/>
    <x v="1"/>
    <x v="10"/>
    <x v="1105"/>
    <x v="1371"/>
    <x v="5"/>
    <x v="1"/>
  </r>
  <r>
    <n v="2805"/>
    <x v="1385"/>
    <x v="793"/>
    <d v="2016-05-16T00:00:00"/>
    <s v="Standard Class"/>
    <x v="473"/>
    <s v="Cindy Stewart"/>
    <x v="0"/>
    <s v="United States"/>
    <s v="San Francisco"/>
    <x v="1"/>
    <n v="94122"/>
    <x v="1"/>
    <x v="1433"/>
    <x v="1"/>
    <x v="10"/>
    <x v="1421"/>
    <x v="2274"/>
    <x v="5"/>
    <x v="1"/>
  </r>
  <r>
    <n v="2806"/>
    <x v="1386"/>
    <x v="67"/>
    <d v="2016-09-11T00:00:00"/>
    <s v="Standard Class"/>
    <x v="230"/>
    <s v="Charles Crestani"/>
    <x v="0"/>
    <s v="United States"/>
    <s v="El Paso"/>
    <x v="5"/>
    <n v="79907"/>
    <x v="2"/>
    <x v="1272"/>
    <x v="0"/>
    <x v="1"/>
    <x v="1257"/>
    <x v="2275"/>
    <x v="8"/>
    <x v="1"/>
  </r>
  <r>
    <n v="2807"/>
    <x v="1387"/>
    <x v="395"/>
    <d v="2016-07-27T00:00:00"/>
    <s v="Second Class"/>
    <x v="659"/>
    <s v="Michelle Huthwaite"/>
    <x v="0"/>
    <s v="United States"/>
    <s v="Seattle"/>
    <x v="4"/>
    <n v="98115"/>
    <x v="1"/>
    <x v="1217"/>
    <x v="1"/>
    <x v="13"/>
    <x v="1201"/>
    <x v="2276"/>
    <x v="7"/>
    <x v="1"/>
  </r>
  <r>
    <n v="2808"/>
    <x v="1387"/>
    <x v="395"/>
    <d v="2016-07-27T00:00:00"/>
    <s v="Second Class"/>
    <x v="659"/>
    <s v="Michelle Huthwaite"/>
    <x v="0"/>
    <s v="United States"/>
    <s v="Seattle"/>
    <x v="4"/>
    <n v="98115"/>
    <x v="1"/>
    <x v="1434"/>
    <x v="1"/>
    <x v="10"/>
    <x v="1422"/>
    <x v="91"/>
    <x v="7"/>
    <x v="1"/>
  </r>
  <r>
    <n v="2809"/>
    <x v="1387"/>
    <x v="395"/>
    <d v="2016-07-27T00:00:00"/>
    <s v="Second Class"/>
    <x v="659"/>
    <s v="Michelle Huthwaite"/>
    <x v="0"/>
    <s v="United States"/>
    <s v="Seattle"/>
    <x v="4"/>
    <n v="98115"/>
    <x v="1"/>
    <x v="1248"/>
    <x v="0"/>
    <x v="0"/>
    <x v="1334"/>
    <x v="2277"/>
    <x v="7"/>
    <x v="1"/>
  </r>
  <r>
    <n v="2810"/>
    <x v="1387"/>
    <x v="395"/>
    <d v="2016-07-27T00:00:00"/>
    <s v="Second Class"/>
    <x v="659"/>
    <s v="Michelle Huthwaite"/>
    <x v="0"/>
    <s v="United States"/>
    <s v="Seattle"/>
    <x v="4"/>
    <n v="98115"/>
    <x v="1"/>
    <x v="1131"/>
    <x v="0"/>
    <x v="1"/>
    <x v="1119"/>
    <x v="2278"/>
    <x v="7"/>
    <x v="1"/>
  </r>
  <r>
    <n v="2811"/>
    <x v="1388"/>
    <x v="547"/>
    <d v="2016-11-18T00:00:00"/>
    <s v="Second Class"/>
    <x v="486"/>
    <s v="Mike Pelletier"/>
    <x v="2"/>
    <s v="United States"/>
    <s v="Milwaukee"/>
    <x v="6"/>
    <n v="53209"/>
    <x v="2"/>
    <x v="368"/>
    <x v="1"/>
    <x v="10"/>
    <x v="369"/>
    <x v="2279"/>
    <x v="0"/>
    <x v="1"/>
  </r>
  <r>
    <n v="2812"/>
    <x v="1388"/>
    <x v="547"/>
    <d v="2016-11-18T00:00:00"/>
    <s v="Second Class"/>
    <x v="486"/>
    <s v="Mike Pelletier"/>
    <x v="2"/>
    <s v="United States"/>
    <s v="Milwaukee"/>
    <x v="6"/>
    <n v="53209"/>
    <x v="2"/>
    <x v="1435"/>
    <x v="0"/>
    <x v="5"/>
    <x v="1423"/>
    <x v="2280"/>
    <x v="0"/>
    <x v="1"/>
  </r>
  <r>
    <n v="2813"/>
    <x v="1388"/>
    <x v="547"/>
    <d v="2016-11-18T00:00:00"/>
    <s v="Second Class"/>
    <x v="486"/>
    <s v="Mike Pelletier"/>
    <x v="2"/>
    <s v="United States"/>
    <s v="Milwaukee"/>
    <x v="6"/>
    <n v="53209"/>
    <x v="2"/>
    <x v="719"/>
    <x v="0"/>
    <x v="3"/>
    <x v="718"/>
    <x v="2281"/>
    <x v="0"/>
    <x v="1"/>
  </r>
  <r>
    <n v="2814"/>
    <x v="1388"/>
    <x v="547"/>
    <d v="2016-11-18T00:00:00"/>
    <s v="Second Class"/>
    <x v="486"/>
    <s v="Mike Pelletier"/>
    <x v="2"/>
    <s v="United States"/>
    <s v="Milwaukee"/>
    <x v="6"/>
    <n v="53209"/>
    <x v="2"/>
    <x v="1287"/>
    <x v="2"/>
    <x v="11"/>
    <x v="1273"/>
    <x v="2282"/>
    <x v="0"/>
    <x v="1"/>
  </r>
  <r>
    <n v="2815"/>
    <x v="1388"/>
    <x v="547"/>
    <d v="2016-11-18T00:00:00"/>
    <s v="Second Class"/>
    <x v="486"/>
    <s v="Mike Pelletier"/>
    <x v="2"/>
    <s v="United States"/>
    <s v="Milwaukee"/>
    <x v="6"/>
    <n v="53209"/>
    <x v="2"/>
    <x v="562"/>
    <x v="0"/>
    <x v="3"/>
    <x v="561"/>
    <x v="2283"/>
    <x v="0"/>
    <x v="1"/>
  </r>
  <r>
    <n v="2816"/>
    <x v="1389"/>
    <x v="135"/>
    <d v="2016-09-08T00:00:00"/>
    <s v="Standard Class"/>
    <x v="660"/>
    <s v="Daniel Raglin"/>
    <x v="2"/>
    <s v="United States"/>
    <s v="Franklin"/>
    <x v="31"/>
    <n v="2038"/>
    <x v="3"/>
    <x v="710"/>
    <x v="1"/>
    <x v="8"/>
    <x v="709"/>
    <x v="2284"/>
    <x v="8"/>
    <x v="1"/>
  </r>
  <r>
    <n v="2817"/>
    <x v="1389"/>
    <x v="135"/>
    <d v="2016-09-08T00:00:00"/>
    <s v="Standard Class"/>
    <x v="660"/>
    <s v="Daniel Raglin"/>
    <x v="2"/>
    <s v="United States"/>
    <s v="Franklin"/>
    <x v="31"/>
    <n v="2038"/>
    <x v="3"/>
    <x v="163"/>
    <x v="0"/>
    <x v="1"/>
    <x v="164"/>
    <x v="2285"/>
    <x v="8"/>
    <x v="1"/>
  </r>
  <r>
    <n v="2818"/>
    <x v="1389"/>
    <x v="135"/>
    <d v="2016-09-08T00:00:00"/>
    <s v="Standard Class"/>
    <x v="660"/>
    <s v="Daniel Raglin"/>
    <x v="2"/>
    <s v="United States"/>
    <s v="Franklin"/>
    <x v="31"/>
    <n v="2038"/>
    <x v="3"/>
    <x v="1292"/>
    <x v="0"/>
    <x v="5"/>
    <x v="1278"/>
    <x v="2217"/>
    <x v="8"/>
    <x v="1"/>
  </r>
  <r>
    <n v="2819"/>
    <x v="1389"/>
    <x v="135"/>
    <d v="2016-09-08T00:00:00"/>
    <s v="Standard Class"/>
    <x v="660"/>
    <s v="Daniel Raglin"/>
    <x v="2"/>
    <s v="United States"/>
    <s v="Franklin"/>
    <x v="31"/>
    <n v="2038"/>
    <x v="3"/>
    <x v="245"/>
    <x v="1"/>
    <x v="4"/>
    <x v="246"/>
    <x v="2286"/>
    <x v="8"/>
    <x v="1"/>
  </r>
  <r>
    <n v="2820"/>
    <x v="1390"/>
    <x v="465"/>
    <d v="2017-05-08T00:00:00"/>
    <s v="First Class"/>
    <x v="661"/>
    <s v="Darrin Martin"/>
    <x v="0"/>
    <s v="United States"/>
    <s v="Encinitas"/>
    <x v="1"/>
    <n v="92024"/>
    <x v="1"/>
    <x v="1338"/>
    <x v="1"/>
    <x v="8"/>
    <x v="1323"/>
    <x v="944"/>
    <x v="5"/>
    <x v="0"/>
  </r>
  <r>
    <n v="2821"/>
    <x v="1390"/>
    <x v="465"/>
    <d v="2017-05-08T00:00:00"/>
    <s v="First Class"/>
    <x v="661"/>
    <s v="Darrin Martin"/>
    <x v="0"/>
    <s v="United States"/>
    <s v="Encinitas"/>
    <x v="1"/>
    <n v="92024"/>
    <x v="1"/>
    <x v="209"/>
    <x v="0"/>
    <x v="3"/>
    <x v="210"/>
    <x v="2287"/>
    <x v="5"/>
    <x v="0"/>
  </r>
  <r>
    <n v="2822"/>
    <x v="1391"/>
    <x v="413"/>
    <d v="2018-01-05T00:00:00"/>
    <s v="Standard Class"/>
    <x v="379"/>
    <s v="Brian DeCherney"/>
    <x v="0"/>
    <s v="United States"/>
    <s v="Anaheim"/>
    <x v="1"/>
    <n v="92804"/>
    <x v="1"/>
    <x v="202"/>
    <x v="2"/>
    <x v="7"/>
    <x v="203"/>
    <x v="214"/>
    <x v="4"/>
    <x v="0"/>
  </r>
  <r>
    <n v="2823"/>
    <x v="1392"/>
    <x v="65"/>
    <d v="2018-09-20T00:00:00"/>
    <s v="First Class"/>
    <x v="419"/>
    <s v="Dan Campbell"/>
    <x v="0"/>
    <s v="United States"/>
    <s v="Arlington"/>
    <x v="5"/>
    <n v="76017"/>
    <x v="2"/>
    <x v="311"/>
    <x v="1"/>
    <x v="6"/>
    <x v="311"/>
    <x v="433"/>
    <x v="8"/>
    <x v="3"/>
  </r>
  <r>
    <n v="2824"/>
    <x v="1392"/>
    <x v="65"/>
    <d v="2018-09-20T00:00:00"/>
    <s v="First Class"/>
    <x v="419"/>
    <s v="Dan Campbell"/>
    <x v="0"/>
    <s v="United States"/>
    <s v="Arlington"/>
    <x v="5"/>
    <n v="76017"/>
    <x v="2"/>
    <x v="1069"/>
    <x v="1"/>
    <x v="4"/>
    <x v="1058"/>
    <x v="2288"/>
    <x v="8"/>
    <x v="3"/>
  </r>
  <r>
    <n v="2825"/>
    <x v="1393"/>
    <x v="794"/>
    <d v="2015-09-30T00:00:00"/>
    <s v="Standard Class"/>
    <x v="192"/>
    <s v="Michelle Tran"/>
    <x v="2"/>
    <s v="United States"/>
    <s v="Houston"/>
    <x v="5"/>
    <n v="77041"/>
    <x v="2"/>
    <x v="1436"/>
    <x v="1"/>
    <x v="10"/>
    <x v="1424"/>
    <x v="2289"/>
    <x v="8"/>
    <x v="2"/>
  </r>
  <r>
    <n v="2826"/>
    <x v="1393"/>
    <x v="794"/>
    <d v="2015-09-30T00:00:00"/>
    <s v="Standard Class"/>
    <x v="192"/>
    <s v="Michelle Tran"/>
    <x v="2"/>
    <s v="United States"/>
    <s v="Houston"/>
    <x v="5"/>
    <n v="77041"/>
    <x v="2"/>
    <x v="587"/>
    <x v="0"/>
    <x v="0"/>
    <x v="587"/>
    <x v="2290"/>
    <x v="8"/>
    <x v="2"/>
  </r>
  <r>
    <n v="2827"/>
    <x v="1393"/>
    <x v="794"/>
    <d v="2015-09-30T00:00:00"/>
    <s v="Standard Class"/>
    <x v="192"/>
    <s v="Michelle Tran"/>
    <x v="2"/>
    <s v="United States"/>
    <s v="Houston"/>
    <x v="5"/>
    <n v="77041"/>
    <x v="2"/>
    <x v="1282"/>
    <x v="1"/>
    <x v="8"/>
    <x v="1267"/>
    <x v="625"/>
    <x v="8"/>
    <x v="2"/>
  </r>
  <r>
    <n v="2828"/>
    <x v="1393"/>
    <x v="794"/>
    <d v="2015-09-30T00:00:00"/>
    <s v="Standard Class"/>
    <x v="192"/>
    <s v="Michelle Tran"/>
    <x v="2"/>
    <s v="United States"/>
    <s v="Houston"/>
    <x v="5"/>
    <n v="77041"/>
    <x v="2"/>
    <x v="29"/>
    <x v="1"/>
    <x v="12"/>
    <x v="29"/>
    <x v="30"/>
    <x v="8"/>
    <x v="2"/>
  </r>
  <r>
    <n v="2829"/>
    <x v="1394"/>
    <x v="131"/>
    <d v="2017-04-26T00:00:00"/>
    <s v="First Class"/>
    <x v="77"/>
    <s v="Max Jones"/>
    <x v="0"/>
    <s v="United States"/>
    <s v="Lancaster"/>
    <x v="24"/>
    <n v="43130"/>
    <x v="3"/>
    <x v="1437"/>
    <x v="1"/>
    <x v="10"/>
    <x v="1425"/>
    <x v="2291"/>
    <x v="3"/>
    <x v="0"/>
  </r>
  <r>
    <n v="2830"/>
    <x v="1394"/>
    <x v="131"/>
    <d v="2017-04-26T00:00:00"/>
    <s v="First Class"/>
    <x v="77"/>
    <s v="Max Jones"/>
    <x v="0"/>
    <s v="United States"/>
    <s v="Lancaster"/>
    <x v="24"/>
    <n v="43130"/>
    <x v="3"/>
    <x v="4"/>
    <x v="1"/>
    <x v="4"/>
    <x v="4"/>
    <x v="2292"/>
    <x v="3"/>
    <x v="0"/>
  </r>
  <r>
    <n v="2831"/>
    <x v="1394"/>
    <x v="131"/>
    <d v="2017-04-26T00:00:00"/>
    <s v="First Class"/>
    <x v="77"/>
    <s v="Max Jones"/>
    <x v="0"/>
    <s v="United States"/>
    <s v="Lancaster"/>
    <x v="24"/>
    <n v="43130"/>
    <x v="3"/>
    <x v="1438"/>
    <x v="1"/>
    <x v="10"/>
    <x v="1426"/>
    <x v="128"/>
    <x v="3"/>
    <x v="0"/>
  </r>
  <r>
    <n v="2832"/>
    <x v="1395"/>
    <x v="301"/>
    <d v="2015-11-05T00:00:00"/>
    <s v="Standard Class"/>
    <x v="444"/>
    <s v="Natalie DeCherney"/>
    <x v="0"/>
    <s v="United States"/>
    <s v="Portland"/>
    <x v="21"/>
    <n v="97206"/>
    <x v="1"/>
    <x v="1439"/>
    <x v="1"/>
    <x v="4"/>
    <x v="1427"/>
    <x v="2293"/>
    <x v="0"/>
    <x v="2"/>
  </r>
  <r>
    <n v="2833"/>
    <x v="1395"/>
    <x v="301"/>
    <d v="2015-11-05T00:00:00"/>
    <s v="Standard Class"/>
    <x v="444"/>
    <s v="Natalie DeCherney"/>
    <x v="0"/>
    <s v="United States"/>
    <s v="Portland"/>
    <x v="21"/>
    <n v="97206"/>
    <x v="1"/>
    <x v="1417"/>
    <x v="2"/>
    <x v="7"/>
    <x v="1405"/>
    <x v="2294"/>
    <x v="0"/>
    <x v="2"/>
  </r>
  <r>
    <n v="2834"/>
    <x v="1396"/>
    <x v="795"/>
    <d v="2018-01-31T00:00:00"/>
    <s v="Second Class"/>
    <x v="662"/>
    <s v="Carol Adams"/>
    <x v="1"/>
    <s v="United States"/>
    <s v="Hoover"/>
    <x v="19"/>
    <n v="35244"/>
    <x v="0"/>
    <x v="147"/>
    <x v="1"/>
    <x v="6"/>
    <x v="148"/>
    <x v="2295"/>
    <x v="9"/>
    <x v="3"/>
  </r>
  <r>
    <n v="2835"/>
    <x v="1396"/>
    <x v="795"/>
    <d v="2018-01-31T00:00:00"/>
    <s v="Second Class"/>
    <x v="662"/>
    <s v="Carol Adams"/>
    <x v="1"/>
    <s v="United States"/>
    <s v="Hoover"/>
    <x v="19"/>
    <n v="35244"/>
    <x v="0"/>
    <x v="175"/>
    <x v="1"/>
    <x v="8"/>
    <x v="176"/>
    <x v="181"/>
    <x v="9"/>
    <x v="3"/>
  </r>
  <r>
    <n v="2836"/>
    <x v="1397"/>
    <x v="343"/>
    <d v="2018-11-16T00:00:00"/>
    <s v="Standard Class"/>
    <x v="315"/>
    <s v="Guy Armstrong"/>
    <x v="0"/>
    <s v="United States"/>
    <s v="Los Angeles"/>
    <x v="1"/>
    <n v="90036"/>
    <x v="1"/>
    <x v="930"/>
    <x v="1"/>
    <x v="9"/>
    <x v="923"/>
    <x v="2296"/>
    <x v="0"/>
    <x v="3"/>
  </r>
  <r>
    <n v="2837"/>
    <x v="1397"/>
    <x v="343"/>
    <d v="2018-11-16T00:00:00"/>
    <s v="Standard Class"/>
    <x v="315"/>
    <s v="Guy Armstrong"/>
    <x v="0"/>
    <s v="United States"/>
    <s v="Los Angeles"/>
    <x v="1"/>
    <n v="90036"/>
    <x v="1"/>
    <x v="1440"/>
    <x v="1"/>
    <x v="10"/>
    <x v="1428"/>
    <x v="537"/>
    <x v="0"/>
    <x v="3"/>
  </r>
  <r>
    <n v="2838"/>
    <x v="1397"/>
    <x v="343"/>
    <d v="2018-11-16T00:00:00"/>
    <s v="Standard Class"/>
    <x v="315"/>
    <s v="Guy Armstrong"/>
    <x v="0"/>
    <s v="United States"/>
    <s v="Los Angeles"/>
    <x v="1"/>
    <n v="90036"/>
    <x v="1"/>
    <x v="999"/>
    <x v="1"/>
    <x v="8"/>
    <x v="991"/>
    <x v="2077"/>
    <x v="0"/>
    <x v="3"/>
  </r>
  <r>
    <n v="2839"/>
    <x v="1398"/>
    <x v="632"/>
    <d v="2017-06-12T00:00:00"/>
    <s v="First Class"/>
    <x v="646"/>
    <s v="Toby Carlisle"/>
    <x v="0"/>
    <s v="United States"/>
    <s v="Tallahassee"/>
    <x v="2"/>
    <n v="32303"/>
    <x v="0"/>
    <x v="946"/>
    <x v="2"/>
    <x v="15"/>
    <x v="939"/>
    <x v="1188"/>
    <x v="1"/>
    <x v="0"/>
  </r>
  <r>
    <n v="2840"/>
    <x v="1399"/>
    <x v="37"/>
    <d v="2016-09-08T00:00:00"/>
    <s v="Second Class"/>
    <x v="80"/>
    <s v="Jennifer Braxton"/>
    <x v="1"/>
    <s v="United States"/>
    <s v="New York City"/>
    <x v="15"/>
    <n v="10009"/>
    <x v="3"/>
    <x v="772"/>
    <x v="1"/>
    <x v="4"/>
    <x v="771"/>
    <x v="2297"/>
    <x v="8"/>
    <x v="1"/>
  </r>
  <r>
    <n v="2841"/>
    <x v="1400"/>
    <x v="619"/>
    <d v="2015-03-19T00:00:00"/>
    <s v="Standard Class"/>
    <x v="278"/>
    <s v="Christine Kargatis"/>
    <x v="2"/>
    <s v="United States"/>
    <s v="Chesapeake"/>
    <x v="17"/>
    <n v="23320"/>
    <x v="0"/>
    <x v="463"/>
    <x v="0"/>
    <x v="1"/>
    <x v="464"/>
    <x v="2298"/>
    <x v="10"/>
    <x v="2"/>
  </r>
  <r>
    <n v="2842"/>
    <x v="1401"/>
    <x v="515"/>
    <d v="2018-09-04T00:00:00"/>
    <s v="Second Class"/>
    <x v="210"/>
    <s v="Rob Lucas"/>
    <x v="0"/>
    <s v="United States"/>
    <s v="Fayetteville"/>
    <x v="3"/>
    <n v="28314"/>
    <x v="0"/>
    <x v="839"/>
    <x v="1"/>
    <x v="10"/>
    <x v="833"/>
    <x v="2299"/>
    <x v="6"/>
    <x v="3"/>
  </r>
  <r>
    <n v="2843"/>
    <x v="1402"/>
    <x v="721"/>
    <d v="2018-03-27T00:00:00"/>
    <s v="Standard Class"/>
    <x v="663"/>
    <s v="Anna Chung"/>
    <x v="0"/>
    <s v="United States"/>
    <s v="Huntsville"/>
    <x v="5"/>
    <n v="77340"/>
    <x v="2"/>
    <x v="435"/>
    <x v="1"/>
    <x v="4"/>
    <x v="435"/>
    <x v="2300"/>
    <x v="10"/>
    <x v="3"/>
  </r>
  <r>
    <n v="2844"/>
    <x v="1403"/>
    <x v="796"/>
    <d v="2018-05-22T00:00:00"/>
    <s v="Standard Class"/>
    <x v="3"/>
    <s v="Brosina Hoffman"/>
    <x v="0"/>
    <s v="United States"/>
    <s v="Philadelphia"/>
    <x v="9"/>
    <n v="19140"/>
    <x v="3"/>
    <x v="1374"/>
    <x v="2"/>
    <x v="11"/>
    <x v="1359"/>
    <x v="2301"/>
    <x v="5"/>
    <x v="3"/>
  </r>
  <r>
    <n v="2845"/>
    <x v="1404"/>
    <x v="797"/>
    <d v="2017-12-31T00:00:00"/>
    <s v="Standard Class"/>
    <x v="410"/>
    <s v="Brooke Gillingham"/>
    <x v="1"/>
    <s v="United States"/>
    <s v="Woodstock"/>
    <x v="10"/>
    <n v="60098"/>
    <x v="2"/>
    <x v="531"/>
    <x v="0"/>
    <x v="1"/>
    <x v="531"/>
    <x v="2302"/>
    <x v="4"/>
    <x v="0"/>
  </r>
  <r>
    <n v="2846"/>
    <x v="1405"/>
    <x v="701"/>
    <d v="2018-11-20T00:00:00"/>
    <s v="First Class"/>
    <x v="190"/>
    <s v="Xylona Preis"/>
    <x v="0"/>
    <s v="United States"/>
    <s v="Everett"/>
    <x v="31"/>
    <n v="2149"/>
    <x v="3"/>
    <x v="207"/>
    <x v="1"/>
    <x v="6"/>
    <x v="208"/>
    <x v="711"/>
    <x v="0"/>
    <x v="3"/>
  </r>
  <r>
    <n v="2847"/>
    <x v="1406"/>
    <x v="18"/>
    <d v="2018-09-15T00:00:00"/>
    <s v="Standard Class"/>
    <x v="381"/>
    <s v="Skye Norling"/>
    <x v="2"/>
    <s v="United States"/>
    <s v="Chicago"/>
    <x v="10"/>
    <n v="60653"/>
    <x v="2"/>
    <x v="450"/>
    <x v="1"/>
    <x v="8"/>
    <x v="451"/>
    <x v="2303"/>
    <x v="8"/>
    <x v="3"/>
  </r>
  <r>
    <n v="2848"/>
    <x v="1407"/>
    <x v="798"/>
    <d v="2018-04-15T00:00:00"/>
    <s v="Standard Class"/>
    <x v="664"/>
    <s v="Denise Monton"/>
    <x v="1"/>
    <s v="United States"/>
    <s v="Roswell"/>
    <x v="32"/>
    <n v="30076"/>
    <x v="0"/>
    <x v="1441"/>
    <x v="0"/>
    <x v="5"/>
    <x v="1429"/>
    <x v="2304"/>
    <x v="3"/>
    <x v="3"/>
  </r>
  <r>
    <n v="2849"/>
    <x v="1407"/>
    <x v="798"/>
    <d v="2018-04-15T00:00:00"/>
    <s v="Standard Class"/>
    <x v="664"/>
    <s v="Denise Monton"/>
    <x v="1"/>
    <s v="United States"/>
    <s v="Roswell"/>
    <x v="32"/>
    <n v="30076"/>
    <x v="0"/>
    <x v="1176"/>
    <x v="1"/>
    <x v="8"/>
    <x v="1162"/>
    <x v="2305"/>
    <x v="3"/>
    <x v="3"/>
  </r>
  <r>
    <n v="2850"/>
    <x v="1408"/>
    <x v="85"/>
    <d v="2017-12-03T00:00:00"/>
    <s v="Standard Class"/>
    <x v="321"/>
    <s v="Anthony Jacobs"/>
    <x v="1"/>
    <s v="United States"/>
    <s v="Palm Coast"/>
    <x v="2"/>
    <n v="32137"/>
    <x v="0"/>
    <x v="863"/>
    <x v="1"/>
    <x v="8"/>
    <x v="857"/>
    <x v="2306"/>
    <x v="0"/>
    <x v="0"/>
  </r>
  <r>
    <n v="2851"/>
    <x v="1409"/>
    <x v="799"/>
    <d v="2017-06-05T00:00:00"/>
    <s v="First Class"/>
    <x v="346"/>
    <s v="Karen Carlisle"/>
    <x v="1"/>
    <s v="United States"/>
    <s v="Philadelphia"/>
    <x v="9"/>
    <n v="19120"/>
    <x v="3"/>
    <x v="459"/>
    <x v="1"/>
    <x v="4"/>
    <x v="460"/>
    <x v="1445"/>
    <x v="1"/>
    <x v="0"/>
  </r>
  <r>
    <n v="2852"/>
    <x v="1410"/>
    <x v="94"/>
    <d v="2018-12-22T00:00:00"/>
    <s v="Standard Class"/>
    <x v="665"/>
    <s v="Vicky Freymann"/>
    <x v="2"/>
    <s v="United States"/>
    <s v="Columbus"/>
    <x v="14"/>
    <n v="47201"/>
    <x v="2"/>
    <x v="728"/>
    <x v="1"/>
    <x v="10"/>
    <x v="727"/>
    <x v="2307"/>
    <x v="4"/>
    <x v="3"/>
  </r>
  <r>
    <n v="2853"/>
    <x v="1411"/>
    <x v="690"/>
    <d v="2017-03-21T00:00:00"/>
    <s v="Second Class"/>
    <x v="603"/>
    <s v="Susan Vittorini"/>
    <x v="0"/>
    <s v="United States"/>
    <s v="Oceanside"/>
    <x v="15"/>
    <n v="11572"/>
    <x v="3"/>
    <x v="1442"/>
    <x v="0"/>
    <x v="5"/>
    <x v="1430"/>
    <x v="1852"/>
    <x v="10"/>
    <x v="0"/>
  </r>
  <r>
    <n v="2854"/>
    <x v="1411"/>
    <x v="690"/>
    <d v="2017-03-21T00:00:00"/>
    <s v="Second Class"/>
    <x v="603"/>
    <s v="Susan Vittorini"/>
    <x v="0"/>
    <s v="United States"/>
    <s v="Oceanside"/>
    <x v="15"/>
    <n v="11572"/>
    <x v="3"/>
    <x v="534"/>
    <x v="0"/>
    <x v="5"/>
    <x v="534"/>
    <x v="2308"/>
    <x v="10"/>
    <x v="0"/>
  </r>
  <r>
    <n v="2855"/>
    <x v="1412"/>
    <x v="648"/>
    <d v="2018-08-20T00:00:00"/>
    <s v="Same Day"/>
    <x v="613"/>
    <s v="Eleni McCrary"/>
    <x v="1"/>
    <s v="United States"/>
    <s v="Franklin"/>
    <x v="31"/>
    <n v="2038"/>
    <x v="3"/>
    <x v="1031"/>
    <x v="1"/>
    <x v="4"/>
    <x v="1022"/>
    <x v="2309"/>
    <x v="6"/>
    <x v="3"/>
  </r>
  <r>
    <n v="2856"/>
    <x v="1413"/>
    <x v="800"/>
    <d v="2018-07-31T00:00:00"/>
    <s v="Standard Class"/>
    <x v="181"/>
    <s v="Raymond Buch"/>
    <x v="0"/>
    <s v="United States"/>
    <s v="Sioux Falls"/>
    <x v="44"/>
    <n v="57103"/>
    <x v="2"/>
    <x v="1387"/>
    <x v="1"/>
    <x v="2"/>
    <x v="1373"/>
    <x v="2310"/>
    <x v="7"/>
    <x v="3"/>
  </r>
  <r>
    <n v="2857"/>
    <x v="1414"/>
    <x v="370"/>
    <d v="2017-08-29T00:00:00"/>
    <s v="First Class"/>
    <x v="137"/>
    <s v="Don Jones"/>
    <x v="1"/>
    <s v="United States"/>
    <s v="San Diego"/>
    <x v="1"/>
    <n v="92037"/>
    <x v="1"/>
    <x v="445"/>
    <x v="0"/>
    <x v="1"/>
    <x v="445"/>
    <x v="2311"/>
    <x v="6"/>
    <x v="0"/>
  </r>
  <r>
    <n v="2858"/>
    <x v="1415"/>
    <x v="243"/>
    <d v="2017-08-17T00:00:00"/>
    <s v="Second Class"/>
    <x v="666"/>
    <s v="Christopher Conant"/>
    <x v="0"/>
    <s v="United States"/>
    <s v="Fayetteville"/>
    <x v="3"/>
    <n v="28314"/>
    <x v="0"/>
    <x v="1153"/>
    <x v="0"/>
    <x v="1"/>
    <x v="1141"/>
    <x v="2241"/>
    <x v="6"/>
    <x v="0"/>
  </r>
  <r>
    <n v="2859"/>
    <x v="1416"/>
    <x v="240"/>
    <d v="2018-05-23T00:00:00"/>
    <s v="Standard Class"/>
    <x v="618"/>
    <s v="Shahid Collister"/>
    <x v="0"/>
    <s v="United States"/>
    <s v="Atlanta"/>
    <x v="32"/>
    <n v="30318"/>
    <x v="0"/>
    <x v="658"/>
    <x v="2"/>
    <x v="11"/>
    <x v="658"/>
    <x v="760"/>
    <x v="5"/>
    <x v="3"/>
  </r>
  <r>
    <n v="2860"/>
    <x v="1416"/>
    <x v="240"/>
    <d v="2018-05-23T00:00:00"/>
    <s v="Standard Class"/>
    <x v="618"/>
    <s v="Shahid Collister"/>
    <x v="0"/>
    <s v="United States"/>
    <s v="Atlanta"/>
    <x v="32"/>
    <n v="30318"/>
    <x v="0"/>
    <x v="1443"/>
    <x v="2"/>
    <x v="7"/>
    <x v="1431"/>
    <x v="2216"/>
    <x v="5"/>
    <x v="3"/>
  </r>
  <r>
    <n v="2861"/>
    <x v="1416"/>
    <x v="240"/>
    <d v="2018-05-23T00:00:00"/>
    <s v="Standard Class"/>
    <x v="618"/>
    <s v="Shahid Collister"/>
    <x v="0"/>
    <s v="United States"/>
    <s v="Atlanta"/>
    <x v="32"/>
    <n v="30318"/>
    <x v="0"/>
    <x v="199"/>
    <x v="0"/>
    <x v="0"/>
    <x v="200"/>
    <x v="2312"/>
    <x v="5"/>
    <x v="3"/>
  </r>
  <r>
    <n v="2862"/>
    <x v="1416"/>
    <x v="240"/>
    <d v="2018-05-23T00:00:00"/>
    <s v="Standard Class"/>
    <x v="618"/>
    <s v="Shahid Collister"/>
    <x v="0"/>
    <s v="United States"/>
    <s v="Atlanta"/>
    <x v="32"/>
    <n v="30318"/>
    <x v="0"/>
    <x v="839"/>
    <x v="1"/>
    <x v="10"/>
    <x v="833"/>
    <x v="2313"/>
    <x v="5"/>
    <x v="3"/>
  </r>
  <r>
    <n v="2863"/>
    <x v="1417"/>
    <x v="801"/>
    <d v="2018-08-17T00:00:00"/>
    <s v="Standard Class"/>
    <x v="302"/>
    <s v="Rick Hansen"/>
    <x v="0"/>
    <s v="United States"/>
    <s v="Orlando"/>
    <x v="2"/>
    <n v="32839"/>
    <x v="0"/>
    <x v="1396"/>
    <x v="1"/>
    <x v="10"/>
    <x v="1383"/>
    <x v="557"/>
    <x v="6"/>
    <x v="3"/>
  </r>
  <r>
    <n v="2864"/>
    <x v="1418"/>
    <x v="802"/>
    <d v="2018-08-13T00:00:00"/>
    <s v="Same Day"/>
    <x v="271"/>
    <s v="Jay Kimmel"/>
    <x v="0"/>
    <s v="United States"/>
    <s v="San Francisco"/>
    <x v="1"/>
    <n v="94122"/>
    <x v="1"/>
    <x v="470"/>
    <x v="1"/>
    <x v="4"/>
    <x v="471"/>
    <x v="966"/>
    <x v="6"/>
    <x v="3"/>
  </r>
  <r>
    <n v="2865"/>
    <x v="1418"/>
    <x v="802"/>
    <d v="2018-08-13T00:00:00"/>
    <s v="Same Day"/>
    <x v="271"/>
    <s v="Jay Kimmel"/>
    <x v="0"/>
    <s v="United States"/>
    <s v="San Francisco"/>
    <x v="1"/>
    <n v="94122"/>
    <x v="1"/>
    <x v="360"/>
    <x v="1"/>
    <x v="9"/>
    <x v="360"/>
    <x v="2314"/>
    <x v="6"/>
    <x v="3"/>
  </r>
  <r>
    <n v="2866"/>
    <x v="1418"/>
    <x v="802"/>
    <d v="2018-08-13T00:00:00"/>
    <s v="Same Day"/>
    <x v="271"/>
    <s v="Jay Kimmel"/>
    <x v="0"/>
    <s v="United States"/>
    <s v="San Francisco"/>
    <x v="1"/>
    <n v="94122"/>
    <x v="1"/>
    <x v="397"/>
    <x v="1"/>
    <x v="6"/>
    <x v="398"/>
    <x v="423"/>
    <x v="6"/>
    <x v="3"/>
  </r>
  <r>
    <n v="2867"/>
    <x v="1418"/>
    <x v="802"/>
    <d v="2018-08-13T00:00:00"/>
    <s v="Same Day"/>
    <x v="271"/>
    <s v="Jay Kimmel"/>
    <x v="0"/>
    <s v="United States"/>
    <s v="San Francisco"/>
    <x v="1"/>
    <n v="94122"/>
    <x v="1"/>
    <x v="1444"/>
    <x v="1"/>
    <x v="14"/>
    <x v="327"/>
    <x v="1043"/>
    <x v="6"/>
    <x v="3"/>
  </r>
  <r>
    <n v="2868"/>
    <x v="1419"/>
    <x v="338"/>
    <d v="2017-11-12T00:00:00"/>
    <s v="Second Class"/>
    <x v="314"/>
    <s v="Art Foster"/>
    <x v="0"/>
    <s v="United States"/>
    <s v="Toledo"/>
    <x v="24"/>
    <n v="43615"/>
    <x v="3"/>
    <x v="327"/>
    <x v="1"/>
    <x v="14"/>
    <x v="327"/>
    <x v="2315"/>
    <x v="0"/>
    <x v="0"/>
  </r>
  <r>
    <n v="2869"/>
    <x v="1419"/>
    <x v="338"/>
    <d v="2017-11-12T00:00:00"/>
    <s v="Second Class"/>
    <x v="314"/>
    <s v="Art Foster"/>
    <x v="0"/>
    <s v="United States"/>
    <s v="Toledo"/>
    <x v="24"/>
    <n v="43615"/>
    <x v="3"/>
    <x v="720"/>
    <x v="1"/>
    <x v="4"/>
    <x v="719"/>
    <x v="2316"/>
    <x v="0"/>
    <x v="0"/>
  </r>
  <r>
    <n v="2870"/>
    <x v="1420"/>
    <x v="492"/>
    <d v="2018-06-19T00:00:00"/>
    <s v="Standard Class"/>
    <x v="62"/>
    <s v="Lena Creighton"/>
    <x v="0"/>
    <s v="United States"/>
    <s v="Saint Petersburg"/>
    <x v="2"/>
    <n v="33710"/>
    <x v="0"/>
    <x v="1445"/>
    <x v="0"/>
    <x v="5"/>
    <x v="1432"/>
    <x v="1217"/>
    <x v="1"/>
    <x v="3"/>
  </r>
  <r>
    <n v="2871"/>
    <x v="1421"/>
    <x v="579"/>
    <d v="2015-03-26T00:00:00"/>
    <s v="Standard Class"/>
    <x v="667"/>
    <s v="Beth Fritzler"/>
    <x v="1"/>
    <s v="United States"/>
    <s v="Tucson"/>
    <x v="16"/>
    <n v="85705"/>
    <x v="1"/>
    <x v="1323"/>
    <x v="1"/>
    <x v="10"/>
    <x v="1309"/>
    <x v="1339"/>
    <x v="10"/>
    <x v="2"/>
  </r>
  <r>
    <n v="2872"/>
    <x v="1421"/>
    <x v="579"/>
    <d v="2015-03-26T00:00:00"/>
    <s v="Standard Class"/>
    <x v="667"/>
    <s v="Beth Fritzler"/>
    <x v="1"/>
    <s v="United States"/>
    <s v="Tucson"/>
    <x v="16"/>
    <n v="85705"/>
    <x v="1"/>
    <x v="541"/>
    <x v="0"/>
    <x v="1"/>
    <x v="541"/>
    <x v="2317"/>
    <x v="10"/>
    <x v="2"/>
  </r>
  <r>
    <n v="2873"/>
    <x v="1422"/>
    <x v="140"/>
    <d v="2018-06-20T00:00:00"/>
    <s v="Standard Class"/>
    <x v="561"/>
    <s v="Stuart Calhoun"/>
    <x v="0"/>
    <s v="United States"/>
    <s v="Los Angeles"/>
    <x v="1"/>
    <n v="90036"/>
    <x v="1"/>
    <x v="319"/>
    <x v="1"/>
    <x v="6"/>
    <x v="319"/>
    <x v="2318"/>
    <x v="1"/>
    <x v="3"/>
  </r>
  <r>
    <n v="2874"/>
    <x v="1423"/>
    <x v="673"/>
    <d v="2018-11-22T00:00:00"/>
    <s v="Standard Class"/>
    <x v="349"/>
    <s v="Scott Williamson"/>
    <x v="0"/>
    <s v="United States"/>
    <s v="San Diego"/>
    <x v="1"/>
    <n v="92105"/>
    <x v="1"/>
    <x v="537"/>
    <x v="1"/>
    <x v="4"/>
    <x v="537"/>
    <x v="2319"/>
    <x v="0"/>
    <x v="3"/>
  </r>
  <r>
    <n v="2875"/>
    <x v="1424"/>
    <x v="614"/>
    <d v="2018-12-31T00:00:00"/>
    <s v="First Class"/>
    <x v="266"/>
    <s v="Michael Chen"/>
    <x v="0"/>
    <s v="United States"/>
    <s v="New York City"/>
    <x v="15"/>
    <n v="10035"/>
    <x v="3"/>
    <x v="131"/>
    <x v="1"/>
    <x v="13"/>
    <x v="132"/>
    <x v="2320"/>
    <x v="4"/>
    <x v="3"/>
  </r>
  <r>
    <n v="2876"/>
    <x v="1425"/>
    <x v="803"/>
    <d v="2017-01-23T00:00:00"/>
    <s v="Second Class"/>
    <x v="143"/>
    <s v="Tamara Dahlen"/>
    <x v="0"/>
    <s v="United States"/>
    <s v="San Diego"/>
    <x v="1"/>
    <n v="92037"/>
    <x v="1"/>
    <x v="992"/>
    <x v="0"/>
    <x v="1"/>
    <x v="984"/>
    <x v="2321"/>
    <x v="9"/>
    <x v="0"/>
  </r>
  <r>
    <n v="2877"/>
    <x v="1425"/>
    <x v="803"/>
    <d v="2017-01-23T00:00:00"/>
    <s v="Second Class"/>
    <x v="143"/>
    <s v="Tamara Dahlen"/>
    <x v="0"/>
    <s v="United States"/>
    <s v="San Diego"/>
    <x v="1"/>
    <n v="92037"/>
    <x v="1"/>
    <x v="323"/>
    <x v="0"/>
    <x v="1"/>
    <x v="323"/>
    <x v="2322"/>
    <x v="9"/>
    <x v="0"/>
  </r>
  <r>
    <n v="2878"/>
    <x v="1426"/>
    <x v="804"/>
    <d v="2017-01-19T00:00:00"/>
    <s v="Standard Class"/>
    <x v="656"/>
    <s v="Dean percer"/>
    <x v="2"/>
    <s v="United States"/>
    <s v="Westfield"/>
    <x v="30"/>
    <n v="7090"/>
    <x v="3"/>
    <x v="1249"/>
    <x v="1"/>
    <x v="12"/>
    <x v="1233"/>
    <x v="2323"/>
    <x v="9"/>
    <x v="0"/>
  </r>
  <r>
    <n v="2879"/>
    <x v="1426"/>
    <x v="804"/>
    <d v="2017-01-19T00:00:00"/>
    <s v="Standard Class"/>
    <x v="656"/>
    <s v="Dean percer"/>
    <x v="2"/>
    <s v="United States"/>
    <s v="Westfield"/>
    <x v="30"/>
    <n v="7090"/>
    <x v="3"/>
    <x v="372"/>
    <x v="1"/>
    <x v="6"/>
    <x v="373"/>
    <x v="2324"/>
    <x v="9"/>
    <x v="0"/>
  </r>
  <r>
    <n v="2880"/>
    <x v="1426"/>
    <x v="804"/>
    <d v="2017-01-19T00:00:00"/>
    <s v="Standard Class"/>
    <x v="656"/>
    <s v="Dean percer"/>
    <x v="2"/>
    <s v="United States"/>
    <s v="Westfield"/>
    <x v="30"/>
    <n v="7090"/>
    <x v="3"/>
    <x v="106"/>
    <x v="2"/>
    <x v="11"/>
    <x v="106"/>
    <x v="2325"/>
    <x v="9"/>
    <x v="0"/>
  </r>
  <r>
    <n v="2881"/>
    <x v="1427"/>
    <x v="251"/>
    <d v="2017-09-23T00:00:00"/>
    <s v="Second Class"/>
    <x v="174"/>
    <s v="Shirley Daniels"/>
    <x v="2"/>
    <s v="United States"/>
    <s v="Orange"/>
    <x v="30"/>
    <n v="7050"/>
    <x v="3"/>
    <x v="15"/>
    <x v="1"/>
    <x v="8"/>
    <x v="15"/>
    <x v="2326"/>
    <x v="8"/>
    <x v="0"/>
  </r>
  <r>
    <n v="2882"/>
    <x v="1427"/>
    <x v="251"/>
    <d v="2017-09-23T00:00:00"/>
    <s v="Second Class"/>
    <x v="174"/>
    <s v="Shirley Daniels"/>
    <x v="2"/>
    <s v="United States"/>
    <s v="Orange"/>
    <x v="30"/>
    <n v="7050"/>
    <x v="3"/>
    <x v="660"/>
    <x v="1"/>
    <x v="14"/>
    <x v="660"/>
    <x v="1048"/>
    <x v="8"/>
    <x v="0"/>
  </r>
  <r>
    <n v="2883"/>
    <x v="1428"/>
    <x v="805"/>
    <d v="2015-02-25T00:00:00"/>
    <s v="Standard Class"/>
    <x v="612"/>
    <s v="Tamara Manning"/>
    <x v="0"/>
    <s v="United States"/>
    <s v="Woodstock"/>
    <x v="10"/>
    <n v="60098"/>
    <x v="2"/>
    <x v="608"/>
    <x v="1"/>
    <x v="8"/>
    <x v="608"/>
    <x v="2327"/>
    <x v="11"/>
    <x v="2"/>
  </r>
  <r>
    <n v="2884"/>
    <x v="1429"/>
    <x v="583"/>
    <d v="2017-11-16T00:00:00"/>
    <s v="Second Class"/>
    <x v="318"/>
    <s v="Berenike Kampe"/>
    <x v="0"/>
    <s v="United States"/>
    <s v="San Francisco"/>
    <x v="1"/>
    <n v="94110"/>
    <x v="1"/>
    <x v="852"/>
    <x v="0"/>
    <x v="5"/>
    <x v="845"/>
    <x v="2328"/>
    <x v="0"/>
    <x v="0"/>
  </r>
  <r>
    <n v="2885"/>
    <x v="1430"/>
    <x v="806"/>
    <d v="2017-02-03T00:00:00"/>
    <s v="Standard Class"/>
    <x v="223"/>
    <s v="Jeremy Farry"/>
    <x v="0"/>
    <s v="United States"/>
    <s v="San Francisco"/>
    <x v="1"/>
    <n v="94122"/>
    <x v="1"/>
    <x v="634"/>
    <x v="1"/>
    <x v="8"/>
    <x v="634"/>
    <x v="732"/>
    <x v="9"/>
    <x v="0"/>
  </r>
  <r>
    <n v="2886"/>
    <x v="1431"/>
    <x v="807"/>
    <d v="2017-10-22T00:00:00"/>
    <s v="Standard Class"/>
    <x v="212"/>
    <s v="Emily Phan"/>
    <x v="0"/>
    <s v="United States"/>
    <s v="Tempe"/>
    <x v="16"/>
    <n v="85281"/>
    <x v="1"/>
    <x v="389"/>
    <x v="0"/>
    <x v="1"/>
    <x v="390"/>
    <x v="2329"/>
    <x v="2"/>
    <x v="0"/>
  </r>
  <r>
    <n v="2887"/>
    <x v="1432"/>
    <x v="404"/>
    <d v="2018-12-19T00:00:00"/>
    <s v="First Class"/>
    <x v="212"/>
    <s v="Emily Phan"/>
    <x v="0"/>
    <s v="United States"/>
    <s v="Los Angeles"/>
    <x v="1"/>
    <n v="90008"/>
    <x v="1"/>
    <x v="453"/>
    <x v="1"/>
    <x v="6"/>
    <x v="454"/>
    <x v="153"/>
    <x v="4"/>
    <x v="3"/>
  </r>
  <r>
    <n v="2888"/>
    <x v="1432"/>
    <x v="404"/>
    <d v="2018-12-19T00:00:00"/>
    <s v="First Class"/>
    <x v="212"/>
    <s v="Emily Phan"/>
    <x v="0"/>
    <s v="United States"/>
    <s v="Los Angeles"/>
    <x v="1"/>
    <n v="90008"/>
    <x v="1"/>
    <x v="860"/>
    <x v="1"/>
    <x v="10"/>
    <x v="854"/>
    <x v="91"/>
    <x v="4"/>
    <x v="3"/>
  </r>
  <r>
    <n v="2889"/>
    <x v="1432"/>
    <x v="404"/>
    <d v="2018-12-19T00:00:00"/>
    <s v="First Class"/>
    <x v="212"/>
    <s v="Emily Phan"/>
    <x v="0"/>
    <s v="United States"/>
    <s v="Los Angeles"/>
    <x v="1"/>
    <n v="90008"/>
    <x v="1"/>
    <x v="730"/>
    <x v="1"/>
    <x v="10"/>
    <x v="729"/>
    <x v="56"/>
    <x v="4"/>
    <x v="3"/>
  </r>
  <r>
    <n v="2890"/>
    <x v="1433"/>
    <x v="808"/>
    <d v="2018-11-06T00:00:00"/>
    <s v="Standard Class"/>
    <x v="175"/>
    <s v="Ken Heidel"/>
    <x v="1"/>
    <s v="United States"/>
    <s v="Seattle"/>
    <x v="4"/>
    <n v="98105"/>
    <x v="1"/>
    <x v="1446"/>
    <x v="1"/>
    <x v="10"/>
    <x v="1433"/>
    <x v="2330"/>
    <x v="0"/>
    <x v="3"/>
  </r>
  <r>
    <n v="2891"/>
    <x v="1434"/>
    <x v="333"/>
    <d v="2015-05-01T00:00:00"/>
    <s v="Second Class"/>
    <x v="668"/>
    <s v="Harry Greene"/>
    <x v="0"/>
    <s v="United States"/>
    <s v="Lake Charles"/>
    <x v="28"/>
    <n v="70601"/>
    <x v="0"/>
    <x v="792"/>
    <x v="0"/>
    <x v="1"/>
    <x v="790"/>
    <x v="2331"/>
    <x v="3"/>
    <x v="2"/>
  </r>
  <r>
    <n v="2892"/>
    <x v="1434"/>
    <x v="333"/>
    <d v="2015-05-01T00:00:00"/>
    <s v="Second Class"/>
    <x v="668"/>
    <s v="Harry Greene"/>
    <x v="0"/>
    <s v="United States"/>
    <s v="Lake Charles"/>
    <x v="28"/>
    <n v="70601"/>
    <x v="0"/>
    <x v="952"/>
    <x v="1"/>
    <x v="8"/>
    <x v="945"/>
    <x v="1444"/>
    <x v="3"/>
    <x v="2"/>
  </r>
  <r>
    <n v="2893"/>
    <x v="1435"/>
    <x v="436"/>
    <d v="2018-10-29T00:00:00"/>
    <s v="Standard Class"/>
    <x v="36"/>
    <s v="Julie Creighton"/>
    <x v="1"/>
    <s v="United States"/>
    <s v="Rochester"/>
    <x v="15"/>
    <n v="14609"/>
    <x v="3"/>
    <x v="1447"/>
    <x v="1"/>
    <x v="10"/>
    <x v="1434"/>
    <x v="1049"/>
    <x v="2"/>
    <x v="3"/>
  </r>
  <r>
    <n v="2894"/>
    <x v="1435"/>
    <x v="436"/>
    <d v="2018-10-29T00:00:00"/>
    <s v="Standard Class"/>
    <x v="36"/>
    <s v="Julie Creighton"/>
    <x v="1"/>
    <s v="United States"/>
    <s v="Rochester"/>
    <x v="15"/>
    <n v="14609"/>
    <x v="3"/>
    <x v="218"/>
    <x v="1"/>
    <x v="10"/>
    <x v="219"/>
    <x v="1579"/>
    <x v="2"/>
    <x v="3"/>
  </r>
  <r>
    <n v="2895"/>
    <x v="1435"/>
    <x v="436"/>
    <d v="2018-10-29T00:00:00"/>
    <s v="Standard Class"/>
    <x v="36"/>
    <s v="Julie Creighton"/>
    <x v="1"/>
    <s v="United States"/>
    <s v="Rochester"/>
    <x v="15"/>
    <n v="14609"/>
    <x v="3"/>
    <x v="1448"/>
    <x v="0"/>
    <x v="5"/>
    <x v="1435"/>
    <x v="2332"/>
    <x v="2"/>
    <x v="3"/>
  </r>
  <r>
    <n v="2896"/>
    <x v="1435"/>
    <x v="436"/>
    <d v="2018-10-29T00:00:00"/>
    <s v="Standard Class"/>
    <x v="36"/>
    <s v="Julie Creighton"/>
    <x v="1"/>
    <s v="United States"/>
    <s v="Rochester"/>
    <x v="15"/>
    <n v="14609"/>
    <x v="3"/>
    <x v="179"/>
    <x v="2"/>
    <x v="7"/>
    <x v="180"/>
    <x v="1197"/>
    <x v="2"/>
    <x v="3"/>
  </r>
  <r>
    <n v="2897"/>
    <x v="1436"/>
    <x v="809"/>
    <d v="2015-04-03T00:00:00"/>
    <s v="Standard Class"/>
    <x v="27"/>
    <s v="Kunst Miller"/>
    <x v="0"/>
    <s v="United States"/>
    <s v="Long Beach"/>
    <x v="15"/>
    <n v="11561"/>
    <x v="3"/>
    <x v="1068"/>
    <x v="1"/>
    <x v="6"/>
    <x v="1057"/>
    <x v="2333"/>
    <x v="10"/>
    <x v="2"/>
  </r>
  <r>
    <n v="2898"/>
    <x v="1437"/>
    <x v="810"/>
    <d v="2017-01-09T00:00:00"/>
    <s v="Standard Class"/>
    <x v="424"/>
    <s v="Erica Bern"/>
    <x v="1"/>
    <s v="United States"/>
    <s v="Charlotte"/>
    <x v="3"/>
    <n v="28205"/>
    <x v="0"/>
    <x v="1327"/>
    <x v="2"/>
    <x v="16"/>
    <x v="1313"/>
    <x v="2334"/>
    <x v="9"/>
    <x v="0"/>
  </r>
  <r>
    <n v="2899"/>
    <x v="1438"/>
    <x v="33"/>
    <d v="2016-04-30T00:00:00"/>
    <s v="Standard Class"/>
    <x v="617"/>
    <s v="Pierre Wener"/>
    <x v="0"/>
    <s v="United States"/>
    <s v="Houston"/>
    <x v="5"/>
    <n v="77036"/>
    <x v="2"/>
    <x v="284"/>
    <x v="0"/>
    <x v="1"/>
    <x v="284"/>
    <x v="2335"/>
    <x v="3"/>
    <x v="1"/>
  </r>
  <r>
    <n v="2900"/>
    <x v="1439"/>
    <x v="811"/>
    <d v="2016-09-17T00:00:00"/>
    <s v="Standard Class"/>
    <x v="38"/>
    <s v="Paul Gonzalez"/>
    <x v="0"/>
    <s v="United States"/>
    <s v="New York City"/>
    <x v="15"/>
    <n v="10035"/>
    <x v="3"/>
    <x v="1327"/>
    <x v="2"/>
    <x v="16"/>
    <x v="1313"/>
    <x v="1973"/>
    <x v="8"/>
    <x v="1"/>
  </r>
  <r>
    <n v="2901"/>
    <x v="1439"/>
    <x v="811"/>
    <d v="2016-09-17T00:00:00"/>
    <s v="Standard Class"/>
    <x v="38"/>
    <s v="Paul Gonzalez"/>
    <x v="0"/>
    <s v="United States"/>
    <s v="New York City"/>
    <x v="15"/>
    <n v="10035"/>
    <x v="3"/>
    <x v="395"/>
    <x v="1"/>
    <x v="2"/>
    <x v="396"/>
    <x v="2336"/>
    <x v="8"/>
    <x v="1"/>
  </r>
  <r>
    <n v="2902"/>
    <x v="1440"/>
    <x v="220"/>
    <d v="2018-09-15T00:00:00"/>
    <s v="Standard Class"/>
    <x v="626"/>
    <s v="Daniel Byrd"/>
    <x v="2"/>
    <s v="United States"/>
    <s v="Columbus"/>
    <x v="32"/>
    <n v="31907"/>
    <x v="0"/>
    <x v="779"/>
    <x v="1"/>
    <x v="10"/>
    <x v="778"/>
    <x v="2337"/>
    <x v="8"/>
    <x v="3"/>
  </r>
  <r>
    <n v="2903"/>
    <x v="1441"/>
    <x v="1"/>
    <d v="2017-06-17T00:00:00"/>
    <s v="Standard Class"/>
    <x v="257"/>
    <s v="Craig Reiter"/>
    <x v="0"/>
    <s v="United States"/>
    <s v="Chicago"/>
    <x v="10"/>
    <n v="60610"/>
    <x v="2"/>
    <x v="1215"/>
    <x v="1"/>
    <x v="10"/>
    <x v="1199"/>
    <x v="1062"/>
    <x v="1"/>
    <x v="0"/>
  </r>
  <r>
    <n v="2904"/>
    <x v="1442"/>
    <x v="812"/>
    <d v="2017-07-01T00:00:00"/>
    <s v="Standard Class"/>
    <x v="542"/>
    <s v="Katharine Harms"/>
    <x v="1"/>
    <s v="United States"/>
    <s v="Highland Park"/>
    <x v="10"/>
    <n v="60035"/>
    <x v="2"/>
    <x v="1070"/>
    <x v="1"/>
    <x v="10"/>
    <x v="1059"/>
    <x v="2338"/>
    <x v="1"/>
    <x v="0"/>
  </r>
  <r>
    <n v="2905"/>
    <x v="1442"/>
    <x v="812"/>
    <d v="2017-07-01T00:00:00"/>
    <s v="Standard Class"/>
    <x v="542"/>
    <s v="Katharine Harms"/>
    <x v="1"/>
    <s v="United States"/>
    <s v="Highland Park"/>
    <x v="10"/>
    <n v="60035"/>
    <x v="2"/>
    <x v="1189"/>
    <x v="0"/>
    <x v="1"/>
    <x v="1175"/>
    <x v="2339"/>
    <x v="1"/>
    <x v="0"/>
  </r>
  <r>
    <n v="2906"/>
    <x v="1443"/>
    <x v="467"/>
    <d v="2015-09-30T00:00:00"/>
    <s v="Standard Class"/>
    <x v="37"/>
    <s v="Christopher Schild"/>
    <x v="2"/>
    <s v="United States"/>
    <s v="Seattle"/>
    <x v="4"/>
    <n v="98115"/>
    <x v="1"/>
    <x v="1449"/>
    <x v="1"/>
    <x v="4"/>
    <x v="1436"/>
    <x v="2340"/>
    <x v="8"/>
    <x v="2"/>
  </r>
  <r>
    <n v="2907"/>
    <x v="1444"/>
    <x v="132"/>
    <d v="2018-11-09T00:00:00"/>
    <s v="Standard Class"/>
    <x v="351"/>
    <s v="Daniel Lacy"/>
    <x v="0"/>
    <s v="United States"/>
    <s v="Eagan"/>
    <x v="11"/>
    <n v="55122"/>
    <x v="2"/>
    <x v="1450"/>
    <x v="1"/>
    <x v="10"/>
    <x v="1437"/>
    <x v="18"/>
    <x v="0"/>
    <x v="3"/>
  </r>
  <r>
    <n v="2908"/>
    <x v="1444"/>
    <x v="132"/>
    <d v="2018-11-09T00:00:00"/>
    <s v="Standard Class"/>
    <x v="351"/>
    <s v="Daniel Lacy"/>
    <x v="0"/>
    <s v="United States"/>
    <s v="Eagan"/>
    <x v="11"/>
    <n v="55122"/>
    <x v="2"/>
    <x v="470"/>
    <x v="1"/>
    <x v="4"/>
    <x v="471"/>
    <x v="2341"/>
    <x v="0"/>
    <x v="3"/>
  </r>
  <r>
    <n v="2909"/>
    <x v="1444"/>
    <x v="132"/>
    <d v="2018-11-09T00:00:00"/>
    <s v="Standard Class"/>
    <x v="351"/>
    <s v="Daniel Lacy"/>
    <x v="0"/>
    <s v="United States"/>
    <s v="Eagan"/>
    <x v="11"/>
    <n v="55122"/>
    <x v="2"/>
    <x v="1140"/>
    <x v="1"/>
    <x v="2"/>
    <x v="1128"/>
    <x v="1801"/>
    <x v="0"/>
    <x v="3"/>
  </r>
  <r>
    <n v="2910"/>
    <x v="1445"/>
    <x v="600"/>
    <d v="2018-02-23T00:00:00"/>
    <s v="Standard Class"/>
    <x v="250"/>
    <s v="Max Engle"/>
    <x v="0"/>
    <s v="United States"/>
    <s v="Seattle"/>
    <x v="4"/>
    <n v="98103"/>
    <x v="1"/>
    <x v="1028"/>
    <x v="1"/>
    <x v="13"/>
    <x v="1019"/>
    <x v="2156"/>
    <x v="11"/>
    <x v="3"/>
  </r>
  <r>
    <n v="2911"/>
    <x v="1446"/>
    <x v="599"/>
    <d v="2016-11-09T00:00:00"/>
    <s v="Standard Class"/>
    <x v="104"/>
    <s v="Valerie Dominguez"/>
    <x v="0"/>
    <s v="United States"/>
    <s v="Coral Springs"/>
    <x v="2"/>
    <n v="33065"/>
    <x v="0"/>
    <x v="643"/>
    <x v="1"/>
    <x v="9"/>
    <x v="850"/>
    <x v="2342"/>
    <x v="0"/>
    <x v="1"/>
  </r>
  <r>
    <n v="2912"/>
    <x v="1447"/>
    <x v="737"/>
    <d v="2015-06-21T00:00:00"/>
    <s v="Standard Class"/>
    <x v="237"/>
    <s v="Chloris Kastensmidt"/>
    <x v="0"/>
    <s v="United States"/>
    <s v="Hempstead"/>
    <x v="15"/>
    <n v="11550"/>
    <x v="3"/>
    <x v="1451"/>
    <x v="1"/>
    <x v="12"/>
    <x v="153"/>
    <x v="1399"/>
    <x v="1"/>
    <x v="2"/>
  </r>
  <r>
    <n v="2913"/>
    <x v="1447"/>
    <x v="737"/>
    <d v="2015-06-21T00:00:00"/>
    <s v="Standard Class"/>
    <x v="237"/>
    <s v="Chloris Kastensmidt"/>
    <x v="0"/>
    <s v="United States"/>
    <s v="Hempstead"/>
    <x v="15"/>
    <n v="11550"/>
    <x v="3"/>
    <x v="1452"/>
    <x v="1"/>
    <x v="6"/>
    <x v="1438"/>
    <x v="762"/>
    <x v="1"/>
    <x v="2"/>
  </r>
  <r>
    <n v="2914"/>
    <x v="1447"/>
    <x v="737"/>
    <d v="2015-06-21T00:00:00"/>
    <s v="Standard Class"/>
    <x v="237"/>
    <s v="Chloris Kastensmidt"/>
    <x v="0"/>
    <s v="United States"/>
    <s v="Hempstead"/>
    <x v="15"/>
    <n v="11550"/>
    <x v="3"/>
    <x v="91"/>
    <x v="1"/>
    <x v="8"/>
    <x v="91"/>
    <x v="2343"/>
    <x v="1"/>
    <x v="2"/>
  </r>
  <r>
    <n v="2915"/>
    <x v="1448"/>
    <x v="88"/>
    <d v="2016-10-17T00:00:00"/>
    <s v="Second Class"/>
    <x v="351"/>
    <s v="Daniel Lacy"/>
    <x v="0"/>
    <s v="United States"/>
    <s v="Noblesville"/>
    <x v="14"/>
    <n v="46060"/>
    <x v="2"/>
    <x v="1409"/>
    <x v="2"/>
    <x v="7"/>
    <x v="1396"/>
    <x v="2344"/>
    <x v="2"/>
    <x v="1"/>
  </r>
  <r>
    <n v="2916"/>
    <x v="1448"/>
    <x v="88"/>
    <d v="2016-10-17T00:00:00"/>
    <s v="Second Class"/>
    <x v="351"/>
    <s v="Daniel Lacy"/>
    <x v="0"/>
    <s v="United States"/>
    <s v="Noblesville"/>
    <x v="14"/>
    <n v="46060"/>
    <x v="2"/>
    <x v="1375"/>
    <x v="1"/>
    <x v="8"/>
    <x v="1360"/>
    <x v="2345"/>
    <x v="2"/>
    <x v="1"/>
  </r>
  <r>
    <n v="2917"/>
    <x v="1448"/>
    <x v="88"/>
    <d v="2016-10-17T00:00:00"/>
    <s v="Second Class"/>
    <x v="351"/>
    <s v="Daniel Lacy"/>
    <x v="0"/>
    <s v="United States"/>
    <s v="Noblesville"/>
    <x v="14"/>
    <n v="46060"/>
    <x v="2"/>
    <x v="984"/>
    <x v="2"/>
    <x v="7"/>
    <x v="977"/>
    <x v="1259"/>
    <x v="2"/>
    <x v="1"/>
  </r>
  <r>
    <n v="2918"/>
    <x v="1449"/>
    <x v="151"/>
    <d v="2018-08-30T00:00:00"/>
    <s v="First Class"/>
    <x v="339"/>
    <s v="Sanjit Engle"/>
    <x v="0"/>
    <s v="United States"/>
    <s v="Dallas"/>
    <x v="5"/>
    <n v="75220"/>
    <x v="2"/>
    <x v="1453"/>
    <x v="1"/>
    <x v="6"/>
    <x v="1439"/>
    <x v="2346"/>
    <x v="6"/>
    <x v="3"/>
  </r>
  <r>
    <n v="2919"/>
    <x v="1450"/>
    <x v="813"/>
    <d v="2017-11-23T00:00:00"/>
    <s v="Same Day"/>
    <x v="624"/>
    <s v="Luke Schmidt"/>
    <x v="1"/>
    <s v="United States"/>
    <s v="Philadelphia"/>
    <x v="9"/>
    <n v="19140"/>
    <x v="3"/>
    <x v="1432"/>
    <x v="1"/>
    <x v="13"/>
    <x v="1420"/>
    <x v="2347"/>
    <x v="0"/>
    <x v="0"/>
  </r>
  <r>
    <n v="2920"/>
    <x v="1450"/>
    <x v="813"/>
    <d v="2017-11-23T00:00:00"/>
    <s v="Same Day"/>
    <x v="624"/>
    <s v="Luke Schmidt"/>
    <x v="1"/>
    <s v="United States"/>
    <s v="Philadelphia"/>
    <x v="9"/>
    <n v="19140"/>
    <x v="3"/>
    <x v="1104"/>
    <x v="0"/>
    <x v="5"/>
    <x v="1093"/>
    <x v="322"/>
    <x v="0"/>
    <x v="0"/>
  </r>
  <r>
    <n v="2921"/>
    <x v="1450"/>
    <x v="813"/>
    <d v="2017-11-23T00:00:00"/>
    <s v="Same Day"/>
    <x v="624"/>
    <s v="Luke Schmidt"/>
    <x v="1"/>
    <s v="United States"/>
    <s v="Philadelphia"/>
    <x v="9"/>
    <n v="19140"/>
    <x v="3"/>
    <x v="980"/>
    <x v="0"/>
    <x v="5"/>
    <x v="973"/>
    <x v="2348"/>
    <x v="0"/>
    <x v="0"/>
  </r>
  <r>
    <n v="2922"/>
    <x v="1451"/>
    <x v="289"/>
    <d v="2018-01-30T00:00:00"/>
    <s v="Same Day"/>
    <x v="462"/>
    <s v="Michael Moore"/>
    <x v="0"/>
    <s v="United States"/>
    <s v="San Francisco"/>
    <x v="1"/>
    <n v="94109"/>
    <x v="1"/>
    <x v="557"/>
    <x v="1"/>
    <x v="4"/>
    <x v="556"/>
    <x v="2349"/>
    <x v="9"/>
    <x v="3"/>
  </r>
  <r>
    <n v="2923"/>
    <x v="1452"/>
    <x v="672"/>
    <d v="2016-12-03T00:00:00"/>
    <s v="Second Class"/>
    <x v="489"/>
    <s v="Deborah Brumfield"/>
    <x v="2"/>
    <s v="United States"/>
    <s v="Austin"/>
    <x v="5"/>
    <n v="78745"/>
    <x v="2"/>
    <x v="625"/>
    <x v="1"/>
    <x v="8"/>
    <x v="625"/>
    <x v="2350"/>
    <x v="0"/>
    <x v="1"/>
  </r>
  <r>
    <n v="2924"/>
    <x v="1453"/>
    <x v="307"/>
    <d v="2015-07-04T00:00:00"/>
    <s v="Standard Class"/>
    <x v="338"/>
    <s v="Rob Williams"/>
    <x v="1"/>
    <s v="United States"/>
    <s v="Detroit"/>
    <x v="12"/>
    <n v="48234"/>
    <x v="2"/>
    <x v="829"/>
    <x v="1"/>
    <x v="13"/>
    <x v="128"/>
    <x v="2351"/>
    <x v="1"/>
    <x v="2"/>
  </r>
  <r>
    <n v="2925"/>
    <x v="1454"/>
    <x v="814"/>
    <d v="2015-09-05T00:00:00"/>
    <s v="First Class"/>
    <x v="594"/>
    <s v="Justin MacKendrick"/>
    <x v="0"/>
    <s v="United States"/>
    <s v="Watertown"/>
    <x v="15"/>
    <n v="13601"/>
    <x v="3"/>
    <x v="941"/>
    <x v="1"/>
    <x v="9"/>
    <x v="934"/>
    <x v="189"/>
    <x v="8"/>
    <x v="2"/>
  </r>
  <r>
    <n v="2926"/>
    <x v="1454"/>
    <x v="814"/>
    <d v="2015-09-05T00:00:00"/>
    <s v="First Class"/>
    <x v="594"/>
    <s v="Justin MacKendrick"/>
    <x v="0"/>
    <s v="United States"/>
    <s v="Watertown"/>
    <x v="15"/>
    <n v="13601"/>
    <x v="3"/>
    <x v="1454"/>
    <x v="0"/>
    <x v="5"/>
    <x v="1440"/>
    <x v="2352"/>
    <x v="8"/>
    <x v="2"/>
  </r>
  <r>
    <n v="2927"/>
    <x v="1455"/>
    <x v="815"/>
    <d v="2018-07-14T00:00:00"/>
    <s v="Second Class"/>
    <x v="669"/>
    <s v="Becky Pak"/>
    <x v="0"/>
    <s v="United States"/>
    <s v="Columbus"/>
    <x v="32"/>
    <n v="31907"/>
    <x v="0"/>
    <x v="1448"/>
    <x v="0"/>
    <x v="5"/>
    <x v="1435"/>
    <x v="605"/>
    <x v="7"/>
    <x v="3"/>
  </r>
  <r>
    <n v="2928"/>
    <x v="1456"/>
    <x v="400"/>
    <d v="2018-06-10T00:00:00"/>
    <s v="Standard Class"/>
    <x v="564"/>
    <s v="Carol Triggs"/>
    <x v="0"/>
    <s v="United States"/>
    <s v="Apple Valley"/>
    <x v="11"/>
    <n v="55124"/>
    <x v="2"/>
    <x v="826"/>
    <x v="1"/>
    <x v="6"/>
    <x v="822"/>
    <x v="874"/>
    <x v="1"/>
    <x v="3"/>
  </r>
  <r>
    <n v="2929"/>
    <x v="1457"/>
    <x v="15"/>
    <d v="2018-10-26T00:00:00"/>
    <s v="Standard Class"/>
    <x v="274"/>
    <s v="Tracy Hopkins"/>
    <x v="2"/>
    <s v="United States"/>
    <s v="Burlington"/>
    <x v="3"/>
    <n v="27217"/>
    <x v="0"/>
    <x v="316"/>
    <x v="1"/>
    <x v="8"/>
    <x v="316"/>
    <x v="2353"/>
    <x v="2"/>
    <x v="3"/>
  </r>
  <r>
    <n v="2930"/>
    <x v="1458"/>
    <x v="551"/>
    <d v="2018-11-24T00:00:00"/>
    <s v="Standard Class"/>
    <x v="467"/>
    <s v="Maria Etezadi"/>
    <x v="2"/>
    <s v="United States"/>
    <s v="Saginaw"/>
    <x v="12"/>
    <n v="48601"/>
    <x v="2"/>
    <x v="627"/>
    <x v="0"/>
    <x v="5"/>
    <x v="627"/>
    <x v="2354"/>
    <x v="0"/>
    <x v="3"/>
  </r>
  <r>
    <n v="2931"/>
    <x v="1459"/>
    <x v="816"/>
    <d v="2016-08-08T00:00:00"/>
    <s v="Same Day"/>
    <x v="627"/>
    <s v="Thomas Thornton"/>
    <x v="0"/>
    <s v="United States"/>
    <s v="San Francisco"/>
    <x v="1"/>
    <n v="94109"/>
    <x v="1"/>
    <x v="925"/>
    <x v="1"/>
    <x v="8"/>
    <x v="917"/>
    <x v="2124"/>
    <x v="6"/>
    <x v="1"/>
  </r>
  <r>
    <n v="2932"/>
    <x v="1459"/>
    <x v="816"/>
    <d v="2016-08-08T00:00:00"/>
    <s v="Same Day"/>
    <x v="627"/>
    <s v="Thomas Thornton"/>
    <x v="0"/>
    <s v="United States"/>
    <s v="San Francisco"/>
    <x v="1"/>
    <n v="94109"/>
    <x v="1"/>
    <x v="248"/>
    <x v="1"/>
    <x v="8"/>
    <x v="249"/>
    <x v="6"/>
    <x v="6"/>
    <x v="1"/>
  </r>
  <r>
    <n v="2933"/>
    <x v="1459"/>
    <x v="816"/>
    <d v="2016-08-08T00:00:00"/>
    <s v="Same Day"/>
    <x v="627"/>
    <s v="Thomas Thornton"/>
    <x v="0"/>
    <s v="United States"/>
    <s v="San Francisco"/>
    <x v="1"/>
    <n v="94109"/>
    <x v="1"/>
    <x v="323"/>
    <x v="0"/>
    <x v="1"/>
    <x v="323"/>
    <x v="2355"/>
    <x v="6"/>
    <x v="1"/>
  </r>
  <r>
    <n v="2934"/>
    <x v="1460"/>
    <x v="409"/>
    <d v="2017-12-12T00:00:00"/>
    <s v="Standard Class"/>
    <x v="218"/>
    <s v="Greg Tran"/>
    <x v="0"/>
    <s v="United States"/>
    <s v="Seattle"/>
    <x v="4"/>
    <n v="98105"/>
    <x v="1"/>
    <x v="966"/>
    <x v="2"/>
    <x v="7"/>
    <x v="1368"/>
    <x v="2356"/>
    <x v="4"/>
    <x v="0"/>
  </r>
  <r>
    <n v="2935"/>
    <x v="1460"/>
    <x v="409"/>
    <d v="2017-12-12T00:00:00"/>
    <s v="Standard Class"/>
    <x v="218"/>
    <s v="Greg Tran"/>
    <x v="0"/>
    <s v="United States"/>
    <s v="Seattle"/>
    <x v="4"/>
    <n v="98105"/>
    <x v="1"/>
    <x v="1400"/>
    <x v="2"/>
    <x v="7"/>
    <x v="1387"/>
    <x v="2087"/>
    <x v="4"/>
    <x v="0"/>
  </r>
  <r>
    <n v="2936"/>
    <x v="1460"/>
    <x v="409"/>
    <d v="2017-12-12T00:00:00"/>
    <s v="Standard Class"/>
    <x v="218"/>
    <s v="Greg Tran"/>
    <x v="0"/>
    <s v="United States"/>
    <s v="Seattle"/>
    <x v="4"/>
    <n v="98105"/>
    <x v="1"/>
    <x v="81"/>
    <x v="1"/>
    <x v="12"/>
    <x v="81"/>
    <x v="2357"/>
    <x v="4"/>
    <x v="0"/>
  </r>
  <r>
    <n v="2937"/>
    <x v="1460"/>
    <x v="409"/>
    <d v="2017-12-12T00:00:00"/>
    <s v="Standard Class"/>
    <x v="218"/>
    <s v="Greg Tran"/>
    <x v="0"/>
    <s v="United States"/>
    <s v="Seattle"/>
    <x v="4"/>
    <n v="98105"/>
    <x v="1"/>
    <x v="674"/>
    <x v="1"/>
    <x v="8"/>
    <x v="674"/>
    <x v="2358"/>
    <x v="4"/>
    <x v="0"/>
  </r>
  <r>
    <n v="2938"/>
    <x v="1460"/>
    <x v="409"/>
    <d v="2017-12-12T00:00:00"/>
    <s v="Standard Class"/>
    <x v="218"/>
    <s v="Greg Tran"/>
    <x v="0"/>
    <s v="United States"/>
    <s v="Seattle"/>
    <x v="4"/>
    <n v="98105"/>
    <x v="1"/>
    <x v="129"/>
    <x v="1"/>
    <x v="10"/>
    <x v="130"/>
    <x v="2359"/>
    <x v="4"/>
    <x v="0"/>
  </r>
  <r>
    <n v="2939"/>
    <x v="1460"/>
    <x v="409"/>
    <d v="2017-12-12T00:00:00"/>
    <s v="Standard Class"/>
    <x v="218"/>
    <s v="Greg Tran"/>
    <x v="0"/>
    <s v="United States"/>
    <s v="Seattle"/>
    <x v="4"/>
    <n v="98105"/>
    <x v="1"/>
    <x v="67"/>
    <x v="1"/>
    <x v="10"/>
    <x v="67"/>
    <x v="2360"/>
    <x v="4"/>
    <x v="0"/>
  </r>
  <r>
    <n v="2940"/>
    <x v="1460"/>
    <x v="409"/>
    <d v="2017-12-12T00:00:00"/>
    <s v="Standard Class"/>
    <x v="218"/>
    <s v="Greg Tran"/>
    <x v="0"/>
    <s v="United States"/>
    <s v="Seattle"/>
    <x v="4"/>
    <n v="98105"/>
    <x v="1"/>
    <x v="444"/>
    <x v="1"/>
    <x v="8"/>
    <x v="444"/>
    <x v="672"/>
    <x v="4"/>
    <x v="0"/>
  </r>
  <r>
    <n v="2941"/>
    <x v="1461"/>
    <x v="613"/>
    <d v="2018-03-31T00:00:00"/>
    <s v="Standard Class"/>
    <x v="251"/>
    <s v="Justin Deggeller"/>
    <x v="1"/>
    <s v="United States"/>
    <s v="Milwaukee"/>
    <x v="6"/>
    <n v="53209"/>
    <x v="2"/>
    <x v="1455"/>
    <x v="0"/>
    <x v="1"/>
    <x v="1441"/>
    <x v="2361"/>
    <x v="10"/>
    <x v="3"/>
  </r>
  <r>
    <n v="2942"/>
    <x v="1461"/>
    <x v="613"/>
    <d v="2018-03-31T00:00:00"/>
    <s v="Standard Class"/>
    <x v="251"/>
    <s v="Justin Deggeller"/>
    <x v="1"/>
    <s v="United States"/>
    <s v="Milwaukee"/>
    <x v="6"/>
    <n v="53209"/>
    <x v="2"/>
    <x v="635"/>
    <x v="0"/>
    <x v="1"/>
    <x v="635"/>
    <x v="2362"/>
    <x v="10"/>
    <x v="3"/>
  </r>
  <r>
    <n v="2943"/>
    <x v="1461"/>
    <x v="613"/>
    <d v="2018-03-31T00:00:00"/>
    <s v="Standard Class"/>
    <x v="251"/>
    <s v="Justin Deggeller"/>
    <x v="1"/>
    <s v="United States"/>
    <s v="Milwaukee"/>
    <x v="6"/>
    <n v="53209"/>
    <x v="2"/>
    <x v="812"/>
    <x v="0"/>
    <x v="1"/>
    <x v="809"/>
    <x v="2363"/>
    <x v="10"/>
    <x v="3"/>
  </r>
  <r>
    <n v="2944"/>
    <x v="1462"/>
    <x v="123"/>
    <d v="2018-11-24T00:00:00"/>
    <s v="Standard Class"/>
    <x v="498"/>
    <s v="Mick Crebagga"/>
    <x v="0"/>
    <s v="United States"/>
    <s v="Los Angeles"/>
    <x v="1"/>
    <n v="90049"/>
    <x v="1"/>
    <x v="298"/>
    <x v="1"/>
    <x v="4"/>
    <x v="298"/>
    <x v="2364"/>
    <x v="0"/>
    <x v="3"/>
  </r>
  <r>
    <n v="2945"/>
    <x v="1462"/>
    <x v="123"/>
    <d v="2018-11-24T00:00:00"/>
    <s v="Standard Class"/>
    <x v="498"/>
    <s v="Mick Crebagga"/>
    <x v="0"/>
    <s v="United States"/>
    <s v="Los Angeles"/>
    <x v="1"/>
    <n v="90049"/>
    <x v="1"/>
    <x v="1456"/>
    <x v="0"/>
    <x v="5"/>
    <x v="1442"/>
    <x v="2365"/>
    <x v="0"/>
    <x v="3"/>
  </r>
  <r>
    <n v="2946"/>
    <x v="1463"/>
    <x v="254"/>
    <d v="2017-11-05T00:00:00"/>
    <s v="First Class"/>
    <x v="293"/>
    <s v="Lisa Hazard"/>
    <x v="0"/>
    <s v="United States"/>
    <s v="San Francisco"/>
    <x v="1"/>
    <n v="94122"/>
    <x v="1"/>
    <x v="493"/>
    <x v="0"/>
    <x v="5"/>
    <x v="493"/>
    <x v="2366"/>
    <x v="0"/>
    <x v="0"/>
  </r>
  <r>
    <n v="2947"/>
    <x v="1464"/>
    <x v="817"/>
    <d v="2018-12-18T00:00:00"/>
    <s v="Standard Class"/>
    <x v="486"/>
    <s v="Mike Pelletier"/>
    <x v="2"/>
    <s v="United States"/>
    <s v="San Diego"/>
    <x v="1"/>
    <n v="92024"/>
    <x v="1"/>
    <x v="1457"/>
    <x v="0"/>
    <x v="5"/>
    <x v="1443"/>
    <x v="607"/>
    <x v="4"/>
    <x v="3"/>
  </r>
  <r>
    <n v="2948"/>
    <x v="1464"/>
    <x v="817"/>
    <d v="2018-12-18T00:00:00"/>
    <s v="Standard Class"/>
    <x v="486"/>
    <s v="Mike Pelletier"/>
    <x v="2"/>
    <s v="United States"/>
    <s v="San Diego"/>
    <x v="1"/>
    <n v="92024"/>
    <x v="1"/>
    <x v="1458"/>
    <x v="1"/>
    <x v="8"/>
    <x v="1444"/>
    <x v="643"/>
    <x v="4"/>
    <x v="3"/>
  </r>
  <r>
    <n v="2949"/>
    <x v="1464"/>
    <x v="817"/>
    <d v="2018-12-18T00:00:00"/>
    <s v="Standard Class"/>
    <x v="486"/>
    <s v="Mike Pelletier"/>
    <x v="2"/>
    <s v="United States"/>
    <s v="San Diego"/>
    <x v="1"/>
    <n v="92024"/>
    <x v="1"/>
    <x v="755"/>
    <x v="1"/>
    <x v="12"/>
    <x v="753"/>
    <x v="2367"/>
    <x v="4"/>
    <x v="3"/>
  </r>
  <r>
    <n v="2950"/>
    <x v="1465"/>
    <x v="105"/>
    <d v="2018-11-12T00:00:00"/>
    <s v="Same Day"/>
    <x v="670"/>
    <s v="Eugene Moren"/>
    <x v="2"/>
    <s v="United States"/>
    <s v="Glendale"/>
    <x v="16"/>
    <n v="85301"/>
    <x v="1"/>
    <x v="197"/>
    <x v="2"/>
    <x v="11"/>
    <x v="198"/>
    <x v="2368"/>
    <x v="0"/>
    <x v="3"/>
  </r>
  <r>
    <n v="2951"/>
    <x v="1465"/>
    <x v="105"/>
    <d v="2018-11-12T00:00:00"/>
    <s v="Same Day"/>
    <x v="670"/>
    <s v="Eugene Moren"/>
    <x v="2"/>
    <s v="United States"/>
    <s v="Glendale"/>
    <x v="16"/>
    <n v="85301"/>
    <x v="1"/>
    <x v="1215"/>
    <x v="1"/>
    <x v="10"/>
    <x v="1199"/>
    <x v="1062"/>
    <x v="0"/>
    <x v="3"/>
  </r>
  <r>
    <n v="2952"/>
    <x v="1465"/>
    <x v="105"/>
    <d v="2018-11-12T00:00:00"/>
    <s v="Same Day"/>
    <x v="670"/>
    <s v="Eugene Moren"/>
    <x v="2"/>
    <s v="United States"/>
    <s v="Glendale"/>
    <x v="16"/>
    <n v="85301"/>
    <x v="1"/>
    <x v="1459"/>
    <x v="0"/>
    <x v="1"/>
    <x v="1445"/>
    <x v="2369"/>
    <x v="0"/>
    <x v="3"/>
  </r>
  <r>
    <n v="2953"/>
    <x v="1465"/>
    <x v="105"/>
    <d v="2018-11-12T00:00:00"/>
    <s v="Same Day"/>
    <x v="670"/>
    <s v="Eugene Moren"/>
    <x v="2"/>
    <s v="United States"/>
    <s v="Glendale"/>
    <x v="16"/>
    <n v="85301"/>
    <x v="1"/>
    <x v="1460"/>
    <x v="0"/>
    <x v="5"/>
    <x v="1446"/>
    <x v="391"/>
    <x v="0"/>
    <x v="3"/>
  </r>
  <r>
    <n v="2954"/>
    <x v="1465"/>
    <x v="105"/>
    <d v="2018-11-12T00:00:00"/>
    <s v="Same Day"/>
    <x v="670"/>
    <s v="Eugene Moren"/>
    <x v="2"/>
    <s v="United States"/>
    <s v="Glendale"/>
    <x v="16"/>
    <n v="85301"/>
    <x v="1"/>
    <x v="500"/>
    <x v="2"/>
    <x v="7"/>
    <x v="500"/>
    <x v="1054"/>
    <x v="0"/>
    <x v="3"/>
  </r>
  <r>
    <n v="2955"/>
    <x v="1465"/>
    <x v="105"/>
    <d v="2018-11-12T00:00:00"/>
    <s v="Same Day"/>
    <x v="670"/>
    <s v="Eugene Moren"/>
    <x v="2"/>
    <s v="United States"/>
    <s v="Glendale"/>
    <x v="16"/>
    <n v="85301"/>
    <x v="1"/>
    <x v="1461"/>
    <x v="2"/>
    <x v="7"/>
    <x v="1447"/>
    <x v="2370"/>
    <x v="0"/>
    <x v="3"/>
  </r>
  <r>
    <n v="2956"/>
    <x v="1466"/>
    <x v="298"/>
    <d v="2017-08-24T00:00:00"/>
    <s v="Standard Class"/>
    <x v="55"/>
    <s v="Greg Guthrie"/>
    <x v="1"/>
    <s v="United States"/>
    <s v="New York City"/>
    <x v="15"/>
    <n v="10035"/>
    <x v="3"/>
    <x v="884"/>
    <x v="2"/>
    <x v="7"/>
    <x v="878"/>
    <x v="1346"/>
    <x v="6"/>
    <x v="0"/>
  </r>
  <r>
    <n v="2957"/>
    <x v="1467"/>
    <x v="818"/>
    <d v="2018-07-04T00:00:00"/>
    <s v="Standard Class"/>
    <x v="671"/>
    <s v="Michelle Arnett"/>
    <x v="2"/>
    <s v="United States"/>
    <s v="Watertown"/>
    <x v="15"/>
    <n v="13601"/>
    <x v="3"/>
    <x v="474"/>
    <x v="0"/>
    <x v="1"/>
    <x v="475"/>
    <x v="2371"/>
    <x v="1"/>
    <x v="3"/>
  </r>
  <r>
    <n v="2958"/>
    <x v="1468"/>
    <x v="464"/>
    <d v="2018-05-09T00:00:00"/>
    <s v="Standard Class"/>
    <x v="129"/>
    <s v="Shahid Hopkins"/>
    <x v="0"/>
    <s v="United States"/>
    <s v="Springfield"/>
    <x v="24"/>
    <n v="45503"/>
    <x v="3"/>
    <x v="8"/>
    <x v="1"/>
    <x v="8"/>
    <x v="8"/>
    <x v="2372"/>
    <x v="5"/>
    <x v="3"/>
  </r>
  <r>
    <n v="2959"/>
    <x v="1469"/>
    <x v="100"/>
    <d v="2016-12-29T00:00:00"/>
    <s v="Standard Class"/>
    <x v="446"/>
    <s v="Kean Takahito"/>
    <x v="0"/>
    <s v="United States"/>
    <s v="Los Angeles"/>
    <x v="1"/>
    <n v="90032"/>
    <x v="1"/>
    <x v="799"/>
    <x v="1"/>
    <x v="8"/>
    <x v="797"/>
    <x v="950"/>
    <x v="4"/>
    <x v="1"/>
  </r>
  <r>
    <n v="2960"/>
    <x v="1469"/>
    <x v="100"/>
    <d v="2016-12-29T00:00:00"/>
    <s v="Standard Class"/>
    <x v="446"/>
    <s v="Kean Takahito"/>
    <x v="0"/>
    <s v="United States"/>
    <s v="Los Angeles"/>
    <x v="1"/>
    <n v="90032"/>
    <x v="1"/>
    <x v="271"/>
    <x v="1"/>
    <x v="13"/>
    <x v="271"/>
    <x v="1931"/>
    <x v="4"/>
    <x v="1"/>
  </r>
  <r>
    <n v="2961"/>
    <x v="1470"/>
    <x v="466"/>
    <d v="2018-05-01T00:00:00"/>
    <s v="Standard Class"/>
    <x v="178"/>
    <s v="Philisse Overcash"/>
    <x v="2"/>
    <s v="United States"/>
    <s v="Seattle"/>
    <x v="4"/>
    <n v="98115"/>
    <x v="1"/>
    <x v="987"/>
    <x v="1"/>
    <x v="10"/>
    <x v="980"/>
    <x v="2373"/>
    <x v="3"/>
    <x v="3"/>
  </r>
  <r>
    <n v="2962"/>
    <x v="1470"/>
    <x v="466"/>
    <d v="2018-05-01T00:00:00"/>
    <s v="Standard Class"/>
    <x v="178"/>
    <s v="Philisse Overcash"/>
    <x v="2"/>
    <s v="United States"/>
    <s v="Seattle"/>
    <x v="4"/>
    <n v="98115"/>
    <x v="1"/>
    <x v="1123"/>
    <x v="1"/>
    <x v="2"/>
    <x v="1111"/>
    <x v="2374"/>
    <x v="3"/>
    <x v="3"/>
  </r>
  <r>
    <n v="2963"/>
    <x v="1471"/>
    <x v="819"/>
    <d v="2018-12-21T00:00:00"/>
    <s v="Second Class"/>
    <x v="672"/>
    <s v="Andy Yotov"/>
    <x v="1"/>
    <s v="United States"/>
    <s v="Oceanside"/>
    <x v="1"/>
    <n v="92054"/>
    <x v="1"/>
    <x v="23"/>
    <x v="0"/>
    <x v="1"/>
    <x v="23"/>
    <x v="2375"/>
    <x v="4"/>
    <x v="3"/>
  </r>
  <r>
    <n v="2964"/>
    <x v="1471"/>
    <x v="819"/>
    <d v="2018-12-21T00:00:00"/>
    <s v="Second Class"/>
    <x v="672"/>
    <s v="Andy Yotov"/>
    <x v="1"/>
    <s v="United States"/>
    <s v="Oceanside"/>
    <x v="1"/>
    <n v="92054"/>
    <x v="1"/>
    <x v="163"/>
    <x v="0"/>
    <x v="1"/>
    <x v="164"/>
    <x v="2376"/>
    <x v="4"/>
    <x v="3"/>
  </r>
  <r>
    <n v="2965"/>
    <x v="1471"/>
    <x v="819"/>
    <d v="2018-12-21T00:00:00"/>
    <s v="Second Class"/>
    <x v="672"/>
    <s v="Andy Yotov"/>
    <x v="1"/>
    <s v="United States"/>
    <s v="Oceanside"/>
    <x v="1"/>
    <n v="92054"/>
    <x v="1"/>
    <x v="525"/>
    <x v="1"/>
    <x v="8"/>
    <x v="525"/>
    <x v="1867"/>
    <x v="4"/>
    <x v="3"/>
  </r>
  <r>
    <n v="2966"/>
    <x v="1471"/>
    <x v="819"/>
    <d v="2018-12-21T00:00:00"/>
    <s v="Second Class"/>
    <x v="672"/>
    <s v="Andy Yotov"/>
    <x v="1"/>
    <s v="United States"/>
    <s v="Oceanside"/>
    <x v="1"/>
    <n v="92054"/>
    <x v="1"/>
    <x v="1462"/>
    <x v="0"/>
    <x v="5"/>
    <x v="1448"/>
    <x v="1623"/>
    <x v="4"/>
    <x v="3"/>
  </r>
  <r>
    <n v="2967"/>
    <x v="1472"/>
    <x v="422"/>
    <d v="2015-12-31T00:00:00"/>
    <s v="Standard Class"/>
    <x v="476"/>
    <s v="Corey-Lock"/>
    <x v="0"/>
    <s v="United States"/>
    <s v="Skokie"/>
    <x v="10"/>
    <n v="60076"/>
    <x v="2"/>
    <x v="1001"/>
    <x v="0"/>
    <x v="5"/>
    <x v="993"/>
    <x v="2377"/>
    <x v="4"/>
    <x v="2"/>
  </r>
  <r>
    <n v="2968"/>
    <x v="1472"/>
    <x v="422"/>
    <d v="2015-12-31T00:00:00"/>
    <s v="Standard Class"/>
    <x v="476"/>
    <s v="Corey-Lock"/>
    <x v="0"/>
    <s v="United States"/>
    <s v="Skokie"/>
    <x v="10"/>
    <n v="60076"/>
    <x v="2"/>
    <x v="1190"/>
    <x v="1"/>
    <x v="4"/>
    <x v="683"/>
    <x v="2378"/>
    <x v="4"/>
    <x v="2"/>
  </r>
  <r>
    <n v="2969"/>
    <x v="1473"/>
    <x v="44"/>
    <d v="2018-11-09T00:00:00"/>
    <s v="Second Class"/>
    <x v="535"/>
    <s v="Jill Fjeld"/>
    <x v="0"/>
    <s v="United States"/>
    <s v="Fayetteville"/>
    <x v="3"/>
    <n v="28314"/>
    <x v="0"/>
    <x v="77"/>
    <x v="1"/>
    <x v="9"/>
    <x v="77"/>
    <x v="2379"/>
    <x v="0"/>
    <x v="3"/>
  </r>
  <r>
    <n v="2970"/>
    <x v="1473"/>
    <x v="44"/>
    <d v="2018-11-09T00:00:00"/>
    <s v="Second Class"/>
    <x v="535"/>
    <s v="Jill Fjeld"/>
    <x v="0"/>
    <s v="United States"/>
    <s v="Fayetteville"/>
    <x v="3"/>
    <n v="28314"/>
    <x v="0"/>
    <x v="585"/>
    <x v="1"/>
    <x v="10"/>
    <x v="585"/>
    <x v="276"/>
    <x v="0"/>
    <x v="3"/>
  </r>
  <r>
    <n v="2971"/>
    <x v="1473"/>
    <x v="44"/>
    <d v="2018-11-09T00:00:00"/>
    <s v="Second Class"/>
    <x v="535"/>
    <s v="Jill Fjeld"/>
    <x v="0"/>
    <s v="United States"/>
    <s v="Fayetteville"/>
    <x v="3"/>
    <n v="28314"/>
    <x v="0"/>
    <x v="555"/>
    <x v="1"/>
    <x v="8"/>
    <x v="554"/>
    <x v="1333"/>
    <x v="0"/>
    <x v="3"/>
  </r>
  <r>
    <n v="2972"/>
    <x v="1473"/>
    <x v="44"/>
    <d v="2018-11-09T00:00:00"/>
    <s v="Second Class"/>
    <x v="535"/>
    <s v="Jill Fjeld"/>
    <x v="0"/>
    <s v="United States"/>
    <s v="Fayetteville"/>
    <x v="3"/>
    <n v="28314"/>
    <x v="0"/>
    <x v="1381"/>
    <x v="0"/>
    <x v="5"/>
    <x v="1366"/>
    <x v="2380"/>
    <x v="0"/>
    <x v="3"/>
  </r>
  <r>
    <n v="2973"/>
    <x v="1473"/>
    <x v="44"/>
    <d v="2018-11-09T00:00:00"/>
    <s v="Second Class"/>
    <x v="535"/>
    <s v="Jill Fjeld"/>
    <x v="0"/>
    <s v="United States"/>
    <s v="Fayetteville"/>
    <x v="3"/>
    <n v="28314"/>
    <x v="0"/>
    <x v="459"/>
    <x v="1"/>
    <x v="4"/>
    <x v="460"/>
    <x v="1764"/>
    <x v="0"/>
    <x v="3"/>
  </r>
  <r>
    <n v="2974"/>
    <x v="1474"/>
    <x v="819"/>
    <d v="2018-12-20T00:00:00"/>
    <s v="Standard Class"/>
    <x v="239"/>
    <s v="Andrew Roberts"/>
    <x v="0"/>
    <s v="United States"/>
    <s v="Tulsa"/>
    <x v="26"/>
    <n v="74133"/>
    <x v="2"/>
    <x v="870"/>
    <x v="1"/>
    <x v="8"/>
    <x v="864"/>
    <x v="2381"/>
    <x v="4"/>
    <x v="3"/>
  </r>
  <r>
    <n v="2975"/>
    <x v="1475"/>
    <x v="820"/>
    <d v="2016-05-12T00:00:00"/>
    <s v="Standard Class"/>
    <x v="165"/>
    <s v="Anna Gayman"/>
    <x v="0"/>
    <s v="United States"/>
    <s v="Allen"/>
    <x v="5"/>
    <n v="75002"/>
    <x v="2"/>
    <x v="616"/>
    <x v="0"/>
    <x v="3"/>
    <x v="616"/>
    <x v="1289"/>
    <x v="5"/>
    <x v="1"/>
  </r>
  <r>
    <n v="2976"/>
    <x v="1475"/>
    <x v="820"/>
    <d v="2016-05-12T00:00:00"/>
    <s v="Standard Class"/>
    <x v="165"/>
    <s v="Anna Gayman"/>
    <x v="0"/>
    <s v="United States"/>
    <s v="Allen"/>
    <x v="5"/>
    <n v="75002"/>
    <x v="2"/>
    <x v="1463"/>
    <x v="1"/>
    <x v="10"/>
    <x v="1449"/>
    <x v="795"/>
    <x v="5"/>
    <x v="1"/>
  </r>
  <r>
    <n v="2977"/>
    <x v="1476"/>
    <x v="769"/>
    <d v="2018-12-04T00:00:00"/>
    <s v="Same Day"/>
    <x v="1"/>
    <s v="Darrin Van Huff"/>
    <x v="1"/>
    <s v="United States"/>
    <s v="Philadelphia"/>
    <x v="9"/>
    <n v="19143"/>
    <x v="3"/>
    <x v="1464"/>
    <x v="0"/>
    <x v="1"/>
    <x v="1450"/>
    <x v="2382"/>
    <x v="4"/>
    <x v="3"/>
  </r>
  <r>
    <n v="2978"/>
    <x v="1477"/>
    <x v="621"/>
    <d v="2018-10-08T00:00:00"/>
    <s v="Second Class"/>
    <x v="332"/>
    <s v="Hunter Lopez"/>
    <x v="0"/>
    <s v="United States"/>
    <s v="Rochester"/>
    <x v="15"/>
    <n v="14609"/>
    <x v="3"/>
    <x v="1011"/>
    <x v="1"/>
    <x v="4"/>
    <x v="1003"/>
    <x v="2383"/>
    <x v="2"/>
    <x v="3"/>
  </r>
  <r>
    <n v="2979"/>
    <x v="1478"/>
    <x v="286"/>
    <d v="2015-01-16T00:00:00"/>
    <s v="Second Class"/>
    <x v="444"/>
    <s v="Natalie DeCherney"/>
    <x v="0"/>
    <s v="United States"/>
    <s v="Mount Pleasant"/>
    <x v="20"/>
    <n v="29464"/>
    <x v="0"/>
    <x v="1455"/>
    <x v="0"/>
    <x v="1"/>
    <x v="1441"/>
    <x v="2384"/>
    <x v="9"/>
    <x v="2"/>
  </r>
  <r>
    <n v="2980"/>
    <x v="1479"/>
    <x v="821"/>
    <d v="2016-06-17T00:00:00"/>
    <s v="Standard Class"/>
    <x v="673"/>
    <s v="Giulietta Baptist"/>
    <x v="0"/>
    <s v="United States"/>
    <s v="Philadelphia"/>
    <x v="9"/>
    <n v="19134"/>
    <x v="3"/>
    <x v="1465"/>
    <x v="1"/>
    <x v="10"/>
    <x v="1451"/>
    <x v="557"/>
    <x v="1"/>
    <x v="1"/>
  </r>
  <r>
    <n v="2981"/>
    <x v="1479"/>
    <x v="821"/>
    <d v="2016-06-17T00:00:00"/>
    <s v="Standard Class"/>
    <x v="673"/>
    <s v="Giulietta Baptist"/>
    <x v="0"/>
    <s v="United States"/>
    <s v="Philadelphia"/>
    <x v="9"/>
    <n v="19134"/>
    <x v="3"/>
    <x v="1251"/>
    <x v="0"/>
    <x v="5"/>
    <x v="1235"/>
    <x v="2385"/>
    <x v="1"/>
    <x v="1"/>
  </r>
  <r>
    <n v="2982"/>
    <x v="1480"/>
    <x v="136"/>
    <d v="2015-07-18T00:00:00"/>
    <s v="Standard Class"/>
    <x v="52"/>
    <s v="Clay Ludtke"/>
    <x v="0"/>
    <s v="United States"/>
    <s v="Seattle"/>
    <x v="4"/>
    <n v="98115"/>
    <x v="1"/>
    <x v="1464"/>
    <x v="0"/>
    <x v="1"/>
    <x v="1450"/>
    <x v="2386"/>
    <x v="7"/>
    <x v="2"/>
  </r>
  <r>
    <n v="2983"/>
    <x v="1480"/>
    <x v="136"/>
    <d v="2015-07-18T00:00:00"/>
    <s v="Standard Class"/>
    <x v="52"/>
    <s v="Clay Ludtke"/>
    <x v="0"/>
    <s v="United States"/>
    <s v="Seattle"/>
    <x v="4"/>
    <n v="98115"/>
    <x v="1"/>
    <x v="653"/>
    <x v="1"/>
    <x v="8"/>
    <x v="653"/>
    <x v="2387"/>
    <x v="7"/>
    <x v="2"/>
  </r>
  <r>
    <n v="2984"/>
    <x v="1481"/>
    <x v="776"/>
    <d v="2015-12-11T00:00:00"/>
    <s v="Second Class"/>
    <x v="53"/>
    <s v="Ryan Crowe"/>
    <x v="0"/>
    <s v="United States"/>
    <s v="Springfield"/>
    <x v="21"/>
    <n v="97477"/>
    <x v="1"/>
    <x v="330"/>
    <x v="1"/>
    <x v="4"/>
    <x v="330"/>
    <x v="351"/>
    <x v="4"/>
    <x v="2"/>
  </r>
  <r>
    <n v="2985"/>
    <x v="1481"/>
    <x v="776"/>
    <d v="2015-12-11T00:00:00"/>
    <s v="Second Class"/>
    <x v="53"/>
    <s v="Ryan Crowe"/>
    <x v="0"/>
    <s v="United States"/>
    <s v="Springfield"/>
    <x v="21"/>
    <n v="97477"/>
    <x v="1"/>
    <x v="1258"/>
    <x v="0"/>
    <x v="3"/>
    <x v="1242"/>
    <x v="2388"/>
    <x v="4"/>
    <x v="2"/>
  </r>
  <r>
    <n v="2986"/>
    <x v="1482"/>
    <x v="822"/>
    <d v="2017-05-30T00:00:00"/>
    <s v="Standard Class"/>
    <x v="674"/>
    <s v="Julia Barnett"/>
    <x v="2"/>
    <s v="United States"/>
    <s v="Columbus"/>
    <x v="32"/>
    <n v="31907"/>
    <x v="0"/>
    <x v="1466"/>
    <x v="0"/>
    <x v="5"/>
    <x v="1452"/>
    <x v="1589"/>
    <x v="5"/>
    <x v="0"/>
  </r>
  <r>
    <n v="2987"/>
    <x v="1482"/>
    <x v="822"/>
    <d v="2017-05-30T00:00:00"/>
    <s v="Standard Class"/>
    <x v="674"/>
    <s v="Julia Barnett"/>
    <x v="2"/>
    <s v="United States"/>
    <s v="Columbus"/>
    <x v="32"/>
    <n v="31907"/>
    <x v="0"/>
    <x v="364"/>
    <x v="1"/>
    <x v="10"/>
    <x v="364"/>
    <x v="2389"/>
    <x v="5"/>
    <x v="0"/>
  </r>
  <r>
    <n v="2988"/>
    <x v="1482"/>
    <x v="822"/>
    <d v="2017-05-30T00:00:00"/>
    <s v="Standard Class"/>
    <x v="674"/>
    <s v="Julia Barnett"/>
    <x v="2"/>
    <s v="United States"/>
    <s v="Columbus"/>
    <x v="32"/>
    <n v="31907"/>
    <x v="0"/>
    <x v="426"/>
    <x v="1"/>
    <x v="4"/>
    <x v="426"/>
    <x v="2390"/>
    <x v="5"/>
    <x v="0"/>
  </r>
  <r>
    <n v="2989"/>
    <x v="1483"/>
    <x v="823"/>
    <d v="2017-02-26T00:00:00"/>
    <s v="Second Class"/>
    <x v="637"/>
    <s v="Matthew Clasen"/>
    <x v="1"/>
    <s v="United States"/>
    <s v="Los Angeles"/>
    <x v="1"/>
    <n v="90032"/>
    <x v="1"/>
    <x v="1421"/>
    <x v="2"/>
    <x v="11"/>
    <x v="1409"/>
    <x v="2391"/>
    <x v="11"/>
    <x v="0"/>
  </r>
  <r>
    <n v="2990"/>
    <x v="1483"/>
    <x v="823"/>
    <d v="2017-02-26T00:00:00"/>
    <s v="Second Class"/>
    <x v="637"/>
    <s v="Matthew Clasen"/>
    <x v="1"/>
    <s v="United States"/>
    <s v="Los Angeles"/>
    <x v="1"/>
    <n v="90032"/>
    <x v="1"/>
    <x v="1458"/>
    <x v="1"/>
    <x v="8"/>
    <x v="1444"/>
    <x v="2392"/>
    <x v="11"/>
    <x v="0"/>
  </r>
  <r>
    <n v="2991"/>
    <x v="1483"/>
    <x v="823"/>
    <d v="2017-02-26T00:00:00"/>
    <s v="Second Class"/>
    <x v="637"/>
    <s v="Matthew Clasen"/>
    <x v="1"/>
    <s v="United States"/>
    <s v="Los Angeles"/>
    <x v="1"/>
    <n v="90032"/>
    <x v="1"/>
    <x v="435"/>
    <x v="1"/>
    <x v="4"/>
    <x v="435"/>
    <x v="465"/>
    <x v="11"/>
    <x v="0"/>
  </r>
  <r>
    <n v="2992"/>
    <x v="1483"/>
    <x v="823"/>
    <d v="2017-02-26T00:00:00"/>
    <s v="Second Class"/>
    <x v="637"/>
    <s v="Matthew Clasen"/>
    <x v="1"/>
    <s v="United States"/>
    <s v="Los Angeles"/>
    <x v="1"/>
    <n v="90032"/>
    <x v="1"/>
    <x v="78"/>
    <x v="1"/>
    <x v="8"/>
    <x v="78"/>
    <x v="2393"/>
    <x v="11"/>
    <x v="0"/>
  </r>
  <r>
    <n v="2993"/>
    <x v="1484"/>
    <x v="824"/>
    <d v="2017-10-06T00:00:00"/>
    <s v="Standard Class"/>
    <x v="640"/>
    <s v="Tim Taslimi"/>
    <x v="1"/>
    <s v="United States"/>
    <s v="New York City"/>
    <x v="15"/>
    <n v="10024"/>
    <x v="3"/>
    <x v="564"/>
    <x v="1"/>
    <x v="9"/>
    <x v="564"/>
    <x v="635"/>
    <x v="2"/>
    <x v="0"/>
  </r>
  <r>
    <n v="2994"/>
    <x v="1485"/>
    <x v="825"/>
    <d v="2018-03-17T00:00:00"/>
    <s v="Standard Class"/>
    <x v="77"/>
    <s v="Max Jones"/>
    <x v="0"/>
    <s v="United States"/>
    <s v="Detroit"/>
    <x v="12"/>
    <n v="48227"/>
    <x v="2"/>
    <x v="1188"/>
    <x v="1"/>
    <x v="8"/>
    <x v="1174"/>
    <x v="1630"/>
    <x v="10"/>
    <x v="3"/>
  </r>
  <r>
    <n v="2995"/>
    <x v="1486"/>
    <x v="369"/>
    <d v="2017-09-13T00:00:00"/>
    <s v="Second Class"/>
    <x v="247"/>
    <s v="Annie Thurman"/>
    <x v="0"/>
    <s v="United States"/>
    <s v="Stockton"/>
    <x v="1"/>
    <n v="95207"/>
    <x v="1"/>
    <x v="68"/>
    <x v="1"/>
    <x v="8"/>
    <x v="1453"/>
    <x v="2394"/>
    <x v="8"/>
    <x v="0"/>
  </r>
  <r>
    <n v="2996"/>
    <x v="1487"/>
    <x v="686"/>
    <d v="2015-07-21T00:00:00"/>
    <s v="Standard Class"/>
    <x v="171"/>
    <s v="Philip Brown"/>
    <x v="0"/>
    <s v="United States"/>
    <s v="Phoenix"/>
    <x v="16"/>
    <n v="85023"/>
    <x v="1"/>
    <x v="4"/>
    <x v="1"/>
    <x v="4"/>
    <x v="4"/>
    <x v="2292"/>
    <x v="7"/>
    <x v="2"/>
  </r>
  <r>
    <n v="2997"/>
    <x v="1488"/>
    <x v="261"/>
    <d v="2015-06-25T00:00:00"/>
    <s v="Standard Class"/>
    <x v="508"/>
    <s v="Natalie Webber"/>
    <x v="0"/>
    <s v="United States"/>
    <s v="Philadelphia"/>
    <x v="9"/>
    <n v="19120"/>
    <x v="3"/>
    <x v="837"/>
    <x v="1"/>
    <x v="12"/>
    <x v="153"/>
    <x v="1702"/>
    <x v="1"/>
    <x v="2"/>
  </r>
  <r>
    <n v="2998"/>
    <x v="1488"/>
    <x v="261"/>
    <d v="2015-06-25T00:00:00"/>
    <s v="Standard Class"/>
    <x v="508"/>
    <s v="Natalie Webber"/>
    <x v="0"/>
    <s v="United States"/>
    <s v="Philadelphia"/>
    <x v="9"/>
    <n v="19120"/>
    <x v="3"/>
    <x v="1467"/>
    <x v="0"/>
    <x v="5"/>
    <x v="1454"/>
    <x v="2176"/>
    <x v="1"/>
    <x v="2"/>
  </r>
  <r>
    <n v="2999"/>
    <x v="1488"/>
    <x v="261"/>
    <d v="2015-06-25T00:00:00"/>
    <s v="Standard Class"/>
    <x v="508"/>
    <s v="Natalie Webber"/>
    <x v="0"/>
    <s v="United States"/>
    <s v="Philadelphia"/>
    <x v="9"/>
    <n v="19120"/>
    <x v="3"/>
    <x v="246"/>
    <x v="2"/>
    <x v="11"/>
    <x v="247"/>
    <x v="1651"/>
    <x v="1"/>
    <x v="2"/>
  </r>
  <r>
    <n v="3000"/>
    <x v="1488"/>
    <x v="261"/>
    <d v="2015-06-25T00:00:00"/>
    <s v="Standard Class"/>
    <x v="508"/>
    <s v="Natalie Webber"/>
    <x v="0"/>
    <s v="United States"/>
    <s v="Philadelphia"/>
    <x v="9"/>
    <n v="19120"/>
    <x v="3"/>
    <x v="1468"/>
    <x v="2"/>
    <x v="15"/>
    <x v="1455"/>
    <x v="2395"/>
    <x v="1"/>
    <x v="2"/>
  </r>
  <r>
    <n v="3001"/>
    <x v="1488"/>
    <x v="261"/>
    <d v="2015-06-25T00:00:00"/>
    <s v="Standard Class"/>
    <x v="508"/>
    <s v="Natalie Webber"/>
    <x v="0"/>
    <s v="United States"/>
    <s v="Philadelphia"/>
    <x v="9"/>
    <n v="19120"/>
    <x v="3"/>
    <x v="1109"/>
    <x v="1"/>
    <x v="9"/>
    <x v="1098"/>
    <x v="2396"/>
    <x v="1"/>
    <x v="2"/>
  </r>
  <r>
    <n v="3002"/>
    <x v="1488"/>
    <x v="261"/>
    <d v="2015-06-25T00:00:00"/>
    <s v="Standard Class"/>
    <x v="508"/>
    <s v="Natalie Webber"/>
    <x v="0"/>
    <s v="United States"/>
    <s v="Philadelphia"/>
    <x v="9"/>
    <n v="19120"/>
    <x v="3"/>
    <x v="491"/>
    <x v="1"/>
    <x v="8"/>
    <x v="491"/>
    <x v="2397"/>
    <x v="1"/>
    <x v="2"/>
  </r>
  <r>
    <n v="3003"/>
    <x v="1489"/>
    <x v="761"/>
    <d v="2016-07-10T00:00:00"/>
    <s v="Standard Class"/>
    <x v="163"/>
    <s v="Victor Preis"/>
    <x v="2"/>
    <s v="United States"/>
    <s v="Sterling Heights"/>
    <x v="12"/>
    <n v="48310"/>
    <x v="2"/>
    <x v="1469"/>
    <x v="1"/>
    <x v="8"/>
    <x v="1456"/>
    <x v="2398"/>
    <x v="7"/>
    <x v="1"/>
  </r>
  <r>
    <n v="3004"/>
    <x v="1490"/>
    <x v="819"/>
    <d v="2018-12-23T00:00:00"/>
    <s v="Standard Class"/>
    <x v="279"/>
    <s v="Ross DeVincentis"/>
    <x v="2"/>
    <s v="United States"/>
    <s v="Rochester"/>
    <x v="15"/>
    <n v="14609"/>
    <x v="3"/>
    <x v="1124"/>
    <x v="1"/>
    <x v="8"/>
    <x v="1112"/>
    <x v="2399"/>
    <x v="4"/>
    <x v="3"/>
  </r>
  <r>
    <n v="3005"/>
    <x v="1491"/>
    <x v="162"/>
    <d v="2017-09-10T00:00:00"/>
    <s v="First Class"/>
    <x v="675"/>
    <s v="Michael Grace"/>
    <x v="2"/>
    <s v="United States"/>
    <s v="New York City"/>
    <x v="15"/>
    <n v="10011"/>
    <x v="3"/>
    <x v="1470"/>
    <x v="1"/>
    <x v="9"/>
    <x v="1457"/>
    <x v="2400"/>
    <x v="8"/>
    <x v="0"/>
  </r>
  <r>
    <n v="3006"/>
    <x v="1492"/>
    <x v="826"/>
    <d v="2015-05-21T00:00:00"/>
    <s v="Standard Class"/>
    <x v="50"/>
    <s v="Pete Armstrong"/>
    <x v="2"/>
    <s v="United States"/>
    <s v="Eau Claire"/>
    <x v="6"/>
    <n v="54703"/>
    <x v="2"/>
    <x v="997"/>
    <x v="1"/>
    <x v="8"/>
    <x v="989"/>
    <x v="1281"/>
    <x v="5"/>
    <x v="2"/>
  </r>
  <r>
    <n v="3007"/>
    <x v="1493"/>
    <x v="119"/>
    <d v="2018-10-15T00:00:00"/>
    <s v="First Class"/>
    <x v="257"/>
    <s v="Craig Reiter"/>
    <x v="0"/>
    <s v="United States"/>
    <s v="New York City"/>
    <x v="15"/>
    <n v="10009"/>
    <x v="3"/>
    <x v="1107"/>
    <x v="1"/>
    <x v="9"/>
    <x v="1096"/>
    <x v="2401"/>
    <x v="2"/>
    <x v="3"/>
  </r>
  <r>
    <n v="3008"/>
    <x v="1494"/>
    <x v="745"/>
    <d v="2015-10-29T00:00:00"/>
    <s v="Standard Class"/>
    <x v="211"/>
    <s v="Allen Armold"/>
    <x v="0"/>
    <s v="United States"/>
    <s v="Rancho Cucamonga"/>
    <x v="1"/>
    <n v="91730"/>
    <x v="1"/>
    <x v="276"/>
    <x v="1"/>
    <x v="8"/>
    <x v="276"/>
    <x v="2402"/>
    <x v="2"/>
    <x v="2"/>
  </r>
  <r>
    <n v="3009"/>
    <x v="1495"/>
    <x v="5"/>
    <d v="2017-12-06T00:00:00"/>
    <s v="First Class"/>
    <x v="506"/>
    <s v="James Galang"/>
    <x v="0"/>
    <s v="United States"/>
    <s v="Murray"/>
    <x v="0"/>
    <n v="42071"/>
    <x v="0"/>
    <x v="1268"/>
    <x v="0"/>
    <x v="5"/>
    <x v="1252"/>
    <x v="1838"/>
    <x v="4"/>
    <x v="0"/>
  </r>
  <r>
    <n v="3010"/>
    <x v="1496"/>
    <x v="197"/>
    <d v="2017-07-29T00:00:00"/>
    <s v="Standard Class"/>
    <x v="645"/>
    <s v="Rick Reed"/>
    <x v="1"/>
    <s v="United States"/>
    <s v="Toledo"/>
    <x v="24"/>
    <n v="43615"/>
    <x v="3"/>
    <x v="1306"/>
    <x v="1"/>
    <x v="9"/>
    <x v="1291"/>
    <x v="2403"/>
    <x v="7"/>
    <x v="0"/>
  </r>
  <r>
    <n v="3011"/>
    <x v="1497"/>
    <x v="827"/>
    <d v="2018-04-23T00:00:00"/>
    <s v="Standard Class"/>
    <x v="676"/>
    <s v="Sharelle Roach"/>
    <x v="2"/>
    <s v="United States"/>
    <s v="Louisville"/>
    <x v="22"/>
    <n v="80027"/>
    <x v="1"/>
    <x v="385"/>
    <x v="1"/>
    <x v="8"/>
    <x v="386"/>
    <x v="2404"/>
    <x v="3"/>
    <x v="3"/>
  </r>
  <r>
    <n v="3012"/>
    <x v="1497"/>
    <x v="827"/>
    <d v="2018-04-23T00:00:00"/>
    <s v="Standard Class"/>
    <x v="676"/>
    <s v="Sharelle Roach"/>
    <x v="2"/>
    <s v="United States"/>
    <s v="Louisville"/>
    <x v="22"/>
    <n v="80027"/>
    <x v="1"/>
    <x v="155"/>
    <x v="2"/>
    <x v="15"/>
    <x v="156"/>
    <x v="2405"/>
    <x v="3"/>
    <x v="3"/>
  </r>
  <r>
    <n v="3013"/>
    <x v="1497"/>
    <x v="827"/>
    <d v="2018-04-23T00:00:00"/>
    <s v="Standard Class"/>
    <x v="676"/>
    <s v="Sharelle Roach"/>
    <x v="2"/>
    <s v="United States"/>
    <s v="Louisville"/>
    <x v="22"/>
    <n v="80027"/>
    <x v="1"/>
    <x v="379"/>
    <x v="1"/>
    <x v="8"/>
    <x v="380"/>
    <x v="2406"/>
    <x v="3"/>
    <x v="3"/>
  </r>
  <r>
    <n v="3014"/>
    <x v="1497"/>
    <x v="827"/>
    <d v="2018-04-23T00:00:00"/>
    <s v="Standard Class"/>
    <x v="676"/>
    <s v="Sharelle Roach"/>
    <x v="2"/>
    <s v="United States"/>
    <s v="Louisville"/>
    <x v="22"/>
    <n v="80027"/>
    <x v="1"/>
    <x v="591"/>
    <x v="1"/>
    <x v="8"/>
    <x v="591"/>
    <x v="2407"/>
    <x v="3"/>
    <x v="3"/>
  </r>
  <r>
    <n v="3015"/>
    <x v="1497"/>
    <x v="827"/>
    <d v="2018-04-23T00:00:00"/>
    <s v="Standard Class"/>
    <x v="676"/>
    <s v="Sharelle Roach"/>
    <x v="2"/>
    <s v="United States"/>
    <s v="Louisville"/>
    <x v="22"/>
    <n v="80027"/>
    <x v="1"/>
    <x v="510"/>
    <x v="1"/>
    <x v="10"/>
    <x v="510"/>
    <x v="557"/>
    <x v="3"/>
    <x v="3"/>
  </r>
  <r>
    <n v="3016"/>
    <x v="1498"/>
    <x v="14"/>
    <d v="2016-09-21T00:00:00"/>
    <s v="Standard Class"/>
    <x v="60"/>
    <s v="Lindsay Shagiari"/>
    <x v="2"/>
    <s v="United States"/>
    <s v="New York City"/>
    <x v="15"/>
    <n v="10035"/>
    <x v="3"/>
    <x v="738"/>
    <x v="0"/>
    <x v="3"/>
    <x v="737"/>
    <x v="2408"/>
    <x v="8"/>
    <x v="1"/>
  </r>
  <r>
    <n v="3017"/>
    <x v="1499"/>
    <x v="828"/>
    <d v="2017-08-30T00:00:00"/>
    <s v="Standard Class"/>
    <x v="414"/>
    <s v="Mick Hernandez"/>
    <x v="2"/>
    <s v="United States"/>
    <s v="Pharr"/>
    <x v="5"/>
    <n v="78577"/>
    <x v="2"/>
    <x v="418"/>
    <x v="1"/>
    <x v="4"/>
    <x v="418"/>
    <x v="2409"/>
    <x v="6"/>
    <x v="0"/>
  </r>
  <r>
    <n v="3018"/>
    <x v="1499"/>
    <x v="828"/>
    <d v="2017-08-30T00:00:00"/>
    <s v="Standard Class"/>
    <x v="414"/>
    <s v="Mick Hernandez"/>
    <x v="2"/>
    <s v="United States"/>
    <s v="Pharr"/>
    <x v="5"/>
    <n v="78577"/>
    <x v="2"/>
    <x v="1155"/>
    <x v="0"/>
    <x v="5"/>
    <x v="1143"/>
    <x v="1803"/>
    <x v="6"/>
    <x v="0"/>
  </r>
  <r>
    <n v="3019"/>
    <x v="1499"/>
    <x v="828"/>
    <d v="2017-08-30T00:00:00"/>
    <s v="Standard Class"/>
    <x v="414"/>
    <s v="Mick Hernandez"/>
    <x v="2"/>
    <s v="United States"/>
    <s v="Pharr"/>
    <x v="5"/>
    <n v="78577"/>
    <x v="2"/>
    <x v="1200"/>
    <x v="2"/>
    <x v="11"/>
    <x v="1185"/>
    <x v="2410"/>
    <x v="6"/>
    <x v="0"/>
  </r>
  <r>
    <n v="3020"/>
    <x v="1500"/>
    <x v="627"/>
    <d v="2016-11-14T00:00:00"/>
    <s v="Standard Class"/>
    <x v="183"/>
    <s v="Sanjit Chand"/>
    <x v="0"/>
    <s v="United States"/>
    <s v="West Jordan"/>
    <x v="7"/>
    <n v="84084"/>
    <x v="1"/>
    <x v="1471"/>
    <x v="1"/>
    <x v="13"/>
    <x v="1458"/>
    <x v="1310"/>
    <x v="0"/>
    <x v="1"/>
  </r>
  <r>
    <n v="3021"/>
    <x v="1500"/>
    <x v="627"/>
    <d v="2016-11-14T00:00:00"/>
    <s v="Standard Class"/>
    <x v="183"/>
    <s v="Sanjit Chand"/>
    <x v="0"/>
    <s v="United States"/>
    <s v="West Jordan"/>
    <x v="7"/>
    <n v="84084"/>
    <x v="1"/>
    <x v="1030"/>
    <x v="1"/>
    <x v="10"/>
    <x v="1021"/>
    <x v="1635"/>
    <x v="0"/>
    <x v="1"/>
  </r>
  <r>
    <n v="3022"/>
    <x v="1500"/>
    <x v="627"/>
    <d v="2016-11-14T00:00:00"/>
    <s v="Standard Class"/>
    <x v="183"/>
    <s v="Sanjit Chand"/>
    <x v="0"/>
    <s v="United States"/>
    <s v="West Jordan"/>
    <x v="7"/>
    <n v="84084"/>
    <x v="1"/>
    <x v="642"/>
    <x v="0"/>
    <x v="5"/>
    <x v="642"/>
    <x v="2411"/>
    <x v="0"/>
    <x v="1"/>
  </r>
  <r>
    <n v="3023"/>
    <x v="1500"/>
    <x v="627"/>
    <d v="2016-11-14T00:00:00"/>
    <s v="Standard Class"/>
    <x v="183"/>
    <s v="Sanjit Chand"/>
    <x v="0"/>
    <s v="United States"/>
    <s v="West Jordan"/>
    <x v="7"/>
    <n v="84084"/>
    <x v="1"/>
    <x v="710"/>
    <x v="1"/>
    <x v="8"/>
    <x v="709"/>
    <x v="1281"/>
    <x v="0"/>
    <x v="1"/>
  </r>
  <r>
    <n v="3024"/>
    <x v="1501"/>
    <x v="701"/>
    <d v="2018-11-23T00:00:00"/>
    <s v="Standard Class"/>
    <x v="677"/>
    <s v="Joy Bell-"/>
    <x v="0"/>
    <s v="United States"/>
    <s v="Brownsville"/>
    <x v="5"/>
    <n v="78521"/>
    <x v="2"/>
    <x v="1275"/>
    <x v="0"/>
    <x v="0"/>
    <x v="1260"/>
    <x v="2412"/>
    <x v="0"/>
    <x v="3"/>
  </r>
  <r>
    <n v="3025"/>
    <x v="1502"/>
    <x v="627"/>
    <d v="2016-11-13T00:00:00"/>
    <s v="Standard Class"/>
    <x v="549"/>
    <s v="Amy Cox"/>
    <x v="0"/>
    <s v="United States"/>
    <s v="New York City"/>
    <x v="15"/>
    <n v="10011"/>
    <x v="3"/>
    <x v="305"/>
    <x v="1"/>
    <x v="8"/>
    <x v="305"/>
    <x v="2413"/>
    <x v="0"/>
    <x v="1"/>
  </r>
  <r>
    <n v="3026"/>
    <x v="1502"/>
    <x v="627"/>
    <d v="2016-11-13T00:00:00"/>
    <s v="Standard Class"/>
    <x v="549"/>
    <s v="Amy Cox"/>
    <x v="0"/>
    <s v="United States"/>
    <s v="New York City"/>
    <x v="15"/>
    <n v="10011"/>
    <x v="3"/>
    <x v="457"/>
    <x v="1"/>
    <x v="10"/>
    <x v="458"/>
    <x v="1444"/>
    <x v="0"/>
    <x v="1"/>
  </r>
  <r>
    <n v="3027"/>
    <x v="1503"/>
    <x v="300"/>
    <d v="2018-04-26T00:00:00"/>
    <s v="Standard Class"/>
    <x v="246"/>
    <s v="Meg O'Connel"/>
    <x v="2"/>
    <s v="United States"/>
    <s v="Philadelphia"/>
    <x v="9"/>
    <n v="19140"/>
    <x v="3"/>
    <x v="1060"/>
    <x v="0"/>
    <x v="5"/>
    <x v="1049"/>
    <x v="1796"/>
    <x v="3"/>
    <x v="3"/>
  </r>
  <r>
    <n v="3028"/>
    <x v="1504"/>
    <x v="829"/>
    <d v="2015-08-24T00:00:00"/>
    <s v="Same Day"/>
    <x v="516"/>
    <s v="Robert Barroso"/>
    <x v="1"/>
    <s v="United States"/>
    <s v="Billings"/>
    <x v="37"/>
    <n v="59102"/>
    <x v="1"/>
    <x v="1472"/>
    <x v="1"/>
    <x v="8"/>
    <x v="1459"/>
    <x v="1808"/>
    <x v="6"/>
    <x v="2"/>
  </r>
  <r>
    <n v="3029"/>
    <x v="1505"/>
    <x v="94"/>
    <d v="2018-12-21T00:00:00"/>
    <s v="Standard Class"/>
    <x v="482"/>
    <s v="Arianne Irving"/>
    <x v="0"/>
    <s v="United States"/>
    <s v="Chesapeake"/>
    <x v="17"/>
    <n v="23320"/>
    <x v="0"/>
    <x v="931"/>
    <x v="0"/>
    <x v="1"/>
    <x v="924"/>
    <x v="2414"/>
    <x v="4"/>
    <x v="3"/>
  </r>
  <r>
    <n v="3030"/>
    <x v="1506"/>
    <x v="830"/>
    <d v="2017-03-28T00:00:00"/>
    <s v="Standard Class"/>
    <x v="112"/>
    <s v="Dan Reichenbach"/>
    <x v="1"/>
    <s v="United States"/>
    <s v="Gresham"/>
    <x v="21"/>
    <n v="97030"/>
    <x v="1"/>
    <x v="1419"/>
    <x v="2"/>
    <x v="7"/>
    <x v="1407"/>
    <x v="2415"/>
    <x v="10"/>
    <x v="0"/>
  </r>
  <r>
    <n v="3031"/>
    <x v="1507"/>
    <x v="481"/>
    <d v="2016-09-27T00:00:00"/>
    <s v="Standard Class"/>
    <x v="678"/>
    <s v="Dario Medina"/>
    <x v="1"/>
    <s v="United States"/>
    <s v="Lincoln Park"/>
    <x v="12"/>
    <n v="48146"/>
    <x v="2"/>
    <x v="1195"/>
    <x v="0"/>
    <x v="0"/>
    <x v="1180"/>
    <x v="1918"/>
    <x v="8"/>
    <x v="1"/>
  </r>
  <r>
    <n v="3032"/>
    <x v="1507"/>
    <x v="481"/>
    <d v="2016-09-27T00:00:00"/>
    <s v="Standard Class"/>
    <x v="678"/>
    <s v="Dario Medina"/>
    <x v="1"/>
    <s v="United States"/>
    <s v="Lincoln Park"/>
    <x v="12"/>
    <n v="48146"/>
    <x v="2"/>
    <x v="1062"/>
    <x v="1"/>
    <x v="6"/>
    <x v="1051"/>
    <x v="2416"/>
    <x v="8"/>
    <x v="1"/>
  </r>
  <r>
    <n v="3033"/>
    <x v="1508"/>
    <x v="831"/>
    <d v="2017-11-26T00:00:00"/>
    <s v="Standard Class"/>
    <x v="423"/>
    <s v="Justin Hirsh"/>
    <x v="0"/>
    <s v="United States"/>
    <s v="Gresham"/>
    <x v="21"/>
    <n v="97030"/>
    <x v="1"/>
    <x v="1225"/>
    <x v="0"/>
    <x v="1"/>
    <x v="1209"/>
    <x v="2417"/>
    <x v="0"/>
    <x v="0"/>
  </r>
  <r>
    <n v="3034"/>
    <x v="1509"/>
    <x v="118"/>
    <d v="2018-09-21T00:00:00"/>
    <s v="Standard Class"/>
    <x v="144"/>
    <s v="Adam Bellavance"/>
    <x v="2"/>
    <s v="United States"/>
    <s v="Philadelphia"/>
    <x v="9"/>
    <n v="19143"/>
    <x v="3"/>
    <x v="1114"/>
    <x v="1"/>
    <x v="10"/>
    <x v="1103"/>
    <x v="557"/>
    <x v="8"/>
    <x v="3"/>
  </r>
  <r>
    <n v="3035"/>
    <x v="1510"/>
    <x v="832"/>
    <d v="2016-06-16T00:00:00"/>
    <s v="Standard Class"/>
    <x v="205"/>
    <s v="Brian Dahlen"/>
    <x v="0"/>
    <s v="United States"/>
    <s v="Monroe"/>
    <x v="28"/>
    <n v="71203"/>
    <x v="0"/>
    <x v="1044"/>
    <x v="2"/>
    <x v="11"/>
    <x v="1033"/>
    <x v="2418"/>
    <x v="1"/>
    <x v="1"/>
  </r>
  <r>
    <n v="3036"/>
    <x v="1510"/>
    <x v="832"/>
    <d v="2016-06-16T00:00:00"/>
    <s v="Standard Class"/>
    <x v="205"/>
    <s v="Brian Dahlen"/>
    <x v="0"/>
    <s v="United States"/>
    <s v="Monroe"/>
    <x v="28"/>
    <n v="71203"/>
    <x v="0"/>
    <x v="1472"/>
    <x v="1"/>
    <x v="8"/>
    <x v="1459"/>
    <x v="2419"/>
    <x v="1"/>
    <x v="1"/>
  </r>
  <r>
    <n v="3037"/>
    <x v="1510"/>
    <x v="832"/>
    <d v="2016-06-16T00:00:00"/>
    <s v="Standard Class"/>
    <x v="205"/>
    <s v="Brian Dahlen"/>
    <x v="0"/>
    <s v="United States"/>
    <s v="Monroe"/>
    <x v="28"/>
    <n v="71203"/>
    <x v="0"/>
    <x v="1473"/>
    <x v="1"/>
    <x v="6"/>
    <x v="1460"/>
    <x v="2420"/>
    <x v="1"/>
    <x v="1"/>
  </r>
  <r>
    <n v="3038"/>
    <x v="1510"/>
    <x v="832"/>
    <d v="2016-06-16T00:00:00"/>
    <s v="Standard Class"/>
    <x v="205"/>
    <s v="Brian Dahlen"/>
    <x v="0"/>
    <s v="United States"/>
    <s v="Monroe"/>
    <x v="28"/>
    <n v="71203"/>
    <x v="0"/>
    <x v="498"/>
    <x v="1"/>
    <x v="10"/>
    <x v="498"/>
    <x v="56"/>
    <x v="1"/>
    <x v="1"/>
  </r>
  <r>
    <n v="3039"/>
    <x v="1510"/>
    <x v="832"/>
    <d v="2016-06-16T00:00:00"/>
    <s v="Standard Class"/>
    <x v="205"/>
    <s v="Brian Dahlen"/>
    <x v="0"/>
    <s v="United States"/>
    <s v="Monroe"/>
    <x v="28"/>
    <n v="71203"/>
    <x v="0"/>
    <x v="1474"/>
    <x v="0"/>
    <x v="5"/>
    <x v="1461"/>
    <x v="2421"/>
    <x v="1"/>
    <x v="1"/>
  </r>
  <r>
    <n v="3040"/>
    <x v="1511"/>
    <x v="621"/>
    <d v="2018-10-08T00:00:00"/>
    <s v="Standard Class"/>
    <x v="442"/>
    <s v="Aaron Smayling"/>
    <x v="1"/>
    <s v="United States"/>
    <s v="Pasadena"/>
    <x v="1"/>
    <n v="91104"/>
    <x v="1"/>
    <x v="719"/>
    <x v="0"/>
    <x v="3"/>
    <x v="718"/>
    <x v="2422"/>
    <x v="2"/>
    <x v="3"/>
  </r>
  <r>
    <n v="3041"/>
    <x v="1512"/>
    <x v="465"/>
    <d v="2017-05-09T00:00:00"/>
    <s v="Standard Class"/>
    <x v="9"/>
    <s v="Zuschuss Donatelli"/>
    <x v="0"/>
    <s v="United States"/>
    <s v="Chattanooga"/>
    <x v="18"/>
    <n v="37421"/>
    <x v="0"/>
    <x v="1006"/>
    <x v="0"/>
    <x v="5"/>
    <x v="998"/>
    <x v="2423"/>
    <x v="5"/>
    <x v="0"/>
  </r>
  <r>
    <n v="3042"/>
    <x v="1513"/>
    <x v="220"/>
    <d v="2018-09-12T00:00:00"/>
    <s v="Same Day"/>
    <x v="580"/>
    <s v="Karen Ferguson"/>
    <x v="2"/>
    <s v="United States"/>
    <s v="Long Beach"/>
    <x v="1"/>
    <n v="90805"/>
    <x v="1"/>
    <x v="860"/>
    <x v="1"/>
    <x v="10"/>
    <x v="854"/>
    <x v="91"/>
    <x v="8"/>
    <x v="3"/>
  </r>
  <r>
    <n v="3043"/>
    <x v="1513"/>
    <x v="220"/>
    <d v="2018-09-12T00:00:00"/>
    <s v="Same Day"/>
    <x v="580"/>
    <s v="Karen Ferguson"/>
    <x v="2"/>
    <s v="United States"/>
    <s v="Long Beach"/>
    <x v="1"/>
    <n v="90805"/>
    <x v="1"/>
    <x v="1475"/>
    <x v="1"/>
    <x v="12"/>
    <x v="1462"/>
    <x v="2424"/>
    <x v="8"/>
    <x v="3"/>
  </r>
  <r>
    <n v="3044"/>
    <x v="1513"/>
    <x v="220"/>
    <d v="2018-09-12T00:00:00"/>
    <s v="Same Day"/>
    <x v="580"/>
    <s v="Karen Ferguson"/>
    <x v="2"/>
    <s v="United States"/>
    <s v="Long Beach"/>
    <x v="1"/>
    <n v="90805"/>
    <x v="1"/>
    <x v="1476"/>
    <x v="0"/>
    <x v="1"/>
    <x v="1463"/>
    <x v="2425"/>
    <x v="8"/>
    <x v="3"/>
  </r>
  <r>
    <n v="3045"/>
    <x v="1514"/>
    <x v="28"/>
    <d v="2016-05-02T00:00:00"/>
    <s v="Second Class"/>
    <x v="546"/>
    <s v="Benjamin Patterson"/>
    <x v="0"/>
    <s v="United States"/>
    <s v="Troy"/>
    <x v="24"/>
    <n v="45373"/>
    <x v="3"/>
    <x v="638"/>
    <x v="2"/>
    <x v="7"/>
    <x v="638"/>
    <x v="2426"/>
    <x v="3"/>
    <x v="1"/>
  </r>
  <r>
    <n v="3046"/>
    <x v="1515"/>
    <x v="44"/>
    <d v="2018-11-10T00:00:00"/>
    <s v="Second Class"/>
    <x v="254"/>
    <s v="Chuck Clark"/>
    <x v="2"/>
    <s v="United States"/>
    <s v="Minneapolis"/>
    <x v="11"/>
    <n v="55407"/>
    <x v="2"/>
    <x v="1477"/>
    <x v="1"/>
    <x v="6"/>
    <x v="1464"/>
    <x v="2213"/>
    <x v="0"/>
    <x v="3"/>
  </r>
  <r>
    <n v="3047"/>
    <x v="1515"/>
    <x v="44"/>
    <d v="2018-11-10T00:00:00"/>
    <s v="Second Class"/>
    <x v="254"/>
    <s v="Chuck Clark"/>
    <x v="2"/>
    <s v="United States"/>
    <s v="Minneapolis"/>
    <x v="11"/>
    <n v="55407"/>
    <x v="2"/>
    <x v="813"/>
    <x v="1"/>
    <x v="10"/>
    <x v="33"/>
    <x v="970"/>
    <x v="0"/>
    <x v="3"/>
  </r>
  <r>
    <n v="3048"/>
    <x v="1516"/>
    <x v="587"/>
    <d v="2015-10-04T00:00:00"/>
    <s v="Standard Class"/>
    <x v="140"/>
    <s v="Doug Bickford"/>
    <x v="0"/>
    <s v="United States"/>
    <s v="Seattle"/>
    <x v="4"/>
    <n v="98105"/>
    <x v="1"/>
    <x v="8"/>
    <x v="1"/>
    <x v="8"/>
    <x v="8"/>
    <x v="746"/>
    <x v="8"/>
    <x v="2"/>
  </r>
  <r>
    <n v="3049"/>
    <x v="1517"/>
    <x v="459"/>
    <d v="2018-04-04T00:00:00"/>
    <s v="First Class"/>
    <x v="679"/>
    <s v="Tony Chapman"/>
    <x v="2"/>
    <s v="United States"/>
    <s v="Columbus"/>
    <x v="32"/>
    <n v="31907"/>
    <x v="0"/>
    <x v="121"/>
    <x v="0"/>
    <x v="3"/>
    <x v="121"/>
    <x v="1735"/>
    <x v="3"/>
    <x v="3"/>
  </r>
  <r>
    <n v="3050"/>
    <x v="1517"/>
    <x v="459"/>
    <d v="2018-04-04T00:00:00"/>
    <s v="First Class"/>
    <x v="679"/>
    <s v="Tony Chapman"/>
    <x v="2"/>
    <s v="United States"/>
    <s v="Columbus"/>
    <x v="32"/>
    <n v="31907"/>
    <x v="0"/>
    <x v="293"/>
    <x v="2"/>
    <x v="11"/>
    <x v="293"/>
    <x v="308"/>
    <x v="3"/>
    <x v="3"/>
  </r>
  <r>
    <n v="3051"/>
    <x v="1518"/>
    <x v="833"/>
    <d v="2018-10-11T00:00:00"/>
    <s v="Standard Class"/>
    <x v="125"/>
    <s v="Nick Zandusky"/>
    <x v="2"/>
    <s v="United States"/>
    <s v="Meridian"/>
    <x v="45"/>
    <n v="83642"/>
    <x v="1"/>
    <x v="1478"/>
    <x v="0"/>
    <x v="5"/>
    <x v="1465"/>
    <x v="108"/>
    <x v="2"/>
    <x v="3"/>
  </r>
  <r>
    <n v="3052"/>
    <x v="1518"/>
    <x v="833"/>
    <d v="2018-10-11T00:00:00"/>
    <s v="Standard Class"/>
    <x v="125"/>
    <s v="Nick Zandusky"/>
    <x v="2"/>
    <s v="United States"/>
    <s v="Meridian"/>
    <x v="45"/>
    <n v="83642"/>
    <x v="1"/>
    <x v="1051"/>
    <x v="1"/>
    <x v="9"/>
    <x v="1040"/>
    <x v="2427"/>
    <x v="2"/>
    <x v="3"/>
  </r>
  <r>
    <n v="3053"/>
    <x v="1518"/>
    <x v="833"/>
    <d v="2018-10-11T00:00:00"/>
    <s v="Standard Class"/>
    <x v="125"/>
    <s v="Nick Zandusky"/>
    <x v="2"/>
    <s v="United States"/>
    <s v="Meridian"/>
    <x v="45"/>
    <n v="83642"/>
    <x v="1"/>
    <x v="1237"/>
    <x v="1"/>
    <x v="10"/>
    <x v="1220"/>
    <x v="2428"/>
    <x v="2"/>
    <x v="3"/>
  </r>
  <r>
    <n v="3054"/>
    <x v="1519"/>
    <x v="526"/>
    <d v="2017-04-14T00:00:00"/>
    <s v="Second Class"/>
    <x v="680"/>
    <s v="Sean Wendt"/>
    <x v="2"/>
    <s v="United States"/>
    <s v="Detroit"/>
    <x v="12"/>
    <n v="48227"/>
    <x v="2"/>
    <x v="1367"/>
    <x v="2"/>
    <x v="7"/>
    <x v="1352"/>
    <x v="2429"/>
    <x v="3"/>
    <x v="0"/>
  </r>
  <r>
    <n v="3055"/>
    <x v="1519"/>
    <x v="526"/>
    <d v="2017-04-14T00:00:00"/>
    <s v="Second Class"/>
    <x v="680"/>
    <s v="Sean Wendt"/>
    <x v="2"/>
    <s v="United States"/>
    <s v="Detroit"/>
    <x v="12"/>
    <n v="48227"/>
    <x v="2"/>
    <x v="446"/>
    <x v="1"/>
    <x v="8"/>
    <x v="446"/>
    <x v="266"/>
    <x v="3"/>
    <x v="0"/>
  </r>
  <r>
    <n v="3056"/>
    <x v="1520"/>
    <x v="834"/>
    <d v="2016-09-01T00:00:00"/>
    <s v="Standard Class"/>
    <x v="477"/>
    <s v="Todd Sumrall"/>
    <x v="1"/>
    <s v="United States"/>
    <s v="Chicago"/>
    <x v="10"/>
    <n v="60623"/>
    <x v="2"/>
    <x v="890"/>
    <x v="2"/>
    <x v="16"/>
    <x v="883"/>
    <x v="2430"/>
    <x v="6"/>
    <x v="1"/>
  </r>
  <r>
    <n v="3057"/>
    <x v="1521"/>
    <x v="15"/>
    <d v="2018-10-24T00:00:00"/>
    <s v="Second Class"/>
    <x v="511"/>
    <s v="Hilary Holden"/>
    <x v="1"/>
    <s v="United States"/>
    <s v="San Francisco"/>
    <x v="1"/>
    <n v="94110"/>
    <x v="1"/>
    <x v="1343"/>
    <x v="1"/>
    <x v="12"/>
    <x v="1328"/>
    <x v="2431"/>
    <x v="2"/>
    <x v="3"/>
  </r>
  <r>
    <n v="3058"/>
    <x v="1521"/>
    <x v="15"/>
    <d v="2018-10-24T00:00:00"/>
    <s v="Second Class"/>
    <x v="511"/>
    <s v="Hilary Holden"/>
    <x v="1"/>
    <s v="United States"/>
    <s v="San Francisco"/>
    <x v="1"/>
    <n v="94110"/>
    <x v="1"/>
    <x v="1042"/>
    <x v="1"/>
    <x v="2"/>
    <x v="1031"/>
    <x v="2432"/>
    <x v="2"/>
    <x v="3"/>
  </r>
  <r>
    <n v="3059"/>
    <x v="1521"/>
    <x v="15"/>
    <d v="2018-10-24T00:00:00"/>
    <s v="Second Class"/>
    <x v="511"/>
    <s v="Hilary Holden"/>
    <x v="1"/>
    <s v="United States"/>
    <s v="San Francisco"/>
    <x v="1"/>
    <n v="94110"/>
    <x v="1"/>
    <x v="677"/>
    <x v="0"/>
    <x v="5"/>
    <x v="677"/>
    <x v="2433"/>
    <x v="2"/>
    <x v="3"/>
  </r>
  <r>
    <n v="3060"/>
    <x v="1521"/>
    <x v="15"/>
    <d v="2018-10-24T00:00:00"/>
    <s v="Second Class"/>
    <x v="511"/>
    <s v="Hilary Holden"/>
    <x v="1"/>
    <s v="United States"/>
    <s v="San Francisco"/>
    <x v="1"/>
    <n v="94110"/>
    <x v="1"/>
    <x v="1479"/>
    <x v="0"/>
    <x v="3"/>
    <x v="1466"/>
    <x v="2434"/>
    <x v="2"/>
    <x v="3"/>
  </r>
  <r>
    <n v="3061"/>
    <x v="1522"/>
    <x v="77"/>
    <d v="2017-11-12T00:00:00"/>
    <s v="Standard Class"/>
    <x v="664"/>
    <s v="Denise Monton"/>
    <x v="1"/>
    <s v="United States"/>
    <s v="Newark"/>
    <x v="24"/>
    <n v="43055"/>
    <x v="3"/>
    <x v="1233"/>
    <x v="2"/>
    <x v="11"/>
    <x v="1216"/>
    <x v="2435"/>
    <x v="0"/>
    <x v="0"/>
  </r>
  <r>
    <n v="3062"/>
    <x v="1523"/>
    <x v="448"/>
    <d v="2018-03-07T00:00:00"/>
    <s v="Standard Class"/>
    <x v="681"/>
    <s v="Richard Eichhorn"/>
    <x v="0"/>
    <s v="United States"/>
    <s v="Dallas"/>
    <x v="5"/>
    <n v="75081"/>
    <x v="2"/>
    <x v="794"/>
    <x v="1"/>
    <x v="10"/>
    <x v="792"/>
    <x v="2017"/>
    <x v="10"/>
    <x v="3"/>
  </r>
  <r>
    <n v="3063"/>
    <x v="1524"/>
    <x v="154"/>
    <d v="2016-11-29T00:00:00"/>
    <s v="First Class"/>
    <x v="251"/>
    <s v="Justin Deggeller"/>
    <x v="1"/>
    <s v="United States"/>
    <s v="Newark"/>
    <x v="13"/>
    <n v="19711"/>
    <x v="3"/>
    <x v="1480"/>
    <x v="2"/>
    <x v="7"/>
    <x v="1467"/>
    <x v="2436"/>
    <x v="0"/>
    <x v="1"/>
  </r>
  <r>
    <n v="3064"/>
    <x v="1524"/>
    <x v="154"/>
    <d v="2016-11-29T00:00:00"/>
    <s v="First Class"/>
    <x v="251"/>
    <s v="Justin Deggeller"/>
    <x v="1"/>
    <s v="United States"/>
    <s v="Newark"/>
    <x v="13"/>
    <n v="19711"/>
    <x v="3"/>
    <x v="1481"/>
    <x v="2"/>
    <x v="11"/>
    <x v="1468"/>
    <x v="2437"/>
    <x v="0"/>
    <x v="1"/>
  </r>
  <r>
    <n v="3065"/>
    <x v="1525"/>
    <x v="677"/>
    <d v="2018-03-18T00:00:00"/>
    <s v="Second Class"/>
    <x v="682"/>
    <s v="Benjamin Farhat"/>
    <x v="2"/>
    <s v="United States"/>
    <s v="Albuquerque"/>
    <x v="27"/>
    <n v="87105"/>
    <x v="1"/>
    <x v="75"/>
    <x v="1"/>
    <x v="4"/>
    <x v="75"/>
    <x v="2438"/>
    <x v="10"/>
    <x v="3"/>
  </r>
  <r>
    <n v="3066"/>
    <x v="1525"/>
    <x v="677"/>
    <d v="2018-03-18T00:00:00"/>
    <s v="Second Class"/>
    <x v="682"/>
    <s v="Benjamin Farhat"/>
    <x v="2"/>
    <s v="United States"/>
    <s v="Albuquerque"/>
    <x v="27"/>
    <n v="87105"/>
    <x v="1"/>
    <x v="722"/>
    <x v="2"/>
    <x v="7"/>
    <x v="721"/>
    <x v="1182"/>
    <x v="10"/>
    <x v="3"/>
  </r>
  <r>
    <n v="3067"/>
    <x v="1525"/>
    <x v="677"/>
    <d v="2018-03-18T00:00:00"/>
    <s v="Second Class"/>
    <x v="682"/>
    <s v="Benjamin Farhat"/>
    <x v="2"/>
    <s v="United States"/>
    <s v="Albuquerque"/>
    <x v="27"/>
    <n v="87105"/>
    <x v="1"/>
    <x v="1482"/>
    <x v="2"/>
    <x v="11"/>
    <x v="1469"/>
    <x v="2439"/>
    <x v="10"/>
    <x v="3"/>
  </r>
  <r>
    <n v="3068"/>
    <x v="1525"/>
    <x v="677"/>
    <d v="2018-03-18T00:00:00"/>
    <s v="Second Class"/>
    <x v="682"/>
    <s v="Benjamin Farhat"/>
    <x v="2"/>
    <s v="United States"/>
    <s v="Albuquerque"/>
    <x v="27"/>
    <n v="87105"/>
    <x v="1"/>
    <x v="1483"/>
    <x v="1"/>
    <x v="10"/>
    <x v="1470"/>
    <x v="1544"/>
    <x v="10"/>
    <x v="3"/>
  </r>
  <r>
    <n v="3069"/>
    <x v="1525"/>
    <x v="677"/>
    <d v="2018-03-18T00:00:00"/>
    <s v="Second Class"/>
    <x v="682"/>
    <s v="Benjamin Farhat"/>
    <x v="2"/>
    <s v="United States"/>
    <s v="Albuquerque"/>
    <x v="27"/>
    <n v="87105"/>
    <x v="1"/>
    <x v="1415"/>
    <x v="1"/>
    <x v="10"/>
    <x v="1402"/>
    <x v="2440"/>
    <x v="10"/>
    <x v="3"/>
  </r>
  <r>
    <n v="3070"/>
    <x v="1526"/>
    <x v="329"/>
    <d v="2018-11-30T00:00:00"/>
    <s v="Same Day"/>
    <x v="529"/>
    <s v="Max Ludwig"/>
    <x v="2"/>
    <s v="United States"/>
    <s v="Toledo"/>
    <x v="24"/>
    <n v="43615"/>
    <x v="3"/>
    <x v="1470"/>
    <x v="1"/>
    <x v="9"/>
    <x v="1457"/>
    <x v="2441"/>
    <x v="0"/>
    <x v="3"/>
  </r>
  <r>
    <n v="3071"/>
    <x v="1527"/>
    <x v="664"/>
    <d v="2015-11-22T00:00:00"/>
    <s v="Standard Class"/>
    <x v="289"/>
    <s v="Yoseph Carroll"/>
    <x v="1"/>
    <s v="United States"/>
    <s v="Newark"/>
    <x v="13"/>
    <n v="19711"/>
    <x v="3"/>
    <x v="1074"/>
    <x v="1"/>
    <x v="4"/>
    <x v="1064"/>
    <x v="2442"/>
    <x v="0"/>
    <x v="2"/>
  </r>
  <r>
    <n v="3072"/>
    <x v="1527"/>
    <x v="664"/>
    <d v="2015-11-22T00:00:00"/>
    <s v="Standard Class"/>
    <x v="289"/>
    <s v="Yoseph Carroll"/>
    <x v="1"/>
    <s v="United States"/>
    <s v="Newark"/>
    <x v="13"/>
    <n v="19711"/>
    <x v="3"/>
    <x v="1484"/>
    <x v="0"/>
    <x v="5"/>
    <x v="1471"/>
    <x v="2443"/>
    <x v="0"/>
    <x v="2"/>
  </r>
  <r>
    <n v="3073"/>
    <x v="1527"/>
    <x v="664"/>
    <d v="2015-11-22T00:00:00"/>
    <s v="Standard Class"/>
    <x v="289"/>
    <s v="Yoseph Carroll"/>
    <x v="1"/>
    <s v="United States"/>
    <s v="Newark"/>
    <x v="13"/>
    <n v="19711"/>
    <x v="3"/>
    <x v="684"/>
    <x v="1"/>
    <x v="6"/>
    <x v="684"/>
    <x v="2444"/>
    <x v="0"/>
    <x v="2"/>
  </r>
  <r>
    <n v="3074"/>
    <x v="1528"/>
    <x v="835"/>
    <d v="2017-01-05T00:00:00"/>
    <s v="First Class"/>
    <x v="235"/>
    <s v="Lena Radford"/>
    <x v="0"/>
    <s v="United States"/>
    <s v="Los Angeles"/>
    <x v="1"/>
    <n v="90045"/>
    <x v="1"/>
    <x v="1277"/>
    <x v="1"/>
    <x v="4"/>
    <x v="1262"/>
    <x v="2445"/>
    <x v="9"/>
    <x v="0"/>
  </r>
  <r>
    <n v="3075"/>
    <x v="1529"/>
    <x v="292"/>
    <d v="2016-10-08T00:00:00"/>
    <s v="Standard Class"/>
    <x v="94"/>
    <s v="Bruce Stewart"/>
    <x v="0"/>
    <s v="United States"/>
    <s v="Los Angeles"/>
    <x v="1"/>
    <n v="90032"/>
    <x v="1"/>
    <x v="631"/>
    <x v="0"/>
    <x v="0"/>
    <x v="631"/>
    <x v="2446"/>
    <x v="2"/>
    <x v="1"/>
  </r>
  <r>
    <n v="3076"/>
    <x v="1530"/>
    <x v="836"/>
    <d v="2015-07-24T00:00:00"/>
    <s v="Standard Class"/>
    <x v="454"/>
    <s v="Katherine Murray"/>
    <x v="2"/>
    <s v="United States"/>
    <s v="Dallas"/>
    <x v="5"/>
    <n v="75217"/>
    <x v="2"/>
    <x v="384"/>
    <x v="1"/>
    <x v="4"/>
    <x v="385"/>
    <x v="2447"/>
    <x v="7"/>
    <x v="2"/>
  </r>
  <r>
    <n v="3077"/>
    <x v="1530"/>
    <x v="836"/>
    <d v="2015-07-24T00:00:00"/>
    <s v="Standard Class"/>
    <x v="454"/>
    <s v="Katherine Murray"/>
    <x v="2"/>
    <s v="United States"/>
    <s v="Dallas"/>
    <x v="5"/>
    <n v="75217"/>
    <x v="2"/>
    <x v="904"/>
    <x v="0"/>
    <x v="5"/>
    <x v="896"/>
    <x v="80"/>
    <x v="7"/>
    <x v="2"/>
  </r>
  <r>
    <n v="3078"/>
    <x v="1530"/>
    <x v="836"/>
    <d v="2015-07-24T00:00:00"/>
    <s v="Standard Class"/>
    <x v="454"/>
    <s v="Katherine Murray"/>
    <x v="2"/>
    <s v="United States"/>
    <s v="Dallas"/>
    <x v="5"/>
    <n v="75217"/>
    <x v="2"/>
    <x v="483"/>
    <x v="0"/>
    <x v="1"/>
    <x v="483"/>
    <x v="2448"/>
    <x v="7"/>
    <x v="2"/>
  </r>
  <r>
    <n v="3079"/>
    <x v="1531"/>
    <x v="371"/>
    <d v="2015-05-25T00:00:00"/>
    <s v="Standard Class"/>
    <x v="404"/>
    <s v="Bradley Talbott"/>
    <x v="2"/>
    <s v="United States"/>
    <s v="San Diego"/>
    <x v="1"/>
    <n v="92037"/>
    <x v="1"/>
    <x v="181"/>
    <x v="1"/>
    <x v="6"/>
    <x v="182"/>
    <x v="2449"/>
    <x v="5"/>
    <x v="2"/>
  </r>
  <r>
    <n v="3080"/>
    <x v="1532"/>
    <x v="507"/>
    <d v="2018-09-05T00:00:00"/>
    <s v="First Class"/>
    <x v="683"/>
    <s v="Katrina Bavinger"/>
    <x v="2"/>
    <s v="United States"/>
    <s v="Apple Valley"/>
    <x v="1"/>
    <n v="92307"/>
    <x v="1"/>
    <x v="585"/>
    <x v="1"/>
    <x v="10"/>
    <x v="585"/>
    <x v="91"/>
    <x v="8"/>
    <x v="3"/>
  </r>
  <r>
    <n v="3081"/>
    <x v="1532"/>
    <x v="507"/>
    <d v="2018-09-05T00:00:00"/>
    <s v="First Class"/>
    <x v="683"/>
    <s v="Katrina Bavinger"/>
    <x v="2"/>
    <s v="United States"/>
    <s v="Apple Valley"/>
    <x v="1"/>
    <n v="92307"/>
    <x v="1"/>
    <x v="831"/>
    <x v="2"/>
    <x v="7"/>
    <x v="826"/>
    <x v="746"/>
    <x v="8"/>
    <x v="3"/>
  </r>
  <r>
    <n v="3082"/>
    <x v="1533"/>
    <x v="837"/>
    <d v="2018-06-02T00:00:00"/>
    <s v="Standard Class"/>
    <x v="108"/>
    <s v="Dianna Wilson"/>
    <x v="2"/>
    <s v="United States"/>
    <s v="Louisville"/>
    <x v="0"/>
    <n v="40214"/>
    <x v="0"/>
    <x v="705"/>
    <x v="1"/>
    <x v="8"/>
    <x v="705"/>
    <x v="2450"/>
    <x v="5"/>
    <x v="3"/>
  </r>
  <r>
    <n v="3083"/>
    <x v="1533"/>
    <x v="837"/>
    <d v="2018-06-02T00:00:00"/>
    <s v="Standard Class"/>
    <x v="108"/>
    <s v="Dianna Wilson"/>
    <x v="2"/>
    <s v="United States"/>
    <s v="Louisville"/>
    <x v="0"/>
    <n v="40214"/>
    <x v="0"/>
    <x v="1400"/>
    <x v="2"/>
    <x v="7"/>
    <x v="1387"/>
    <x v="2451"/>
    <x v="5"/>
    <x v="3"/>
  </r>
  <r>
    <n v="3084"/>
    <x v="1534"/>
    <x v="838"/>
    <d v="2015-02-03T00:00:00"/>
    <s v="Standard Class"/>
    <x v="209"/>
    <s v="Jasper Cacioppo"/>
    <x v="0"/>
    <s v="United States"/>
    <s v="New York City"/>
    <x v="15"/>
    <n v="10024"/>
    <x v="3"/>
    <x v="185"/>
    <x v="1"/>
    <x v="8"/>
    <x v="186"/>
    <x v="2452"/>
    <x v="9"/>
    <x v="2"/>
  </r>
  <r>
    <n v="3085"/>
    <x v="1535"/>
    <x v="839"/>
    <d v="2018-02-14T00:00:00"/>
    <s v="Standard Class"/>
    <x v="599"/>
    <s v="Tom Prescott"/>
    <x v="0"/>
    <s v="United States"/>
    <s v="Houston"/>
    <x v="5"/>
    <n v="77070"/>
    <x v="2"/>
    <x v="382"/>
    <x v="1"/>
    <x v="8"/>
    <x v="383"/>
    <x v="2453"/>
    <x v="11"/>
    <x v="3"/>
  </r>
  <r>
    <n v="3086"/>
    <x v="1535"/>
    <x v="839"/>
    <d v="2018-02-14T00:00:00"/>
    <s v="Standard Class"/>
    <x v="599"/>
    <s v="Tom Prescott"/>
    <x v="0"/>
    <s v="United States"/>
    <s v="Houston"/>
    <x v="5"/>
    <n v="77070"/>
    <x v="2"/>
    <x v="657"/>
    <x v="2"/>
    <x v="11"/>
    <x v="657"/>
    <x v="2454"/>
    <x v="11"/>
    <x v="3"/>
  </r>
  <r>
    <n v="3087"/>
    <x v="1535"/>
    <x v="839"/>
    <d v="2018-02-14T00:00:00"/>
    <s v="Standard Class"/>
    <x v="599"/>
    <s v="Tom Prescott"/>
    <x v="0"/>
    <s v="United States"/>
    <s v="Houston"/>
    <x v="5"/>
    <n v="77070"/>
    <x v="2"/>
    <x v="1467"/>
    <x v="0"/>
    <x v="5"/>
    <x v="1454"/>
    <x v="2176"/>
    <x v="11"/>
    <x v="3"/>
  </r>
  <r>
    <n v="3088"/>
    <x v="1535"/>
    <x v="839"/>
    <d v="2018-02-14T00:00:00"/>
    <s v="Standard Class"/>
    <x v="599"/>
    <s v="Tom Prescott"/>
    <x v="0"/>
    <s v="United States"/>
    <s v="Houston"/>
    <x v="5"/>
    <n v="77070"/>
    <x v="2"/>
    <x v="791"/>
    <x v="1"/>
    <x v="9"/>
    <x v="789"/>
    <x v="837"/>
    <x v="11"/>
    <x v="3"/>
  </r>
  <r>
    <n v="3089"/>
    <x v="1536"/>
    <x v="185"/>
    <d v="2018-04-02T00:00:00"/>
    <s v="Second Class"/>
    <x v="626"/>
    <s v="Daniel Byrd"/>
    <x v="2"/>
    <s v="United States"/>
    <s v="Henderson"/>
    <x v="0"/>
    <n v="42420"/>
    <x v="0"/>
    <x v="1122"/>
    <x v="0"/>
    <x v="5"/>
    <x v="1110"/>
    <x v="2455"/>
    <x v="10"/>
    <x v="3"/>
  </r>
  <r>
    <n v="3090"/>
    <x v="1536"/>
    <x v="185"/>
    <d v="2018-04-02T00:00:00"/>
    <s v="Second Class"/>
    <x v="626"/>
    <s v="Daniel Byrd"/>
    <x v="2"/>
    <s v="United States"/>
    <s v="Henderson"/>
    <x v="0"/>
    <n v="42420"/>
    <x v="0"/>
    <x v="1485"/>
    <x v="2"/>
    <x v="7"/>
    <x v="1472"/>
    <x v="142"/>
    <x v="10"/>
    <x v="3"/>
  </r>
  <r>
    <n v="3091"/>
    <x v="1537"/>
    <x v="840"/>
    <d v="2017-03-08T00:00:00"/>
    <s v="Standard Class"/>
    <x v="3"/>
    <s v="Brosina Hoffman"/>
    <x v="0"/>
    <s v="United States"/>
    <s v="Newark"/>
    <x v="13"/>
    <n v="19711"/>
    <x v="3"/>
    <x v="669"/>
    <x v="1"/>
    <x v="8"/>
    <x v="669"/>
    <x v="2456"/>
    <x v="10"/>
    <x v="0"/>
  </r>
  <r>
    <n v="3092"/>
    <x v="1537"/>
    <x v="840"/>
    <d v="2017-03-08T00:00:00"/>
    <s v="Standard Class"/>
    <x v="3"/>
    <s v="Brosina Hoffman"/>
    <x v="0"/>
    <s v="United States"/>
    <s v="Newark"/>
    <x v="13"/>
    <n v="19711"/>
    <x v="3"/>
    <x v="664"/>
    <x v="2"/>
    <x v="7"/>
    <x v="664"/>
    <x v="2457"/>
    <x v="10"/>
    <x v="0"/>
  </r>
  <r>
    <n v="3093"/>
    <x v="1537"/>
    <x v="840"/>
    <d v="2017-03-08T00:00:00"/>
    <s v="Standard Class"/>
    <x v="3"/>
    <s v="Brosina Hoffman"/>
    <x v="0"/>
    <s v="United States"/>
    <s v="Newark"/>
    <x v="13"/>
    <n v="19711"/>
    <x v="3"/>
    <x v="1486"/>
    <x v="1"/>
    <x v="10"/>
    <x v="1473"/>
    <x v="1668"/>
    <x v="10"/>
    <x v="0"/>
  </r>
  <r>
    <n v="3094"/>
    <x v="1538"/>
    <x v="841"/>
    <d v="2016-08-23T00:00:00"/>
    <s v="Same Day"/>
    <x v="143"/>
    <s v="Tamara Dahlen"/>
    <x v="0"/>
    <s v="United States"/>
    <s v="Bolingbrook"/>
    <x v="10"/>
    <n v="60440"/>
    <x v="2"/>
    <x v="558"/>
    <x v="1"/>
    <x v="14"/>
    <x v="557"/>
    <x v="2458"/>
    <x v="6"/>
    <x v="1"/>
  </r>
  <r>
    <n v="3095"/>
    <x v="1538"/>
    <x v="841"/>
    <d v="2016-08-23T00:00:00"/>
    <s v="Same Day"/>
    <x v="143"/>
    <s v="Tamara Dahlen"/>
    <x v="0"/>
    <s v="United States"/>
    <s v="Bolingbrook"/>
    <x v="10"/>
    <n v="60440"/>
    <x v="2"/>
    <x v="1145"/>
    <x v="1"/>
    <x v="10"/>
    <x v="1133"/>
    <x v="559"/>
    <x v="6"/>
    <x v="1"/>
  </r>
  <r>
    <n v="3096"/>
    <x v="1538"/>
    <x v="841"/>
    <d v="2016-08-23T00:00:00"/>
    <s v="Same Day"/>
    <x v="143"/>
    <s v="Tamara Dahlen"/>
    <x v="0"/>
    <s v="United States"/>
    <s v="Bolingbrook"/>
    <x v="10"/>
    <n v="60440"/>
    <x v="2"/>
    <x v="1014"/>
    <x v="1"/>
    <x v="13"/>
    <x v="128"/>
    <x v="2459"/>
    <x v="6"/>
    <x v="1"/>
  </r>
  <r>
    <n v="3097"/>
    <x v="1538"/>
    <x v="841"/>
    <d v="2016-08-23T00:00:00"/>
    <s v="Same Day"/>
    <x v="143"/>
    <s v="Tamara Dahlen"/>
    <x v="0"/>
    <s v="United States"/>
    <s v="Bolingbrook"/>
    <x v="10"/>
    <n v="60440"/>
    <x v="2"/>
    <x v="336"/>
    <x v="1"/>
    <x v="9"/>
    <x v="336"/>
    <x v="2460"/>
    <x v="6"/>
    <x v="1"/>
  </r>
  <r>
    <n v="3098"/>
    <x v="1539"/>
    <x v="842"/>
    <d v="2018-05-01T00:00:00"/>
    <s v="Standard Class"/>
    <x v="51"/>
    <s v="Cynthia Voltz"/>
    <x v="1"/>
    <s v="United States"/>
    <s v="Fort Worth"/>
    <x v="5"/>
    <n v="76106"/>
    <x v="2"/>
    <x v="322"/>
    <x v="1"/>
    <x v="2"/>
    <x v="322"/>
    <x v="2461"/>
    <x v="3"/>
    <x v="3"/>
  </r>
  <r>
    <n v="3099"/>
    <x v="1539"/>
    <x v="842"/>
    <d v="2018-05-01T00:00:00"/>
    <s v="Standard Class"/>
    <x v="51"/>
    <s v="Cynthia Voltz"/>
    <x v="1"/>
    <s v="United States"/>
    <s v="Fort Worth"/>
    <x v="5"/>
    <n v="76106"/>
    <x v="2"/>
    <x v="317"/>
    <x v="0"/>
    <x v="0"/>
    <x v="317"/>
    <x v="2462"/>
    <x v="3"/>
    <x v="3"/>
  </r>
  <r>
    <n v="3100"/>
    <x v="1540"/>
    <x v="349"/>
    <d v="2018-04-19T00:00:00"/>
    <s v="Standard Class"/>
    <x v="394"/>
    <s v="Christine Sundaresam"/>
    <x v="0"/>
    <s v="United States"/>
    <s v="New York City"/>
    <x v="15"/>
    <n v="10024"/>
    <x v="3"/>
    <x v="1366"/>
    <x v="1"/>
    <x v="8"/>
    <x v="307"/>
    <x v="2168"/>
    <x v="3"/>
    <x v="3"/>
  </r>
  <r>
    <n v="3101"/>
    <x v="1540"/>
    <x v="349"/>
    <d v="2018-04-19T00:00:00"/>
    <s v="Standard Class"/>
    <x v="394"/>
    <s v="Christine Sundaresam"/>
    <x v="0"/>
    <s v="United States"/>
    <s v="New York City"/>
    <x v="15"/>
    <n v="10024"/>
    <x v="3"/>
    <x v="713"/>
    <x v="0"/>
    <x v="0"/>
    <x v="712"/>
    <x v="2463"/>
    <x v="3"/>
    <x v="3"/>
  </r>
  <r>
    <n v="3102"/>
    <x v="1541"/>
    <x v="66"/>
    <d v="2018-12-27T00:00:00"/>
    <s v="Second Class"/>
    <x v="684"/>
    <s v="Jason Gross"/>
    <x v="1"/>
    <s v="United States"/>
    <s v="Providence"/>
    <x v="34"/>
    <n v="2908"/>
    <x v="3"/>
    <x v="413"/>
    <x v="1"/>
    <x v="14"/>
    <x v="413"/>
    <x v="2464"/>
    <x v="4"/>
    <x v="3"/>
  </r>
  <r>
    <n v="3103"/>
    <x v="1541"/>
    <x v="66"/>
    <d v="2018-12-27T00:00:00"/>
    <s v="Second Class"/>
    <x v="684"/>
    <s v="Jason Gross"/>
    <x v="1"/>
    <s v="United States"/>
    <s v="Providence"/>
    <x v="34"/>
    <n v="2908"/>
    <x v="3"/>
    <x v="1487"/>
    <x v="0"/>
    <x v="0"/>
    <x v="1474"/>
    <x v="2465"/>
    <x v="4"/>
    <x v="3"/>
  </r>
  <r>
    <n v="3104"/>
    <x v="1542"/>
    <x v="16"/>
    <d v="2017-12-12T00:00:00"/>
    <s v="Standard Class"/>
    <x v="655"/>
    <s v="Julie Prescott"/>
    <x v="2"/>
    <s v="United States"/>
    <s v="Columbus"/>
    <x v="24"/>
    <n v="43229"/>
    <x v="3"/>
    <x v="1488"/>
    <x v="1"/>
    <x v="8"/>
    <x v="1475"/>
    <x v="2466"/>
    <x v="4"/>
    <x v="0"/>
  </r>
  <r>
    <n v="3105"/>
    <x v="1543"/>
    <x v="721"/>
    <d v="2018-03-29T00:00:00"/>
    <s v="Standard Class"/>
    <x v="685"/>
    <s v="Erin Creighton"/>
    <x v="0"/>
    <s v="United States"/>
    <s v="New York City"/>
    <x v="15"/>
    <n v="10024"/>
    <x v="3"/>
    <x v="1489"/>
    <x v="1"/>
    <x v="10"/>
    <x v="1476"/>
    <x v="2274"/>
    <x v="10"/>
    <x v="3"/>
  </r>
  <r>
    <n v="3106"/>
    <x v="1544"/>
    <x v="197"/>
    <d v="2017-07-29T00:00:00"/>
    <s v="Standard Class"/>
    <x v="175"/>
    <s v="Ken Heidel"/>
    <x v="1"/>
    <s v="United States"/>
    <s v="Houston"/>
    <x v="5"/>
    <n v="77070"/>
    <x v="2"/>
    <x v="522"/>
    <x v="1"/>
    <x v="2"/>
    <x v="522"/>
    <x v="577"/>
    <x v="7"/>
    <x v="0"/>
  </r>
  <r>
    <n v="3107"/>
    <x v="1545"/>
    <x v="815"/>
    <d v="2018-07-14T00:00:00"/>
    <s v="Standard Class"/>
    <x v="435"/>
    <s v="Frank Gastineau"/>
    <x v="2"/>
    <s v="United States"/>
    <s v="Aurora"/>
    <x v="10"/>
    <n v="60505"/>
    <x v="2"/>
    <x v="821"/>
    <x v="1"/>
    <x v="4"/>
    <x v="817"/>
    <x v="2467"/>
    <x v="7"/>
    <x v="3"/>
  </r>
  <r>
    <n v="3108"/>
    <x v="1546"/>
    <x v="19"/>
    <d v="2017-07-22T00:00:00"/>
    <s v="Standard Class"/>
    <x v="4"/>
    <s v="Andrew Allen"/>
    <x v="0"/>
    <s v="United States"/>
    <s v="Springfield"/>
    <x v="25"/>
    <n v="65807"/>
    <x v="2"/>
    <x v="1490"/>
    <x v="1"/>
    <x v="10"/>
    <x v="1477"/>
    <x v="2468"/>
    <x v="7"/>
    <x v="0"/>
  </r>
  <r>
    <n v="3109"/>
    <x v="1546"/>
    <x v="19"/>
    <d v="2017-07-22T00:00:00"/>
    <s v="Standard Class"/>
    <x v="4"/>
    <s v="Andrew Allen"/>
    <x v="0"/>
    <s v="United States"/>
    <s v="Springfield"/>
    <x v="25"/>
    <n v="65807"/>
    <x v="2"/>
    <x v="871"/>
    <x v="1"/>
    <x v="4"/>
    <x v="865"/>
    <x v="420"/>
    <x v="7"/>
    <x v="0"/>
  </r>
  <r>
    <n v="3110"/>
    <x v="1546"/>
    <x v="19"/>
    <d v="2017-07-22T00:00:00"/>
    <s v="Standard Class"/>
    <x v="4"/>
    <s v="Andrew Allen"/>
    <x v="0"/>
    <s v="United States"/>
    <s v="Springfield"/>
    <x v="25"/>
    <n v="65807"/>
    <x v="2"/>
    <x v="827"/>
    <x v="1"/>
    <x v="10"/>
    <x v="823"/>
    <x v="2469"/>
    <x v="7"/>
    <x v="0"/>
  </r>
  <r>
    <n v="3111"/>
    <x v="1546"/>
    <x v="19"/>
    <d v="2017-07-22T00:00:00"/>
    <s v="Standard Class"/>
    <x v="4"/>
    <s v="Andrew Allen"/>
    <x v="0"/>
    <s v="United States"/>
    <s v="Springfield"/>
    <x v="25"/>
    <n v="65807"/>
    <x v="2"/>
    <x v="548"/>
    <x v="1"/>
    <x v="10"/>
    <x v="548"/>
    <x v="187"/>
    <x v="7"/>
    <x v="0"/>
  </r>
  <r>
    <n v="3112"/>
    <x v="1546"/>
    <x v="19"/>
    <d v="2017-07-22T00:00:00"/>
    <s v="Standard Class"/>
    <x v="4"/>
    <s v="Andrew Allen"/>
    <x v="0"/>
    <s v="United States"/>
    <s v="Springfield"/>
    <x v="25"/>
    <n v="65807"/>
    <x v="2"/>
    <x v="1244"/>
    <x v="1"/>
    <x v="4"/>
    <x v="1227"/>
    <x v="2470"/>
    <x v="7"/>
    <x v="0"/>
  </r>
  <r>
    <n v="3113"/>
    <x v="1547"/>
    <x v="828"/>
    <d v="2017-08-30T00:00:00"/>
    <s v="Standard Class"/>
    <x v="474"/>
    <s v="Maxwell Schwartz"/>
    <x v="0"/>
    <s v="United States"/>
    <s v="Seattle"/>
    <x v="4"/>
    <n v="98105"/>
    <x v="1"/>
    <x v="1491"/>
    <x v="2"/>
    <x v="15"/>
    <x v="1478"/>
    <x v="2471"/>
    <x v="6"/>
    <x v="0"/>
  </r>
  <r>
    <n v="3114"/>
    <x v="1547"/>
    <x v="828"/>
    <d v="2017-08-30T00:00:00"/>
    <s v="Standard Class"/>
    <x v="474"/>
    <s v="Maxwell Schwartz"/>
    <x v="0"/>
    <s v="United States"/>
    <s v="Seattle"/>
    <x v="4"/>
    <n v="98105"/>
    <x v="1"/>
    <x v="113"/>
    <x v="1"/>
    <x v="12"/>
    <x v="113"/>
    <x v="2472"/>
    <x v="6"/>
    <x v="0"/>
  </r>
  <r>
    <n v="3115"/>
    <x v="1547"/>
    <x v="828"/>
    <d v="2017-08-30T00:00:00"/>
    <s v="Standard Class"/>
    <x v="474"/>
    <s v="Maxwell Schwartz"/>
    <x v="0"/>
    <s v="United States"/>
    <s v="Seattle"/>
    <x v="4"/>
    <n v="98105"/>
    <x v="1"/>
    <x v="1215"/>
    <x v="1"/>
    <x v="10"/>
    <x v="1199"/>
    <x v="813"/>
    <x v="6"/>
    <x v="0"/>
  </r>
  <r>
    <n v="3116"/>
    <x v="1547"/>
    <x v="828"/>
    <d v="2017-08-30T00:00:00"/>
    <s v="Standard Class"/>
    <x v="474"/>
    <s v="Maxwell Schwartz"/>
    <x v="0"/>
    <s v="United States"/>
    <s v="Seattle"/>
    <x v="4"/>
    <n v="98105"/>
    <x v="1"/>
    <x v="913"/>
    <x v="0"/>
    <x v="1"/>
    <x v="905"/>
    <x v="1956"/>
    <x v="6"/>
    <x v="0"/>
  </r>
  <r>
    <n v="3117"/>
    <x v="1547"/>
    <x v="828"/>
    <d v="2017-08-30T00:00:00"/>
    <s v="Standard Class"/>
    <x v="474"/>
    <s v="Maxwell Schwartz"/>
    <x v="0"/>
    <s v="United States"/>
    <s v="Seattle"/>
    <x v="4"/>
    <n v="98105"/>
    <x v="1"/>
    <x v="22"/>
    <x v="1"/>
    <x v="9"/>
    <x v="22"/>
    <x v="2473"/>
    <x v="6"/>
    <x v="0"/>
  </r>
  <r>
    <n v="3118"/>
    <x v="1547"/>
    <x v="828"/>
    <d v="2017-08-30T00:00:00"/>
    <s v="Standard Class"/>
    <x v="474"/>
    <s v="Maxwell Schwartz"/>
    <x v="0"/>
    <s v="United States"/>
    <s v="Seattle"/>
    <x v="4"/>
    <n v="98105"/>
    <x v="1"/>
    <x v="168"/>
    <x v="1"/>
    <x v="14"/>
    <x v="169"/>
    <x v="174"/>
    <x v="6"/>
    <x v="0"/>
  </r>
  <r>
    <n v="3119"/>
    <x v="1548"/>
    <x v="832"/>
    <d v="2016-06-12T00:00:00"/>
    <s v="First Class"/>
    <x v="531"/>
    <s v="Jim Epp"/>
    <x v="1"/>
    <s v="United States"/>
    <s v="Lakeland"/>
    <x v="2"/>
    <n v="33801"/>
    <x v="0"/>
    <x v="299"/>
    <x v="0"/>
    <x v="1"/>
    <x v="299"/>
    <x v="2474"/>
    <x v="1"/>
    <x v="1"/>
  </r>
  <r>
    <n v="3120"/>
    <x v="1548"/>
    <x v="832"/>
    <d v="2016-06-12T00:00:00"/>
    <s v="First Class"/>
    <x v="531"/>
    <s v="Jim Epp"/>
    <x v="1"/>
    <s v="United States"/>
    <s v="Lakeland"/>
    <x v="2"/>
    <n v="33801"/>
    <x v="0"/>
    <x v="495"/>
    <x v="2"/>
    <x v="7"/>
    <x v="495"/>
    <x v="2475"/>
    <x v="1"/>
    <x v="1"/>
  </r>
  <r>
    <n v="3121"/>
    <x v="1548"/>
    <x v="832"/>
    <d v="2016-06-12T00:00:00"/>
    <s v="First Class"/>
    <x v="531"/>
    <s v="Jim Epp"/>
    <x v="1"/>
    <s v="United States"/>
    <s v="Lakeland"/>
    <x v="2"/>
    <n v="33801"/>
    <x v="0"/>
    <x v="1492"/>
    <x v="0"/>
    <x v="5"/>
    <x v="1479"/>
    <x v="2476"/>
    <x v="1"/>
    <x v="1"/>
  </r>
  <r>
    <n v="3122"/>
    <x v="1548"/>
    <x v="832"/>
    <d v="2016-06-12T00:00:00"/>
    <s v="First Class"/>
    <x v="531"/>
    <s v="Jim Epp"/>
    <x v="1"/>
    <s v="United States"/>
    <s v="Lakeland"/>
    <x v="2"/>
    <n v="33801"/>
    <x v="0"/>
    <x v="108"/>
    <x v="1"/>
    <x v="6"/>
    <x v="108"/>
    <x v="2477"/>
    <x v="1"/>
    <x v="1"/>
  </r>
  <r>
    <n v="3123"/>
    <x v="1548"/>
    <x v="832"/>
    <d v="2016-06-12T00:00:00"/>
    <s v="First Class"/>
    <x v="531"/>
    <s v="Jim Epp"/>
    <x v="1"/>
    <s v="United States"/>
    <s v="Lakeland"/>
    <x v="2"/>
    <n v="33801"/>
    <x v="0"/>
    <x v="270"/>
    <x v="1"/>
    <x v="8"/>
    <x v="270"/>
    <x v="287"/>
    <x v="1"/>
    <x v="1"/>
  </r>
  <r>
    <n v="3124"/>
    <x v="1548"/>
    <x v="832"/>
    <d v="2016-06-12T00:00:00"/>
    <s v="First Class"/>
    <x v="531"/>
    <s v="Jim Epp"/>
    <x v="1"/>
    <s v="United States"/>
    <s v="Lakeland"/>
    <x v="2"/>
    <n v="33801"/>
    <x v="0"/>
    <x v="1375"/>
    <x v="1"/>
    <x v="8"/>
    <x v="1360"/>
    <x v="2478"/>
    <x v="1"/>
    <x v="1"/>
  </r>
  <r>
    <n v="3125"/>
    <x v="1548"/>
    <x v="832"/>
    <d v="2016-06-12T00:00:00"/>
    <s v="First Class"/>
    <x v="531"/>
    <s v="Jim Epp"/>
    <x v="1"/>
    <s v="United States"/>
    <s v="Lakeland"/>
    <x v="2"/>
    <n v="33801"/>
    <x v="0"/>
    <x v="486"/>
    <x v="1"/>
    <x v="4"/>
    <x v="486"/>
    <x v="2479"/>
    <x v="1"/>
    <x v="1"/>
  </r>
  <r>
    <n v="3126"/>
    <x v="1548"/>
    <x v="832"/>
    <d v="2016-06-12T00:00:00"/>
    <s v="First Class"/>
    <x v="531"/>
    <s v="Jim Epp"/>
    <x v="1"/>
    <s v="United States"/>
    <s v="Lakeland"/>
    <x v="2"/>
    <n v="33801"/>
    <x v="0"/>
    <x v="718"/>
    <x v="1"/>
    <x v="4"/>
    <x v="717"/>
    <x v="2480"/>
    <x v="1"/>
    <x v="1"/>
  </r>
  <r>
    <n v="3127"/>
    <x v="1549"/>
    <x v="565"/>
    <d v="2018-09-12T00:00:00"/>
    <s v="Standard Class"/>
    <x v="686"/>
    <s v="Eugene Barchas"/>
    <x v="0"/>
    <s v="United States"/>
    <s v="Philadelphia"/>
    <x v="9"/>
    <n v="19134"/>
    <x v="3"/>
    <x v="883"/>
    <x v="2"/>
    <x v="7"/>
    <x v="1480"/>
    <x v="2481"/>
    <x v="8"/>
    <x v="3"/>
  </r>
  <r>
    <n v="3128"/>
    <x v="1550"/>
    <x v="280"/>
    <d v="2018-10-06T00:00:00"/>
    <s v="Standard Class"/>
    <x v="669"/>
    <s v="Becky Pak"/>
    <x v="0"/>
    <s v="United States"/>
    <s v="New York City"/>
    <x v="15"/>
    <n v="10011"/>
    <x v="3"/>
    <x v="1493"/>
    <x v="1"/>
    <x v="10"/>
    <x v="1481"/>
    <x v="335"/>
    <x v="2"/>
    <x v="3"/>
  </r>
  <r>
    <n v="3129"/>
    <x v="1551"/>
    <x v="757"/>
    <d v="2015-12-17T00:00:00"/>
    <s v="First Class"/>
    <x v="385"/>
    <s v="Chad Cunningham"/>
    <x v="2"/>
    <s v="United States"/>
    <s v="Los Angeles"/>
    <x v="1"/>
    <n v="90049"/>
    <x v="1"/>
    <x v="642"/>
    <x v="0"/>
    <x v="5"/>
    <x v="642"/>
    <x v="785"/>
    <x v="4"/>
    <x v="2"/>
  </r>
  <r>
    <n v="3130"/>
    <x v="1551"/>
    <x v="757"/>
    <d v="2015-12-17T00:00:00"/>
    <s v="First Class"/>
    <x v="385"/>
    <s v="Chad Cunningham"/>
    <x v="2"/>
    <s v="United States"/>
    <s v="Los Angeles"/>
    <x v="1"/>
    <n v="90049"/>
    <x v="1"/>
    <x v="291"/>
    <x v="0"/>
    <x v="1"/>
    <x v="291"/>
    <x v="472"/>
    <x v="4"/>
    <x v="2"/>
  </r>
  <r>
    <n v="3131"/>
    <x v="1551"/>
    <x v="757"/>
    <d v="2015-12-17T00:00:00"/>
    <s v="First Class"/>
    <x v="385"/>
    <s v="Chad Cunningham"/>
    <x v="2"/>
    <s v="United States"/>
    <s v="Los Angeles"/>
    <x v="1"/>
    <n v="90049"/>
    <x v="1"/>
    <x v="552"/>
    <x v="2"/>
    <x v="11"/>
    <x v="551"/>
    <x v="2482"/>
    <x v="4"/>
    <x v="2"/>
  </r>
  <r>
    <n v="3132"/>
    <x v="1551"/>
    <x v="757"/>
    <d v="2015-12-17T00:00:00"/>
    <s v="First Class"/>
    <x v="385"/>
    <s v="Chad Cunningham"/>
    <x v="2"/>
    <s v="United States"/>
    <s v="Los Angeles"/>
    <x v="1"/>
    <n v="90049"/>
    <x v="1"/>
    <x v="34"/>
    <x v="2"/>
    <x v="7"/>
    <x v="34"/>
    <x v="2483"/>
    <x v="4"/>
    <x v="2"/>
  </r>
  <r>
    <n v="3133"/>
    <x v="1552"/>
    <x v="829"/>
    <d v="2015-08-26T00:00:00"/>
    <s v="First Class"/>
    <x v="687"/>
    <s v="Jennifer Patt"/>
    <x v="1"/>
    <s v="United States"/>
    <s v="Oceanside"/>
    <x v="15"/>
    <n v="11572"/>
    <x v="3"/>
    <x v="1494"/>
    <x v="0"/>
    <x v="5"/>
    <x v="1482"/>
    <x v="2484"/>
    <x v="6"/>
    <x v="2"/>
  </r>
  <r>
    <n v="3134"/>
    <x v="1552"/>
    <x v="829"/>
    <d v="2015-08-26T00:00:00"/>
    <s v="First Class"/>
    <x v="687"/>
    <s v="Jennifer Patt"/>
    <x v="1"/>
    <s v="United States"/>
    <s v="Oceanside"/>
    <x v="15"/>
    <n v="11572"/>
    <x v="3"/>
    <x v="1085"/>
    <x v="1"/>
    <x v="8"/>
    <x v="1075"/>
    <x v="2485"/>
    <x v="6"/>
    <x v="2"/>
  </r>
  <r>
    <n v="3135"/>
    <x v="1553"/>
    <x v="105"/>
    <d v="2018-11-18T00:00:00"/>
    <s v="Standard Class"/>
    <x v="60"/>
    <s v="Lindsay Shagiari"/>
    <x v="2"/>
    <s v="United States"/>
    <s v="Dallas"/>
    <x v="5"/>
    <n v="75081"/>
    <x v="2"/>
    <x v="997"/>
    <x v="1"/>
    <x v="8"/>
    <x v="989"/>
    <x v="2433"/>
    <x v="0"/>
    <x v="3"/>
  </r>
  <r>
    <n v="3136"/>
    <x v="1553"/>
    <x v="105"/>
    <d v="2018-11-18T00:00:00"/>
    <s v="Standard Class"/>
    <x v="60"/>
    <s v="Lindsay Shagiari"/>
    <x v="2"/>
    <s v="United States"/>
    <s v="Dallas"/>
    <x v="5"/>
    <n v="75081"/>
    <x v="2"/>
    <x v="571"/>
    <x v="1"/>
    <x v="4"/>
    <x v="571"/>
    <x v="2486"/>
    <x v="0"/>
    <x v="3"/>
  </r>
  <r>
    <n v="3137"/>
    <x v="1553"/>
    <x v="105"/>
    <d v="2018-11-18T00:00:00"/>
    <s v="Standard Class"/>
    <x v="60"/>
    <s v="Lindsay Shagiari"/>
    <x v="2"/>
    <s v="United States"/>
    <s v="Dallas"/>
    <x v="5"/>
    <n v="75081"/>
    <x v="2"/>
    <x v="1495"/>
    <x v="2"/>
    <x v="7"/>
    <x v="1483"/>
    <x v="2487"/>
    <x v="0"/>
    <x v="3"/>
  </r>
  <r>
    <n v="3138"/>
    <x v="1553"/>
    <x v="105"/>
    <d v="2018-11-18T00:00:00"/>
    <s v="Standard Class"/>
    <x v="60"/>
    <s v="Lindsay Shagiari"/>
    <x v="2"/>
    <s v="United States"/>
    <s v="Dallas"/>
    <x v="5"/>
    <n v="75081"/>
    <x v="2"/>
    <x v="588"/>
    <x v="1"/>
    <x v="12"/>
    <x v="588"/>
    <x v="2059"/>
    <x v="0"/>
    <x v="3"/>
  </r>
  <r>
    <n v="3139"/>
    <x v="1553"/>
    <x v="105"/>
    <d v="2018-11-18T00:00:00"/>
    <s v="Standard Class"/>
    <x v="60"/>
    <s v="Lindsay Shagiari"/>
    <x v="2"/>
    <s v="United States"/>
    <s v="Dallas"/>
    <x v="5"/>
    <n v="75081"/>
    <x v="2"/>
    <x v="1130"/>
    <x v="2"/>
    <x v="11"/>
    <x v="1118"/>
    <x v="2488"/>
    <x v="0"/>
    <x v="3"/>
  </r>
  <r>
    <n v="3140"/>
    <x v="1553"/>
    <x v="105"/>
    <d v="2018-11-18T00:00:00"/>
    <s v="Standard Class"/>
    <x v="60"/>
    <s v="Lindsay Shagiari"/>
    <x v="2"/>
    <s v="United States"/>
    <s v="Dallas"/>
    <x v="5"/>
    <n v="75081"/>
    <x v="2"/>
    <x v="285"/>
    <x v="0"/>
    <x v="5"/>
    <x v="285"/>
    <x v="2489"/>
    <x v="0"/>
    <x v="3"/>
  </r>
  <r>
    <n v="3141"/>
    <x v="1554"/>
    <x v="334"/>
    <d v="2016-04-28T00:00:00"/>
    <s v="First Class"/>
    <x v="139"/>
    <s v="John Lucas"/>
    <x v="0"/>
    <s v="United States"/>
    <s v="New York City"/>
    <x v="15"/>
    <n v="10035"/>
    <x v="3"/>
    <x v="14"/>
    <x v="1"/>
    <x v="9"/>
    <x v="14"/>
    <x v="2490"/>
    <x v="3"/>
    <x v="1"/>
  </r>
  <r>
    <n v="3142"/>
    <x v="1555"/>
    <x v="432"/>
    <d v="2015-12-12T00:00:00"/>
    <s v="Same Day"/>
    <x v="388"/>
    <s v="Craig Yedwab"/>
    <x v="1"/>
    <s v="United States"/>
    <s v="San Antonio"/>
    <x v="5"/>
    <n v="78207"/>
    <x v="2"/>
    <x v="115"/>
    <x v="1"/>
    <x v="8"/>
    <x v="115"/>
    <x v="2491"/>
    <x v="4"/>
    <x v="2"/>
  </r>
  <r>
    <n v="3143"/>
    <x v="1556"/>
    <x v="145"/>
    <d v="2018-09-27T00:00:00"/>
    <s v="Second Class"/>
    <x v="181"/>
    <s v="Raymond Buch"/>
    <x v="0"/>
    <s v="United States"/>
    <s v="Cincinnati"/>
    <x v="24"/>
    <n v="45231"/>
    <x v="3"/>
    <x v="246"/>
    <x v="2"/>
    <x v="11"/>
    <x v="247"/>
    <x v="664"/>
    <x v="8"/>
    <x v="3"/>
  </r>
  <r>
    <n v="3144"/>
    <x v="1556"/>
    <x v="145"/>
    <d v="2018-09-27T00:00:00"/>
    <s v="Second Class"/>
    <x v="181"/>
    <s v="Raymond Buch"/>
    <x v="0"/>
    <s v="United States"/>
    <s v="Cincinnati"/>
    <x v="24"/>
    <n v="45231"/>
    <x v="3"/>
    <x v="147"/>
    <x v="1"/>
    <x v="6"/>
    <x v="148"/>
    <x v="2492"/>
    <x v="8"/>
    <x v="3"/>
  </r>
  <r>
    <n v="3145"/>
    <x v="1557"/>
    <x v="64"/>
    <d v="2017-09-11T00:00:00"/>
    <s v="Standard Class"/>
    <x v="255"/>
    <s v="Anthony Rawles"/>
    <x v="1"/>
    <s v="United States"/>
    <s v="Austin"/>
    <x v="5"/>
    <n v="78745"/>
    <x v="2"/>
    <x v="474"/>
    <x v="0"/>
    <x v="1"/>
    <x v="475"/>
    <x v="2493"/>
    <x v="8"/>
    <x v="0"/>
  </r>
  <r>
    <n v="3146"/>
    <x v="1558"/>
    <x v="512"/>
    <d v="2018-02-13T00:00:00"/>
    <s v="Second Class"/>
    <x v="688"/>
    <s v="Cari Sayre"/>
    <x v="1"/>
    <s v="United States"/>
    <s v="Seattle"/>
    <x v="4"/>
    <n v="98105"/>
    <x v="1"/>
    <x v="1496"/>
    <x v="0"/>
    <x v="1"/>
    <x v="1484"/>
    <x v="2494"/>
    <x v="11"/>
    <x v="3"/>
  </r>
  <r>
    <n v="3147"/>
    <x v="1558"/>
    <x v="512"/>
    <d v="2018-02-13T00:00:00"/>
    <s v="Second Class"/>
    <x v="688"/>
    <s v="Cari Sayre"/>
    <x v="1"/>
    <s v="United States"/>
    <s v="Seattle"/>
    <x v="4"/>
    <n v="98105"/>
    <x v="1"/>
    <x v="687"/>
    <x v="2"/>
    <x v="7"/>
    <x v="687"/>
    <x v="2495"/>
    <x v="11"/>
    <x v="3"/>
  </r>
  <r>
    <n v="3148"/>
    <x v="1559"/>
    <x v="479"/>
    <d v="2015-07-03T00:00:00"/>
    <s v="Second Class"/>
    <x v="255"/>
    <s v="Anthony Rawles"/>
    <x v="1"/>
    <s v="United States"/>
    <s v="Los Angeles"/>
    <x v="1"/>
    <n v="90004"/>
    <x v="1"/>
    <x v="313"/>
    <x v="1"/>
    <x v="6"/>
    <x v="313"/>
    <x v="56"/>
    <x v="1"/>
    <x v="2"/>
  </r>
  <r>
    <n v="3149"/>
    <x v="1560"/>
    <x v="843"/>
    <d v="2017-06-10T00:00:00"/>
    <s v="First Class"/>
    <x v="279"/>
    <s v="Ross DeVincentis"/>
    <x v="2"/>
    <s v="United States"/>
    <s v="New York City"/>
    <x v="15"/>
    <n v="10035"/>
    <x v="3"/>
    <x v="490"/>
    <x v="1"/>
    <x v="10"/>
    <x v="490"/>
    <x v="56"/>
    <x v="1"/>
    <x v="0"/>
  </r>
  <r>
    <n v="3150"/>
    <x v="1561"/>
    <x v="414"/>
    <d v="2015-12-25T00:00:00"/>
    <s v="Standard Class"/>
    <x v="168"/>
    <s v="Keith Herrera"/>
    <x v="0"/>
    <s v="United States"/>
    <s v="Seattle"/>
    <x v="4"/>
    <n v="98103"/>
    <x v="1"/>
    <x v="254"/>
    <x v="1"/>
    <x v="2"/>
    <x v="255"/>
    <x v="2496"/>
    <x v="4"/>
    <x v="2"/>
  </r>
  <r>
    <n v="3151"/>
    <x v="1562"/>
    <x v="83"/>
    <d v="2016-12-18T00:00:00"/>
    <s v="First Class"/>
    <x v="173"/>
    <s v="Natalie Fritzler"/>
    <x v="0"/>
    <s v="United States"/>
    <s v="Newark"/>
    <x v="24"/>
    <n v="43055"/>
    <x v="3"/>
    <x v="695"/>
    <x v="2"/>
    <x v="11"/>
    <x v="1062"/>
    <x v="2497"/>
    <x v="4"/>
    <x v="1"/>
  </r>
  <r>
    <n v="3152"/>
    <x v="1562"/>
    <x v="83"/>
    <d v="2016-12-18T00:00:00"/>
    <s v="First Class"/>
    <x v="173"/>
    <s v="Natalie Fritzler"/>
    <x v="0"/>
    <s v="United States"/>
    <s v="Newark"/>
    <x v="24"/>
    <n v="43055"/>
    <x v="3"/>
    <x v="1497"/>
    <x v="2"/>
    <x v="15"/>
    <x v="1485"/>
    <x v="2498"/>
    <x v="4"/>
    <x v="1"/>
  </r>
  <r>
    <n v="3153"/>
    <x v="1562"/>
    <x v="83"/>
    <d v="2016-12-18T00:00:00"/>
    <s v="First Class"/>
    <x v="173"/>
    <s v="Natalie Fritzler"/>
    <x v="0"/>
    <s v="United States"/>
    <s v="Newark"/>
    <x v="24"/>
    <n v="43055"/>
    <x v="3"/>
    <x v="1495"/>
    <x v="2"/>
    <x v="7"/>
    <x v="1483"/>
    <x v="2499"/>
    <x v="4"/>
    <x v="1"/>
  </r>
  <r>
    <n v="3154"/>
    <x v="1562"/>
    <x v="83"/>
    <d v="2016-12-18T00:00:00"/>
    <s v="First Class"/>
    <x v="173"/>
    <s v="Natalie Fritzler"/>
    <x v="0"/>
    <s v="United States"/>
    <s v="Newark"/>
    <x v="24"/>
    <n v="43055"/>
    <x v="3"/>
    <x v="267"/>
    <x v="0"/>
    <x v="5"/>
    <x v="267"/>
    <x v="2500"/>
    <x v="4"/>
    <x v="1"/>
  </r>
  <r>
    <n v="3155"/>
    <x v="1563"/>
    <x v="228"/>
    <d v="2018-07-24T00:00:00"/>
    <s v="Standard Class"/>
    <x v="416"/>
    <s v="Suzanne McNair"/>
    <x v="1"/>
    <s v="United States"/>
    <s v="Maple Grove"/>
    <x v="11"/>
    <n v="55369"/>
    <x v="2"/>
    <x v="1498"/>
    <x v="1"/>
    <x v="8"/>
    <x v="1486"/>
    <x v="2501"/>
    <x v="7"/>
    <x v="3"/>
  </r>
  <r>
    <n v="3156"/>
    <x v="1564"/>
    <x v="93"/>
    <d v="2015-08-05T00:00:00"/>
    <s v="Second Class"/>
    <x v="689"/>
    <s v="Gary Hansen"/>
    <x v="2"/>
    <s v="United States"/>
    <s v="Glendale"/>
    <x v="16"/>
    <n v="85301"/>
    <x v="1"/>
    <x v="968"/>
    <x v="1"/>
    <x v="10"/>
    <x v="961"/>
    <x v="2502"/>
    <x v="6"/>
    <x v="2"/>
  </r>
  <r>
    <n v="3157"/>
    <x v="1565"/>
    <x v="252"/>
    <d v="2016-08-28T00:00:00"/>
    <s v="Standard Class"/>
    <x v="613"/>
    <s v="Eleni McCrary"/>
    <x v="1"/>
    <s v="United States"/>
    <s v="New York City"/>
    <x v="15"/>
    <n v="10009"/>
    <x v="3"/>
    <x v="10"/>
    <x v="0"/>
    <x v="3"/>
    <x v="10"/>
    <x v="428"/>
    <x v="6"/>
    <x v="1"/>
  </r>
  <r>
    <n v="3158"/>
    <x v="1565"/>
    <x v="252"/>
    <d v="2016-08-28T00:00:00"/>
    <s v="Standard Class"/>
    <x v="613"/>
    <s v="Eleni McCrary"/>
    <x v="1"/>
    <s v="United States"/>
    <s v="New York City"/>
    <x v="15"/>
    <n v="10009"/>
    <x v="3"/>
    <x v="197"/>
    <x v="2"/>
    <x v="11"/>
    <x v="198"/>
    <x v="1766"/>
    <x v="6"/>
    <x v="1"/>
  </r>
  <r>
    <n v="3159"/>
    <x v="1566"/>
    <x v="253"/>
    <d v="2017-03-27T00:00:00"/>
    <s v="First Class"/>
    <x v="203"/>
    <s v="Dean Braden"/>
    <x v="0"/>
    <s v="United States"/>
    <s v="Jacksonville"/>
    <x v="3"/>
    <n v="28540"/>
    <x v="0"/>
    <x v="1036"/>
    <x v="1"/>
    <x v="4"/>
    <x v="1026"/>
    <x v="2503"/>
    <x v="10"/>
    <x v="0"/>
  </r>
  <r>
    <n v="3160"/>
    <x v="1566"/>
    <x v="253"/>
    <d v="2017-03-27T00:00:00"/>
    <s v="First Class"/>
    <x v="203"/>
    <s v="Dean Braden"/>
    <x v="0"/>
    <s v="United States"/>
    <s v="Jacksonville"/>
    <x v="3"/>
    <n v="28540"/>
    <x v="0"/>
    <x v="959"/>
    <x v="2"/>
    <x v="11"/>
    <x v="952"/>
    <x v="2435"/>
    <x v="10"/>
    <x v="0"/>
  </r>
  <r>
    <n v="3161"/>
    <x v="1567"/>
    <x v="171"/>
    <d v="2015-09-16T00:00:00"/>
    <s v="Second Class"/>
    <x v="690"/>
    <s v="Pete Takahito"/>
    <x v="0"/>
    <s v="United States"/>
    <s v="Houston"/>
    <x v="5"/>
    <n v="77070"/>
    <x v="2"/>
    <x v="1499"/>
    <x v="1"/>
    <x v="8"/>
    <x v="1487"/>
    <x v="2504"/>
    <x v="8"/>
    <x v="2"/>
  </r>
  <r>
    <n v="3162"/>
    <x v="1568"/>
    <x v="158"/>
    <d v="2015-09-25T00:00:00"/>
    <s v="Standard Class"/>
    <x v="520"/>
    <s v="Herbert Flentye"/>
    <x v="0"/>
    <s v="United States"/>
    <s v="San Francisco"/>
    <x v="1"/>
    <n v="94109"/>
    <x v="1"/>
    <x v="837"/>
    <x v="1"/>
    <x v="12"/>
    <x v="153"/>
    <x v="2505"/>
    <x v="8"/>
    <x v="2"/>
  </r>
  <r>
    <n v="3163"/>
    <x v="1568"/>
    <x v="158"/>
    <d v="2015-09-25T00:00:00"/>
    <s v="Standard Class"/>
    <x v="520"/>
    <s v="Herbert Flentye"/>
    <x v="0"/>
    <s v="United States"/>
    <s v="San Francisco"/>
    <x v="1"/>
    <n v="94109"/>
    <x v="1"/>
    <x v="1358"/>
    <x v="1"/>
    <x v="12"/>
    <x v="1344"/>
    <x v="2506"/>
    <x v="8"/>
    <x v="2"/>
  </r>
  <r>
    <n v="3164"/>
    <x v="1568"/>
    <x v="158"/>
    <d v="2015-09-25T00:00:00"/>
    <s v="Standard Class"/>
    <x v="520"/>
    <s v="Herbert Flentye"/>
    <x v="0"/>
    <s v="United States"/>
    <s v="San Francisco"/>
    <x v="1"/>
    <n v="94109"/>
    <x v="1"/>
    <x v="1500"/>
    <x v="1"/>
    <x v="6"/>
    <x v="1488"/>
    <x v="423"/>
    <x v="8"/>
    <x v="2"/>
  </r>
  <r>
    <n v="3165"/>
    <x v="1568"/>
    <x v="158"/>
    <d v="2015-09-25T00:00:00"/>
    <s v="Standard Class"/>
    <x v="520"/>
    <s v="Herbert Flentye"/>
    <x v="0"/>
    <s v="United States"/>
    <s v="San Francisco"/>
    <x v="1"/>
    <n v="94109"/>
    <x v="1"/>
    <x v="1450"/>
    <x v="1"/>
    <x v="10"/>
    <x v="1437"/>
    <x v="1782"/>
    <x v="8"/>
    <x v="2"/>
  </r>
  <r>
    <n v="3166"/>
    <x v="1568"/>
    <x v="158"/>
    <d v="2015-09-25T00:00:00"/>
    <s v="Standard Class"/>
    <x v="520"/>
    <s v="Herbert Flentye"/>
    <x v="0"/>
    <s v="United States"/>
    <s v="San Francisco"/>
    <x v="1"/>
    <n v="94109"/>
    <x v="1"/>
    <x v="1501"/>
    <x v="2"/>
    <x v="7"/>
    <x v="1489"/>
    <x v="2507"/>
    <x v="8"/>
    <x v="2"/>
  </r>
  <r>
    <n v="3167"/>
    <x v="1568"/>
    <x v="158"/>
    <d v="2015-09-25T00:00:00"/>
    <s v="Standard Class"/>
    <x v="520"/>
    <s v="Herbert Flentye"/>
    <x v="0"/>
    <s v="United States"/>
    <s v="San Francisco"/>
    <x v="1"/>
    <n v="94109"/>
    <x v="1"/>
    <x v="1408"/>
    <x v="1"/>
    <x v="10"/>
    <x v="1395"/>
    <x v="2508"/>
    <x v="8"/>
    <x v="2"/>
  </r>
  <r>
    <n v="3168"/>
    <x v="1569"/>
    <x v="517"/>
    <d v="2017-10-31T00:00:00"/>
    <s v="First Class"/>
    <x v="147"/>
    <s v="Katrina Willman"/>
    <x v="0"/>
    <s v="United States"/>
    <s v="Lansing"/>
    <x v="12"/>
    <n v="48911"/>
    <x v="2"/>
    <x v="278"/>
    <x v="0"/>
    <x v="5"/>
    <x v="278"/>
    <x v="2509"/>
    <x v="2"/>
    <x v="0"/>
  </r>
  <r>
    <n v="3169"/>
    <x v="1570"/>
    <x v="316"/>
    <d v="2017-06-03T00:00:00"/>
    <s v="Standard Class"/>
    <x v="169"/>
    <s v="Kimberly Carter"/>
    <x v="1"/>
    <s v="United States"/>
    <s v="Tallahassee"/>
    <x v="2"/>
    <n v="32303"/>
    <x v="0"/>
    <x v="1225"/>
    <x v="0"/>
    <x v="1"/>
    <x v="1209"/>
    <x v="2510"/>
    <x v="5"/>
    <x v="0"/>
  </r>
  <r>
    <n v="3170"/>
    <x v="1570"/>
    <x v="316"/>
    <d v="2017-06-03T00:00:00"/>
    <s v="Standard Class"/>
    <x v="169"/>
    <s v="Kimberly Carter"/>
    <x v="1"/>
    <s v="United States"/>
    <s v="Tallahassee"/>
    <x v="2"/>
    <n v="32303"/>
    <x v="0"/>
    <x v="457"/>
    <x v="1"/>
    <x v="10"/>
    <x v="458"/>
    <x v="2511"/>
    <x v="5"/>
    <x v="0"/>
  </r>
  <r>
    <n v="3171"/>
    <x v="1571"/>
    <x v="202"/>
    <d v="2018-12-26T00:00:00"/>
    <s v="Second Class"/>
    <x v="7"/>
    <s v="Pete Kriz"/>
    <x v="0"/>
    <s v="United States"/>
    <s v="Columbia"/>
    <x v="20"/>
    <n v="29203"/>
    <x v="0"/>
    <x v="1406"/>
    <x v="1"/>
    <x v="8"/>
    <x v="1393"/>
    <x v="1680"/>
    <x v="4"/>
    <x v="3"/>
  </r>
  <r>
    <n v="3172"/>
    <x v="1572"/>
    <x v="844"/>
    <d v="2017-03-28T00:00:00"/>
    <s v="Standard Class"/>
    <x v="446"/>
    <s v="Kean Takahito"/>
    <x v="0"/>
    <s v="United States"/>
    <s v="Chicago"/>
    <x v="10"/>
    <n v="60623"/>
    <x v="2"/>
    <x v="741"/>
    <x v="1"/>
    <x v="8"/>
    <x v="739"/>
    <x v="754"/>
    <x v="10"/>
    <x v="0"/>
  </r>
  <r>
    <n v="3173"/>
    <x v="1572"/>
    <x v="844"/>
    <d v="2017-03-28T00:00:00"/>
    <s v="Standard Class"/>
    <x v="446"/>
    <s v="Kean Takahito"/>
    <x v="0"/>
    <s v="United States"/>
    <s v="Chicago"/>
    <x v="10"/>
    <n v="60623"/>
    <x v="2"/>
    <x v="662"/>
    <x v="0"/>
    <x v="1"/>
    <x v="662"/>
    <x v="2512"/>
    <x v="10"/>
    <x v="0"/>
  </r>
  <r>
    <n v="3174"/>
    <x v="1572"/>
    <x v="844"/>
    <d v="2017-03-28T00:00:00"/>
    <s v="Standard Class"/>
    <x v="446"/>
    <s v="Kean Takahito"/>
    <x v="0"/>
    <s v="United States"/>
    <s v="Chicago"/>
    <x v="10"/>
    <n v="60623"/>
    <x v="2"/>
    <x v="1260"/>
    <x v="1"/>
    <x v="6"/>
    <x v="1244"/>
    <x v="2513"/>
    <x v="10"/>
    <x v="0"/>
  </r>
  <r>
    <n v="3175"/>
    <x v="1573"/>
    <x v="343"/>
    <d v="2018-11-18T00:00:00"/>
    <s v="Standard Class"/>
    <x v="212"/>
    <s v="Emily Phan"/>
    <x v="0"/>
    <s v="United States"/>
    <s v="Detroit"/>
    <x v="12"/>
    <n v="48227"/>
    <x v="2"/>
    <x v="1502"/>
    <x v="1"/>
    <x v="6"/>
    <x v="1490"/>
    <x v="2514"/>
    <x v="0"/>
    <x v="3"/>
  </r>
  <r>
    <n v="3176"/>
    <x v="1574"/>
    <x v="397"/>
    <d v="2018-09-29T00:00:00"/>
    <s v="Standard Class"/>
    <x v="275"/>
    <s v="Arthur Prichep"/>
    <x v="0"/>
    <s v="United States"/>
    <s v="Fort Collins"/>
    <x v="22"/>
    <n v="80525"/>
    <x v="1"/>
    <x v="789"/>
    <x v="0"/>
    <x v="0"/>
    <x v="787"/>
    <x v="2515"/>
    <x v="8"/>
    <x v="3"/>
  </r>
  <r>
    <n v="3177"/>
    <x v="1574"/>
    <x v="397"/>
    <d v="2018-09-29T00:00:00"/>
    <s v="Standard Class"/>
    <x v="275"/>
    <s v="Arthur Prichep"/>
    <x v="0"/>
    <s v="United States"/>
    <s v="Fort Collins"/>
    <x v="22"/>
    <n v="80525"/>
    <x v="1"/>
    <x v="1048"/>
    <x v="2"/>
    <x v="11"/>
    <x v="1037"/>
    <x v="730"/>
    <x v="8"/>
    <x v="3"/>
  </r>
  <r>
    <n v="3178"/>
    <x v="1575"/>
    <x v="18"/>
    <d v="2018-09-10T00:00:00"/>
    <s v="Same Day"/>
    <x v="129"/>
    <s v="Shahid Hopkins"/>
    <x v="0"/>
    <s v="United States"/>
    <s v="New York City"/>
    <x v="15"/>
    <n v="10024"/>
    <x v="3"/>
    <x v="945"/>
    <x v="1"/>
    <x v="10"/>
    <x v="938"/>
    <x v="2516"/>
    <x v="8"/>
    <x v="3"/>
  </r>
  <r>
    <n v="3179"/>
    <x v="1576"/>
    <x v="256"/>
    <d v="2018-12-11T00:00:00"/>
    <s v="Standard Class"/>
    <x v="416"/>
    <s v="Suzanne McNair"/>
    <x v="1"/>
    <s v="United States"/>
    <s v="New York City"/>
    <x v="15"/>
    <n v="10011"/>
    <x v="3"/>
    <x v="5"/>
    <x v="0"/>
    <x v="5"/>
    <x v="5"/>
    <x v="167"/>
    <x v="4"/>
    <x v="3"/>
  </r>
  <r>
    <n v="3180"/>
    <x v="1576"/>
    <x v="256"/>
    <d v="2018-12-11T00:00:00"/>
    <s v="Standard Class"/>
    <x v="416"/>
    <s v="Suzanne McNair"/>
    <x v="1"/>
    <s v="United States"/>
    <s v="New York City"/>
    <x v="15"/>
    <n v="10011"/>
    <x v="3"/>
    <x v="138"/>
    <x v="0"/>
    <x v="5"/>
    <x v="139"/>
    <x v="2517"/>
    <x v="4"/>
    <x v="3"/>
  </r>
  <r>
    <n v="3181"/>
    <x v="1576"/>
    <x v="256"/>
    <d v="2018-12-11T00:00:00"/>
    <s v="Standard Class"/>
    <x v="416"/>
    <s v="Suzanne McNair"/>
    <x v="1"/>
    <s v="United States"/>
    <s v="New York City"/>
    <x v="15"/>
    <n v="10011"/>
    <x v="3"/>
    <x v="473"/>
    <x v="1"/>
    <x v="9"/>
    <x v="474"/>
    <x v="2518"/>
    <x v="4"/>
    <x v="3"/>
  </r>
  <r>
    <n v="3182"/>
    <x v="1577"/>
    <x v="45"/>
    <d v="2018-11-12T00:00:00"/>
    <s v="Second Class"/>
    <x v="312"/>
    <s v="Brian Moss"/>
    <x v="1"/>
    <s v="United States"/>
    <s v="Columbia"/>
    <x v="39"/>
    <n v="21044"/>
    <x v="3"/>
    <x v="544"/>
    <x v="1"/>
    <x v="8"/>
    <x v="544"/>
    <x v="1313"/>
    <x v="0"/>
    <x v="3"/>
  </r>
  <r>
    <n v="3183"/>
    <x v="1577"/>
    <x v="45"/>
    <d v="2018-11-12T00:00:00"/>
    <s v="Second Class"/>
    <x v="312"/>
    <s v="Brian Moss"/>
    <x v="1"/>
    <s v="United States"/>
    <s v="Columbia"/>
    <x v="39"/>
    <n v="21044"/>
    <x v="3"/>
    <x v="717"/>
    <x v="2"/>
    <x v="11"/>
    <x v="716"/>
    <x v="2519"/>
    <x v="0"/>
    <x v="3"/>
  </r>
  <r>
    <n v="3184"/>
    <x v="1577"/>
    <x v="45"/>
    <d v="2018-11-12T00:00:00"/>
    <s v="Second Class"/>
    <x v="312"/>
    <s v="Brian Moss"/>
    <x v="1"/>
    <s v="United States"/>
    <s v="Columbia"/>
    <x v="39"/>
    <n v="21044"/>
    <x v="3"/>
    <x v="245"/>
    <x v="1"/>
    <x v="4"/>
    <x v="246"/>
    <x v="2520"/>
    <x v="0"/>
    <x v="3"/>
  </r>
  <r>
    <n v="3185"/>
    <x v="1577"/>
    <x v="45"/>
    <d v="2018-11-12T00:00:00"/>
    <s v="Second Class"/>
    <x v="312"/>
    <s v="Brian Moss"/>
    <x v="1"/>
    <s v="United States"/>
    <s v="Columbia"/>
    <x v="39"/>
    <n v="21044"/>
    <x v="3"/>
    <x v="245"/>
    <x v="1"/>
    <x v="4"/>
    <x v="246"/>
    <x v="2521"/>
    <x v="0"/>
    <x v="3"/>
  </r>
  <r>
    <n v="3186"/>
    <x v="1578"/>
    <x v="845"/>
    <d v="2015-11-09T00:00:00"/>
    <s v="First Class"/>
    <x v="568"/>
    <s v="Tamara Chand"/>
    <x v="1"/>
    <s v="United States"/>
    <s v="Houston"/>
    <x v="5"/>
    <n v="77041"/>
    <x v="2"/>
    <x v="1311"/>
    <x v="1"/>
    <x v="8"/>
    <x v="1297"/>
    <x v="2522"/>
    <x v="0"/>
    <x v="2"/>
  </r>
  <r>
    <n v="3187"/>
    <x v="1578"/>
    <x v="845"/>
    <d v="2015-11-09T00:00:00"/>
    <s v="First Class"/>
    <x v="568"/>
    <s v="Tamara Chand"/>
    <x v="1"/>
    <s v="United States"/>
    <s v="Houston"/>
    <x v="5"/>
    <n v="77041"/>
    <x v="2"/>
    <x v="1503"/>
    <x v="1"/>
    <x v="12"/>
    <x v="153"/>
    <x v="1339"/>
    <x v="0"/>
    <x v="2"/>
  </r>
  <r>
    <n v="3188"/>
    <x v="1579"/>
    <x v="846"/>
    <d v="2018-03-17T00:00:00"/>
    <s v="Standard Class"/>
    <x v="10"/>
    <s v="Ken Black"/>
    <x v="1"/>
    <s v="United States"/>
    <s v="Lowell"/>
    <x v="31"/>
    <n v="1852"/>
    <x v="3"/>
    <x v="857"/>
    <x v="2"/>
    <x v="7"/>
    <x v="851"/>
    <x v="1546"/>
    <x v="10"/>
    <x v="3"/>
  </r>
  <r>
    <n v="3189"/>
    <x v="1580"/>
    <x v="179"/>
    <d v="2018-10-22T00:00:00"/>
    <s v="Second Class"/>
    <x v="68"/>
    <s v="Justin Ellison"/>
    <x v="1"/>
    <s v="United States"/>
    <s v="Woodland"/>
    <x v="1"/>
    <n v="95695"/>
    <x v="1"/>
    <x v="1171"/>
    <x v="1"/>
    <x v="2"/>
    <x v="1157"/>
    <x v="1398"/>
    <x v="2"/>
    <x v="3"/>
  </r>
  <r>
    <n v="3190"/>
    <x v="1580"/>
    <x v="179"/>
    <d v="2018-10-22T00:00:00"/>
    <s v="Second Class"/>
    <x v="68"/>
    <s v="Justin Ellison"/>
    <x v="1"/>
    <s v="United States"/>
    <s v="Woodland"/>
    <x v="1"/>
    <n v="95695"/>
    <x v="1"/>
    <x v="1504"/>
    <x v="1"/>
    <x v="8"/>
    <x v="1491"/>
    <x v="2523"/>
    <x v="2"/>
    <x v="3"/>
  </r>
  <r>
    <n v="3191"/>
    <x v="1581"/>
    <x v="17"/>
    <d v="2017-01-01T00:00:00"/>
    <s v="Standard Class"/>
    <x v="660"/>
    <s v="Daniel Raglin"/>
    <x v="2"/>
    <s v="United States"/>
    <s v="Chicago"/>
    <x v="10"/>
    <n v="60610"/>
    <x v="2"/>
    <x v="1505"/>
    <x v="1"/>
    <x v="4"/>
    <x v="1492"/>
    <x v="2485"/>
    <x v="4"/>
    <x v="1"/>
  </r>
  <r>
    <n v="3192"/>
    <x v="1582"/>
    <x v="280"/>
    <d v="2018-10-08T00:00:00"/>
    <s v="Standard Class"/>
    <x v="338"/>
    <s v="Rob Williams"/>
    <x v="1"/>
    <s v="United States"/>
    <s v="New York City"/>
    <x v="15"/>
    <n v="10035"/>
    <x v="3"/>
    <x v="803"/>
    <x v="2"/>
    <x v="7"/>
    <x v="801"/>
    <x v="767"/>
    <x v="2"/>
    <x v="3"/>
  </r>
  <r>
    <n v="3193"/>
    <x v="1583"/>
    <x v="400"/>
    <d v="2018-06-08T00:00:00"/>
    <s v="Standard Class"/>
    <x v="614"/>
    <s v="Michelle Lonsdale"/>
    <x v="1"/>
    <s v="United States"/>
    <s v="Missouri City"/>
    <x v="5"/>
    <n v="77489"/>
    <x v="2"/>
    <x v="248"/>
    <x v="1"/>
    <x v="8"/>
    <x v="249"/>
    <x v="2524"/>
    <x v="1"/>
    <x v="3"/>
  </r>
  <r>
    <n v="3194"/>
    <x v="1584"/>
    <x v="416"/>
    <d v="2015-09-04T00:00:00"/>
    <s v="First Class"/>
    <x v="691"/>
    <s v="Jack Lebron"/>
    <x v="0"/>
    <s v="United States"/>
    <s v="Houston"/>
    <x v="5"/>
    <n v="77036"/>
    <x v="2"/>
    <x v="525"/>
    <x v="1"/>
    <x v="8"/>
    <x v="525"/>
    <x v="581"/>
    <x v="8"/>
    <x v="2"/>
  </r>
  <r>
    <n v="3195"/>
    <x v="1584"/>
    <x v="416"/>
    <d v="2015-09-04T00:00:00"/>
    <s v="First Class"/>
    <x v="691"/>
    <s v="Jack Lebron"/>
    <x v="0"/>
    <s v="United States"/>
    <s v="Houston"/>
    <x v="5"/>
    <n v="77036"/>
    <x v="2"/>
    <x v="260"/>
    <x v="1"/>
    <x v="10"/>
    <x v="260"/>
    <x v="276"/>
    <x v="8"/>
    <x v="2"/>
  </r>
  <r>
    <n v="3196"/>
    <x v="1585"/>
    <x v="590"/>
    <d v="2017-08-13T00:00:00"/>
    <s v="Standard Class"/>
    <x v="475"/>
    <s v="Corinna Mitchell"/>
    <x v="2"/>
    <s v="United States"/>
    <s v="Jackson"/>
    <x v="35"/>
    <n v="39212"/>
    <x v="0"/>
    <x v="1506"/>
    <x v="1"/>
    <x v="13"/>
    <x v="1493"/>
    <x v="1005"/>
    <x v="6"/>
    <x v="0"/>
  </r>
  <r>
    <n v="3197"/>
    <x v="1586"/>
    <x v="847"/>
    <d v="2018-07-28T00:00:00"/>
    <s v="Standard Class"/>
    <x v="92"/>
    <s v="Fred Hopkins"/>
    <x v="1"/>
    <s v="United States"/>
    <s v="New York City"/>
    <x v="15"/>
    <n v="10009"/>
    <x v="3"/>
    <x v="312"/>
    <x v="2"/>
    <x v="7"/>
    <x v="312"/>
    <x v="2030"/>
    <x v="7"/>
    <x v="3"/>
  </r>
  <r>
    <n v="3198"/>
    <x v="1587"/>
    <x v="848"/>
    <d v="2016-07-10T00:00:00"/>
    <s v="Same Day"/>
    <x v="13"/>
    <s v="Eric Hoffmann"/>
    <x v="0"/>
    <s v="United States"/>
    <s v="Tempe"/>
    <x v="16"/>
    <n v="85281"/>
    <x v="1"/>
    <x v="1390"/>
    <x v="1"/>
    <x v="8"/>
    <x v="1376"/>
    <x v="2525"/>
    <x v="7"/>
    <x v="1"/>
  </r>
  <r>
    <n v="3199"/>
    <x v="1588"/>
    <x v="588"/>
    <d v="2015-12-07T00:00:00"/>
    <s v="Standard Class"/>
    <x v="509"/>
    <s v="Toby Braunhardt"/>
    <x v="0"/>
    <s v="United States"/>
    <s v="Jacksonville"/>
    <x v="3"/>
    <n v="28540"/>
    <x v="0"/>
    <x v="1507"/>
    <x v="2"/>
    <x v="7"/>
    <x v="1494"/>
    <x v="1651"/>
    <x v="4"/>
    <x v="2"/>
  </r>
  <r>
    <n v="3200"/>
    <x v="1589"/>
    <x v="404"/>
    <d v="2018-12-22T00:00:00"/>
    <s v="Standard Class"/>
    <x v="692"/>
    <s v="Aaron Hawkins"/>
    <x v="1"/>
    <s v="United States"/>
    <s v="Philadelphia"/>
    <x v="9"/>
    <n v="19134"/>
    <x v="3"/>
    <x v="1412"/>
    <x v="1"/>
    <x v="6"/>
    <x v="1399"/>
    <x v="2526"/>
    <x v="4"/>
    <x v="3"/>
  </r>
  <r>
    <n v="3201"/>
    <x v="1590"/>
    <x v="598"/>
    <d v="2015-05-20T00:00:00"/>
    <s v="Second Class"/>
    <x v="74"/>
    <s v="Ted Trevino"/>
    <x v="0"/>
    <s v="United States"/>
    <s v="Akron"/>
    <x v="24"/>
    <n v="44312"/>
    <x v="3"/>
    <x v="1292"/>
    <x v="0"/>
    <x v="5"/>
    <x v="1278"/>
    <x v="2527"/>
    <x v="5"/>
    <x v="2"/>
  </r>
  <r>
    <n v="3202"/>
    <x v="1590"/>
    <x v="598"/>
    <d v="2015-05-20T00:00:00"/>
    <s v="Second Class"/>
    <x v="74"/>
    <s v="Ted Trevino"/>
    <x v="0"/>
    <s v="United States"/>
    <s v="Akron"/>
    <x v="24"/>
    <n v="44312"/>
    <x v="3"/>
    <x v="1050"/>
    <x v="1"/>
    <x v="10"/>
    <x v="1039"/>
    <x v="795"/>
    <x v="5"/>
    <x v="2"/>
  </r>
  <r>
    <n v="3203"/>
    <x v="1591"/>
    <x v="849"/>
    <d v="2015-11-16T00:00:00"/>
    <s v="Standard Class"/>
    <x v="76"/>
    <s v="Ruben Dartt"/>
    <x v="0"/>
    <s v="United States"/>
    <s v="San Diego"/>
    <x v="1"/>
    <n v="92037"/>
    <x v="1"/>
    <x v="539"/>
    <x v="2"/>
    <x v="7"/>
    <x v="539"/>
    <x v="2262"/>
    <x v="0"/>
    <x v="2"/>
  </r>
  <r>
    <n v="3204"/>
    <x v="1591"/>
    <x v="849"/>
    <d v="2015-11-16T00:00:00"/>
    <s v="Standard Class"/>
    <x v="76"/>
    <s v="Ruben Dartt"/>
    <x v="0"/>
    <s v="United States"/>
    <s v="San Diego"/>
    <x v="1"/>
    <n v="92037"/>
    <x v="1"/>
    <x v="916"/>
    <x v="2"/>
    <x v="11"/>
    <x v="908"/>
    <x v="2528"/>
    <x v="0"/>
    <x v="2"/>
  </r>
  <r>
    <n v="3205"/>
    <x v="1591"/>
    <x v="849"/>
    <d v="2015-11-16T00:00:00"/>
    <s v="Standard Class"/>
    <x v="76"/>
    <s v="Ruben Dartt"/>
    <x v="0"/>
    <s v="United States"/>
    <s v="San Diego"/>
    <x v="1"/>
    <n v="92037"/>
    <x v="1"/>
    <x v="63"/>
    <x v="0"/>
    <x v="5"/>
    <x v="63"/>
    <x v="1143"/>
    <x v="0"/>
    <x v="2"/>
  </r>
  <r>
    <n v="3206"/>
    <x v="1591"/>
    <x v="849"/>
    <d v="2015-11-16T00:00:00"/>
    <s v="Standard Class"/>
    <x v="76"/>
    <s v="Ruben Dartt"/>
    <x v="0"/>
    <s v="United States"/>
    <s v="San Diego"/>
    <x v="1"/>
    <n v="92037"/>
    <x v="1"/>
    <x v="565"/>
    <x v="1"/>
    <x v="10"/>
    <x v="565"/>
    <x v="2529"/>
    <x v="0"/>
    <x v="2"/>
  </r>
  <r>
    <n v="3207"/>
    <x v="1591"/>
    <x v="849"/>
    <d v="2015-11-16T00:00:00"/>
    <s v="Standard Class"/>
    <x v="76"/>
    <s v="Ruben Dartt"/>
    <x v="0"/>
    <s v="United States"/>
    <s v="San Diego"/>
    <x v="1"/>
    <n v="92037"/>
    <x v="1"/>
    <x v="882"/>
    <x v="0"/>
    <x v="5"/>
    <x v="876"/>
    <x v="2530"/>
    <x v="0"/>
    <x v="2"/>
  </r>
  <r>
    <n v="3208"/>
    <x v="1591"/>
    <x v="849"/>
    <d v="2015-11-16T00:00:00"/>
    <s v="Standard Class"/>
    <x v="76"/>
    <s v="Ruben Dartt"/>
    <x v="0"/>
    <s v="United States"/>
    <s v="San Diego"/>
    <x v="1"/>
    <n v="92037"/>
    <x v="1"/>
    <x v="1508"/>
    <x v="1"/>
    <x v="2"/>
    <x v="1495"/>
    <x v="2531"/>
    <x v="0"/>
    <x v="2"/>
  </r>
  <r>
    <n v="3209"/>
    <x v="1592"/>
    <x v="850"/>
    <d v="2017-01-15T00:00:00"/>
    <s v="Standard Class"/>
    <x v="156"/>
    <s v="Laura Armstrong"/>
    <x v="1"/>
    <s v="United States"/>
    <s v="Fresno"/>
    <x v="1"/>
    <n v="93727"/>
    <x v="1"/>
    <x v="1509"/>
    <x v="2"/>
    <x v="11"/>
    <x v="1496"/>
    <x v="2532"/>
    <x v="9"/>
    <x v="0"/>
  </r>
  <r>
    <n v="3210"/>
    <x v="1592"/>
    <x v="850"/>
    <d v="2017-01-15T00:00:00"/>
    <s v="Standard Class"/>
    <x v="156"/>
    <s v="Laura Armstrong"/>
    <x v="1"/>
    <s v="United States"/>
    <s v="Fresno"/>
    <x v="1"/>
    <n v="93727"/>
    <x v="1"/>
    <x v="66"/>
    <x v="2"/>
    <x v="7"/>
    <x v="66"/>
    <x v="2533"/>
    <x v="9"/>
    <x v="0"/>
  </r>
  <r>
    <n v="3211"/>
    <x v="1593"/>
    <x v="585"/>
    <d v="2018-09-27T00:00:00"/>
    <s v="Standard Class"/>
    <x v="64"/>
    <s v="Sally Hughsby"/>
    <x v="1"/>
    <s v="United States"/>
    <s v="Pearland"/>
    <x v="5"/>
    <n v="77581"/>
    <x v="2"/>
    <x v="407"/>
    <x v="1"/>
    <x v="12"/>
    <x v="153"/>
    <x v="2513"/>
    <x v="8"/>
    <x v="3"/>
  </r>
  <r>
    <n v="3212"/>
    <x v="1593"/>
    <x v="585"/>
    <d v="2018-09-27T00:00:00"/>
    <s v="Standard Class"/>
    <x v="64"/>
    <s v="Sally Hughsby"/>
    <x v="1"/>
    <s v="United States"/>
    <s v="Pearland"/>
    <x v="5"/>
    <n v="77581"/>
    <x v="2"/>
    <x v="385"/>
    <x v="1"/>
    <x v="8"/>
    <x v="386"/>
    <x v="2534"/>
    <x v="8"/>
    <x v="3"/>
  </r>
  <r>
    <n v="3213"/>
    <x v="1594"/>
    <x v="851"/>
    <d v="2015-12-28T00:00:00"/>
    <s v="Standard Class"/>
    <x v="227"/>
    <s v="Sarah Foster"/>
    <x v="0"/>
    <s v="United States"/>
    <s v="Richmond"/>
    <x v="14"/>
    <n v="47374"/>
    <x v="2"/>
    <x v="551"/>
    <x v="1"/>
    <x v="9"/>
    <x v="550"/>
    <x v="2535"/>
    <x v="4"/>
    <x v="2"/>
  </r>
  <r>
    <n v="3214"/>
    <x v="1595"/>
    <x v="439"/>
    <d v="2017-06-01T00:00:00"/>
    <s v="Standard Class"/>
    <x v="260"/>
    <s v="Tiffany House"/>
    <x v="1"/>
    <s v="United States"/>
    <s v="Philadelphia"/>
    <x v="9"/>
    <n v="19134"/>
    <x v="3"/>
    <x v="868"/>
    <x v="1"/>
    <x v="6"/>
    <x v="862"/>
    <x v="2536"/>
    <x v="5"/>
    <x v="0"/>
  </r>
  <r>
    <n v="3215"/>
    <x v="1595"/>
    <x v="439"/>
    <d v="2017-06-01T00:00:00"/>
    <s v="Standard Class"/>
    <x v="260"/>
    <s v="Tiffany House"/>
    <x v="1"/>
    <s v="United States"/>
    <s v="Philadelphia"/>
    <x v="9"/>
    <n v="19134"/>
    <x v="3"/>
    <x v="1112"/>
    <x v="1"/>
    <x v="9"/>
    <x v="1101"/>
    <x v="1487"/>
    <x v="5"/>
    <x v="0"/>
  </r>
  <r>
    <n v="3216"/>
    <x v="1596"/>
    <x v="141"/>
    <d v="2018-07-10T00:00:00"/>
    <s v="First Class"/>
    <x v="364"/>
    <s v="Vivek Gonzalez"/>
    <x v="0"/>
    <s v="United States"/>
    <s v="San Mateo"/>
    <x v="1"/>
    <n v="94403"/>
    <x v="1"/>
    <x v="49"/>
    <x v="1"/>
    <x v="2"/>
    <x v="49"/>
    <x v="50"/>
    <x v="7"/>
    <x v="3"/>
  </r>
  <r>
    <n v="3217"/>
    <x v="1597"/>
    <x v="8"/>
    <d v="2015-05-17T00:00:00"/>
    <s v="Standard Class"/>
    <x v="268"/>
    <s v="Naresj Patel"/>
    <x v="0"/>
    <s v="United States"/>
    <s v="Oakland"/>
    <x v="1"/>
    <n v="94601"/>
    <x v="1"/>
    <x v="1233"/>
    <x v="2"/>
    <x v="11"/>
    <x v="1216"/>
    <x v="145"/>
    <x v="5"/>
    <x v="2"/>
  </r>
  <r>
    <n v="3218"/>
    <x v="1598"/>
    <x v="468"/>
    <d v="2018-11-16T00:00:00"/>
    <s v="Standard Class"/>
    <x v="395"/>
    <s v="Frank Hawley"/>
    <x v="1"/>
    <s v="United States"/>
    <s v="New York City"/>
    <x v="15"/>
    <n v="10024"/>
    <x v="3"/>
    <x v="760"/>
    <x v="1"/>
    <x v="8"/>
    <x v="758"/>
    <x v="2537"/>
    <x v="0"/>
    <x v="3"/>
  </r>
  <r>
    <n v="3219"/>
    <x v="1598"/>
    <x v="468"/>
    <d v="2018-11-16T00:00:00"/>
    <s v="Standard Class"/>
    <x v="395"/>
    <s v="Frank Hawley"/>
    <x v="1"/>
    <s v="United States"/>
    <s v="New York City"/>
    <x v="15"/>
    <n v="10024"/>
    <x v="3"/>
    <x v="883"/>
    <x v="2"/>
    <x v="7"/>
    <x v="1480"/>
    <x v="2538"/>
    <x v="0"/>
    <x v="3"/>
  </r>
  <r>
    <n v="3220"/>
    <x v="1599"/>
    <x v="653"/>
    <d v="2016-10-08T00:00:00"/>
    <s v="Standard Class"/>
    <x v="687"/>
    <s v="Jennifer Patt"/>
    <x v="1"/>
    <s v="United States"/>
    <s v="Lakewood"/>
    <x v="30"/>
    <n v="8701"/>
    <x v="3"/>
    <x v="1237"/>
    <x v="1"/>
    <x v="10"/>
    <x v="1220"/>
    <x v="450"/>
    <x v="2"/>
    <x v="1"/>
  </r>
  <r>
    <n v="3221"/>
    <x v="1599"/>
    <x v="653"/>
    <d v="2016-10-08T00:00:00"/>
    <s v="Standard Class"/>
    <x v="687"/>
    <s v="Jennifer Patt"/>
    <x v="1"/>
    <s v="United States"/>
    <s v="Lakewood"/>
    <x v="30"/>
    <n v="8701"/>
    <x v="3"/>
    <x v="118"/>
    <x v="1"/>
    <x v="12"/>
    <x v="118"/>
    <x v="2539"/>
    <x v="2"/>
    <x v="1"/>
  </r>
  <r>
    <n v="3222"/>
    <x v="1599"/>
    <x v="653"/>
    <d v="2016-10-08T00:00:00"/>
    <s v="Standard Class"/>
    <x v="687"/>
    <s v="Jennifer Patt"/>
    <x v="1"/>
    <s v="United States"/>
    <s v="Lakewood"/>
    <x v="30"/>
    <n v="8701"/>
    <x v="3"/>
    <x v="293"/>
    <x v="2"/>
    <x v="11"/>
    <x v="293"/>
    <x v="2540"/>
    <x v="2"/>
    <x v="1"/>
  </r>
  <r>
    <n v="3223"/>
    <x v="1600"/>
    <x v="852"/>
    <d v="2015-10-05T00:00:00"/>
    <s v="First Class"/>
    <x v="20"/>
    <s v="Erin Smith"/>
    <x v="1"/>
    <s v="United States"/>
    <s v="Tempe"/>
    <x v="16"/>
    <n v="85281"/>
    <x v="1"/>
    <x v="1017"/>
    <x v="1"/>
    <x v="10"/>
    <x v="1008"/>
    <x v="2541"/>
    <x v="2"/>
    <x v="2"/>
  </r>
  <r>
    <n v="3224"/>
    <x v="1600"/>
    <x v="852"/>
    <d v="2015-10-05T00:00:00"/>
    <s v="First Class"/>
    <x v="20"/>
    <s v="Erin Smith"/>
    <x v="1"/>
    <s v="United States"/>
    <s v="Tempe"/>
    <x v="16"/>
    <n v="85281"/>
    <x v="1"/>
    <x v="848"/>
    <x v="1"/>
    <x v="13"/>
    <x v="128"/>
    <x v="1081"/>
    <x v="2"/>
    <x v="2"/>
  </r>
  <r>
    <n v="3225"/>
    <x v="1600"/>
    <x v="852"/>
    <d v="2015-10-05T00:00:00"/>
    <s v="First Class"/>
    <x v="20"/>
    <s v="Erin Smith"/>
    <x v="1"/>
    <s v="United States"/>
    <s v="Tempe"/>
    <x v="16"/>
    <n v="85281"/>
    <x v="1"/>
    <x v="256"/>
    <x v="2"/>
    <x v="7"/>
    <x v="257"/>
    <x v="2542"/>
    <x v="2"/>
    <x v="2"/>
  </r>
  <r>
    <n v="3226"/>
    <x v="1600"/>
    <x v="852"/>
    <d v="2015-10-05T00:00:00"/>
    <s v="First Class"/>
    <x v="20"/>
    <s v="Erin Smith"/>
    <x v="1"/>
    <s v="United States"/>
    <s v="Tempe"/>
    <x v="16"/>
    <n v="85281"/>
    <x v="1"/>
    <x v="1510"/>
    <x v="1"/>
    <x v="12"/>
    <x v="1497"/>
    <x v="2543"/>
    <x v="2"/>
    <x v="2"/>
  </r>
  <r>
    <n v="3227"/>
    <x v="1600"/>
    <x v="852"/>
    <d v="2015-10-05T00:00:00"/>
    <s v="First Class"/>
    <x v="20"/>
    <s v="Erin Smith"/>
    <x v="1"/>
    <s v="United States"/>
    <s v="Tempe"/>
    <x v="16"/>
    <n v="85281"/>
    <x v="1"/>
    <x v="1511"/>
    <x v="1"/>
    <x v="14"/>
    <x v="1498"/>
    <x v="2544"/>
    <x v="2"/>
    <x v="2"/>
  </r>
  <r>
    <n v="3228"/>
    <x v="1600"/>
    <x v="852"/>
    <d v="2015-10-05T00:00:00"/>
    <s v="First Class"/>
    <x v="20"/>
    <s v="Erin Smith"/>
    <x v="1"/>
    <s v="United States"/>
    <s v="Tempe"/>
    <x v="16"/>
    <n v="85281"/>
    <x v="1"/>
    <x v="664"/>
    <x v="2"/>
    <x v="7"/>
    <x v="664"/>
    <x v="84"/>
    <x v="2"/>
    <x v="2"/>
  </r>
  <r>
    <n v="3229"/>
    <x v="1600"/>
    <x v="852"/>
    <d v="2015-10-05T00:00:00"/>
    <s v="First Class"/>
    <x v="20"/>
    <s v="Erin Smith"/>
    <x v="1"/>
    <s v="United States"/>
    <s v="Tempe"/>
    <x v="16"/>
    <n v="85281"/>
    <x v="1"/>
    <x v="1044"/>
    <x v="2"/>
    <x v="11"/>
    <x v="1033"/>
    <x v="181"/>
    <x v="2"/>
    <x v="2"/>
  </r>
  <r>
    <n v="3230"/>
    <x v="1601"/>
    <x v="430"/>
    <d v="2015-08-16T00:00:00"/>
    <s v="Standard Class"/>
    <x v="107"/>
    <s v="Ken Lonsdale"/>
    <x v="0"/>
    <s v="United States"/>
    <s v="New York City"/>
    <x v="15"/>
    <n v="10035"/>
    <x v="3"/>
    <x v="458"/>
    <x v="1"/>
    <x v="4"/>
    <x v="459"/>
    <x v="2545"/>
    <x v="6"/>
    <x v="2"/>
  </r>
  <r>
    <n v="3231"/>
    <x v="1602"/>
    <x v="853"/>
    <d v="2018-09-05T00:00:00"/>
    <s v="Second Class"/>
    <x v="202"/>
    <s v="Bradley Nguyen"/>
    <x v="0"/>
    <s v="United States"/>
    <s v="New York City"/>
    <x v="15"/>
    <n v="10009"/>
    <x v="3"/>
    <x v="935"/>
    <x v="0"/>
    <x v="5"/>
    <x v="928"/>
    <x v="9"/>
    <x v="8"/>
    <x v="3"/>
  </r>
  <r>
    <n v="3232"/>
    <x v="1603"/>
    <x v="513"/>
    <d v="2018-04-22T00:00:00"/>
    <s v="Standard Class"/>
    <x v="444"/>
    <s v="Natalie DeCherney"/>
    <x v="0"/>
    <s v="United States"/>
    <s v="Houston"/>
    <x v="5"/>
    <n v="77095"/>
    <x v="2"/>
    <x v="1311"/>
    <x v="1"/>
    <x v="8"/>
    <x v="1297"/>
    <x v="2522"/>
    <x v="3"/>
    <x v="3"/>
  </r>
  <r>
    <n v="3233"/>
    <x v="1603"/>
    <x v="513"/>
    <d v="2018-04-22T00:00:00"/>
    <s v="Standard Class"/>
    <x v="444"/>
    <s v="Natalie DeCherney"/>
    <x v="0"/>
    <s v="United States"/>
    <s v="Houston"/>
    <x v="5"/>
    <n v="77095"/>
    <x v="2"/>
    <x v="497"/>
    <x v="1"/>
    <x v="8"/>
    <x v="497"/>
    <x v="1671"/>
    <x v="3"/>
    <x v="3"/>
  </r>
  <r>
    <n v="3234"/>
    <x v="1603"/>
    <x v="513"/>
    <d v="2018-04-22T00:00:00"/>
    <s v="Standard Class"/>
    <x v="444"/>
    <s v="Natalie DeCherney"/>
    <x v="0"/>
    <s v="United States"/>
    <s v="Houston"/>
    <x v="5"/>
    <n v="77095"/>
    <x v="2"/>
    <x v="1512"/>
    <x v="1"/>
    <x v="4"/>
    <x v="1499"/>
    <x v="2546"/>
    <x v="3"/>
    <x v="3"/>
  </r>
  <r>
    <n v="3235"/>
    <x v="1604"/>
    <x v="423"/>
    <d v="2017-04-27T00:00:00"/>
    <s v="First Class"/>
    <x v="691"/>
    <s v="Jack Lebron"/>
    <x v="0"/>
    <s v="United States"/>
    <s v="Riverside"/>
    <x v="1"/>
    <n v="92503"/>
    <x v="1"/>
    <x v="591"/>
    <x v="1"/>
    <x v="8"/>
    <x v="591"/>
    <x v="2176"/>
    <x v="3"/>
    <x v="0"/>
  </r>
  <r>
    <n v="3236"/>
    <x v="1605"/>
    <x v="804"/>
    <d v="2017-01-15T00:00:00"/>
    <s v="Same Day"/>
    <x v="116"/>
    <s v="Roy Collins"/>
    <x v="0"/>
    <s v="United States"/>
    <s v="Fairfield"/>
    <x v="29"/>
    <n v="6824"/>
    <x v="3"/>
    <x v="257"/>
    <x v="0"/>
    <x v="3"/>
    <x v="258"/>
    <x v="2547"/>
    <x v="9"/>
    <x v="0"/>
  </r>
  <r>
    <n v="3237"/>
    <x v="1606"/>
    <x v="440"/>
    <d v="2017-05-02T00:00:00"/>
    <s v="Same Day"/>
    <x v="693"/>
    <s v="Cindy Chapman"/>
    <x v="0"/>
    <s v="United States"/>
    <s v="New York City"/>
    <x v="15"/>
    <n v="10024"/>
    <x v="3"/>
    <x v="355"/>
    <x v="1"/>
    <x v="4"/>
    <x v="355"/>
    <x v="2548"/>
    <x v="5"/>
    <x v="0"/>
  </r>
  <r>
    <n v="3238"/>
    <x v="1606"/>
    <x v="440"/>
    <d v="2017-05-02T00:00:00"/>
    <s v="Same Day"/>
    <x v="693"/>
    <s v="Cindy Chapman"/>
    <x v="0"/>
    <s v="United States"/>
    <s v="New York City"/>
    <x v="15"/>
    <n v="10024"/>
    <x v="3"/>
    <x v="412"/>
    <x v="1"/>
    <x v="8"/>
    <x v="412"/>
    <x v="2549"/>
    <x v="5"/>
    <x v="0"/>
  </r>
  <r>
    <n v="3239"/>
    <x v="1607"/>
    <x v="73"/>
    <d v="2017-11-27T00:00:00"/>
    <s v="Standard Class"/>
    <x v="694"/>
    <s v="David Wiener"/>
    <x v="1"/>
    <s v="United States"/>
    <s v="Houston"/>
    <x v="5"/>
    <n v="77095"/>
    <x v="2"/>
    <x v="1209"/>
    <x v="0"/>
    <x v="1"/>
    <x v="1194"/>
    <x v="2550"/>
    <x v="0"/>
    <x v="0"/>
  </r>
  <r>
    <n v="3240"/>
    <x v="1607"/>
    <x v="73"/>
    <d v="2017-11-27T00:00:00"/>
    <s v="Standard Class"/>
    <x v="694"/>
    <s v="David Wiener"/>
    <x v="1"/>
    <s v="United States"/>
    <s v="Houston"/>
    <x v="5"/>
    <n v="77095"/>
    <x v="2"/>
    <x v="1513"/>
    <x v="2"/>
    <x v="7"/>
    <x v="1500"/>
    <x v="2551"/>
    <x v="0"/>
    <x v="0"/>
  </r>
  <r>
    <n v="3241"/>
    <x v="1607"/>
    <x v="73"/>
    <d v="2017-11-27T00:00:00"/>
    <s v="Standard Class"/>
    <x v="694"/>
    <s v="David Wiener"/>
    <x v="1"/>
    <s v="United States"/>
    <s v="Houston"/>
    <x v="5"/>
    <n v="77095"/>
    <x v="2"/>
    <x v="325"/>
    <x v="0"/>
    <x v="5"/>
    <x v="325"/>
    <x v="2552"/>
    <x v="0"/>
    <x v="0"/>
  </r>
  <r>
    <n v="3242"/>
    <x v="1608"/>
    <x v="854"/>
    <d v="2017-02-03T00:00:00"/>
    <s v="First Class"/>
    <x v="316"/>
    <s v="Cyma Kinney"/>
    <x v="1"/>
    <s v="United States"/>
    <s v="Arlington"/>
    <x v="17"/>
    <n v="22204"/>
    <x v="0"/>
    <x v="1011"/>
    <x v="1"/>
    <x v="4"/>
    <x v="1003"/>
    <x v="1982"/>
    <x v="11"/>
    <x v="0"/>
  </r>
  <r>
    <n v="3243"/>
    <x v="1609"/>
    <x v="185"/>
    <d v="2018-04-05T00:00:00"/>
    <s v="Second Class"/>
    <x v="283"/>
    <s v="Emily Grady"/>
    <x v="0"/>
    <s v="United States"/>
    <s v="Chicago"/>
    <x v="10"/>
    <n v="60623"/>
    <x v="2"/>
    <x v="1472"/>
    <x v="1"/>
    <x v="8"/>
    <x v="1459"/>
    <x v="2553"/>
    <x v="10"/>
    <x v="3"/>
  </r>
  <r>
    <n v="3244"/>
    <x v="1610"/>
    <x v="96"/>
    <d v="2018-12-05T00:00:00"/>
    <s v="Standard Class"/>
    <x v="695"/>
    <s v="Sarah Jordon"/>
    <x v="0"/>
    <s v="United States"/>
    <s v="Grand Prairie"/>
    <x v="5"/>
    <n v="75051"/>
    <x v="2"/>
    <x v="1514"/>
    <x v="2"/>
    <x v="7"/>
    <x v="1501"/>
    <x v="2554"/>
    <x v="4"/>
    <x v="3"/>
  </r>
  <r>
    <n v="3245"/>
    <x v="1610"/>
    <x v="96"/>
    <d v="2018-12-05T00:00:00"/>
    <s v="Standard Class"/>
    <x v="695"/>
    <s v="Sarah Jordon"/>
    <x v="0"/>
    <s v="United States"/>
    <s v="Grand Prairie"/>
    <x v="5"/>
    <n v="75051"/>
    <x v="2"/>
    <x v="291"/>
    <x v="0"/>
    <x v="1"/>
    <x v="291"/>
    <x v="2555"/>
    <x v="4"/>
    <x v="3"/>
  </r>
  <r>
    <n v="3246"/>
    <x v="1611"/>
    <x v="389"/>
    <d v="2018-12-12T00:00:00"/>
    <s v="Second Class"/>
    <x v="130"/>
    <s v="Ben Peterman"/>
    <x v="1"/>
    <s v="United States"/>
    <s v="Seattle"/>
    <x v="4"/>
    <n v="98103"/>
    <x v="1"/>
    <x v="960"/>
    <x v="2"/>
    <x v="11"/>
    <x v="953"/>
    <x v="1216"/>
    <x v="4"/>
    <x v="3"/>
  </r>
  <r>
    <n v="3247"/>
    <x v="1611"/>
    <x v="389"/>
    <d v="2018-12-12T00:00:00"/>
    <s v="Second Class"/>
    <x v="130"/>
    <s v="Ben Peterman"/>
    <x v="1"/>
    <s v="United States"/>
    <s v="Seattle"/>
    <x v="4"/>
    <n v="98103"/>
    <x v="1"/>
    <x v="391"/>
    <x v="1"/>
    <x v="4"/>
    <x v="392"/>
    <x v="1754"/>
    <x v="4"/>
    <x v="3"/>
  </r>
  <r>
    <n v="3248"/>
    <x v="1611"/>
    <x v="389"/>
    <d v="2018-12-12T00:00:00"/>
    <s v="Second Class"/>
    <x v="130"/>
    <s v="Ben Peterman"/>
    <x v="1"/>
    <s v="United States"/>
    <s v="Seattle"/>
    <x v="4"/>
    <n v="98103"/>
    <x v="1"/>
    <x v="1515"/>
    <x v="1"/>
    <x v="6"/>
    <x v="1502"/>
    <x v="2556"/>
    <x v="4"/>
    <x v="3"/>
  </r>
  <r>
    <n v="3249"/>
    <x v="1612"/>
    <x v="42"/>
    <d v="2017-09-21T00:00:00"/>
    <s v="Standard Class"/>
    <x v="319"/>
    <s v="Sanjit Jacobs"/>
    <x v="2"/>
    <s v="United States"/>
    <s v="Seattle"/>
    <x v="4"/>
    <n v="98103"/>
    <x v="1"/>
    <x v="1459"/>
    <x v="0"/>
    <x v="1"/>
    <x v="1445"/>
    <x v="2369"/>
    <x v="8"/>
    <x v="0"/>
  </r>
  <r>
    <n v="3250"/>
    <x v="1612"/>
    <x v="42"/>
    <d v="2017-09-21T00:00:00"/>
    <s v="Standard Class"/>
    <x v="319"/>
    <s v="Sanjit Jacobs"/>
    <x v="2"/>
    <s v="United States"/>
    <s v="Seattle"/>
    <x v="4"/>
    <n v="98103"/>
    <x v="1"/>
    <x v="665"/>
    <x v="2"/>
    <x v="7"/>
    <x v="665"/>
    <x v="550"/>
    <x v="8"/>
    <x v="0"/>
  </r>
  <r>
    <n v="3251"/>
    <x v="1613"/>
    <x v="443"/>
    <d v="2017-12-29T00:00:00"/>
    <s v="Standard Class"/>
    <x v="565"/>
    <s v="Matt Collister"/>
    <x v="1"/>
    <s v="United States"/>
    <s v="Grand Rapids"/>
    <x v="12"/>
    <n v="49505"/>
    <x v="2"/>
    <x v="1053"/>
    <x v="1"/>
    <x v="13"/>
    <x v="1042"/>
    <x v="2557"/>
    <x v="4"/>
    <x v="0"/>
  </r>
  <r>
    <n v="3252"/>
    <x v="1614"/>
    <x v="827"/>
    <d v="2018-04-19T00:00:00"/>
    <s v="First Class"/>
    <x v="696"/>
    <s v="Bruce Geld"/>
    <x v="0"/>
    <s v="United States"/>
    <s v="Philadelphia"/>
    <x v="9"/>
    <n v="19120"/>
    <x v="3"/>
    <x v="1001"/>
    <x v="0"/>
    <x v="5"/>
    <x v="1253"/>
    <x v="2558"/>
    <x v="3"/>
    <x v="3"/>
  </r>
  <r>
    <n v="3253"/>
    <x v="1615"/>
    <x v="855"/>
    <d v="2018-10-30T00:00:00"/>
    <s v="Second Class"/>
    <x v="15"/>
    <s v="Matt Abelman"/>
    <x v="2"/>
    <s v="United States"/>
    <s v="Chicago"/>
    <x v="10"/>
    <n v="60610"/>
    <x v="2"/>
    <x v="425"/>
    <x v="1"/>
    <x v="6"/>
    <x v="425"/>
    <x v="2559"/>
    <x v="2"/>
    <x v="3"/>
  </r>
  <r>
    <n v="3254"/>
    <x v="1615"/>
    <x v="855"/>
    <d v="2018-10-30T00:00:00"/>
    <s v="Second Class"/>
    <x v="15"/>
    <s v="Matt Abelman"/>
    <x v="2"/>
    <s v="United States"/>
    <s v="Chicago"/>
    <x v="10"/>
    <n v="60610"/>
    <x v="2"/>
    <x v="1259"/>
    <x v="2"/>
    <x v="7"/>
    <x v="1243"/>
    <x v="2560"/>
    <x v="2"/>
    <x v="3"/>
  </r>
  <r>
    <n v="3255"/>
    <x v="1616"/>
    <x v="630"/>
    <d v="2017-07-14T00:00:00"/>
    <s v="Standard Class"/>
    <x v="417"/>
    <s v="Chris Cortes"/>
    <x v="0"/>
    <s v="United States"/>
    <s v="Seattle"/>
    <x v="4"/>
    <n v="98105"/>
    <x v="1"/>
    <x v="233"/>
    <x v="2"/>
    <x v="7"/>
    <x v="234"/>
    <x v="2561"/>
    <x v="7"/>
    <x v="0"/>
  </r>
  <r>
    <n v="3256"/>
    <x v="1616"/>
    <x v="630"/>
    <d v="2017-07-14T00:00:00"/>
    <s v="Standard Class"/>
    <x v="417"/>
    <s v="Chris Cortes"/>
    <x v="0"/>
    <s v="United States"/>
    <s v="Seattle"/>
    <x v="4"/>
    <n v="98105"/>
    <x v="1"/>
    <x v="1232"/>
    <x v="1"/>
    <x v="8"/>
    <x v="1215"/>
    <x v="1739"/>
    <x v="7"/>
    <x v="0"/>
  </r>
  <r>
    <n v="3257"/>
    <x v="1617"/>
    <x v="101"/>
    <d v="2016-08-14T00:00:00"/>
    <s v="Standard Class"/>
    <x v="19"/>
    <s v="Ruben Ausman"/>
    <x v="1"/>
    <s v="United States"/>
    <s v="Jacksonville"/>
    <x v="2"/>
    <n v="32216"/>
    <x v="0"/>
    <x v="745"/>
    <x v="1"/>
    <x v="2"/>
    <x v="743"/>
    <x v="871"/>
    <x v="6"/>
    <x v="1"/>
  </r>
  <r>
    <n v="3258"/>
    <x v="1618"/>
    <x v="10"/>
    <d v="2017-12-14T00:00:00"/>
    <s v="Second Class"/>
    <x v="460"/>
    <s v="Damala Kotsonis"/>
    <x v="1"/>
    <s v="United States"/>
    <s v="Franklin"/>
    <x v="18"/>
    <n v="37064"/>
    <x v="0"/>
    <x v="972"/>
    <x v="0"/>
    <x v="3"/>
    <x v="966"/>
    <x v="2562"/>
    <x v="4"/>
    <x v="0"/>
  </r>
  <r>
    <n v="3259"/>
    <x v="1618"/>
    <x v="10"/>
    <d v="2017-12-14T00:00:00"/>
    <s v="Second Class"/>
    <x v="460"/>
    <s v="Damala Kotsonis"/>
    <x v="1"/>
    <s v="United States"/>
    <s v="Franklin"/>
    <x v="18"/>
    <n v="37064"/>
    <x v="0"/>
    <x v="696"/>
    <x v="1"/>
    <x v="8"/>
    <x v="696"/>
    <x v="194"/>
    <x v="4"/>
    <x v="0"/>
  </r>
  <r>
    <n v="3260"/>
    <x v="1619"/>
    <x v="373"/>
    <d v="2017-11-17T00:00:00"/>
    <s v="Standard Class"/>
    <x v="697"/>
    <s v="Laurel Beltran"/>
    <x v="2"/>
    <s v="United States"/>
    <s v="Highland Park"/>
    <x v="10"/>
    <n v="60035"/>
    <x v="2"/>
    <x v="460"/>
    <x v="1"/>
    <x v="8"/>
    <x v="461"/>
    <x v="2563"/>
    <x v="0"/>
    <x v="0"/>
  </r>
  <r>
    <n v="3261"/>
    <x v="1620"/>
    <x v="687"/>
    <d v="2015-11-15T00:00:00"/>
    <s v="First Class"/>
    <x v="698"/>
    <s v="Candace McMahon"/>
    <x v="1"/>
    <s v="United States"/>
    <s v="Pasadena"/>
    <x v="5"/>
    <n v="77506"/>
    <x v="2"/>
    <x v="1516"/>
    <x v="1"/>
    <x v="10"/>
    <x v="1503"/>
    <x v="557"/>
    <x v="0"/>
    <x v="2"/>
  </r>
  <r>
    <n v="3262"/>
    <x v="1621"/>
    <x v="664"/>
    <d v="2015-11-19T00:00:00"/>
    <s v="First Class"/>
    <x v="131"/>
    <s v="Thomas Seio"/>
    <x v="1"/>
    <s v="United States"/>
    <s v="San Francisco"/>
    <x v="1"/>
    <n v="94109"/>
    <x v="1"/>
    <x v="959"/>
    <x v="2"/>
    <x v="11"/>
    <x v="952"/>
    <x v="2564"/>
    <x v="0"/>
    <x v="2"/>
  </r>
  <r>
    <n v="3263"/>
    <x v="1621"/>
    <x v="664"/>
    <d v="2015-11-19T00:00:00"/>
    <s v="First Class"/>
    <x v="131"/>
    <s v="Thomas Seio"/>
    <x v="1"/>
    <s v="United States"/>
    <s v="San Francisco"/>
    <x v="1"/>
    <n v="94109"/>
    <x v="1"/>
    <x v="656"/>
    <x v="1"/>
    <x v="10"/>
    <x v="656"/>
    <x v="2565"/>
    <x v="0"/>
    <x v="2"/>
  </r>
  <r>
    <n v="3264"/>
    <x v="1621"/>
    <x v="664"/>
    <d v="2015-11-19T00:00:00"/>
    <s v="First Class"/>
    <x v="131"/>
    <s v="Thomas Seio"/>
    <x v="1"/>
    <s v="United States"/>
    <s v="San Francisco"/>
    <x v="1"/>
    <n v="94109"/>
    <x v="1"/>
    <x v="1429"/>
    <x v="1"/>
    <x v="9"/>
    <x v="1417"/>
    <x v="2566"/>
    <x v="0"/>
    <x v="2"/>
  </r>
  <r>
    <n v="3265"/>
    <x v="1622"/>
    <x v="758"/>
    <d v="2017-03-08T00:00:00"/>
    <s v="Second Class"/>
    <x v="575"/>
    <s v="Randy Ferguson"/>
    <x v="1"/>
    <s v="United States"/>
    <s v="Miami"/>
    <x v="2"/>
    <n v="33180"/>
    <x v="0"/>
    <x v="1042"/>
    <x v="1"/>
    <x v="2"/>
    <x v="1031"/>
    <x v="1942"/>
    <x v="10"/>
    <x v="0"/>
  </r>
  <r>
    <n v="3266"/>
    <x v="1623"/>
    <x v="856"/>
    <d v="2015-10-15T00:00:00"/>
    <s v="Standard Class"/>
    <x v="535"/>
    <s v="Jill Fjeld"/>
    <x v="0"/>
    <s v="United States"/>
    <s v="Philadelphia"/>
    <x v="9"/>
    <n v="19120"/>
    <x v="3"/>
    <x v="718"/>
    <x v="1"/>
    <x v="4"/>
    <x v="717"/>
    <x v="2567"/>
    <x v="2"/>
    <x v="2"/>
  </r>
  <r>
    <n v="3267"/>
    <x v="1623"/>
    <x v="856"/>
    <d v="2015-10-15T00:00:00"/>
    <s v="Standard Class"/>
    <x v="535"/>
    <s v="Jill Fjeld"/>
    <x v="0"/>
    <s v="United States"/>
    <s v="Philadelphia"/>
    <x v="9"/>
    <n v="19120"/>
    <x v="3"/>
    <x v="556"/>
    <x v="1"/>
    <x v="12"/>
    <x v="555"/>
    <x v="2568"/>
    <x v="2"/>
    <x v="2"/>
  </r>
  <r>
    <n v="3268"/>
    <x v="1624"/>
    <x v="857"/>
    <d v="2015-05-29T00:00:00"/>
    <s v="Standard Class"/>
    <x v="699"/>
    <s v="Evan Henry"/>
    <x v="0"/>
    <s v="United States"/>
    <s v="Decatur"/>
    <x v="19"/>
    <n v="35601"/>
    <x v="0"/>
    <x v="704"/>
    <x v="2"/>
    <x v="7"/>
    <x v="704"/>
    <x v="2569"/>
    <x v="5"/>
    <x v="2"/>
  </r>
  <r>
    <n v="3269"/>
    <x v="1624"/>
    <x v="857"/>
    <d v="2015-05-29T00:00:00"/>
    <s v="Standard Class"/>
    <x v="699"/>
    <s v="Evan Henry"/>
    <x v="0"/>
    <s v="United States"/>
    <s v="Decatur"/>
    <x v="19"/>
    <n v="35601"/>
    <x v="0"/>
    <x v="1517"/>
    <x v="2"/>
    <x v="7"/>
    <x v="1504"/>
    <x v="2570"/>
    <x v="5"/>
    <x v="2"/>
  </r>
  <r>
    <n v="3270"/>
    <x v="1625"/>
    <x v="858"/>
    <d v="2015-07-19T00:00:00"/>
    <s v="Standard Class"/>
    <x v="100"/>
    <s v="Victoria Wilson"/>
    <x v="1"/>
    <s v="United States"/>
    <s v="Sioux Falls"/>
    <x v="44"/>
    <n v="57103"/>
    <x v="2"/>
    <x v="1425"/>
    <x v="2"/>
    <x v="11"/>
    <x v="1413"/>
    <x v="1179"/>
    <x v="7"/>
    <x v="2"/>
  </r>
  <r>
    <n v="3271"/>
    <x v="1625"/>
    <x v="858"/>
    <d v="2015-07-19T00:00:00"/>
    <s v="Standard Class"/>
    <x v="100"/>
    <s v="Victoria Wilson"/>
    <x v="1"/>
    <s v="United States"/>
    <s v="Sioux Falls"/>
    <x v="44"/>
    <n v="57103"/>
    <x v="2"/>
    <x v="52"/>
    <x v="1"/>
    <x v="13"/>
    <x v="52"/>
    <x v="2571"/>
    <x v="7"/>
    <x v="2"/>
  </r>
  <r>
    <n v="3272"/>
    <x v="1626"/>
    <x v="17"/>
    <d v="2016-12-29T00:00:00"/>
    <s v="Second Class"/>
    <x v="634"/>
    <s v="Kean Nguyen"/>
    <x v="1"/>
    <s v="United States"/>
    <s v="Visalia"/>
    <x v="1"/>
    <n v="93277"/>
    <x v="1"/>
    <x v="1425"/>
    <x v="2"/>
    <x v="11"/>
    <x v="1413"/>
    <x v="1054"/>
    <x v="4"/>
    <x v="1"/>
  </r>
  <r>
    <n v="3273"/>
    <x v="1627"/>
    <x v="97"/>
    <d v="2016-02-16T00:00:00"/>
    <s v="Standard Class"/>
    <x v="695"/>
    <s v="Sarah Jordon"/>
    <x v="0"/>
    <s v="United States"/>
    <s v="Los Angeles"/>
    <x v="1"/>
    <n v="90049"/>
    <x v="1"/>
    <x v="23"/>
    <x v="0"/>
    <x v="1"/>
    <x v="23"/>
    <x v="2572"/>
    <x v="11"/>
    <x v="1"/>
  </r>
  <r>
    <n v="3274"/>
    <x v="1628"/>
    <x v="540"/>
    <d v="2018-05-12T00:00:00"/>
    <s v="Standard Class"/>
    <x v="390"/>
    <s v="Penelope Sewall"/>
    <x v="2"/>
    <s v="United States"/>
    <s v="Los Angeles"/>
    <x v="1"/>
    <n v="90032"/>
    <x v="1"/>
    <x v="890"/>
    <x v="2"/>
    <x v="16"/>
    <x v="883"/>
    <x v="2573"/>
    <x v="5"/>
    <x v="3"/>
  </r>
  <r>
    <n v="3275"/>
    <x v="1629"/>
    <x v="808"/>
    <d v="2018-11-06T00:00:00"/>
    <s v="Standard Class"/>
    <x v="366"/>
    <s v="Kalyca Meade"/>
    <x v="1"/>
    <s v="United States"/>
    <s v="Overland Park"/>
    <x v="41"/>
    <n v="66212"/>
    <x v="2"/>
    <x v="829"/>
    <x v="1"/>
    <x v="13"/>
    <x v="128"/>
    <x v="2556"/>
    <x v="0"/>
    <x v="3"/>
  </r>
  <r>
    <n v="3276"/>
    <x v="1629"/>
    <x v="808"/>
    <d v="2018-11-06T00:00:00"/>
    <s v="Standard Class"/>
    <x v="366"/>
    <s v="Kalyca Meade"/>
    <x v="1"/>
    <s v="United States"/>
    <s v="Overland Park"/>
    <x v="41"/>
    <n v="66212"/>
    <x v="2"/>
    <x v="182"/>
    <x v="1"/>
    <x v="6"/>
    <x v="183"/>
    <x v="2574"/>
    <x v="0"/>
    <x v="3"/>
  </r>
  <r>
    <n v="3277"/>
    <x v="1630"/>
    <x v="267"/>
    <d v="2015-04-09T00:00:00"/>
    <s v="Second Class"/>
    <x v="620"/>
    <s v="Greg Maxwell"/>
    <x v="1"/>
    <s v="United States"/>
    <s v="Alexandria"/>
    <x v="17"/>
    <n v="22304"/>
    <x v="0"/>
    <x v="346"/>
    <x v="1"/>
    <x v="6"/>
    <x v="346"/>
    <x v="1003"/>
    <x v="3"/>
    <x v="2"/>
  </r>
  <r>
    <n v="3278"/>
    <x v="1630"/>
    <x v="267"/>
    <d v="2015-04-09T00:00:00"/>
    <s v="Second Class"/>
    <x v="620"/>
    <s v="Greg Maxwell"/>
    <x v="1"/>
    <s v="United States"/>
    <s v="Alexandria"/>
    <x v="17"/>
    <n v="22304"/>
    <x v="0"/>
    <x v="1129"/>
    <x v="2"/>
    <x v="7"/>
    <x v="1117"/>
    <x v="2575"/>
    <x v="3"/>
    <x v="2"/>
  </r>
  <r>
    <n v="3279"/>
    <x v="1630"/>
    <x v="267"/>
    <d v="2015-04-09T00:00:00"/>
    <s v="Second Class"/>
    <x v="620"/>
    <s v="Greg Maxwell"/>
    <x v="1"/>
    <s v="United States"/>
    <s v="Alexandria"/>
    <x v="17"/>
    <n v="22304"/>
    <x v="0"/>
    <x v="219"/>
    <x v="1"/>
    <x v="10"/>
    <x v="220"/>
    <x v="91"/>
    <x v="3"/>
    <x v="2"/>
  </r>
  <r>
    <n v="3280"/>
    <x v="1630"/>
    <x v="267"/>
    <d v="2015-04-09T00:00:00"/>
    <s v="Second Class"/>
    <x v="620"/>
    <s v="Greg Maxwell"/>
    <x v="1"/>
    <s v="United States"/>
    <s v="Alexandria"/>
    <x v="17"/>
    <n v="22304"/>
    <x v="0"/>
    <x v="1210"/>
    <x v="1"/>
    <x v="6"/>
    <x v="1195"/>
    <x v="1003"/>
    <x v="3"/>
    <x v="2"/>
  </r>
  <r>
    <n v="3281"/>
    <x v="1630"/>
    <x v="267"/>
    <d v="2015-04-09T00:00:00"/>
    <s v="Second Class"/>
    <x v="620"/>
    <s v="Greg Maxwell"/>
    <x v="1"/>
    <s v="United States"/>
    <s v="Alexandria"/>
    <x v="17"/>
    <n v="22304"/>
    <x v="0"/>
    <x v="465"/>
    <x v="1"/>
    <x v="14"/>
    <x v="466"/>
    <x v="2576"/>
    <x v="3"/>
    <x v="2"/>
  </r>
  <r>
    <n v="3282"/>
    <x v="1631"/>
    <x v="328"/>
    <d v="2015-09-24T00:00:00"/>
    <s v="Standard Class"/>
    <x v="446"/>
    <s v="Kean Takahito"/>
    <x v="0"/>
    <s v="United States"/>
    <s v="Raleigh"/>
    <x v="3"/>
    <n v="27604"/>
    <x v="0"/>
    <x v="1016"/>
    <x v="2"/>
    <x v="11"/>
    <x v="1007"/>
    <x v="730"/>
    <x v="8"/>
    <x v="2"/>
  </r>
  <r>
    <n v="3283"/>
    <x v="1631"/>
    <x v="328"/>
    <d v="2015-09-24T00:00:00"/>
    <s v="Standard Class"/>
    <x v="446"/>
    <s v="Kean Takahito"/>
    <x v="0"/>
    <s v="United States"/>
    <s v="Raleigh"/>
    <x v="3"/>
    <n v="27604"/>
    <x v="0"/>
    <x v="874"/>
    <x v="1"/>
    <x v="10"/>
    <x v="868"/>
    <x v="696"/>
    <x v="8"/>
    <x v="2"/>
  </r>
  <r>
    <n v="3284"/>
    <x v="1632"/>
    <x v="587"/>
    <d v="2015-10-06T00:00:00"/>
    <s v="Standard Class"/>
    <x v="186"/>
    <s v="Maya Herman"/>
    <x v="1"/>
    <s v="United States"/>
    <s v="New York City"/>
    <x v="15"/>
    <n v="10035"/>
    <x v="3"/>
    <x v="534"/>
    <x v="0"/>
    <x v="5"/>
    <x v="534"/>
    <x v="593"/>
    <x v="8"/>
    <x v="2"/>
  </r>
  <r>
    <n v="3285"/>
    <x v="1633"/>
    <x v="171"/>
    <d v="2015-09-17T00:00:00"/>
    <s v="Standard Class"/>
    <x v="314"/>
    <s v="Art Foster"/>
    <x v="0"/>
    <s v="United States"/>
    <s v="Fairfield"/>
    <x v="24"/>
    <n v="45014"/>
    <x v="3"/>
    <x v="471"/>
    <x v="1"/>
    <x v="8"/>
    <x v="472"/>
    <x v="2577"/>
    <x v="8"/>
    <x v="2"/>
  </r>
  <r>
    <n v="3286"/>
    <x v="1634"/>
    <x v="297"/>
    <d v="2018-02-25T00:00:00"/>
    <s v="Standard Class"/>
    <x v="655"/>
    <s v="Julie Prescott"/>
    <x v="2"/>
    <s v="United States"/>
    <s v="Muskogee"/>
    <x v="26"/>
    <n v="74403"/>
    <x v="2"/>
    <x v="836"/>
    <x v="1"/>
    <x v="6"/>
    <x v="831"/>
    <x v="2578"/>
    <x v="11"/>
    <x v="3"/>
  </r>
  <r>
    <n v="3287"/>
    <x v="1634"/>
    <x v="297"/>
    <d v="2018-02-25T00:00:00"/>
    <s v="Standard Class"/>
    <x v="655"/>
    <s v="Julie Prescott"/>
    <x v="2"/>
    <s v="United States"/>
    <s v="Muskogee"/>
    <x v="26"/>
    <n v="74403"/>
    <x v="2"/>
    <x v="1518"/>
    <x v="1"/>
    <x v="9"/>
    <x v="1505"/>
    <x v="2579"/>
    <x v="11"/>
    <x v="3"/>
  </r>
  <r>
    <n v="3288"/>
    <x v="1635"/>
    <x v="350"/>
    <d v="2016-12-15T00:00:00"/>
    <s v="First Class"/>
    <x v="361"/>
    <s v="Rob Dowd"/>
    <x v="0"/>
    <s v="United States"/>
    <s v="Temecula"/>
    <x v="1"/>
    <n v="92592"/>
    <x v="1"/>
    <x v="638"/>
    <x v="2"/>
    <x v="7"/>
    <x v="759"/>
    <x v="567"/>
    <x v="4"/>
    <x v="1"/>
  </r>
  <r>
    <n v="3289"/>
    <x v="1635"/>
    <x v="350"/>
    <d v="2016-12-15T00:00:00"/>
    <s v="First Class"/>
    <x v="361"/>
    <s v="Rob Dowd"/>
    <x v="0"/>
    <s v="United States"/>
    <s v="Temecula"/>
    <x v="1"/>
    <n v="92592"/>
    <x v="1"/>
    <x v="347"/>
    <x v="1"/>
    <x v="8"/>
    <x v="347"/>
    <x v="2580"/>
    <x v="4"/>
    <x v="1"/>
  </r>
  <r>
    <n v="3290"/>
    <x v="1635"/>
    <x v="350"/>
    <d v="2016-12-15T00:00:00"/>
    <s v="First Class"/>
    <x v="361"/>
    <s v="Rob Dowd"/>
    <x v="0"/>
    <s v="United States"/>
    <s v="Temecula"/>
    <x v="1"/>
    <n v="92592"/>
    <x v="1"/>
    <x v="100"/>
    <x v="2"/>
    <x v="11"/>
    <x v="100"/>
    <x v="2581"/>
    <x v="4"/>
    <x v="1"/>
  </r>
  <r>
    <n v="3291"/>
    <x v="1635"/>
    <x v="350"/>
    <d v="2016-12-15T00:00:00"/>
    <s v="First Class"/>
    <x v="361"/>
    <s v="Rob Dowd"/>
    <x v="0"/>
    <s v="United States"/>
    <s v="Temecula"/>
    <x v="1"/>
    <n v="92592"/>
    <x v="1"/>
    <x v="1519"/>
    <x v="2"/>
    <x v="11"/>
    <x v="1506"/>
    <x v="341"/>
    <x v="4"/>
    <x v="1"/>
  </r>
  <r>
    <n v="3292"/>
    <x v="1636"/>
    <x v="859"/>
    <d v="2017-11-04T00:00:00"/>
    <s v="Standard Class"/>
    <x v="639"/>
    <s v="Jason Fortune-"/>
    <x v="0"/>
    <s v="United States"/>
    <s v="Sterling Heights"/>
    <x v="12"/>
    <n v="48310"/>
    <x v="2"/>
    <x v="512"/>
    <x v="1"/>
    <x v="6"/>
    <x v="512"/>
    <x v="2582"/>
    <x v="2"/>
    <x v="0"/>
  </r>
  <r>
    <n v="3293"/>
    <x v="1637"/>
    <x v="58"/>
    <d v="2015-12-30T00:00:00"/>
    <s v="Standard Class"/>
    <x v="242"/>
    <s v="Clytie Kelty"/>
    <x v="0"/>
    <s v="United States"/>
    <s v="San Diego"/>
    <x v="1"/>
    <n v="92024"/>
    <x v="1"/>
    <x v="168"/>
    <x v="1"/>
    <x v="14"/>
    <x v="169"/>
    <x v="2583"/>
    <x v="4"/>
    <x v="2"/>
  </r>
  <r>
    <n v="3294"/>
    <x v="1637"/>
    <x v="58"/>
    <d v="2015-12-30T00:00:00"/>
    <s v="Standard Class"/>
    <x v="242"/>
    <s v="Clytie Kelty"/>
    <x v="0"/>
    <s v="United States"/>
    <s v="San Diego"/>
    <x v="1"/>
    <n v="92024"/>
    <x v="1"/>
    <x v="852"/>
    <x v="0"/>
    <x v="5"/>
    <x v="845"/>
    <x v="2584"/>
    <x v="4"/>
    <x v="2"/>
  </r>
  <r>
    <n v="3295"/>
    <x v="1638"/>
    <x v="860"/>
    <d v="2015-08-18T00:00:00"/>
    <s v="First Class"/>
    <x v="168"/>
    <s v="Keith Herrera"/>
    <x v="0"/>
    <s v="United States"/>
    <s v="Dallas"/>
    <x v="5"/>
    <n v="75081"/>
    <x v="2"/>
    <x v="612"/>
    <x v="1"/>
    <x v="8"/>
    <x v="612"/>
    <x v="2585"/>
    <x v="6"/>
    <x v="2"/>
  </r>
  <r>
    <n v="3296"/>
    <x v="1639"/>
    <x v="172"/>
    <d v="2018-10-03T00:00:00"/>
    <s v="First Class"/>
    <x v="475"/>
    <s v="Corinna Mitchell"/>
    <x v="2"/>
    <s v="United States"/>
    <s v="New York City"/>
    <x v="15"/>
    <n v="10035"/>
    <x v="3"/>
    <x v="1520"/>
    <x v="2"/>
    <x v="15"/>
    <x v="1507"/>
    <x v="2586"/>
    <x v="2"/>
    <x v="3"/>
  </r>
  <r>
    <n v="3297"/>
    <x v="1640"/>
    <x v="293"/>
    <d v="2016-05-30T00:00:00"/>
    <s v="Standard Class"/>
    <x v="12"/>
    <s v="Emily Burns"/>
    <x v="0"/>
    <s v="United States"/>
    <s v="Phoenix"/>
    <x v="16"/>
    <n v="85023"/>
    <x v="1"/>
    <x v="624"/>
    <x v="1"/>
    <x v="8"/>
    <x v="624"/>
    <x v="2587"/>
    <x v="5"/>
    <x v="1"/>
  </r>
  <r>
    <n v="3298"/>
    <x v="1640"/>
    <x v="293"/>
    <d v="2016-05-30T00:00:00"/>
    <s v="Standard Class"/>
    <x v="12"/>
    <s v="Emily Burns"/>
    <x v="0"/>
    <s v="United States"/>
    <s v="Phoenix"/>
    <x v="16"/>
    <n v="85023"/>
    <x v="1"/>
    <x v="513"/>
    <x v="1"/>
    <x v="9"/>
    <x v="513"/>
    <x v="1605"/>
    <x v="5"/>
    <x v="1"/>
  </r>
  <r>
    <n v="3299"/>
    <x v="1641"/>
    <x v="673"/>
    <d v="2018-11-16T00:00:00"/>
    <s v="Same Day"/>
    <x v="360"/>
    <s v="Mitch Willingham"/>
    <x v="1"/>
    <s v="United States"/>
    <s v="San Francisco"/>
    <x v="1"/>
    <n v="94122"/>
    <x v="1"/>
    <x v="1150"/>
    <x v="2"/>
    <x v="15"/>
    <x v="1138"/>
    <x v="2210"/>
    <x v="0"/>
    <x v="3"/>
  </r>
  <r>
    <n v="3300"/>
    <x v="1642"/>
    <x v="728"/>
    <d v="2015-11-22T00:00:00"/>
    <s v="Standard Class"/>
    <x v="229"/>
    <s v="Carlos Soltero"/>
    <x v="0"/>
    <s v="United States"/>
    <s v="Philadelphia"/>
    <x v="9"/>
    <n v="19140"/>
    <x v="3"/>
    <x v="13"/>
    <x v="1"/>
    <x v="8"/>
    <x v="13"/>
    <x v="2588"/>
    <x v="0"/>
    <x v="2"/>
  </r>
  <r>
    <n v="3301"/>
    <x v="1642"/>
    <x v="728"/>
    <d v="2015-11-22T00:00:00"/>
    <s v="Standard Class"/>
    <x v="229"/>
    <s v="Carlos Soltero"/>
    <x v="0"/>
    <s v="United States"/>
    <s v="Philadelphia"/>
    <x v="9"/>
    <n v="19140"/>
    <x v="3"/>
    <x v="82"/>
    <x v="1"/>
    <x v="4"/>
    <x v="82"/>
    <x v="2589"/>
    <x v="0"/>
    <x v="2"/>
  </r>
  <r>
    <n v="3302"/>
    <x v="1642"/>
    <x v="728"/>
    <d v="2015-11-22T00:00:00"/>
    <s v="Standard Class"/>
    <x v="229"/>
    <s v="Carlos Soltero"/>
    <x v="0"/>
    <s v="United States"/>
    <s v="Philadelphia"/>
    <x v="9"/>
    <n v="19140"/>
    <x v="3"/>
    <x v="1521"/>
    <x v="2"/>
    <x v="7"/>
    <x v="1508"/>
    <x v="2590"/>
    <x v="0"/>
    <x v="2"/>
  </r>
  <r>
    <n v="3303"/>
    <x v="1642"/>
    <x v="728"/>
    <d v="2015-11-22T00:00:00"/>
    <s v="Standard Class"/>
    <x v="229"/>
    <s v="Carlos Soltero"/>
    <x v="0"/>
    <s v="United States"/>
    <s v="Philadelphia"/>
    <x v="9"/>
    <n v="19140"/>
    <x v="3"/>
    <x v="1001"/>
    <x v="0"/>
    <x v="5"/>
    <x v="1253"/>
    <x v="2558"/>
    <x v="0"/>
    <x v="2"/>
  </r>
  <r>
    <n v="3304"/>
    <x v="1642"/>
    <x v="728"/>
    <d v="2015-11-22T00:00:00"/>
    <s v="Standard Class"/>
    <x v="229"/>
    <s v="Carlos Soltero"/>
    <x v="0"/>
    <s v="United States"/>
    <s v="Philadelphia"/>
    <x v="9"/>
    <n v="19140"/>
    <x v="3"/>
    <x v="870"/>
    <x v="1"/>
    <x v="8"/>
    <x v="864"/>
    <x v="2591"/>
    <x v="0"/>
    <x v="2"/>
  </r>
  <r>
    <n v="3305"/>
    <x v="1643"/>
    <x v="125"/>
    <d v="2016-01-01T00:00:00"/>
    <s v="Second Class"/>
    <x v="407"/>
    <s v="Stefania Perrino"/>
    <x v="1"/>
    <s v="United States"/>
    <s v="Laredo"/>
    <x v="5"/>
    <n v="78041"/>
    <x v="2"/>
    <x v="897"/>
    <x v="1"/>
    <x v="12"/>
    <x v="890"/>
    <x v="2592"/>
    <x v="4"/>
    <x v="2"/>
  </r>
  <r>
    <n v="3306"/>
    <x v="1643"/>
    <x v="125"/>
    <d v="2016-01-01T00:00:00"/>
    <s v="Second Class"/>
    <x v="407"/>
    <s v="Stefania Perrino"/>
    <x v="1"/>
    <s v="United States"/>
    <s v="Laredo"/>
    <x v="5"/>
    <n v="78041"/>
    <x v="2"/>
    <x v="1236"/>
    <x v="2"/>
    <x v="7"/>
    <x v="1219"/>
    <x v="2039"/>
    <x v="4"/>
    <x v="2"/>
  </r>
  <r>
    <n v="3307"/>
    <x v="1643"/>
    <x v="125"/>
    <d v="2016-01-01T00:00:00"/>
    <s v="Second Class"/>
    <x v="407"/>
    <s v="Stefania Perrino"/>
    <x v="1"/>
    <s v="United States"/>
    <s v="Laredo"/>
    <x v="5"/>
    <n v="78041"/>
    <x v="2"/>
    <x v="819"/>
    <x v="2"/>
    <x v="7"/>
    <x v="815"/>
    <x v="2593"/>
    <x v="4"/>
    <x v="2"/>
  </r>
  <r>
    <n v="3308"/>
    <x v="1643"/>
    <x v="125"/>
    <d v="2016-01-01T00:00:00"/>
    <s v="Second Class"/>
    <x v="407"/>
    <s v="Stefania Perrino"/>
    <x v="1"/>
    <s v="United States"/>
    <s v="Laredo"/>
    <x v="5"/>
    <n v="78041"/>
    <x v="2"/>
    <x v="315"/>
    <x v="1"/>
    <x v="8"/>
    <x v="315"/>
    <x v="2594"/>
    <x v="4"/>
    <x v="2"/>
  </r>
  <r>
    <n v="3309"/>
    <x v="1643"/>
    <x v="125"/>
    <d v="2016-01-01T00:00:00"/>
    <s v="Second Class"/>
    <x v="407"/>
    <s v="Stefania Perrino"/>
    <x v="1"/>
    <s v="United States"/>
    <s v="Laredo"/>
    <x v="5"/>
    <n v="78041"/>
    <x v="2"/>
    <x v="246"/>
    <x v="2"/>
    <x v="11"/>
    <x v="247"/>
    <x v="730"/>
    <x v="4"/>
    <x v="2"/>
  </r>
  <r>
    <n v="3310"/>
    <x v="1644"/>
    <x v="599"/>
    <d v="2016-11-11T00:00:00"/>
    <s v="Standard Class"/>
    <x v="265"/>
    <s v="Grant Thornton"/>
    <x v="1"/>
    <s v="United States"/>
    <s v="New York City"/>
    <x v="15"/>
    <n v="10009"/>
    <x v="3"/>
    <x v="1085"/>
    <x v="1"/>
    <x v="8"/>
    <x v="1075"/>
    <x v="863"/>
    <x v="0"/>
    <x v="1"/>
  </r>
  <r>
    <n v="3311"/>
    <x v="1645"/>
    <x v="42"/>
    <d v="2017-09-22T00:00:00"/>
    <s v="Standard Class"/>
    <x v="560"/>
    <s v="Luke Weiss"/>
    <x v="0"/>
    <s v="United States"/>
    <s v="New York City"/>
    <x v="15"/>
    <n v="10035"/>
    <x v="3"/>
    <x v="920"/>
    <x v="1"/>
    <x v="8"/>
    <x v="912"/>
    <x v="2595"/>
    <x v="8"/>
    <x v="0"/>
  </r>
  <r>
    <n v="3312"/>
    <x v="1646"/>
    <x v="231"/>
    <d v="2017-03-25T00:00:00"/>
    <s v="Second Class"/>
    <x v="692"/>
    <s v="Aaron Hawkins"/>
    <x v="1"/>
    <s v="United States"/>
    <s v="Gulfport"/>
    <x v="35"/>
    <n v="39503"/>
    <x v="0"/>
    <x v="893"/>
    <x v="0"/>
    <x v="5"/>
    <x v="886"/>
    <x v="2596"/>
    <x v="10"/>
    <x v="0"/>
  </r>
  <r>
    <n v="3313"/>
    <x v="1647"/>
    <x v="127"/>
    <d v="2015-10-01T00:00:00"/>
    <s v="Standard Class"/>
    <x v="513"/>
    <s v="Thea Hendricks"/>
    <x v="0"/>
    <s v="United States"/>
    <s v="San Diego"/>
    <x v="1"/>
    <n v="92037"/>
    <x v="1"/>
    <x v="291"/>
    <x v="0"/>
    <x v="1"/>
    <x v="291"/>
    <x v="884"/>
    <x v="8"/>
    <x v="2"/>
  </r>
  <r>
    <n v="3314"/>
    <x v="1647"/>
    <x v="127"/>
    <d v="2015-10-01T00:00:00"/>
    <s v="Standard Class"/>
    <x v="513"/>
    <s v="Thea Hendricks"/>
    <x v="0"/>
    <s v="United States"/>
    <s v="San Diego"/>
    <x v="1"/>
    <n v="92037"/>
    <x v="1"/>
    <x v="1127"/>
    <x v="1"/>
    <x v="10"/>
    <x v="1115"/>
    <x v="2597"/>
    <x v="8"/>
    <x v="2"/>
  </r>
  <r>
    <n v="3315"/>
    <x v="1648"/>
    <x v="165"/>
    <d v="2018-12-28T00:00:00"/>
    <s v="Standard Class"/>
    <x v="643"/>
    <s v="Hunter Glantz"/>
    <x v="0"/>
    <s v="United States"/>
    <s v="Oceanside"/>
    <x v="15"/>
    <n v="11572"/>
    <x v="3"/>
    <x v="291"/>
    <x v="0"/>
    <x v="1"/>
    <x v="291"/>
    <x v="2598"/>
    <x v="4"/>
    <x v="3"/>
  </r>
  <r>
    <n v="3316"/>
    <x v="1648"/>
    <x v="165"/>
    <d v="2018-12-28T00:00:00"/>
    <s v="Standard Class"/>
    <x v="643"/>
    <s v="Hunter Glantz"/>
    <x v="0"/>
    <s v="United States"/>
    <s v="Oceanside"/>
    <x v="15"/>
    <n v="11572"/>
    <x v="3"/>
    <x v="1120"/>
    <x v="1"/>
    <x v="8"/>
    <x v="1108"/>
    <x v="2599"/>
    <x v="4"/>
    <x v="3"/>
  </r>
  <r>
    <n v="3317"/>
    <x v="1649"/>
    <x v="468"/>
    <d v="2018-11-15T00:00:00"/>
    <s v="Second Class"/>
    <x v="494"/>
    <s v="Edward Becker"/>
    <x v="1"/>
    <s v="United States"/>
    <s v="Round Rock"/>
    <x v="5"/>
    <n v="78664"/>
    <x v="2"/>
    <x v="1304"/>
    <x v="0"/>
    <x v="5"/>
    <x v="1289"/>
    <x v="2600"/>
    <x v="0"/>
    <x v="3"/>
  </r>
  <r>
    <n v="3318"/>
    <x v="1650"/>
    <x v="861"/>
    <d v="2016-09-15T00:00:00"/>
    <s v="Standard Class"/>
    <x v="56"/>
    <s v="Steven Cartwright"/>
    <x v="0"/>
    <s v="United States"/>
    <s v="Redlands"/>
    <x v="1"/>
    <n v="92374"/>
    <x v="1"/>
    <x v="626"/>
    <x v="1"/>
    <x v="6"/>
    <x v="626"/>
    <x v="2601"/>
    <x v="8"/>
    <x v="1"/>
  </r>
  <r>
    <n v="3319"/>
    <x v="1650"/>
    <x v="861"/>
    <d v="2016-09-15T00:00:00"/>
    <s v="Standard Class"/>
    <x v="56"/>
    <s v="Steven Cartwright"/>
    <x v="0"/>
    <s v="United States"/>
    <s v="Redlands"/>
    <x v="1"/>
    <n v="92374"/>
    <x v="1"/>
    <x v="1186"/>
    <x v="1"/>
    <x v="2"/>
    <x v="1172"/>
    <x v="874"/>
    <x v="8"/>
    <x v="1"/>
  </r>
  <r>
    <n v="3320"/>
    <x v="1651"/>
    <x v="414"/>
    <d v="2015-12-25T00:00:00"/>
    <s v="Standard Class"/>
    <x v="700"/>
    <s v="Tony Sayre"/>
    <x v="0"/>
    <s v="United States"/>
    <s v="Columbia"/>
    <x v="18"/>
    <n v="38401"/>
    <x v="0"/>
    <x v="1037"/>
    <x v="1"/>
    <x v="9"/>
    <x v="1027"/>
    <x v="2602"/>
    <x v="4"/>
    <x v="2"/>
  </r>
  <r>
    <n v="3321"/>
    <x v="1651"/>
    <x v="414"/>
    <d v="2015-12-25T00:00:00"/>
    <s v="Standard Class"/>
    <x v="700"/>
    <s v="Tony Sayre"/>
    <x v="0"/>
    <s v="United States"/>
    <s v="Columbia"/>
    <x v="18"/>
    <n v="38401"/>
    <x v="0"/>
    <x v="157"/>
    <x v="0"/>
    <x v="1"/>
    <x v="158"/>
    <x v="1649"/>
    <x v="4"/>
    <x v="2"/>
  </r>
  <r>
    <n v="3322"/>
    <x v="1651"/>
    <x v="414"/>
    <d v="2015-12-25T00:00:00"/>
    <s v="Standard Class"/>
    <x v="700"/>
    <s v="Tony Sayre"/>
    <x v="0"/>
    <s v="United States"/>
    <s v="Columbia"/>
    <x v="18"/>
    <n v="38401"/>
    <x v="0"/>
    <x v="1076"/>
    <x v="1"/>
    <x v="10"/>
    <x v="1066"/>
    <x v="233"/>
    <x v="4"/>
    <x v="2"/>
  </r>
  <r>
    <n v="3323"/>
    <x v="1652"/>
    <x v="862"/>
    <d v="2016-07-27T00:00:00"/>
    <s v="Standard Class"/>
    <x v="274"/>
    <s v="Tracy Hopkins"/>
    <x v="2"/>
    <s v="United States"/>
    <s v="New York City"/>
    <x v="15"/>
    <n v="10009"/>
    <x v="3"/>
    <x v="9"/>
    <x v="1"/>
    <x v="9"/>
    <x v="9"/>
    <x v="2603"/>
    <x v="7"/>
    <x v="1"/>
  </r>
  <r>
    <n v="3324"/>
    <x v="1652"/>
    <x v="862"/>
    <d v="2016-07-27T00:00:00"/>
    <s v="Standard Class"/>
    <x v="274"/>
    <s v="Tracy Hopkins"/>
    <x v="2"/>
    <s v="United States"/>
    <s v="New York City"/>
    <x v="15"/>
    <n v="10009"/>
    <x v="3"/>
    <x v="592"/>
    <x v="0"/>
    <x v="5"/>
    <x v="592"/>
    <x v="2604"/>
    <x v="7"/>
    <x v="1"/>
  </r>
  <r>
    <n v="3325"/>
    <x v="1653"/>
    <x v="7"/>
    <d v="2015-11-15T00:00:00"/>
    <s v="Standard Class"/>
    <x v="30"/>
    <s v="Karen Daniels"/>
    <x v="0"/>
    <s v="United States"/>
    <s v="Houston"/>
    <x v="5"/>
    <n v="77095"/>
    <x v="2"/>
    <x v="1176"/>
    <x v="1"/>
    <x v="8"/>
    <x v="1162"/>
    <x v="2605"/>
    <x v="0"/>
    <x v="2"/>
  </r>
  <r>
    <n v="3326"/>
    <x v="1653"/>
    <x v="7"/>
    <d v="2015-11-15T00:00:00"/>
    <s v="Standard Class"/>
    <x v="30"/>
    <s v="Karen Daniels"/>
    <x v="0"/>
    <s v="United States"/>
    <s v="Houston"/>
    <x v="5"/>
    <n v="77095"/>
    <x v="2"/>
    <x v="1488"/>
    <x v="1"/>
    <x v="8"/>
    <x v="1475"/>
    <x v="2606"/>
    <x v="0"/>
    <x v="2"/>
  </r>
  <r>
    <n v="3327"/>
    <x v="1653"/>
    <x v="7"/>
    <d v="2015-11-15T00:00:00"/>
    <s v="Standard Class"/>
    <x v="30"/>
    <s v="Karen Daniels"/>
    <x v="0"/>
    <s v="United States"/>
    <s v="Houston"/>
    <x v="5"/>
    <n v="77095"/>
    <x v="2"/>
    <x v="1473"/>
    <x v="1"/>
    <x v="6"/>
    <x v="1460"/>
    <x v="1840"/>
    <x v="0"/>
    <x v="2"/>
  </r>
  <r>
    <n v="3328"/>
    <x v="1653"/>
    <x v="7"/>
    <d v="2015-11-15T00:00:00"/>
    <s v="Standard Class"/>
    <x v="30"/>
    <s v="Karen Daniels"/>
    <x v="0"/>
    <s v="United States"/>
    <s v="Houston"/>
    <x v="5"/>
    <n v="77095"/>
    <x v="2"/>
    <x v="362"/>
    <x v="1"/>
    <x v="10"/>
    <x v="362"/>
    <x v="740"/>
    <x v="0"/>
    <x v="2"/>
  </r>
  <r>
    <n v="3329"/>
    <x v="1653"/>
    <x v="7"/>
    <d v="2015-11-15T00:00:00"/>
    <s v="Standard Class"/>
    <x v="30"/>
    <s v="Karen Daniels"/>
    <x v="0"/>
    <s v="United States"/>
    <s v="Houston"/>
    <x v="5"/>
    <n v="77095"/>
    <x v="2"/>
    <x v="1522"/>
    <x v="1"/>
    <x v="10"/>
    <x v="1509"/>
    <x v="2607"/>
    <x v="0"/>
    <x v="2"/>
  </r>
  <r>
    <n v="3330"/>
    <x v="1653"/>
    <x v="7"/>
    <d v="2015-11-15T00:00:00"/>
    <s v="Standard Class"/>
    <x v="30"/>
    <s v="Karen Daniels"/>
    <x v="0"/>
    <s v="United States"/>
    <s v="Houston"/>
    <x v="5"/>
    <n v="77095"/>
    <x v="2"/>
    <x v="918"/>
    <x v="2"/>
    <x v="7"/>
    <x v="910"/>
    <x v="1467"/>
    <x v="0"/>
    <x v="2"/>
  </r>
  <r>
    <n v="3331"/>
    <x v="1653"/>
    <x v="7"/>
    <d v="2015-11-15T00:00:00"/>
    <s v="Standard Class"/>
    <x v="30"/>
    <s v="Karen Daniels"/>
    <x v="0"/>
    <s v="United States"/>
    <s v="Houston"/>
    <x v="5"/>
    <n v="77095"/>
    <x v="2"/>
    <x v="1161"/>
    <x v="2"/>
    <x v="7"/>
    <x v="1148"/>
    <x v="2608"/>
    <x v="0"/>
    <x v="2"/>
  </r>
  <r>
    <n v="3332"/>
    <x v="1654"/>
    <x v="817"/>
    <d v="2018-12-20T00:00:00"/>
    <s v="Standard Class"/>
    <x v="39"/>
    <s v="Gary Mitchum"/>
    <x v="2"/>
    <s v="United States"/>
    <s v="Chicago"/>
    <x v="10"/>
    <n v="60653"/>
    <x v="2"/>
    <x v="1523"/>
    <x v="2"/>
    <x v="11"/>
    <x v="1510"/>
    <x v="2609"/>
    <x v="4"/>
    <x v="3"/>
  </r>
  <r>
    <n v="3333"/>
    <x v="1654"/>
    <x v="817"/>
    <d v="2018-12-20T00:00:00"/>
    <s v="Standard Class"/>
    <x v="39"/>
    <s v="Gary Mitchum"/>
    <x v="2"/>
    <s v="United States"/>
    <s v="Chicago"/>
    <x v="10"/>
    <n v="60653"/>
    <x v="2"/>
    <x v="1513"/>
    <x v="2"/>
    <x v="7"/>
    <x v="1500"/>
    <x v="2610"/>
    <x v="4"/>
    <x v="3"/>
  </r>
  <r>
    <n v="3334"/>
    <x v="1654"/>
    <x v="817"/>
    <d v="2018-12-20T00:00:00"/>
    <s v="Standard Class"/>
    <x v="39"/>
    <s v="Gary Mitchum"/>
    <x v="2"/>
    <s v="United States"/>
    <s v="Chicago"/>
    <x v="10"/>
    <n v="60653"/>
    <x v="2"/>
    <x v="1524"/>
    <x v="0"/>
    <x v="5"/>
    <x v="1511"/>
    <x v="2611"/>
    <x v="4"/>
    <x v="3"/>
  </r>
  <r>
    <n v="3335"/>
    <x v="1655"/>
    <x v="170"/>
    <d v="2018-08-22T00:00:00"/>
    <s v="First Class"/>
    <x v="701"/>
    <s v="Patrick Ryan"/>
    <x v="0"/>
    <s v="United States"/>
    <s v="Oakland"/>
    <x v="1"/>
    <n v="94601"/>
    <x v="1"/>
    <x v="786"/>
    <x v="1"/>
    <x v="6"/>
    <x v="785"/>
    <x v="854"/>
    <x v="6"/>
    <x v="3"/>
  </r>
  <r>
    <n v="3336"/>
    <x v="1655"/>
    <x v="170"/>
    <d v="2018-08-22T00:00:00"/>
    <s v="First Class"/>
    <x v="701"/>
    <s v="Patrick Ryan"/>
    <x v="0"/>
    <s v="United States"/>
    <s v="Oakland"/>
    <x v="1"/>
    <n v="94601"/>
    <x v="1"/>
    <x v="524"/>
    <x v="2"/>
    <x v="7"/>
    <x v="524"/>
    <x v="2612"/>
    <x v="6"/>
    <x v="3"/>
  </r>
  <r>
    <n v="3337"/>
    <x v="1655"/>
    <x v="170"/>
    <d v="2018-08-22T00:00:00"/>
    <s v="First Class"/>
    <x v="701"/>
    <s v="Patrick Ryan"/>
    <x v="0"/>
    <s v="United States"/>
    <s v="Oakland"/>
    <x v="1"/>
    <n v="94601"/>
    <x v="1"/>
    <x v="1525"/>
    <x v="0"/>
    <x v="5"/>
    <x v="1512"/>
    <x v="677"/>
    <x v="6"/>
    <x v="3"/>
  </r>
  <r>
    <n v="3338"/>
    <x v="1655"/>
    <x v="170"/>
    <d v="2018-08-22T00:00:00"/>
    <s v="First Class"/>
    <x v="701"/>
    <s v="Patrick Ryan"/>
    <x v="0"/>
    <s v="United States"/>
    <s v="Oakland"/>
    <x v="1"/>
    <n v="94601"/>
    <x v="1"/>
    <x v="10"/>
    <x v="0"/>
    <x v="3"/>
    <x v="10"/>
    <x v="2613"/>
    <x v="6"/>
    <x v="3"/>
  </r>
  <r>
    <n v="3339"/>
    <x v="1655"/>
    <x v="170"/>
    <d v="2018-08-22T00:00:00"/>
    <s v="First Class"/>
    <x v="701"/>
    <s v="Patrick Ryan"/>
    <x v="0"/>
    <s v="United States"/>
    <s v="Oakland"/>
    <x v="1"/>
    <n v="94601"/>
    <x v="1"/>
    <x v="1526"/>
    <x v="1"/>
    <x v="8"/>
    <x v="1513"/>
    <x v="2614"/>
    <x v="6"/>
    <x v="3"/>
  </r>
  <r>
    <n v="3340"/>
    <x v="1655"/>
    <x v="170"/>
    <d v="2018-08-22T00:00:00"/>
    <s v="First Class"/>
    <x v="701"/>
    <s v="Patrick Ryan"/>
    <x v="0"/>
    <s v="United States"/>
    <s v="Oakland"/>
    <x v="1"/>
    <n v="94601"/>
    <x v="1"/>
    <x v="1527"/>
    <x v="1"/>
    <x v="9"/>
    <x v="1514"/>
    <x v="2615"/>
    <x v="6"/>
    <x v="3"/>
  </r>
  <r>
    <n v="3341"/>
    <x v="1655"/>
    <x v="170"/>
    <d v="2018-08-22T00:00:00"/>
    <s v="First Class"/>
    <x v="701"/>
    <s v="Patrick Ryan"/>
    <x v="0"/>
    <s v="United States"/>
    <s v="Oakland"/>
    <x v="1"/>
    <n v="94601"/>
    <x v="1"/>
    <x v="322"/>
    <x v="1"/>
    <x v="2"/>
    <x v="322"/>
    <x v="2616"/>
    <x v="6"/>
    <x v="3"/>
  </r>
  <r>
    <n v="3342"/>
    <x v="1656"/>
    <x v="278"/>
    <d v="2017-09-01T00:00:00"/>
    <s v="Second Class"/>
    <x v="26"/>
    <s v="Ted Butterfield"/>
    <x v="0"/>
    <s v="United States"/>
    <s v="Quincy"/>
    <x v="31"/>
    <n v="2169"/>
    <x v="3"/>
    <x v="1127"/>
    <x v="1"/>
    <x v="10"/>
    <x v="1115"/>
    <x v="1232"/>
    <x v="6"/>
    <x v="0"/>
  </r>
  <r>
    <n v="3343"/>
    <x v="1656"/>
    <x v="278"/>
    <d v="2017-09-01T00:00:00"/>
    <s v="Second Class"/>
    <x v="26"/>
    <s v="Ted Butterfield"/>
    <x v="0"/>
    <s v="United States"/>
    <s v="Quincy"/>
    <x v="31"/>
    <n v="2169"/>
    <x v="3"/>
    <x v="1110"/>
    <x v="0"/>
    <x v="3"/>
    <x v="1099"/>
    <x v="2617"/>
    <x v="6"/>
    <x v="0"/>
  </r>
  <r>
    <n v="3344"/>
    <x v="1656"/>
    <x v="278"/>
    <d v="2017-09-01T00:00:00"/>
    <s v="Second Class"/>
    <x v="26"/>
    <s v="Ted Butterfield"/>
    <x v="0"/>
    <s v="United States"/>
    <s v="Quincy"/>
    <x v="31"/>
    <n v="2169"/>
    <x v="3"/>
    <x v="222"/>
    <x v="2"/>
    <x v="7"/>
    <x v="223"/>
    <x v="127"/>
    <x v="6"/>
    <x v="0"/>
  </r>
  <r>
    <n v="3345"/>
    <x v="1656"/>
    <x v="278"/>
    <d v="2017-09-01T00:00:00"/>
    <s v="Second Class"/>
    <x v="26"/>
    <s v="Ted Butterfield"/>
    <x v="0"/>
    <s v="United States"/>
    <s v="Quincy"/>
    <x v="31"/>
    <n v="2169"/>
    <x v="3"/>
    <x v="187"/>
    <x v="1"/>
    <x v="10"/>
    <x v="188"/>
    <x v="2618"/>
    <x v="6"/>
    <x v="0"/>
  </r>
  <r>
    <n v="3346"/>
    <x v="1656"/>
    <x v="278"/>
    <d v="2017-09-01T00:00:00"/>
    <s v="Second Class"/>
    <x v="26"/>
    <s v="Ted Butterfield"/>
    <x v="0"/>
    <s v="United States"/>
    <s v="Quincy"/>
    <x v="31"/>
    <n v="2169"/>
    <x v="3"/>
    <x v="848"/>
    <x v="1"/>
    <x v="13"/>
    <x v="128"/>
    <x v="2582"/>
    <x v="6"/>
    <x v="0"/>
  </r>
  <r>
    <n v="3347"/>
    <x v="1656"/>
    <x v="278"/>
    <d v="2017-09-01T00:00:00"/>
    <s v="Second Class"/>
    <x v="26"/>
    <s v="Ted Butterfield"/>
    <x v="0"/>
    <s v="United States"/>
    <s v="Quincy"/>
    <x v="31"/>
    <n v="2169"/>
    <x v="3"/>
    <x v="1458"/>
    <x v="1"/>
    <x v="8"/>
    <x v="1444"/>
    <x v="180"/>
    <x v="6"/>
    <x v="0"/>
  </r>
  <r>
    <n v="3348"/>
    <x v="1657"/>
    <x v="863"/>
    <d v="2016-08-20T00:00:00"/>
    <s v="Standard Class"/>
    <x v="21"/>
    <s v="Odella Nelson"/>
    <x v="1"/>
    <s v="United States"/>
    <s v="Yucaipa"/>
    <x v="1"/>
    <n v="92399"/>
    <x v="1"/>
    <x v="400"/>
    <x v="1"/>
    <x v="6"/>
    <x v="401"/>
    <x v="2619"/>
    <x v="6"/>
    <x v="1"/>
  </r>
  <r>
    <n v="3349"/>
    <x v="1658"/>
    <x v="60"/>
    <d v="2018-11-07T00:00:00"/>
    <s v="First Class"/>
    <x v="124"/>
    <s v="Alan Haines"/>
    <x v="1"/>
    <s v="United States"/>
    <s v="Chicago"/>
    <x v="10"/>
    <n v="60623"/>
    <x v="2"/>
    <x v="27"/>
    <x v="1"/>
    <x v="8"/>
    <x v="27"/>
    <x v="2620"/>
    <x v="0"/>
    <x v="3"/>
  </r>
  <r>
    <n v="3350"/>
    <x v="1659"/>
    <x v="864"/>
    <d v="2017-08-21T00:00:00"/>
    <s v="Standard Class"/>
    <x v="392"/>
    <s v="Neoma Murray"/>
    <x v="0"/>
    <s v="United States"/>
    <s v="Seattle"/>
    <x v="4"/>
    <n v="98105"/>
    <x v="1"/>
    <x v="696"/>
    <x v="1"/>
    <x v="8"/>
    <x v="696"/>
    <x v="577"/>
    <x v="6"/>
    <x v="0"/>
  </r>
  <r>
    <n v="3351"/>
    <x v="1660"/>
    <x v="482"/>
    <d v="2017-12-31T00:00:00"/>
    <s v="Standard Class"/>
    <x v="239"/>
    <s v="Andrew Roberts"/>
    <x v="0"/>
    <s v="United States"/>
    <s v="New York City"/>
    <x v="15"/>
    <n v="10024"/>
    <x v="3"/>
    <x v="1048"/>
    <x v="2"/>
    <x v="11"/>
    <x v="1037"/>
    <x v="1309"/>
    <x v="4"/>
    <x v="0"/>
  </r>
  <r>
    <n v="3352"/>
    <x v="1661"/>
    <x v="865"/>
    <d v="2015-09-28T00:00:00"/>
    <s v="Standard Class"/>
    <x v="312"/>
    <s v="Brian Moss"/>
    <x v="1"/>
    <s v="United States"/>
    <s v="San Diego"/>
    <x v="1"/>
    <n v="92037"/>
    <x v="1"/>
    <x v="1528"/>
    <x v="0"/>
    <x v="0"/>
    <x v="1515"/>
    <x v="2621"/>
    <x v="8"/>
    <x v="2"/>
  </r>
  <r>
    <n v="3353"/>
    <x v="1661"/>
    <x v="865"/>
    <d v="2015-09-28T00:00:00"/>
    <s v="Standard Class"/>
    <x v="312"/>
    <s v="Brian Moss"/>
    <x v="1"/>
    <s v="United States"/>
    <s v="San Diego"/>
    <x v="1"/>
    <n v="92037"/>
    <x v="1"/>
    <x v="66"/>
    <x v="2"/>
    <x v="7"/>
    <x v="66"/>
    <x v="1396"/>
    <x v="8"/>
    <x v="2"/>
  </r>
  <r>
    <n v="3354"/>
    <x v="1662"/>
    <x v="866"/>
    <d v="2015-07-24T00:00:00"/>
    <s v="Standard Class"/>
    <x v="119"/>
    <s v="Christine Abelman"/>
    <x v="1"/>
    <s v="United States"/>
    <s v="Bristol"/>
    <x v="29"/>
    <n v="6010"/>
    <x v="3"/>
    <x v="1149"/>
    <x v="2"/>
    <x v="7"/>
    <x v="1137"/>
    <x v="2622"/>
    <x v="7"/>
    <x v="2"/>
  </r>
  <r>
    <n v="3355"/>
    <x v="1662"/>
    <x v="866"/>
    <d v="2015-07-24T00:00:00"/>
    <s v="Standard Class"/>
    <x v="119"/>
    <s v="Christine Abelman"/>
    <x v="1"/>
    <s v="United States"/>
    <s v="Bristol"/>
    <x v="29"/>
    <n v="6010"/>
    <x v="3"/>
    <x v="1529"/>
    <x v="0"/>
    <x v="3"/>
    <x v="1516"/>
    <x v="2623"/>
    <x v="7"/>
    <x v="2"/>
  </r>
  <r>
    <n v="3356"/>
    <x v="1662"/>
    <x v="866"/>
    <d v="2015-07-24T00:00:00"/>
    <s v="Standard Class"/>
    <x v="119"/>
    <s v="Christine Abelman"/>
    <x v="1"/>
    <s v="United States"/>
    <s v="Bristol"/>
    <x v="29"/>
    <n v="6010"/>
    <x v="3"/>
    <x v="864"/>
    <x v="1"/>
    <x v="8"/>
    <x v="858"/>
    <x v="1490"/>
    <x v="7"/>
    <x v="2"/>
  </r>
  <r>
    <n v="3357"/>
    <x v="1662"/>
    <x v="866"/>
    <d v="2015-07-24T00:00:00"/>
    <s v="Standard Class"/>
    <x v="119"/>
    <s v="Christine Abelman"/>
    <x v="1"/>
    <s v="United States"/>
    <s v="Bristol"/>
    <x v="29"/>
    <n v="6010"/>
    <x v="3"/>
    <x v="315"/>
    <x v="1"/>
    <x v="8"/>
    <x v="315"/>
    <x v="2624"/>
    <x v="7"/>
    <x v="2"/>
  </r>
  <r>
    <n v="3358"/>
    <x v="1663"/>
    <x v="210"/>
    <d v="2018-09-13T00:00:00"/>
    <s v="Standard Class"/>
    <x v="376"/>
    <s v="Nicole Fjeld"/>
    <x v="2"/>
    <s v="United States"/>
    <s v="Chicago"/>
    <x v="10"/>
    <n v="60610"/>
    <x v="2"/>
    <x v="885"/>
    <x v="1"/>
    <x v="10"/>
    <x v="33"/>
    <x v="2625"/>
    <x v="8"/>
    <x v="3"/>
  </r>
  <r>
    <n v="3359"/>
    <x v="1664"/>
    <x v="715"/>
    <d v="2017-05-10T00:00:00"/>
    <s v="Standard Class"/>
    <x v="578"/>
    <s v="Art Ferguson"/>
    <x v="0"/>
    <s v="United States"/>
    <s v="Chicago"/>
    <x v="10"/>
    <n v="60610"/>
    <x v="2"/>
    <x v="385"/>
    <x v="1"/>
    <x v="8"/>
    <x v="386"/>
    <x v="2626"/>
    <x v="5"/>
    <x v="0"/>
  </r>
  <r>
    <n v="3360"/>
    <x v="1664"/>
    <x v="715"/>
    <d v="2017-05-10T00:00:00"/>
    <s v="Standard Class"/>
    <x v="578"/>
    <s v="Art Ferguson"/>
    <x v="0"/>
    <s v="United States"/>
    <s v="Chicago"/>
    <x v="10"/>
    <n v="60610"/>
    <x v="2"/>
    <x v="960"/>
    <x v="2"/>
    <x v="11"/>
    <x v="953"/>
    <x v="2627"/>
    <x v="5"/>
    <x v="0"/>
  </r>
  <r>
    <n v="3361"/>
    <x v="1665"/>
    <x v="593"/>
    <d v="2016-06-08T00:00:00"/>
    <s v="Second Class"/>
    <x v="426"/>
    <s v="Tracy Collins"/>
    <x v="2"/>
    <s v="United States"/>
    <s v="New York City"/>
    <x v="15"/>
    <n v="10024"/>
    <x v="3"/>
    <x v="229"/>
    <x v="1"/>
    <x v="10"/>
    <x v="230"/>
    <x v="2628"/>
    <x v="1"/>
    <x v="1"/>
  </r>
  <r>
    <n v="3362"/>
    <x v="1665"/>
    <x v="593"/>
    <d v="2016-06-08T00:00:00"/>
    <s v="Second Class"/>
    <x v="426"/>
    <s v="Tracy Collins"/>
    <x v="2"/>
    <s v="United States"/>
    <s v="New York City"/>
    <x v="15"/>
    <n v="10024"/>
    <x v="3"/>
    <x v="1530"/>
    <x v="0"/>
    <x v="5"/>
    <x v="1517"/>
    <x v="2629"/>
    <x v="1"/>
    <x v="1"/>
  </r>
  <r>
    <n v="3363"/>
    <x v="1666"/>
    <x v="350"/>
    <d v="2016-12-20T00:00:00"/>
    <s v="Standard Class"/>
    <x v="656"/>
    <s v="Dean percer"/>
    <x v="2"/>
    <s v="United States"/>
    <s v="Revere"/>
    <x v="31"/>
    <n v="2151"/>
    <x v="3"/>
    <x v="498"/>
    <x v="1"/>
    <x v="10"/>
    <x v="498"/>
    <x v="537"/>
    <x v="4"/>
    <x v="1"/>
  </r>
  <r>
    <n v="3364"/>
    <x v="1666"/>
    <x v="350"/>
    <d v="2016-12-20T00:00:00"/>
    <s v="Standard Class"/>
    <x v="656"/>
    <s v="Dean percer"/>
    <x v="2"/>
    <s v="United States"/>
    <s v="Revere"/>
    <x v="31"/>
    <n v="2151"/>
    <x v="3"/>
    <x v="92"/>
    <x v="1"/>
    <x v="8"/>
    <x v="92"/>
    <x v="2630"/>
    <x v="4"/>
    <x v="1"/>
  </r>
  <r>
    <n v="3365"/>
    <x v="1667"/>
    <x v="87"/>
    <d v="2017-07-18T00:00:00"/>
    <s v="Second Class"/>
    <x v="466"/>
    <s v="Mark Cousins"/>
    <x v="1"/>
    <s v="United States"/>
    <s v="Houston"/>
    <x v="5"/>
    <n v="77036"/>
    <x v="2"/>
    <x v="740"/>
    <x v="0"/>
    <x v="5"/>
    <x v="222"/>
    <x v="1235"/>
    <x v="7"/>
    <x v="0"/>
  </r>
  <r>
    <n v="3366"/>
    <x v="1668"/>
    <x v="867"/>
    <d v="2015-02-02T00:00:00"/>
    <s v="First Class"/>
    <x v="702"/>
    <s v="Liz Carlisle"/>
    <x v="0"/>
    <s v="United States"/>
    <s v="Mission Viejo"/>
    <x v="1"/>
    <n v="92691"/>
    <x v="1"/>
    <x v="1106"/>
    <x v="0"/>
    <x v="0"/>
    <x v="1095"/>
    <x v="1395"/>
    <x v="9"/>
    <x v="2"/>
  </r>
  <r>
    <n v="3367"/>
    <x v="1669"/>
    <x v="868"/>
    <d v="2015-07-15T00:00:00"/>
    <s v="Standard Class"/>
    <x v="312"/>
    <s v="Brian Moss"/>
    <x v="1"/>
    <s v="United States"/>
    <s v="Dallas"/>
    <x v="5"/>
    <n v="75217"/>
    <x v="2"/>
    <x v="934"/>
    <x v="1"/>
    <x v="10"/>
    <x v="927"/>
    <x v="559"/>
    <x v="7"/>
    <x v="2"/>
  </r>
  <r>
    <n v="3368"/>
    <x v="1669"/>
    <x v="868"/>
    <d v="2015-07-15T00:00:00"/>
    <s v="Standard Class"/>
    <x v="312"/>
    <s v="Brian Moss"/>
    <x v="1"/>
    <s v="United States"/>
    <s v="Dallas"/>
    <x v="5"/>
    <n v="75217"/>
    <x v="2"/>
    <x v="1357"/>
    <x v="1"/>
    <x v="10"/>
    <x v="1343"/>
    <x v="642"/>
    <x v="7"/>
    <x v="2"/>
  </r>
  <r>
    <n v="3369"/>
    <x v="1670"/>
    <x v="82"/>
    <d v="2016-11-25T00:00:00"/>
    <s v="Standard Class"/>
    <x v="508"/>
    <s v="Natalie Webber"/>
    <x v="0"/>
    <s v="United States"/>
    <s v="Las Vegas"/>
    <x v="33"/>
    <n v="89115"/>
    <x v="1"/>
    <x v="1531"/>
    <x v="0"/>
    <x v="0"/>
    <x v="1518"/>
    <x v="1713"/>
    <x v="0"/>
    <x v="1"/>
  </r>
  <r>
    <n v="3370"/>
    <x v="1670"/>
    <x v="82"/>
    <d v="2016-11-25T00:00:00"/>
    <s v="Standard Class"/>
    <x v="508"/>
    <s v="Natalie Webber"/>
    <x v="0"/>
    <s v="United States"/>
    <s v="Las Vegas"/>
    <x v="33"/>
    <n v="89115"/>
    <x v="1"/>
    <x v="340"/>
    <x v="1"/>
    <x v="8"/>
    <x v="340"/>
    <x v="2631"/>
    <x v="0"/>
    <x v="1"/>
  </r>
  <r>
    <n v="3371"/>
    <x v="1671"/>
    <x v="869"/>
    <d v="2017-03-25T00:00:00"/>
    <s v="Same Day"/>
    <x v="509"/>
    <s v="Toby Braunhardt"/>
    <x v="0"/>
    <s v="United States"/>
    <s v="Norman"/>
    <x v="26"/>
    <n v="73071"/>
    <x v="2"/>
    <x v="217"/>
    <x v="2"/>
    <x v="11"/>
    <x v="218"/>
    <x v="2632"/>
    <x v="10"/>
    <x v="0"/>
  </r>
  <r>
    <n v="3372"/>
    <x v="1672"/>
    <x v="397"/>
    <d v="2018-09-30T00:00:00"/>
    <s v="Standard Class"/>
    <x v="94"/>
    <s v="Bruce Stewart"/>
    <x v="0"/>
    <s v="United States"/>
    <s v="San Francisco"/>
    <x v="1"/>
    <n v="94122"/>
    <x v="1"/>
    <x v="973"/>
    <x v="1"/>
    <x v="8"/>
    <x v="967"/>
    <x v="63"/>
    <x v="8"/>
    <x v="3"/>
  </r>
  <r>
    <n v="3373"/>
    <x v="1672"/>
    <x v="397"/>
    <d v="2018-09-30T00:00:00"/>
    <s v="Standard Class"/>
    <x v="94"/>
    <s v="Bruce Stewart"/>
    <x v="0"/>
    <s v="United States"/>
    <s v="San Francisco"/>
    <x v="1"/>
    <n v="94122"/>
    <x v="1"/>
    <x v="1429"/>
    <x v="1"/>
    <x v="9"/>
    <x v="1417"/>
    <x v="2633"/>
    <x v="8"/>
    <x v="3"/>
  </r>
  <r>
    <n v="3374"/>
    <x v="1673"/>
    <x v="784"/>
    <d v="2016-12-10T00:00:00"/>
    <s v="Standard Class"/>
    <x v="2"/>
    <s v="Sean O'Donnell"/>
    <x v="0"/>
    <s v="United States"/>
    <s v="Hempstead"/>
    <x v="15"/>
    <n v="11550"/>
    <x v="3"/>
    <x v="1462"/>
    <x v="0"/>
    <x v="5"/>
    <x v="1448"/>
    <x v="2634"/>
    <x v="4"/>
    <x v="1"/>
  </r>
  <r>
    <n v="3375"/>
    <x v="1673"/>
    <x v="784"/>
    <d v="2016-12-10T00:00:00"/>
    <s v="Standard Class"/>
    <x v="2"/>
    <s v="Sean O'Donnell"/>
    <x v="0"/>
    <s v="United States"/>
    <s v="Hempstead"/>
    <x v="15"/>
    <n v="11550"/>
    <x v="3"/>
    <x v="394"/>
    <x v="0"/>
    <x v="1"/>
    <x v="395"/>
    <x v="2635"/>
    <x v="4"/>
    <x v="1"/>
  </r>
  <r>
    <n v="3376"/>
    <x v="1673"/>
    <x v="784"/>
    <d v="2016-12-10T00:00:00"/>
    <s v="Standard Class"/>
    <x v="2"/>
    <s v="Sean O'Donnell"/>
    <x v="0"/>
    <s v="United States"/>
    <s v="Hempstead"/>
    <x v="15"/>
    <n v="11550"/>
    <x v="3"/>
    <x v="433"/>
    <x v="2"/>
    <x v="7"/>
    <x v="433"/>
    <x v="786"/>
    <x v="4"/>
    <x v="1"/>
  </r>
  <r>
    <n v="3377"/>
    <x v="1673"/>
    <x v="784"/>
    <d v="2016-12-10T00:00:00"/>
    <s v="Standard Class"/>
    <x v="2"/>
    <s v="Sean O'Donnell"/>
    <x v="0"/>
    <s v="United States"/>
    <s v="Hempstead"/>
    <x v="15"/>
    <n v="11550"/>
    <x v="3"/>
    <x v="228"/>
    <x v="0"/>
    <x v="1"/>
    <x v="229"/>
    <x v="2636"/>
    <x v="4"/>
    <x v="1"/>
  </r>
  <r>
    <n v="3378"/>
    <x v="1674"/>
    <x v="474"/>
    <d v="2017-11-04T00:00:00"/>
    <s v="First Class"/>
    <x v="703"/>
    <s v="Cindy Schnelling"/>
    <x v="1"/>
    <s v="United States"/>
    <s v="Conroe"/>
    <x v="5"/>
    <n v="77301"/>
    <x v="2"/>
    <x v="1018"/>
    <x v="1"/>
    <x v="4"/>
    <x v="1519"/>
    <x v="2637"/>
    <x v="0"/>
    <x v="0"/>
  </r>
  <r>
    <n v="3379"/>
    <x v="1675"/>
    <x v="294"/>
    <d v="2018-03-21T00:00:00"/>
    <s v="Standard Class"/>
    <x v="178"/>
    <s v="Philisse Overcash"/>
    <x v="2"/>
    <s v="United States"/>
    <s v="Houston"/>
    <x v="5"/>
    <n v="77095"/>
    <x v="2"/>
    <x v="1426"/>
    <x v="1"/>
    <x v="8"/>
    <x v="1414"/>
    <x v="2638"/>
    <x v="10"/>
    <x v="3"/>
  </r>
  <r>
    <n v="3380"/>
    <x v="1675"/>
    <x v="294"/>
    <d v="2018-03-21T00:00:00"/>
    <s v="Standard Class"/>
    <x v="178"/>
    <s v="Philisse Overcash"/>
    <x v="2"/>
    <s v="United States"/>
    <s v="Houston"/>
    <x v="5"/>
    <n v="77095"/>
    <x v="2"/>
    <x v="1532"/>
    <x v="1"/>
    <x v="10"/>
    <x v="1520"/>
    <x v="1495"/>
    <x v="10"/>
    <x v="3"/>
  </r>
  <r>
    <n v="3381"/>
    <x v="1676"/>
    <x v="51"/>
    <d v="2018-11-24T00:00:00"/>
    <s v="First Class"/>
    <x v="143"/>
    <s v="Tamara Dahlen"/>
    <x v="0"/>
    <s v="United States"/>
    <s v="Philadelphia"/>
    <x v="9"/>
    <n v="19120"/>
    <x v="3"/>
    <x v="1533"/>
    <x v="0"/>
    <x v="5"/>
    <x v="1521"/>
    <x v="2639"/>
    <x v="0"/>
    <x v="3"/>
  </r>
  <r>
    <n v="3382"/>
    <x v="1677"/>
    <x v="151"/>
    <d v="2018-08-30T00:00:00"/>
    <s v="First Class"/>
    <x v="407"/>
    <s v="Stefania Perrino"/>
    <x v="1"/>
    <s v="United States"/>
    <s v="Tampa"/>
    <x v="2"/>
    <n v="33614"/>
    <x v="0"/>
    <x v="135"/>
    <x v="1"/>
    <x v="12"/>
    <x v="136"/>
    <x v="1671"/>
    <x v="6"/>
    <x v="3"/>
  </r>
  <r>
    <n v="3383"/>
    <x v="1678"/>
    <x v="784"/>
    <d v="2016-12-09T00:00:00"/>
    <s v="Second Class"/>
    <x v="333"/>
    <s v="Maribeth Schnelling"/>
    <x v="0"/>
    <s v="United States"/>
    <s v="New York City"/>
    <x v="15"/>
    <n v="10035"/>
    <x v="3"/>
    <x v="1303"/>
    <x v="1"/>
    <x v="12"/>
    <x v="1288"/>
    <x v="1444"/>
    <x v="4"/>
    <x v="1"/>
  </r>
  <r>
    <n v="3384"/>
    <x v="1678"/>
    <x v="784"/>
    <d v="2016-12-09T00:00:00"/>
    <s v="Second Class"/>
    <x v="333"/>
    <s v="Maribeth Schnelling"/>
    <x v="0"/>
    <s v="United States"/>
    <s v="New York City"/>
    <x v="15"/>
    <n v="10035"/>
    <x v="3"/>
    <x v="1534"/>
    <x v="0"/>
    <x v="1"/>
    <x v="1522"/>
    <x v="2640"/>
    <x v="4"/>
    <x v="1"/>
  </r>
  <r>
    <n v="3385"/>
    <x v="1678"/>
    <x v="784"/>
    <d v="2016-12-09T00:00:00"/>
    <s v="Second Class"/>
    <x v="333"/>
    <s v="Maribeth Schnelling"/>
    <x v="0"/>
    <s v="United States"/>
    <s v="New York City"/>
    <x v="15"/>
    <n v="10035"/>
    <x v="3"/>
    <x v="907"/>
    <x v="2"/>
    <x v="7"/>
    <x v="899"/>
    <x v="2641"/>
    <x v="4"/>
    <x v="1"/>
  </r>
  <r>
    <n v="3386"/>
    <x v="1679"/>
    <x v="566"/>
    <d v="2018-10-11T00:00:00"/>
    <s v="Standard Class"/>
    <x v="656"/>
    <s v="Dean percer"/>
    <x v="2"/>
    <s v="United States"/>
    <s v="Charlotte"/>
    <x v="3"/>
    <n v="28205"/>
    <x v="0"/>
    <x v="245"/>
    <x v="1"/>
    <x v="4"/>
    <x v="246"/>
    <x v="2642"/>
    <x v="2"/>
    <x v="3"/>
  </r>
  <r>
    <n v="3387"/>
    <x v="1679"/>
    <x v="566"/>
    <d v="2018-10-11T00:00:00"/>
    <s v="Standard Class"/>
    <x v="656"/>
    <s v="Dean percer"/>
    <x v="2"/>
    <s v="United States"/>
    <s v="Charlotte"/>
    <x v="3"/>
    <n v="28205"/>
    <x v="0"/>
    <x v="550"/>
    <x v="1"/>
    <x v="13"/>
    <x v="128"/>
    <x v="2206"/>
    <x v="2"/>
    <x v="3"/>
  </r>
  <r>
    <n v="3388"/>
    <x v="1679"/>
    <x v="566"/>
    <d v="2018-10-11T00:00:00"/>
    <s v="Standard Class"/>
    <x v="656"/>
    <s v="Dean percer"/>
    <x v="2"/>
    <s v="United States"/>
    <s v="Charlotte"/>
    <x v="3"/>
    <n v="28205"/>
    <x v="0"/>
    <x v="872"/>
    <x v="2"/>
    <x v="7"/>
    <x v="866"/>
    <x v="2643"/>
    <x v="2"/>
    <x v="3"/>
  </r>
  <r>
    <n v="3389"/>
    <x v="1679"/>
    <x v="566"/>
    <d v="2018-10-11T00:00:00"/>
    <s v="Standard Class"/>
    <x v="656"/>
    <s v="Dean percer"/>
    <x v="2"/>
    <s v="United States"/>
    <s v="Charlotte"/>
    <x v="3"/>
    <n v="28205"/>
    <x v="0"/>
    <x v="912"/>
    <x v="1"/>
    <x v="8"/>
    <x v="904"/>
    <x v="2644"/>
    <x v="2"/>
    <x v="3"/>
  </r>
  <r>
    <n v="3390"/>
    <x v="1679"/>
    <x v="566"/>
    <d v="2018-10-11T00:00:00"/>
    <s v="Standard Class"/>
    <x v="656"/>
    <s v="Dean percer"/>
    <x v="2"/>
    <s v="United States"/>
    <s v="Charlotte"/>
    <x v="3"/>
    <n v="28205"/>
    <x v="0"/>
    <x v="977"/>
    <x v="0"/>
    <x v="3"/>
    <x v="832"/>
    <x v="1244"/>
    <x v="2"/>
    <x v="3"/>
  </r>
  <r>
    <n v="3391"/>
    <x v="1680"/>
    <x v="613"/>
    <d v="2018-03-30T00:00:00"/>
    <s v="Second Class"/>
    <x v="551"/>
    <s v="Duane Benoit"/>
    <x v="0"/>
    <s v="United States"/>
    <s v="Dallas"/>
    <x v="5"/>
    <n v="75081"/>
    <x v="2"/>
    <x v="1433"/>
    <x v="1"/>
    <x v="10"/>
    <x v="1421"/>
    <x v="1297"/>
    <x v="10"/>
    <x v="3"/>
  </r>
  <r>
    <n v="3392"/>
    <x v="1681"/>
    <x v="128"/>
    <d v="2015-08-13T00:00:00"/>
    <s v="Standard Class"/>
    <x v="377"/>
    <s v="Matthew Grinstein"/>
    <x v="2"/>
    <s v="United States"/>
    <s v="Seattle"/>
    <x v="4"/>
    <n v="98103"/>
    <x v="1"/>
    <x v="638"/>
    <x v="2"/>
    <x v="7"/>
    <x v="638"/>
    <x v="2645"/>
    <x v="6"/>
    <x v="2"/>
  </r>
  <r>
    <n v="3393"/>
    <x v="1681"/>
    <x v="128"/>
    <d v="2015-08-13T00:00:00"/>
    <s v="Standard Class"/>
    <x v="377"/>
    <s v="Matthew Grinstein"/>
    <x v="2"/>
    <s v="United States"/>
    <s v="Seattle"/>
    <x v="4"/>
    <n v="98103"/>
    <x v="1"/>
    <x v="1075"/>
    <x v="2"/>
    <x v="7"/>
    <x v="1065"/>
    <x v="2646"/>
    <x v="6"/>
    <x v="2"/>
  </r>
  <r>
    <n v="3394"/>
    <x v="1682"/>
    <x v="754"/>
    <d v="2015-11-25T00:00:00"/>
    <s v="First Class"/>
    <x v="699"/>
    <s v="Evan Henry"/>
    <x v="0"/>
    <s v="United States"/>
    <s v="Pasadena"/>
    <x v="5"/>
    <n v="77506"/>
    <x v="2"/>
    <x v="1002"/>
    <x v="1"/>
    <x v="8"/>
    <x v="994"/>
    <x v="2647"/>
    <x v="0"/>
    <x v="2"/>
  </r>
  <r>
    <n v="3395"/>
    <x v="1683"/>
    <x v="193"/>
    <d v="2018-06-10T00:00:00"/>
    <s v="Same Day"/>
    <x v="488"/>
    <s v="Carl Ludwig"/>
    <x v="0"/>
    <s v="United States"/>
    <s v="Philadelphia"/>
    <x v="9"/>
    <n v="19143"/>
    <x v="3"/>
    <x v="1305"/>
    <x v="1"/>
    <x v="10"/>
    <x v="1290"/>
    <x v="2648"/>
    <x v="1"/>
    <x v="3"/>
  </r>
  <r>
    <n v="3396"/>
    <x v="1684"/>
    <x v="870"/>
    <d v="2018-07-08T00:00:00"/>
    <s v="Standard Class"/>
    <x v="580"/>
    <s v="Karen Ferguson"/>
    <x v="2"/>
    <s v="United States"/>
    <s v="Indianapolis"/>
    <x v="14"/>
    <n v="46203"/>
    <x v="2"/>
    <x v="1439"/>
    <x v="1"/>
    <x v="4"/>
    <x v="1427"/>
    <x v="2293"/>
    <x v="7"/>
    <x v="3"/>
  </r>
  <r>
    <n v="3397"/>
    <x v="1684"/>
    <x v="870"/>
    <d v="2018-07-08T00:00:00"/>
    <s v="Standard Class"/>
    <x v="580"/>
    <s v="Karen Ferguson"/>
    <x v="2"/>
    <s v="United States"/>
    <s v="Indianapolis"/>
    <x v="14"/>
    <n v="46203"/>
    <x v="2"/>
    <x v="13"/>
    <x v="1"/>
    <x v="8"/>
    <x v="13"/>
    <x v="2649"/>
    <x v="7"/>
    <x v="3"/>
  </r>
  <r>
    <n v="3398"/>
    <x v="1684"/>
    <x v="870"/>
    <d v="2018-07-08T00:00:00"/>
    <s v="Standard Class"/>
    <x v="580"/>
    <s v="Karen Ferguson"/>
    <x v="2"/>
    <s v="United States"/>
    <s v="Indianapolis"/>
    <x v="14"/>
    <n v="46203"/>
    <x v="2"/>
    <x v="490"/>
    <x v="1"/>
    <x v="10"/>
    <x v="490"/>
    <x v="233"/>
    <x v="7"/>
    <x v="3"/>
  </r>
  <r>
    <n v="3399"/>
    <x v="1685"/>
    <x v="871"/>
    <d v="2015-11-26T00:00:00"/>
    <s v="Standard Class"/>
    <x v="704"/>
    <s v="Dave Hallsten"/>
    <x v="1"/>
    <s v="United States"/>
    <s v="Richmond"/>
    <x v="0"/>
    <n v="40475"/>
    <x v="0"/>
    <x v="687"/>
    <x v="2"/>
    <x v="7"/>
    <x v="687"/>
    <x v="2650"/>
    <x v="0"/>
    <x v="2"/>
  </r>
  <r>
    <n v="3400"/>
    <x v="1685"/>
    <x v="871"/>
    <d v="2015-11-26T00:00:00"/>
    <s v="Standard Class"/>
    <x v="704"/>
    <s v="Dave Hallsten"/>
    <x v="1"/>
    <s v="United States"/>
    <s v="Richmond"/>
    <x v="0"/>
    <n v="40475"/>
    <x v="0"/>
    <x v="1078"/>
    <x v="1"/>
    <x v="10"/>
    <x v="1068"/>
    <x v="2651"/>
    <x v="0"/>
    <x v="2"/>
  </r>
  <r>
    <n v="3401"/>
    <x v="1685"/>
    <x v="871"/>
    <d v="2015-11-26T00:00:00"/>
    <s v="Standard Class"/>
    <x v="704"/>
    <s v="Dave Hallsten"/>
    <x v="1"/>
    <s v="United States"/>
    <s v="Richmond"/>
    <x v="0"/>
    <n v="40475"/>
    <x v="0"/>
    <x v="557"/>
    <x v="1"/>
    <x v="4"/>
    <x v="556"/>
    <x v="2652"/>
    <x v="0"/>
    <x v="2"/>
  </r>
  <r>
    <n v="3402"/>
    <x v="1685"/>
    <x v="871"/>
    <d v="2015-11-26T00:00:00"/>
    <s v="Standard Class"/>
    <x v="704"/>
    <s v="Dave Hallsten"/>
    <x v="1"/>
    <s v="United States"/>
    <s v="Richmond"/>
    <x v="0"/>
    <n v="40475"/>
    <x v="0"/>
    <x v="6"/>
    <x v="1"/>
    <x v="6"/>
    <x v="6"/>
    <x v="1392"/>
    <x v="0"/>
    <x v="2"/>
  </r>
  <r>
    <n v="3403"/>
    <x v="1686"/>
    <x v="124"/>
    <d v="2016-05-05T00:00:00"/>
    <s v="First Class"/>
    <x v="156"/>
    <s v="Laura Armstrong"/>
    <x v="1"/>
    <s v="United States"/>
    <s v="Tinley Park"/>
    <x v="10"/>
    <n v="60477"/>
    <x v="2"/>
    <x v="740"/>
    <x v="0"/>
    <x v="5"/>
    <x v="222"/>
    <x v="2653"/>
    <x v="5"/>
    <x v="1"/>
  </r>
  <r>
    <n v="3404"/>
    <x v="1687"/>
    <x v="148"/>
    <d v="2018-06-05T00:00:00"/>
    <s v="Standard Class"/>
    <x v="521"/>
    <s v="Henia Zydlo"/>
    <x v="0"/>
    <s v="United States"/>
    <s v="Houston"/>
    <x v="5"/>
    <n v="77095"/>
    <x v="2"/>
    <x v="1535"/>
    <x v="0"/>
    <x v="5"/>
    <x v="1523"/>
    <x v="2654"/>
    <x v="5"/>
    <x v="3"/>
  </r>
  <r>
    <n v="3405"/>
    <x v="1688"/>
    <x v="872"/>
    <d v="2016-10-17T00:00:00"/>
    <s v="Same Day"/>
    <x v="496"/>
    <s v="Charlotte Melton"/>
    <x v="0"/>
    <s v="United States"/>
    <s v="Los Angeles"/>
    <x v="1"/>
    <n v="90004"/>
    <x v="1"/>
    <x v="41"/>
    <x v="1"/>
    <x v="4"/>
    <x v="41"/>
    <x v="42"/>
    <x v="2"/>
    <x v="1"/>
  </r>
  <r>
    <n v="3406"/>
    <x v="1689"/>
    <x v="488"/>
    <d v="2015-04-27T00:00:00"/>
    <s v="Standard Class"/>
    <x v="697"/>
    <s v="Laurel Beltran"/>
    <x v="2"/>
    <s v="United States"/>
    <s v="Columbus"/>
    <x v="24"/>
    <n v="43229"/>
    <x v="3"/>
    <x v="228"/>
    <x v="0"/>
    <x v="1"/>
    <x v="229"/>
    <x v="2655"/>
    <x v="3"/>
    <x v="2"/>
  </r>
  <r>
    <n v="3407"/>
    <x v="1689"/>
    <x v="488"/>
    <d v="2015-04-27T00:00:00"/>
    <s v="Standard Class"/>
    <x v="697"/>
    <s v="Laurel Beltran"/>
    <x v="2"/>
    <s v="United States"/>
    <s v="Columbus"/>
    <x v="24"/>
    <n v="43229"/>
    <x v="3"/>
    <x v="228"/>
    <x v="0"/>
    <x v="1"/>
    <x v="229"/>
    <x v="2655"/>
    <x v="3"/>
    <x v="2"/>
  </r>
  <r>
    <n v="3408"/>
    <x v="1689"/>
    <x v="488"/>
    <d v="2015-04-27T00:00:00"/>
    <s v="Standard Class"/>
    <x v="697"/>
    <s v="Laurel Beltran"/>
    <x v="2"/>
    <s v="United States"/>
    <s v="Columbus"/>
    <x v="24"/>
    <n v="43229"/>
    <x v="3"/>
    <x v="744"/>
    <x v="1"/>
    <x v="8"/>
    <x v="742"/>
    <x v="2656"/>
    <x v="3"/>
    <x v="2"/>
  </r>
  <r>
    <n v="3409"/>
    <x v="1689"/>
    <x v="488"/>
    <d v="2015-04-27T00:00:00"/>
    <s v="Standard Class"/>
    <x v="697"/>
    <s v="Laurel Beltran"/>
    <x v="2"/>
    <s v="United States"/>
    <s v="Columbus"/>
    <x v="24"/>
    <n v="43229"/>
    <x v="3"/>
    <x v="770"/>
    <x v="0"/>
    <x v="5"/>
    <x v="769"/>
    <x v="2657"/>
    <x v="3"/>
    <x v="2"/>
  </r>
  <r>
    <n v="3410"/>
    <x v="1690"/>
    <x v="504"/>
    <d v="2018-05-06T00:00:00"/>
    <s v="Standard Class"/>
    <x v="223"/>
    <s v="Jeremy Farry"/>
    <x v="0"/>
    <s v="United States"/>
    <s v="Columbus"/>
    <x v="24"/>
    <n v="43229"/>
    <x v="3"/>
    <x v="498"/>
    <x v="1"/>
    <x v="10"/>
    <x v="498"/>
    <x v="559"/>
    <x v="3"/>
    <x v="3"/>
  </r>
  <r>
    <n v="3411"/>
    <x v="1691"/>
    <x v="873"/>
    <d v="2017-09-24T00:00:00"/>
    <s v="Standard Class"/>
    <x v="620"/>
    <s v="Greg Maxwell"/>
    <x v="1"/>
    <s v="United States"/>
    <s v="San Francisco"/>
    <x v="1"/>
    <n v="94122"/>
    <x v="1"/>
    <x v="1490"/>
    <x v="1"/>
    <x v="10"/>
    <x v="1477"/>
    <x v="2658"/>
    <x v="8"/>
    <x v="0"/>
  </r>
  <r>
    <n v="3412"/>
    <x v="1691"/>
    <x v="873"/>
    <d v="2017-09-24T00:00:00"/>
    <s v="Standard Class"/>
    <x v="620"/>
    <s v="Greg Maxwell"/>
    <x v="1"/>
    <s v="United States"/>
    <s v="San Francisco"/>
    <x v="1"/>
    <n v="94122"/>
    <x v="1"/>
    <x v="13"/>
    <x v="1"/>
    <x v="8"/>
    <x v="13"/>
    <x v="2659"/>
    <x v="8"/>
    <x v="0"/>
  </r>
  <r>
    <n v="3413"/>
    <x v="1691"/>
    <x v="873"/>
    <d v="2017-09-24T00:00:00"/>
    <s v="Standard Class"/>
    <x v="620"/>
    <s v="Greg Maxwell"/>
    <x v="1"/>
    <s v="United States"/>
    <s v="San Francisco"/>
    <x v="1"/>
    <n v="94122"/>
    <x v="1"/>
    <x v="134"/>
    <x v="1"/>
    <x v="6"/>
    <x v="135"/>
    <x v="2660"/>
    <x v="8"/>
    <x v="0"/>
  </r>
  <r>
    <n v="3414"/>
    <x v="1691"/>
    <x v="873"/>
    <d v="2017-09-24T00:00:00"/>
    <s v="Standard Class"/>
    <x v="620"/>
    <s v="Greg Maxwell"/>
    <x v="1"/>
    <s v="United States"/>
    <s v="San Francisco"/>
    <x v="1"/>
    <n v="94122"/>
    <x v="1"/>
    <x v="1413"/>
    <x v="1"/>
    <x v="10"/>
    <x v="1400"/>
    <x v="2661"/>
    <x v="8"/>
    <x v="0"/>
  </r>
  <r>
    <n v="3415"/>
    <x v="1691"/>
    <x v="873"/>
    <d v="2017-09-24T00:00:00"/>
    <s v="Standard Class"/>
    <x v="620"/>
    <s v="Greg Maxwell"/>
    <x v="1"/>
    <s v="United States"/>
    <s v="San Francisco"/>
    <x v="1"/>
    <n v="94122"/>
    <x v="1"/>
    <x v="999"/>
    <x v="1"/>
    <x v="8"/>
    <x v="991"/>
    <x v="2662"/>
    <x v="8"/>
    <x v="0"/>
  </r>
  <r>
    <n v="3416"/>
    <x v="1692"/>
    <x v="476"/>
    <d v="2017-09-02T00:00:00"/>
    <s v="Same Day"/>
    <x v="196"/>
    <s v="Sonia Sunley"/>
    <x v="0"/>
    <s v="United States"/>
    <s v="Madison"/>
    <x v="6"/>
    <n v="53711"/>
    <x v="2"/>
    <x v="1088"/>
    <x v="1"/>
    <x v="13"/>
    <x v="1078"/>
    <x v="2663"/>
    <x v="8"/>
    <x v="0"/>
  </r>
  <r>
    <n v="3417"/>
    <x v="1692"/>
    <x v="476"/>
    <d v="2017-09-02T00:00:00"/>
    <s v="Same Day"/>
    <x v="196"/>
    <s v="Sonia Sunley"/>
    <x v="0"/>
    <s v="United States"/>
    <s v="Madison"/>
    <x v="6"/>
    <n v="53711"/>
    <x v="2"/>
    <x v="925"/>
    <x v="1"/>
    <x v="8"/>
    <x v="917"/>
    <x v="338"/>
    <x v="8"/>
    <x v="0"/>
  </r>
  <r>
    <n v="3418"/>
    <x v="1693"/>
    <x v="381"/>
    <d v="2016-05-02T00:00:00"/>
    <s v="Standard Class"/>
    <x v="679"/>
    <s v="Tony Chapman"/>
    <x v="2"/>
    <s v="United States"/>
    <s v="Aurora"/>
    <x v="22"/>
    <n v="80013"/>
    <x v="1"/>
    <x v="930"/>
    <x v="1"/>
    <x v="9"/>
    <x v="923"/>
    <x v="1875"/>
    <x v="3"/>
    <x v="1"/>
  </r>
  <r>
    <n v="3419"/>
    <x v="1693"/>
    <x v="381"/>
    <d v="2016-05-02T00:00:00"/>
    <s v="Standard Class"/>
    <x v="679"/>
    <s v="Tony Chapman"/>
    <x v="2"/>
    <s v="United States"/>
    <s v="Aurora"/>
    <x v="22"/>
    <n v="80013"/>
    <x v="1"/>
    <x v="503"/>
    <x v="1"/>
    <x v="14"/>
    <x v="503"/>
    <x v="568"/>
    <x v="3"/>
    <x v="1"/>
  </r>
  <r>
    <n v="3420"/>
    <x v="1694"/>
    <x v="684"/>
    <d v="2016-09-13T00:00:00"/>
    <s v="Standard Class"/>
    <x v="254"/>
    <s v="Chuck Clark"/>
    <x v="2"/>
    <s v="United States"/>
    <s v="New York City"/>
    <x v="15"/>
    <n v="10024"/>
    <x v="3"/>
    <x v="662"/>
    <x v="0"/>
    <x v="1"/>
    <x v="662"/>
    <x v="2598"/>
    <x v="8"/>
    <x v="1"/>
  </r>
  <r>
    <n v="3421"/>
    <x v="1695"/>
    <x v="316"/>
    <d v="2017-06-03T00:00:00"/>
    <s v="Standard Class"/>
    <x v="52"/>
    <s v="Clay Ludtke"/>
    <x v="0"/>
    <s v="United States"/>
    <s v="Los Angeles"/>
    <x v="1"/>
    <n v="90004"/>
    <x v="1"/>
    <x v="164"/>
    <x v="1"/>
    <x v="9"/>
    <x v="165"/>
    <x v="2664"/>
    <x v="5"/>
    <x v="0"/>
  </r>
  <r>
    <n v="3422"/>
    <x v="1695"/>
    <x v="316"/>
    <d v="2017-06-03T00:00:00"/>
    <s v="Standard Class"/>
    <x v="52"/>
    <s v="Clay Ludtke"/>
    <x v="0"/>
    <s v="United States"/>
    <s v="Los Angeles"/>
    <x v="1"/>
    <n v="90004"/>
    <x v="1"/>
    <x v="1274"/>
    <x v="1"/>
    <x v="10"/>
    <x v="1259"/>
    <x v="681"/>
    <x v="5"/>
    <x v="0"/>
  </r>
  <r>
    <n v="3423"/>
    <x v="1695"/>
    <x v="316"/>
    <d v="2017-06-03T00:00:00"/>
    <s v="Standard Class"/>
    <x v="52"/>
    <s v="Clay Ludtke"/>
    <x v="0"/>
    <s v="United States"/>
    <s v="Los Angeles"/>
    <x v="1"/>
    <n v="90004"/>
    <x v="1"/>
    <x v="1202"/>
    <x v="2"/>
    <x v="11"/>
    <x v="1187"/>
    <x v="2665"/>
    <x v="5"/>
    <x v="0"/>
  </r>
  <r>
    <n v="3424"/>
    <x v="1695"/>
    <x v="316"/>
    <d v="2017-06-03T00:00:00"/>
    <s v="Standard Class"/>
    <x v="52"/>
    <s v="Clay Ludtke"/>
    <x v="0"/>
    <s v="United States"/>
    <s v="Los Angeles"/>
    <x v="1"/>
    <n v="90004"/>
    <x v="1"/>
    <x v="20"/>
    <x v="1"/>
    <x v="8"/>
    <x v="20"/>
    <x v="20"/>
    <x v="5"/>
    <x v="0"/>
  </r>
  <r>
    <n v="3425"/>
    <x v="1695"/>
    <x v="316"/>
    <d v="2017-06-03T00:00:00"/>
    <s v="Standard Class"/>
    <x v="52"/>
    <s v="Clay Ludtke"/>
    <x v="0"/>
    <s v="United States"/>
    <s v="Los Angeles"/>
    <x v="1"/>
    <n v="90004"/>
    <x v="1"/>
    <x v="1491"/>
    <x v="2"/>
    <x v="15"/>
    <x v="1478"/>
    <x v="2666"/>
    <x v="5"/>
    <x v="0"/>
  </r>
  <r>
    <n v="3426"/>
    <x v="1696"/>
    <x v="496"/>
    <d v="2016-09-28T00:00:00"/>
    <s v="Standard Class"/>
    <x v="368"/>
    <s v="Deanra Eno"/>
    <x v="2"/>
    <s v="United States"/>
    <s v="Dubuque"/>
    <x v="23"/>
    <n v="52001"/>
    <x v="2"/>
    <x v="31"/>
    <x v="1"/>
    <x v="8"/>
    <x v="31"/>
    <x v="593"/>
    <x v="8"/>
    <x v="1"/>
  </r>
  <r>
    <n v="3427"/>
    <x v="1696"/>
    <x v="496"/>
    <d v="2016-09-28T00:00:00"/>
    <s v="Standard Class"/>
    <x v="368"/>
    <s v="Deanra Eno"/>
    <x v="2"/>
    <s v="United States"/>
    <s v="Dubuque"/>
    <x v="23"/>
    <n v="52001"/>
    <x v="2"/>
    <x v="1153"/>
    <x v="0"/>
    <x v="1"/>
    <x v="1141"/>
    <x v="2667"/>
    <x v="8"/>
    <x v="1"/>
  </r>
  <r>
    <n v="3428"/>
    <x v="1697"/>
    <x v="445"/>
    <d v="2018-07-06T00:00:00"/>
    <s v="Second Class"/>
    <x v="449"/>
    <s v="Sam Zeldin"/>
    <x v="2"/>
    <s v="United States"/>
    <s v="Lancaster"/>
    <x v="24"/>
    <n v="43130"/>
    <x v="3"/>
    <x v="1536"/>
    <x v="1"/>
    <x v="10"/>
    <x v="1524"/>
    <x v="2668"/>
    <x v="7"/>
    <x v="3"/>
  </r>
  <r>
    <n v="3429"/>
    <x v="1697"/>
    <x v="445"/>
    <d v="2018-07-06T00:00:00"/>
    <s v="Second Class"/>
    <x v="449"/>
    <s v="Sam Zeldin"/>
    <x v="2"/>
    <s v="United States"/>
    <s v="Lancaster"/>
    <x v="24"/>
    <n v="43130"/>
    <x v="3"/>
    <x v="363"/>
    <x v="0"/>
    <x v="3"/>
    <x v="363"/>
    <x v="2669"/>
    <x v="7"/>
    <x v="3"/>
  </r>
  <r>
    <n v="3430"/>
    <x v="1697"/>
    <x v="445"/>
    <d v="2018-07-06T00:00:00"/>
    <s v="Second Class"/>
    <x v="449"/>
    <s v="Sam Zeldin"/>
    <x v="2"/>
    <s v="United States"/>
    <s v="Lancaster"/>
    <x v="24"/>
    <n v="43130"/>
    <x v="3"/>
    <x v="1408"/>
    <x v="1"/>
    <x v="10"/>
    <x v="1395"/>
    <x v="2585"/>
    <x v="7"/>
    <x v="3"/>
  </r>
  <r>
    <n v="3431"/>
    <x v="1698"/>
    <x v="166"/>
    <d v="2018-12-09T00:00:00"/>
    <s v="First Class"/>
    <x v="166"/>
    <s v="Luke Foster"/>
    <x v="0"/>
    <s v="United States"/>
    <s v="Inglewood"/>
    <x v="1"/>
    <n v="90301"/>
    <x v="1"/>
    <x v="337"/>
    <x v="1"/>
    <x v="4"/>
    <x v="337"/>
    <x v="1400"/>
    <x v="4"/>
    <x v="3"/>
  </r>
  <r>
    <n v="3432"/>
    <x v="1698"/>
    <x v="166"/>
    <d v="2018-12-09T00:00:00"/>
    <s v="First Class"/>
    <x v="166"/>
    <s v="Luke Foster"/>
    <x v="0"/>
    <s v="United States"/>
    <s v="Inglewood"/>
    <x v="1"/>
    <n v="90301"/>
    <x v="1"/>
    <x v="1537"/>
    <x v="0"/>
    <x v="5"/>
    <x v="1525"/>
    <x v="2670"/>
    <x v="4"/>
    <x v="3"/>
  </r>
  <r>
    <n v="3433"/>
    <x v="1698"/>
    <x v="166"/>
    <d v="2018-12-09T00:00:00"/>
    <s v="First Class"/>
    <x v="166"/>
    <s v="Luke Foster"/>
    <x v="0"/>
    <s v="United States"/>
    <s v="Inglewood"/>
    <x v="1"/>
    <n v="90301"/>
    <x v="1"/>
    <x v="652"/>
    <x v="1"/>
    <x v="10"/>
    <x v="652"/>
    <x v="1817"/>
    <x v="4"/>
    <x v="3"/>
  </r>
  <r>
    <n v="3434"/>
    <x v="1699"/>
    <x v="256"/>
    <d v="2018-12-09T00:00:00"/>
    <s v="Standard Class"/>
    <x v="269"/>
    <s v="Alan Barnes"/>
    <x v="0"/>
    <s v="United States"/>
    <s v="Bellevue"/>
    <x v="4"/>
    <n v="98006"/>
    <x v="1"/>
    <x v="1339"/>
    <x v="1"/>
    <x v="8"/>
    <x v="1324"/>
    <x v="176"/>
    <x v="4"/>
    <x v="3"/>
  </r>
  <r>
    <n v="3435"/>
    <x v="1699"/>
    <x v="256"/>
    <d v="2018-12-09T00:00:00"/>
    <s v="Standard Class"/>
    <x v="269"/>
    <s v="Alan Barnes"/>
    <x v="0"/>
    <s v="United States"/>
    <s v="Bellevue"/>
    <x v="4"/>
    <n v="98006"/>
    <x v="1"/>
    <x v="744"/>
    <x v="1"/>
    <x v="8"/>
    <x v="742"/>
    <x v="2671"/>
    <x v="4"/>
    <x v="3"/>
  </r>
  <r>
    <n v="3436"/>
    <x v="1700"/>
    <x v="874"/>
    <d v="2016-09-29T00:00:00"/>
    <s v="First Class"/>
    <x v="392"/>
    <s v="Neoma Murray"/>
    <x v="0"/>
    <s v="United States"/>
    <s v="Chicago"/>
    <x v="10"/>
    <n v="60610"/>
    <x v="2"/>
    <x v="443"/>
    <x v="1"/>
    <x v="8"/>
    <x v="443"/>
    <x v="2672"/>
    <x v="8"/>
    <x v="1"/>
  </r>
  <r>
    <n v="3437"/>
    <x v="1700"/>
    <x v="874"/>
    <d v="2016-09-29T00:00:00"/>
    <s v="First Class"/>
    <x v="392"/>
    <s v="Neoma Murray"/>
    <x v="0"/>
    <s v="United States"/>
    <s v="Chicago"/>
    <x v="10"/>
    <n v="60610"/>
    <x v="2"/>
    <x v="526"/>
    <x v="0"/>
    <x v="5"/>
    <x v="526"/>
    <x v="2673"/>
    <x v="8"/>
    <x v="1"/>
  </r>
  <r>
    <n v="3438"/>
    <x v="1701"/>
    <x v="505"/>
    <d v="2018-10-30T00:00:00"/>
    <s v="Same Day"/>
    <x v="362"/>
    <s v="Ryan Akin"/>
    <x v="0"/>
    <s v="United States"/>
    <s v="Dallas"/>
    <x v="5"/>
    <n v="75217"/>
    <x v="2"/>
    <x v="526"/>
    <x v="0"/>
    <x v="5"/>
    <x v="526"/>
    <x v="2674"/>
    <x v="2"/>
    <x v="3"/>
  </r>
  <r>
    <n v="3439"/>
    <x v="1701"/>
    <x v="505"/>
    <d v="2018-10-30T00:00:00"/>
    <s v="Same Day"/>
    <x v="362"/>
    <s v="Ryan Akin"/>
    <x v="0"/>
    <s v="United States"/>
    <s v="Dallas"/>
    <x v="5"/>
    <n v="75217"/>
    <x v="2"/>
    <x v="363"/>
    <x v="0"/>
    <x v="3"/>
    <x v="363"/>
    <x v="2675"/>
    <x v="2"/>
    <x v="3"/>
  </r>
  <r>
    <n v="3440"/>
    <x v="1701"/>
    <x v="505"/>
    <d v="2018-10-30T00:00:00"/>
    <s v="Same Day"/>
    <x v="362"/>
    <s v="Ryan Akin"/>
    <x v="0"/>
    <s v="United States"/>
    <s v="Dallas"/>
    <x v="5"/>
    <n v="75217"/>
    <x v="2"/>
    <x v="1011"/>
    <x v="1"/>
    <x v="4"/>
    <x v="1003"/>
    <x v="2676"/>
    <x v="2"/>
    <x v="3"/>
  </r>
  <r>
    <n v="3441"/>
    <x v="1702"/>
    <x v="239"/>
    <d v="2016-11-30T00:00:00"/>
    <s v="Same Day"/>
    <x v="285"/>
    <s v="Phillina Ober"/>
    <x v="2"/>
    <s v="United States"/>
    <s v="San Francisco"/>
    <x v="1"/>
    <n v="94122"/>
    <x v="1"/>
    <x v="61"/>
    <x v="1"/>
    <x v="8"/>
    <x v="61"/>
    <x v="2677"/>
    <x v="0"/>
    <x v="1"/>
  </r>
  <r>
    <n v="3442"/>
    <x v="1703"/>
    <x v="518"/>
    <d v="2015-03-14T00:00:00"/>
    <s v="Second Class"/>
    <x v="567"/>
    <s v="Kelly Andreada"/>
    <x v="0"/>
    <s v="United States"/>
    <s v="New York City"/>
    <x v="15"/>
    <n v="10024"/>
    <x v="3"/>
    <x v="565"/>
    <x v="1"/>
    <x v="10"/>
    <x v="565"/>
    <x v="2678"/>
    <x v="10"/>
    <x v="2"/>
  </r>
  <r>
    <n v="3443"/>
    <x v="1704"/>
    <x v="123"/>
    <d v="2018-11-23T00:00:00"/>
    <s v="Standard Class"/>
    <x v="251"/>
    <s v="Justin Deggeller"/>
    <x v="1"/>
    <s v="United States"/>
    <s v="New York City"/>
    <x v="15"/>
    <n v="10011"/>
    <x v="3"/>
    <x v="407"/>
    <x v="1"/>
    <x v="12"/>
    <x v="153"/>
    <x v="80"/>
    <x v="0"/>
    <x v="3"/>
  </r>
  <r>
    <n v="3444"/>
    <x v="1704"/>
    <x v="123"/>
    <d v="2018-11-23T00:00:00"/>
    <s v="Standard Class"/>
    <x v="251"/>
    <s v="Justin Deggeller"/>
    <x v="1"/>
    <s v="United States"/>
    <s v="New York City"/>
    <x v="15"/>
    <n v="10011"/>
    <x v="3"/>
    <x v="847"/>
    <x v="1"/>
    <x v="9"/>
    <x v="841"/>
    <x v="2679"/>
    <x v="0"/>
    <x v="3"/>
  </r>
  <r>
    <n v="3445"/>
    <x v="1705"/>
    <x v="875"/>
    <d v="2017-08-02T00:00:00"/>
    <s v="Standard Class"/>
    <x v="705"/>
    <s v="Jack O'Briant"/>
    <x v="1"/>
    <s v="United States"/>
    <s v="Philadelphia"/>
    <x v="9"/>
    <n v="19140"/>
    <x v="3"/>
    <x v="45"/>
    <x v="1"/>
    <x v="4"/>
    <x v="45"/>
    <x v="556"/>
    <x v="7"/>
    <x v="0"/>
  </r>
  <r>
    <n v="3446"/>
    <x v="1706"/>
    <x v="821"/>
    <d v="2016-06-17T00:00:00"/>
    <s v="Standard Class"/>
    <x v="97"/>
    <s v="Laurel Elliston"/>
    <x v="0"/>
    <s v="United States"/>
    <s v="Newark"/>
    <x v="13"/>
    <n v="19711"/>
    <x v="3"/>
    <x v="1198"/>
    <x v="1"/>
    <x v="4"/>
    <x v="1183"/>
    <x v="2680"/>
    <x v="1"/>
    <x v="1"/>
  </r>
  <r>
    <n v="3447"/>
    <x v="1707"/>
    <x v="876"/>
    <d v="2017-08-07T00:00:00"/>
    <s v="First Class"/>
    <x v="706"/>
    <s v="Anna Häberlin"/>
    <x v="1"/>
    <s v="United States"/>
    <s v="New York City"/>
    <x v="15"/>
    <n v="10024"/>
    <x v="3"/>
    <x v="258"/>
    <x v="1"/>
    <x v="10"/>
    <x v="33"/>
    <x v="2681"/>
    <x v="6"/>
    <x v="0"/>
  </r>
  <r>
    <n v="3448"/>
    <x v="1708"/>
    <x v="532"/>
    <d v="2018-06-15T00:00:00"/>
    <s v="Standard Class"/>
    <x v="607"/>
    <s v="Kristina Nunn"/>
    <x v="2"/>
    <s v="United States"/>
    <s v="Auburn"/>
    <x v="19"/>
    <n v="36830"/>
    <x v="0"/>
    <x v="868"/>
    <x v="1"/>
    <x v="6"/>
    <x v="862"/>
    <x v="1053"/>
    <x v="1"/>
    <x v="3"/>
  </r>
  <r>
    <n v="3449"/>
    <x v="1709"/>
    <x v="877"/>
    <d v="2017-10-13T00:00:00"/>
    <s v="Standard Class"/>
    <x v="621"/>
    <s v="Tim Brockman"/>
    <x v="0"/>
    <s v="United States"/>
    <s v="Los Angeles"/>
    <x v="1"/>
    <n v="90049"/>
    <x v="1"/>
    <x v="822"/>
    <x v="1"/>
    <x v="8"/>
    <x v="818"/>
    <x v="2682"/>
    <x v="2"/>
    <x v="0"/>
  </r>
  <r>
    <n v="3450"/>
    <x v="1710"/>
    <x v="78"/>
    <d v="2015-09-14T00:00:00"/>
    <s v="Standard Class"/>
    <x v="503"/>
    <s v="Dennis Pardue"/>
    <x v="2"/>
    <s v="United States"/>
    <s v="San Francisco"/>
    <x v="1"/>
    <n v="94110"/>
    <x v="1"/>
    <x v="1201"/>
    <x v="1"/>
    <x v="9"/>
    <x v="1186"/>
    <x v="2683"/>
    <x v="8"/>
    <x v="2"/>
  </r>
  <r>
    <n v="3451"/>
    <x v="1710"/>
    <x v="78"/>
    <d v="2015-09-14T00:00:00"/>
    <s v="Standard Class"/>
    <x v="503"/>
    <s v="Dennis Pardue"/>
    <x v="2"/>
    <s v="United States"/>
    <s v="San Francisco"/>
    <x v="1"/>
    <n v="94110"/>
    <x v="1"/>
    <x v="328"/>
    <x v="1"/>
    <x v="4"/>
    <x v="328"/>
    <x v="2684"/>
    <x v="8"/>
    <x v="2"/>
  </r>
  <r>
    <n v="3452"/>
    <x v="1710"/>
    <x v="78"/>
    <d v="2015-09-14T00:00:00"/>
    <s v="Standard Class"/>
    <x v="503"/>
    <s v="Dennis Pardue"/>
    <x v="2"/>
    <s v="United States"/>
    <s v="San Francisco"/>
    <x v="1"/>
    <n v="94110"/>
    <x v="1"/>
    <x v="131"/>
    <x v="1"/>
    <x v="13"/>
    <x v="132"/>
    <x v="133"/>
    <x v="8"/>
    <x v="2"/>
  </r>
  <r>
    <n v="3453"/>
    <x v="1711"/>
    <x v="878"/>
    <d v="2015-03-21T00:00:00"/>
    <s v="Second Class"/>
    <x v="607"/>
    <s v="Kristina Nunn"/>
    <x v="2"/>
    <s v="United States"/>
    <s v="Raleigh"/>
    <x v="3"/>
    <n v="27604"/>
    <x v="0"/>
    <x v="1538"/>
    <x v="2"/>
    <x v="7"/>
    <x v="1526"/>
    <x v="2685"/>
    <x v="10"/>
    <x v="2"/>
  </r>
  <r>
    <n v="3454"/>
    <x v="1712"/>
    <x v="879"/>
    <d v="2016-03-02T00:00:00"/>
    <s v="Second Class"/>
    <x v="461"/>
    <s v="Shui Tom"/>
    <x v="0"/>
    <s v="United States"/>
    <s v="Macon"/>
    <x v="32"/>
    <n v="31204"/>
    <x v="0"/>
    <x v="908"/>
    <x v="1"/>
    <x v="8"/>
    <x v="900"/>
    <x v="2686"/>
    <x v="10"/>
    <x v="1"/>
  </r>
  <r>
    <n v="3455"/>
    <x v="1713"/>
    <x v="584"/>
    <d v="2016-07-14T00:00:00"/>
    <s v="Standard Class"/>
    <x v="12"/>
    <s v="Emily Burns"/>
    <x v="0"/>
    <s v="United States"/>
    <s v="Nashville"/>
    <x v="18"/>
    <n v="37211"/>
    <x v="0"/>
    <x v="1539"/>
    <x v="1"/>
    <x v="6"/>
    <x v="1527"/>
    <x v="782"/>
    <x v="7"/>
    <x v="1"/>
  </r>
  <r>
    <n v="3456"/>
    <x v="1714"/>
    <x v="880"/>
    <d v="2017-02-27T00:00:00"/>
    <s v="Standard Class"/>
    <x v="117"/>
    <s v="Alan Hwang"/>
    <x v="0"/>
    <s v="United States"/>
    <s v="Nashville"/>
    <x v="18"/>
    <n v="37211"/>
    <x v="0"/>
    <x v="1540"/>
    <x v="1"/>
    <x v="10"/>
    <x v="1528"/>
    <x v="2687"/>
    <x v="11"/>
    <x v="0"/>
  </r>
  <r>
    <n v="3457"/>
    <x v="1715"/>
    <x v="118"/>
    <d v="2018-09-18T00:00:00"/>
    <s v="First Class"/>
    <x v="548"/>
    <s v="Adam Shillingsburg"/>
    <x v="0"/>
    <s v="United States"/>
    <s v="Philadelphia"/>
    <x v="9"/>
    <n v="19143"/>
    <x v="3"/>
    <x v="1016"/>
    <x v="2"/>
    <x v="11"/>
    <x v="1007"/>
    <x v="973"/>
    <x v="8"/>
    <x v="3"/>
  </r>
  <r>
    <n v="3458"/>
    <x v="1715"/>
    <x v="118"/>
    <d v="2018-09-18T00:00:00"/>
    <s v="First Class"/>
    <x v="548"/>
    <s v="Adam Shillingsburg"/>
    <x v="0"/>
    <s v="United States"/>
    <s v="Philadelphia"/>
    <x v="9"/>
    <n v="19143"/>
    <x v="3"/>
    <x v="1441"/>
    <x v="0"/>
    <x v="5"/>
    <x v="1429"/>
    <x v="2688"/>
    <x v="8"/>
    <x v="3"/>
  </r>
  <r>
    <n v="3459"/>
    <x v="1715"/>
    <x v="118"/>
    <d v="2018-09-18T00:00:00"/>
    <s v="First Class"/>
    <x v="548"/>
    <s v="Adam Shillingsburg"/>
    <x v="0"/>
    <s v="United States"/>
    <s v="Philadelphia"/>
    <x v="9"/>
    <n v="19143"/>
    <x v="3"/>
    <x v="1212"/>
    <x v="1"/>
    <x v="8"/>
    <x v="1197"/>
    <x v="2689"/>
    <x v="8"/>
    <x v="3"/>
  </r>
  <r>
    <n v="3460"/>
    <x v="1715"/>
    <x v="118"/>
    <d v="2018-09-18T00:00:00"/>
    <s v="First Class"/>
    <x v="548"/>
    <s v="Adam Shillingsburg"/>
    <x v="0"/>
    <s v="United States"/>
    <s v="Philadelphia"/>
    <x v="9"/>
    <n v="19143"/>
    <x v="3"/>
    <x v="1176"/>
    <x v="1"/>
    <x v="8"/>
    <x v="1162"/>
    <x v="2690"/>
    <x v="8"/>
    <x v="3"/>
  </r>
  <r>
    <n v="3461"/>
    <x v="1715"/>
    <x v="118"/>
    <d v="2018-09-18T00:00:00"/>
    <s v="First Class"/>
    <x v="548"/>
    <s v="Adam Shillingsburg"/>
    <x v="0"/>
    <s v="United States"/>
    <s v="Philadelphia"/>
    <x v="9"/>
    <n v="19143"/>
    <x v="3"/>
    <x v="246"/>
    <x v="2"/>
    <x v="11"/>
    <x v="247"/>
    <x v="730"/>
    <x v="8"/>
    <x v="3"/>
  </r>
  <r>
    <n v="3462"/>
    <x v="1716"/>
    <x v="60"/>
    <d v="2018-11-10T00:00:00"/>
    <s v="Second Class"/>
    <x v="605"/>
    <s v="Elizabeth Moffitt"/>
    <x v="1"/>
    <s v="United States"/>
    <s v="Dallas"/>
    <x v="5"/>
    <n v="75081"/>
    <x v="2"/>
    <x v="348"/>
    <x v="2"/>
    <x v="7"/>
    <x v="348"/>
    <x v="2691"/>
    <x v="0"/>
    <x v="3"/>
  </r>
  <r>
    <n v="3463"/>
    <x v="1717"/>
    <x v="763"/>
    <d v="2016-02-23T00:00:00"/>
    <s v="Second Class"/>
    <x v="567"/>
    <s v="Kelly Andreada"/>
    <x v="0"/>
    <s v="United States"/>
    <s v="Perth Amboy"/>
    <x v="30"/>
    <n v="8861"/>
    <x v="3"/>
    <x v="894"/>
    <x v="1"/>
    <x v="6"/>
    <x v="887"/>
    <x v="2692"/>
    <x v="11"/>
    <x v="1"/>
  </r>
  <r>
    <n v="3464"/>
    <x v="1718"/>
    <x v="881"/>
    <d v="2017-11-30T00:00:00"/>
    <s v="Standard Class"/>
    <x v="707"/>
    <s v="Heather Jas"/>
    <x v="2"/>
    <s v="United States"/>
    <s v="Jacksonville"/>
    <x v="2"/>
    <n v="32216"/>
    <x v="0"/>
    <x v="69"/>
    <x v="1"/>
    <x v="10"/>
    <x v="69"/>
    <x v="2693"/>
    <x v="0"/>
    <x v="0"/>
  </r>
  <r>
    <n v="3465"/>
    <x v="1719"/>
    <x v="734"/>
    <d v="2018-12-05T00:00:00"/>
    <s v="Second Class"/>
    <x v="444"/>
    <s v="Natalie DeCherney"/>
    <x v="0"/>
    <s v="United States"/>
    <s v="Jacksonville"/>
    <x v="2"/>
    <n v="32216"/>
    <x v="0"/>
    <x v="876"/>
    <x v="2"/>
    <x v="11"/>
    <x v="870"/>
    <x v="1388"/>
    <x v="4"/>
    <x v="3"/>
  </r>
  <r>
    <n v="3466"/>
    <x v="1720"/>
    <x v="229"/>
    <d v="2016-09-14T00:00:00"/>
    <s v="Standard Class"/>
    <x v="553"/>
    <s v="Edward Hooks"/>
    <x v="1"/>
    <s v="United States"/>
    <s v="Revere"/>
    <x v="31"/>
    <n v="2151"/>
    <x v="3"/>
    <x v="1271"/>
    <x v="1"/>
    <x v="9"/>
    <x v="1256"/>
    <x v="1156"/>
    <x v="8"/>
    <x v="1"/>
  </r>
  <r>
    <n v="3467"/>
    <x v="1720"/>
    <x v="229"/>
    <d v="2016-09-14T00:00:00"/>
    <s v="Standard Class"/>
    <x v="553"/>
    <s v="Edward Hooks"/>
    <x v="1"/>
    <s v="United States"/>
    <s v="Revere"/>
    <x v="31"/>
    <n v="2151"/>
    <x v="3"/>
    <x v="199"/>
    <x v="0"/>
    <x v="0"/>
    <x v="200"/>
    <x v="2694"/>
    <x v="8"/>
    <x v="1"/>
  </r>
  <r>
    <n v="3468"/>
    <x v="1720"/>
    <x v="229"/>
    <d v="2016-09-14T00:00:00"/>
    <s v="Standard Class"/>
    <x v="553"/>
    <s v="Edward Hooks"/>
    <x v="1"/>
    <s v="United States"/>
    <s v="Revere"/>
    <x v="31"/>
    <n v="2151"/>
    <x v="3"/>
    <x v="334"/>
    <x v="1"/>
    <x v="10"/>
    <x v="334"/>
    <x v="2695"/>
    <x v="8"/>
    <x v="1"/>
  </r>
  <r>
    <n v="3469"/>
    <x v="1721"/>
    <x v="882"/>
    <d v="2017-12-19T00:00:00"/>
    <s v="Standard Class"/>
    <x v="266"/>
    <s v="Michael Chen"/>
    <x v="0"/>
    <s v="United States"/>
    <s v="Jackson"/>
    <x v="35"/>
    <n v="39212"/>
    <x v="0"/>
    <x v="1380"/>
    <x v="0"/>
    <x v="5"/>
    <x v="1365"/>
    <x v="2696"/>
    <x v="4"/>
    <x v="0"/>
  </r>
  <r>
    <n v="3470"/>
    <x v="1722"/>
    <x v="744"/>
    <d v="2016-04-10T00:00:00"/>
    <s v="Standard Class"/>
    <x v="708"/>
    <s v="Mark Hamilton"/>
    <x v="0"/>
    <s v="United States"/>
    <s v="Jacksonville"/>
    <x v="3"/>
    <n v="28540"/>
    <x v="0"/>
    <x v="681"/>
    <x v="1"/>
    <x v="10"/>
    <x v="681"/>
    <x v="1097"/>
    <x v="3"/>
    <x v="1"/>
  </r>
  <r>
    <n v="3471"/>
    <x v="1723"/>
    <x v="49"/>
    <d v="2017-12-05T00:00:00"/>
    <s v="Standard Class"/>
    <x v="488"/>
    <s v="Carl Ludwig"/>
    <x v="0"/>
    <s v="United States"/>
    <s v="San Francisco"/>
    <x v="1"/>
    <n v="94122"/>
    <x v="1"/>
    <x v="904"/>
    <x v="0"/>
    <x v="5"/>
    <x v="896"/>
    <x v="80"/>
    <x v="4"/>
    <x v="0"/>
  </r>
  <r>
    <n v="3472"/>
    <x v="1724"/>
    <x v="105"/>
    <d v="2018-11-17T00:00:00"/>
    <s v="Standard Class"/>
    <x v="245"/>
    <s v="Sylvia Foulston"/>
    <x v="1"/>
    <s v="United States"/>
    <s v="Columbus"/>
    <x v="24"/>
    <n v="43229"/>
    <x v="3"/>
    <x v="987"/>
    <x v="1"/>
    <x v="10"/>
    <x v="980"/>
    <x v="2697"/>
    <x v="0"/>
    <x v="3"/>
  </r>
  <r>
    <n v="3473"/>
    <x v="1724"/>
    <x v="105"/>
    <d v="2018-11-17T00:00:00"/>
    <s v="Standard Class"/>
    <x v="245"/>
    <s v="Sylvia Foulston"/>
    <x v="1"/>
    <s v="United States"/>
    <s v="Columbus"/>
    <x v="24"/>
    <n v="43229"/>
    <x v="3"/>
    <x v="567"/>
    <x v="2"/>
    <x v="11"/>
    <x v="567"/>
    <x v="2698"/>
    <x v="0"/>
    <x v="3"/>
  </r>
  <r>
    <n v="3474"/>
    <x v="1725"/>
    <x v="448"/>
    <d v="2018-03-10T00:00:00"/>
    <s v="Standard Class"/>
    <x v="212"/>
    <s v="Emily Phan"/>
    <x v="0"/>
    <s v="United States"/>
    <s v="Dearborn Heights"/>
    <x v="12"/>
    <n v="48127"/>
    <x v="2"/>
    <x v="323"/>
    <x v="0"/>
    <x v="1"/>
    <x v="323"/>
    <x v="2699"/>
    <x v="10"/>
    <x v="3"/>
  </r>
  <r>
    <n v="3475"/>
    <x v="1725"/>
    <x v="448"/>
    <d v="2018-03-10T00:00:00"/>
    <s v="Standard Class"/>
    <x v="212"/>
    <s v="Emily Phan"/>
    <x v="0"/>
    <s v="United States"/>
    <s v="Dearborn Heights"/>
    <x v="12"/>
    <n v="48127"/>
    <x v="2"/>
    <x v="1135"/>
    <x v="2"/>
    <x v="11"/>
    <x v="1123"/>
    <x v="2564"/>
    <x v="10"/>
    <x v="3"/>
  </r>
  <r>
    <n v="3476"/>
    <x v="1726"/>
    <x v="581"/>
    <d v="2017-11-30T00:00:00"/>
    <s v="First Class"/>
    <x v="338"/>
    <s v="Rob Williams"/>
    <x v="1"/>
    <s v="United States"/>
    <s v="Overland Park"/>
    <x v="41"/>
    <n v="66212"/>
    <x v="2"/>
    <x v="60"/>
    <x v="2"/>
    <x v="11"/>
    <x v="60"/>
    <x v="2700"/>
    <x v="0"/>
    <x v="0"/>
  </r>
  <r>
    <n v="3477"/>
    <x v="1726"/>
    <x v="581"/>
    <d v="2017-11-30T00:00:00"/>
    <s v="First Class"/>
    <x v="338"/>
    <s v="Rob Williams"/>
    <x v="1"/>
    <s v="United States"/>
    <s v="Overland Park"/>
    <x v="41"/>
    <n v="66212"/>
    <x v="2"/>
    <x v="999"/>
    <x v="1"/>
    <x v="8"/>
    <x v="991"/>
    <x v="2701"/>
    <x v="0"/>
    <x v="0"/>
  </r>
  <r>
    <n v="3478"/>
    <x v="1727"/>
    <x v="883"/>
    <d v="2015-09-05T00:00:00"/>
    <s v="Standard Class"/>
    <x v="81"/>
    <s v="Shirley Jackson"/>
    <x v="0"/>
    <s v="United States"/>
    <s v="Santa Fe"/>
    <x v="27"/>
    <n v="87505"/>
    <x v="1"/>
    <x v="1386"/>
    <x v="2"/>
    <x v="11"/>
    <x v="1372"/>
    <x v="448"/>
    <x v="6"/>
    <x v="2"/>
  </r>
  <r>
    <n v="3479"/>
    <x v="1728"/>
    <x v="16"/>
    <d v="2017-12-14T00:00:00"/>
    <s v="Standard Class"/>
    <x v="407"/>
    <s v="Stefania Perrino"/>
    <x v="1"/>
    <s v="United States"/>
    <s v="San Francisco"/>
    <x v="1"/>
    <n v="94110"/>
    <x v="1"/>
    <x v="18"/>
    <x v="1"/>
    <x v="6"/>
    <x v="18"/>
    <x v="18"/>
    <x v="4"/>
    <x v="0"/>
  </r>
  <r>
    <n v="3480"/>
    <x v="1728"/>
    <x v="16"/>
    <d v="2017-12-14T00:00:00"/>
    <s v="Standard Class"/>
    <x v="407"/>
    <s v="Stefania Perrino"/>
    <x v="1"/>
    <s v="United States"/>
    <s v="San Francisco"/>
    <x v="1"/>
    <n v="94110"/>
    <x v="1"/>
    <x v="1541"/>
    <x v="1"/>
    <x v="10"/>
    <x v="1529"/>
    <x v="1544"/>
    <x v="4"/>
    <x v="0"/>
  </r>
  <r>
    <n v="3481"/>
    <x v="1728"/>
    <x v="16"/>
    <d v="2017-12-14T00:00:00"/>
    <s v="Standard Class"/>
    <x v="407"/>
    <s v="Stefania Perrino"/>
    <x v="1"/>
    <s v="United States"/>
    <s v="San Francisco"/>
    <x v="1"/>
    <n v="94110"/>
    <x v="1"/>
    <x v="1234"/>
    <x v="0"/>
    <x v="3"/>
    <x v="1217"/>
    <x v="2702"/>
    <x v="4"/>
    <x v="0"/>
  </r>
  <r>
    <n v="3482"/>
    <x v="1729"/>
    <x v="884"/>
    <d v="2015-04-10T00:00:00"/>
    <s v="First Class"/>
    <x v="307"/>
    <s v="Pauline Johnson"/>
    <x v="0"/>
    <s v="United States"/>
    <s v="Mobile"/>
    <x v="19"/>
    <n v="36608"/>
    <x v="0"/>
    <x v="1073"/>
    <x v="0"/>
    <x v="5"/>
    <x v="1063"/>
    <x v="2431"/>
    <x v="3"/>
    <x v="2"/>
  </r>
  <r>
    <n v="3483"/>
    <x v="1730"/>
    <x v="9"/>
    <d v="2015-08-29T00:00:00"/>
    <s v="First Class"/>
    <x v="566"/>
    <s v="Corey Catlett"/>
    <x v="1"/>
    <s v="United States"/>
    <s v="Springfield"/>
    <x v="17"/>
    <n v="22153"/>
    <x v="0"/>
    <x v="1133"/>
    <x v="2"/>
    <x v="7"/>
    <x v="1121"/>
    <x v="2703"/>
    <x v="6"/>
    <x v="2"/>
  </r>
  <r>
    <n v="3484"/>
    <x v="1730"/>
    <x v="9"/>
    <d v="2015-08-29T00:00:00"/>
    <s v="First Class"/>
    <x v="566"/>
    <s v="Corey Catlett"/>
    <x v="1"/>
    <s v="United States"/>
    <s v="Springfield"/>
    <x v="17"/>
    <n v="22153"/>
    <x v="0"/>
    <x v="1027"/>
    <x v="0"/>
    <x v="5"/>
    <x v="1018"/>
    <x v="2021"/>
    <x v="6"/>
    <x v="2"/>
  </r>
  <r>
    <n v="3485"/>
    <x v="1730"/>
    <x v="9"/>
    <d v="2015-08-29T00:00:00"/>
    <s v="First Class"/>
    <x v="566"/>
    <s v="Corey Catlett"/>
    <x v="1"/>
    <s v="United States"/>
    <s v="Springfield"/>
    <x v="17"/>
    <n v="22153"/>
    <x v="0"/>
    <x v="1382"/>
    <x v="0"/>
    <x v="3"/>
    <x v="1367"/>
    <x v="2704"/>
    <x v="6"/>
    <x v="2"/>
  </r>
  <r>
    <n v="3486"/>
    <x v="1731"/>
    <x v="147"/>
    <d v="2017-10-26T00:00:00"/>
    <s v="Standard Class"/>
    <x v="501"/>
    <s v="Muhammed Yedwab"/>
    <x v="1"/>
    <s v="United States"/>
    <s v="Newark"/>
    <x v="13"/>
    <n v="19711"/>
    <x v="3"/>
    <x v="922"/>
    <x v="1"/>
    <x v="8"/>
    <x v="914"/>
    <x v="1054"/>
    <x v="2"/>
    <x v="0"/>
  </r>
  <r>
    <n v="3487"/>
    <x v="1732"/>
    <x v="885"/>
    <d v="2017-11-30T00:00:00"/>
    <s v="Same Day"/>
    <x v="203"/>
    <s v="Dean Braden"/>
    <x v="0"/>
    <s v="United States"/>
    <s v="Hickory"/>
    <x v="3"/>
    <n v="28601"/>
    <x v="0"/>
    <x v="1409"/>
    <x v="2"/>
    <x v="7"/>
    <x v="1396"/>
    <x v="2705"/>
    <x v="0"/>
    <x v="0"/>
  </r>
  <r>
    <n v="3488"/>
    <x v="1733"/>
    <x v="528"/>
    <d v="2018-09-11T00:00:00"/>
    <s v="Standard Class"/>
    <x v="675"/>
    <s v="Michael Grace"/>
    <x v="2"/>
    <s v="United States"/>
    <s v="Fort Lauderdale"/>
    <x v="2"/>
    <n v="33311"/>
    <x v="0"/>
    <x v="196"/>
    <x v="1"/>
    <x v="4"/>
    <x v="197"/>
    <x v="2706"/>
    <x v="8"/>
    <x v="3"/>
  </r>
  <r>
    <n v="3489"/>
    <x v="1734"/>
    <x v="740"/>
    <d v="2016-07-06T00:00:00"/>
    <s v="Standard Class"/>
    <x v="584"/>
    <s v="Rob Haberlin"/>
    <x v="0"/>
    <s v="United States"/>
    <s v="Carol Stream"/>
    <x v="10"/>
    <n v="60188"/>
    <x v="2"/>
    <x v="284"/>
    <x v="0"/>
    <x v="1"/>
    <x v="284"/>
    <x v="2335"/>
    <x v="7"/>
    <x v="1"/>
  </r>
  <r>
    <n v="3490"/>
    <x v="1734"/>
    <x v="740"/>
    <d v="2016-07-06T00:00:00"/>
    <s v="Standard Class"/>
    <x v="584"/>
    <s v="Rob Haberlin"/>
    <x v="0"/>
    <s v="United States"/>
    <s v="Carol Stream"/>
    <x v="10"/>
    <n v="60188"/>
    <x v="2"/>
    <x v="1209"/>
    <x v="0"/>
    <x v="1"/>
    <x v="1194"/>
    <x v="2707"/>
    <x v="7"/>
    <x v="1"/>
  </r>
  <r>
    <n v="3491"/>
    <x v="1734"/>
    <x v="740"/>
    <d v="2016-07-06T00:00:00"/>
    <s v="Standard Class"/>
    <x v="584"/>
    <s v="Rob Haberlin"/>
    <x v="0"/>
    <s v="United States"/>
    <s v="Carol Stream"/>
    <x v="10"/>
    <n v="60188"/>
    <x v="2"/>
    <x v="456"/>
    <x v="1"/>
    <x v="4"/>
    <x v="457"/>
    <x v="644"/>
    <x v="7"/>
    <x v="1"/>
  </r>
  <r>
    <n v="3492"/>
    <x v="1734"/>
    <x v="740"/>
    <d v="2016-07-06T00:00:00"/>
    <s v="Standard Class"/>
    <x v="584"/>
    <s v="Rob Haberlin"/>
    <x v="0"/>
    <s v="United States"/>
    <s v="Carol Stream"/>
    <x v="10"/>
    <n v="60188"/>
    <x v="2"/>
    <x v="245"/>
    <x v="1"/>
    <x v="4"/>
    <x v="246"/>
    <x v="2708"/>
    <x v="7"/>
    <x v="1"/>
  </r>
  <r>
    <n v="3493"/>
    <x v="1734"/>
    <x v="740"/>
    <d v="2016-07-06T00:00:00"/>
    <s v="Standard Class"/>
    <x v="584"/>
    <s v="Rob Haberlin"/>
    <x v="0"/>
    <s v="United States"/>
    <s v="Carol Stream"/>
    <x v="10"/>
    <n v="60188"/>
    <x v="2"/>
    <x v="161"/>
    <x v="1"/>
    <x v="10"/>
    <x v="162"/>
    <x v="1492"/>
    <x v="7"/>
    <x v="1"/>
  </r>
  <r>
    <n v="3494"/>
    <x v="1735"/>
    <x v="241"/>
    <d v="2018-09-28T00:00:00"/>
    <s v="Standard Class"/>
    <x v="208"/>
    <s v="Karen Bern"/>
    <x v="1"/>
    <s v="United States"/>
    <s v="Saint Cloud"/>
    <x v="11"/>
    <n v="56301"/>
    <x v="2"/>
    <x v="1542"/>
    <x v="2"/>
    <x v="11"/>
    <x v="1530"/>
    <x v="2709"/>
    <x v="8"/>
    <x v="3"/>
  </r>
  <r>
    <n v="3495"/>
    <x v="1735"/>
    <x v="241"/>
    <d v="2018-09-28T00:00:00"/>
    <s v="Standard Class"/>
    <x v="208"/>
    <s v="Karen Bern"/>
    <x v="1"/>
    <s v="United States"/>
    <s v="Saint Cloud"/>
    <x v="11"/>
    <n v="56301"/>
    <x v="2"/>
    <x v="1543"/>
    <x v="2"/>
    <x v="11"/>
    <x v="1531"/>
    <x v="2710"/>
    <x v="8"/>
    <x v="3"/>
  </r>
  <r>
    <n v="3496"/>
    <x v="1735"/>
    <x v="241"/>
    <d v="2018-09-28T00:00:00"/>
    <s v="Standard Class"/>
    <x v="208"/>
    <s v="Karen Bern"/>
    <x v="1"/>
    <s v="United States"/>
    <s v="Saint Cloud"/>
    <x v="11"/>
    <n v="56301"/>
    <x v="2"/>
    <x v="662"/>
    <x v="0"/>
    <x v="1"/>
    <x v="662"/>
    <x v="884"/>
    <x v="8"/>
    <x v="3"/>
  </r>
  <r>
    <n v="3497"/>
    <x v="1736"/>
    <x v="590"/>
    <d v="2017-08-15T00:00:00"/>
    <s v="Standard Class"/>
    <x v="402"/>
    <s v="Cathy Armstrong"/>
    <x v="2"/>
    <s v="United States"/>
    <s v="Los Angeles"/>
    <x v="1"/>
    <n v="90036"/>
    <x v="1"/>
    <x v="855"/>
    <x v="0"/>
    <x v="3"/>
    <x v="848"/>
    <x v="2711"/>
    <x v="6"/>
    <x v="0"/>
  </r>
  <r>
    <n v="3498"/>
    <x v="1736"/>
    <x v="590"/>
    <d v="2017-08-15T00:00:00"/>
    <s v="Standard Class"/>
    <x v="402"/>
    <s v="Cathy Armstrong"/>
    <x v="2"/>
    <s v="United States"/>
    <s v="Los Angeles"/>
    <x v="1"/>
    <n v="90036"/>
    <x v="1"/>
    <x v="723"/>
    <x v="1"/>
    <x v="9"/>
    <x v="722"/>
    <x v="2712"/>
    <x v="6"/>
    <x v="0"/>
  </r>
  <r>
    <n v="3499"/>
    <x v="1736"/>
    <x v="590"/>
    <d v="2017-08-15T00:00:00"/>
    <s v="Standard Class"/>
    <x v="402"/>
    <s v="Cathy Armstrong"/>
    <x v="2"/>
    <s v="United States"/>
    <s v="Los Angeles"/>
    <x v="1"/>
    <n v="90036"/>
    <x v="1"/>
    <x v="315"/>
    <x v="1"/>
    <x v="8"/>
    <x v="315"/>
    <x v="593"/>
    <x v="6"/>
    <x v="0"/>
  </r>
  <r>
    <n v="3500"/>
    <x v="1737"/>
    <x v="321"/>
    <d v="2017-10-03T00:00:00"/>
    <s v="Standard Class"/>
    <x v="300"/>
    <s v="Joe Kamberova"/>
    <x v="0"/>
    <s v="United States"/>
    <s v="Mobile"/>
    <x v="19"/>
    <n v="36608"/>
    <x v="0"/>
    <x v="1509"/>
    <x v="2"/>
    <x v="11"/>
    <x v="1496"/>
    <x v="2713"/>
    <x v="8"/>
    <x v="0"/>
  </r>
  <r>
    <n v="3501"/>
    <x v="1737"/>
    <x v="321"/>
    <d v="2017-10-03T00:00:00"/>
    <s v="Standard Class"/>
    <x v="300"/>
    <s v="Joe Kamberova"/>
    <x v="0"/>
    <s v="United States"/>
    <s v="Mobile"/>
    <x v="19"/>
    <n v="36608"/>
    <x v="0"/>
    <x v="542"/>
    <x v="1"/>
    <x v="8"/>
    <x v="542"/>
    <x v="2714"/>
    <x v="8"/>
    <x v="0"/>
  </r>
  <r>
    <n v="3502"/>
    <x v="1737"/>
    <x v="321"/>
    <d v="2017-10-03T00:00:00"/>
    <s v="Standard Class"/>
    <x v="300"/>
    <s v="Joe Kamberova"/>
    <x v="0"/>
    <s v="United States"/>
    <s v="Mobile"/>
    <x v="19"/>
    <n v="36608"/>
    <x v="0"/>
    <x v="130"/>
    <x v="1"/>
    <x v="6"/>
    <x v="131"/>
    <x v="233"/>
    <x v="8"/>
    <x v="0"/>
  </r>
  <r>
    <n v="3503"/>
    <x v="1738"/>
    <x v="318"/>
    <d v="2018-04-10T00:00:00"/>
    <s v="Same Day"/>
    <x v="709"/>
    <s v="Russell D'Ascenzo"/>
    <x v="0"/>
    <s v="United States"/>
    <s v="Austin"/>
    <x v="5"/>
    <n v="78745"/>
    <x v="2"/>
    <x v="511"/>
    <x v="1"/>
    <x v="10"/>
    <x v="511"/>
    <x v="559"/>
    <x v="3"/>
    <x v="3"/>
  </r>
  <r>
    <n v="3504"/>
    <x v="1738"/>
    <x v="318"/>
    <d v="2018-04-10T00:00:00"/>
    <s v="Same Day"/>
    <x v="709"/>
    <s v="Russell D'Ascenzo"/>
    <x v="0"/>
    <s v="United States"/>
    <s v="Austin"/>
    <x v="5"/>
    <n v="78745"/>
    <x v="2"/>
    <x v="685"/>
    <x v="2"/>
    <x v="11"/>
    <x v="685"/>
    <x v="2715"/>
    <x v="3"/>
    <x v="3"/>
  </r>
  <r>
    <n v="3505"/>
    <x v="1739"/>
    <x v="122"/>
    <d v="2017-12-20T00:00:00"/>
    <s v="Second Class"/>
    <x v="451"/>
    <s v="Julie Kriz"/>
    <x v="2"/>
    <s v="United States"/>
    <s v="New York City"/>
    <x v="15"/>
    <n v="10009"/>
    <x v="3"/>
    <x v="906"/>
    <x v="1"/>
    <x v="4"/>
    <x v="898"/>
    <x v="1706"/>
    <x v="4"/>
    <x v="0"/>
  </r>
  <r>
    <n v="3506"/>
    <x v="1740"/>
    <x v="886"/>
    <d v="2015-06-24T00:00:00"/>
    <s v="Standard Class"/>
    <x v="710"/>
    <s v="Sam Craven"/>
    <x v="0"/>
    <s v="United States"/>
    <s v="Plano"/>
    <x v="5"/>
    <n v="75023"/>
    <x v="2"/>
    <x v="1370"/>
    <x v="2"/>
    <x v="7"/>
    <x v="1355"/>
    <x v="1212"/>
    <x v="1"/>
    <x v="2"/>
  </r>
  <r>
    <n v="3507"/>
    <x v="1740"/>
    <x v="886"/>
    <d v="2015-06-24T00:00:00"/>
    <s v="Standard Class"/>
    <x v="710"/>
    <s v="Sam Craven"/>
    <x v="0"/>
    <s v="United States"/>
    <s v="Plano"/>
    <x v="5"/>
    <n v="75023"/>
    <x v="2"/>
    <x v="15"/>
    <x v="1"/>
    <x v="8"/>
    <x v="15"/>
    <x v="882"/>
    <x v="1"/>
    <x v="2"/>
  </r>
  <r>
    <n v="3508"/>
    <x v="1740"/>
    <x v="886"/>
    <d v="2015-06-24T00:00:00"/>
    <s v="Standard Class"/>
    <x v="710"/>
    <s v="Sam Craven"/>
    <x v="0"/>
    <s v="United States"/>
    <s v="Plano"/>
    <x v="5"/>
    <n v="75023"/>
    <x v="2"/>
    <x v="1544"/>
    <x v="0"/>
    <x v="0"/>
    <x v="1532"/>
    <x v="2716"/>
    <x v="1"/>
    <x v="2"/>
  </r>
  <r>
    <n v="3509"/>
    <x v="1740"/>
    <x v="886"/>
    <d v="2015-06-24T00:00:00"/>
    <s v="Standard Class"/>
    <x v="710"/>
    <s v="Sam Craven"/>
    <x v="0"/>
    <s v="United States"/>
    <s v="Plano"/>
    <x v="5"/>
    <n v="75023"/>
    <x v="2"/>
    <x v="778"/>
    <x v="1"/>
    <x v="10"/>
    <x v="777"/>
    <x v="12"/>
    <x v="1"/>
    <x v="2"/>
  </r>
  <r>
    <n v="3510"/>
    <x v="1740"/>
    <x v="886"/>
    <d v="2015-06-24T00:00:00"/>
    <s v="Standard Class"/>
    <x v="710"/>
    <s v="Sam Craven"/>
    <x v="0"/>
    <s v="United States"/>
    <s v="Plano"/>
    <x v="5"/>
    <n v="75023"/>
    <x v="2"/>
    <x v="57"/>
    <x v="1"/>
    <x v="10"/>
    <x v="57"/>
    <x v="25"/>
    <x v="1"/>
    <x v="2"/>
  </r>
  <r>
    <n v="3511"/>
    <x v="1740"/>
    <x v="886"/>
    <d v="2015-06-24T00:00:00"/>
    <s v="Standard Class"/>
    <x v="710"/>
    <s v="Sam Craven"/>
    <x v="0"/>
    <s v="United States"/>
    <s v="Plano"/>
    <x v="5"/>
    <n v="75023"/>
    <x v="2"/>
    <x v="1491"/>
    <x v="2"/>
    <x v="15"/>
    <x v="1478"/>
    <x v="2717"/>
    <x v="1"/>
    <x v="2"/>
  </r>
  <r>
    <n v="3512"/>
    <x v="1740"/>
    <x v="886"/>
    <d v="2015-06-24T00:00:00"/>
    <s v="Standard Class"/>
    <x v="710"/>
    <s v="Sam Craven"/>
    <x v="0"/>
    <s v="United States"/>
    <s v="Plano"/>
    <x v="5"/>
    <n v="75023"/>
    <x v="2"/>
    <x v="72"/>
    <x v="1"/>
    <x v="4"/>
    <x v="72"/>
    <x v="2718"/>
    <x v="1"/>
    <x v="2"/>
  </r>
  <r>
    <n v="3513"/>
    <x v="1741"/>
    <x v="507"/>
    <d v="2018-09-06T00:00:00"/>
    <s v="First Class"/>
    <x v="304"/>
    <s v="Helen Wasserman"/>
    <x v="1"/>
    <s v="United States"/>
    <s v="Chicago"/>
    <x v="10"/>
    <n v="60653"/>
    <x v="2"/>
    <x v="1545"/>
    <x v="0"/>
    <x v="0"/>
    <x v="1533"/>
    <x v="2719"/>
    <x v="8"/>
    <x v="3"/>
  </r>
  <r>
    <n v="3514"/>
    <x v="1741"/>
    <x v="507"/>
    <d v="2018-09-06T00:00:00"/>
    <s v="First Class"/>
    <x v="304"/>
    <s v="Helen Wasserman"/>
    <x v="1"/>
    <s v="United States"/>
    <s v="Chicago"/>
    <x v="10"/>
    <n v="60653"/>
    <x v="2"/>
    <x v="956"/>
    <x v="1"/>
    <x v="10"/>
    <x v="949"/>
    <x v="2720"/>
    <x v="8"/>
    <x v="3"/>
  </r>
  <r>
    <n v="3515"/>
    <x v="1741"/>
    <x v="507"/>
    <d v="2018-09-06T00:00:00"/>
    <s v="First Class"/>
    <x v="304"/>
    <s v="Helen Wasserman"/>
    <x v="1"/>
    <s v="United States"/>
    <s v="Chicago"/>
    <x v="10"/>
    <n v="60653"/>
    <x v="2"/>
    <x v="130"/>
    <x v="1"/>
    <x v="6"/>
    <x v="131"/>
    <x v="2721"/>
    <x v="8"/>
    <x v="3"/>
  </r>
  <r>
    <n v="3516"/>
    <x v="1742"/>
    <x v="887"/>
    <d v="2017-12-24T00:00:00"/>
    <s v="Standard Class"/>
    <x v="561"/>
    <s v="Stuart Calhoun"/>
    <x v="0"/>
    <s v="United States"/>
    <s v="Jackson"/>
    <x v="35"/>
    <n v="39212"/>
    <x v="0"/>
    <x v="176"/>
    <x v="2"/>
    <x v="11"/>
    <x v="177"/>
    <x v="2722"/>
    <x v="4"/>
    <x v="0"/>
  </r>
  <r>
    <n v="3517"/>
    <x v="1743"/>
    <x v="888"/>
    <d v="2017-08-12T00:00:00"/>
    <s v="First Class"/>
    <x v="66"/>
    <s v="Helen Andreada"/>
    <x v="0"/>
    <s v="United States"/>
    <s v="Fayetteville"/>
    <x v="3"/>
    <n v="28314"/>
    <x v="0"/>
    <x v="1012"/>
    <x v="1"/>
    <x v="10"/>
    <x v="1004"/>
    <x v="2723"/>
    <x v="6"/>
    <x v="0"/>
  </r>
  <r>
    <n v="3518"/>
    <x v="1743"/>
    <x v="888"/>
    <d v="2017-08-12T00:00:00"/>
    <s v="First Class"/>
    <x v="66"/>
    <s v="Helen Andreada"/>
    <x v="0"/>
    <s v="United States"/>
    <s v="Fayetteville"/>
    <x v="3"/>
    <n v="28314"/>
    <x v="0"/>
    <x v="1480"/>
    <x v="2"/>
    <x v="7"/>
    <x v="1467"/>
    <x v="2488"/>
    <x v="6"/>
    <x v="0"/>
  </r>
  <r>
    <n v="3519"/>
    <x v="1743"/>
    <x v="888"/>
    <d v="2017-08-12T00:00:00"/>
    <s v="First Class"/>
    <x v="66"/>
    <s v="Helen Andreada"/>
    <x v="0"/>
    <s v="United States"/>
    <s v="Fayetteville"/>
    <x v="3"/>
    <n v="28314"/>
    <x v="0"/>
    <x v="159"/>
    <x v="1"/>
    <x v="9"/>
    <x v="160"/>
    <x v="2724"/>
    <x v="6"/>
    <x v="0"/>
  </r>
  <r>
    <n v="3520"/>
    <x v="1744"/>
    <x v="137"/>
    <d v="2016-06-25T00:00:00"/>
    <s v="First Class"/>
    <x v="675"/>
    <s v="Michael Grace"/>
    <x v="2"/>
    <s v="United States"/>
    <s v="Aurora"/>
    <x v="10"/>
    <n v="60505"/>
    <x v="2"/>
    <x v="1337"/>
    <x v="0"/>
    <x v="3"/>
    <x v="1322"/>
    <x v="2725"/>
    <x v="1"/>
    <x v="1"/>
  </r>
  <r>
    <n v="3521"/>
    <x v="1745"/>
    <x v="889"/>
    <d v="2016-04-15T00:00:00"/>
    <s v="Standard Class"/>
    <x v="678"/>
    <s v="Dario Medina"/>
    <x v="1"/>
    <s v="United States"/>
    <s v="Sacramento"/>
    <x v="1"/>
    <n v="95823"/>
    <x v="1"/>
    <x v="385"/>
    <x v="1"/>
    <x v="8"/>
    <x v="386"/>
    <x v="2726"/>
    <x v="3"/>
    <x v="1"/>
  </r>
  <r>
    <n v="3522"/>
    <x v="1746"/>
    <x v="831"/>
    <d v="2017-11-25T00:00:00"/>
    <s v="Second Class"/>
    <x v="664"/>
    <s v="Denise Monton"/>
    <x v="1"/>
    <s v="United States"/>
    <s v="Des Moines"/>
    <x v="23"/>
    <n v="50315"/>
    <x v="2"/>
    <x v="371"/>
    <x v="1"/>
    <x v="10"/>
    <x v="372"/>
    <x v="1304"/>
    <x v="0"/>
    <x v="0"/>
  </r>
  <r>
    <n v="3523"/>
    <x v="1746"/>
    <x v="831"/>
    <d v="2017-11-25T00:00:00"/>
    <s v="Second Class"/>
    <x v="664"/>
    <s v="Denise Monton"/>
    <x v="1"/>
    <s v="United States"/>
    <s v="Des Moines"/>
    <x v="23"/>
    <n v="50315"/>
    <x v="2"/>
    <x v="233"/>
    <x v="2"/>
    <x v="7"/>
    <x v="234"/>
    <x v="2727"/>
    <x v="0"/>
    <x v="0"/>
  </r>
  <r>
    <n v="3524"/>
    <x v="1747"/>
    <x v="64"/>
    <d v="2017-09-10T00:00:00"/>
    <s v="Standard Class"/>
    <x v="504"/>
    <s v="Marina Lichtenstein"/>
    <x v="1"/>
    <s v="United States"/>
    <s v="San Diego"/>
    <x v="1"/>
    <n v="92105"/>
    <x v="1"/>
    <x v="174"/>
    <x v="2"/>
    <x v="11"/>
    <x v="175"/>
    <x v="2728"/>
    <x v="8"/>
    <x v="0"/>
  </r>
  <r>
    <n v="3525"/>
    <x v="1748"/>
    <x v="390"/>
    <d v="2017-11-28T00:00:00"/>
    <s v="Standard Class"/>
    <x v="654"/>
    <s v="George Ashbrook"/>
    <x v="0"/>
    <s v="United States"/>
    <s v="Dallas"/>
    <x v="5"/>
    <n v="75081"/>
    <x v="2"/>
    <x v="1546"/>
    <x v="2"/>
    <x v="7"/>
    <x v="1534"/>
    <x v="2729"/>
    <x v="0"/>
    <x v="0"/>
  </r>
  <r>
    <n v="3526"/>
    <x v="1749"/>
    <x v="389"/>
    <d v="2018-12-15T00:00:00"/>
    <s v="Second Class"/>
    <x v="711"/>
    <s v="Stephanie Ulpright"/>
    <x v="2"/>
    <s v="United States"/>
    <s v="Jackson"/>
    <x v="35"/>
    <n v="39212"/>
    <x v="0"/>
    <x v="651"/>
    <x v="2"/>
    <x v="11"/>
    <x v="651"/>
    <x v="2730"/>
    <x v="4"/>
    <x v="3"/>
  </r>
  <r>
    <n v="3527"/>
    <x v="1749"/>
    <x v="389"/>
    <d v="2018-12-15T00:00:00"/>
    <s v="Second Class"/>
    <x v="711"/>
    <s v="Stephanie Ulpright"/>
    <x v="2"/>
    <s v="United States"/>
    <s v="Jackson"/>
    <x v="35"/>
    <n v="39212"/>
    <x v="0"/>
    <x v="780"/>
    <x v="2"/>
    <x v="7"/>
    <x v="779"/>
    <x v="2731"/>
    <x v="4"/>
    <x v="3"/>
  </r>
  <r>
    <n v="3528"/>
    <x v="1749"/>
    <x v="389"/>
    <d v="2018-12-15T00:00:00"/>
    <s v="Second Class"/>
    <x v="711"/>
    <s v="Stephanie Ulpright"/>
    <x v="2"/>
    <s v="United States"/>
    <s v="Jackson"/>
    <x v="35"/>
    <n v="39212"/>
    <x v="0"/>
    <x v="1547"/>
    <x v="1"/>
    <x v="8"/>
    <x v="1535"/>
    <x v="2732"/>
    <x v="4"/>
    <x v="3"/>
  </r>
  <r>
    <n v="3529"/>
    <x v="1750"/>
    <x v="890"/>
    <d v="2017-06-29T00:00:00"/>
    <s v="Standard Class"/>
    <x v="217"/>
    <s v="Bill Donatelli"/>
    <x v="0"/>
    <s v="United States"/>
    <s v="San Diego"/>
    <x v="1"/>
    <n v="92024"/>
    <x v="1"/>
    <x v="1378"/>
    <x v="2"/>
    <x v="7"/>
    <x v="1363"/>
    <x v="2733"/>
    <x v="1"/>
    <x v="0"/>
  </r>
  <r>
    <n v="3530"/>
    <x v="1751"/>
    <x v="14"/>
    <d v="2016-09-23T00:00:00"/>
    <s v="Standard Class"/>
    <x v="591"/>
    <s v="Denny Blanton"/>
    <x v="0"/>
    <s v="United States"/>
    <s v="Orlando"/>
    <x v="2"/>
    <n v="32839"/>
    <x v="0"/>
    <x v="477"/>
    <x v="2"/>
    <x v="11"/>
    <x v="478"/>
    <x v="2734"/>
    <x v="8"/>
    <x v="1"/>
  </r>
  <r>
    <n v="3531"/>
    <x v="1752"/>
    <x v="288"/>
    <d v="2017-05-23T00:00:00"/>
    <s v="Standard Class"/>
    <x v="532"/>
    <s v="Roy Phan"/>
    <x v="1"/>
    <s v="United States"/>
    <s v="Lafayette"/>
    <x v="14"/>
    <n v="47905"/>
    <x v="2"/>
    <x v="18"/>
    <x v="1"/>
    <x v="6"/>
    <x v="18"/>
    <x v="1567"/>
    <x v="5"/>
    <x v="0"/>
  </r>
  <r>
    <n v="3532"/>
    <x v="1753"/>
    <x v="316"/>
    <d v="2017-05-28T00:00:00"/>
    <s v="Same Day"/>
    <x v="553"/>
    <s v="Edward Hooks"/>
    <x v="1"/>
    <s v="United States"/>
    <s v="New York City"/>
    <x v="15"/>
    <n v="10035"/>
    <x v="3"/>
    <x v="133"/>
    <x v="1"/>
    <x v="14"/>
    <x v="134"/>
    <x v="2735"/>
    <x v="5"/>
    <x v="0"/>
  </r>
  <r>
    <n v="3533"/>
    <x v="1754"/>
    <x v="891"/>
    <d v="2015-04-23T00:00:00"/>
    <s v="Standard Class"/>
    <x v="252"/>
    <s v="John Lee"/>
    <x v="0"/>
    <s v="United States"/>
    <s v="Los Angeles"/>
    <x v="1"/>
    <n v="90049"/>
    <x v="1"/>
    <x v="1548"/>
    <x v="2"/>
    <x v="15"/>
    <x v="1536"/>
    <x v="2736"/>
    <x v="3"/>
    <x v="2"/>
  </r>
  <r>
    <n v="3534"/>
    <x v="1754"/>
    <x v="891"/>
    <d v="2015-04-23T00:00:00"/>
    <s v="Standard Class"/>
    <x v="252"/>
    <s v="John Lee"/>
    <x v="0"/>
    <s v="United States"/>
    <s v="Los Angeles"/>
    <x v="1"/>
    <n v="90049"/>
    <x v="1"/>
    <x v="836"/>
    <x v="1"/>
    <x v="6"/>
    <x v="831"/>
    <x v="1317"/>
    <x v="3"/>
    <x v="2"/>
  </r>
  <r>
    <n v="3535"/>
    <x v="1754"/>
    <x v="891"/>
    <d v="2015-04-23T00:00:00"/>
    <s v="Standard Class"/>
    <x v="252"/>
    <s v="John Lee"/>
    <x v="0"/>
    <s v="United States"/>
    <s v="Los Angeles"/>
    <x v="1"/>
    <n v="90049"/>
    <x v="1"/>
    <x v="1539"/>
    <x v="1"/>
    <x v="6"/>
    <x v="1527"/>
    <x v="2737"/>
    <x v="3"/>
    <x v="2"/>
  </r>
  <r>
    <n v="3536"/>
    <x v="1754"/>
    <x v="891"/>
    <d v="2015-04-23T00:00:00"/>
    <s v="Standard Class"/>
    <x v="252"/>
    <s v="John Lee"/>
    <x v="0"/>
    <s v="United States"/>
    <s v="Los Angeles"/>
    <x v="1"/>
    <n v="90049"/>
    <x v="1"/>
    <x v="195"/>
    <x v="1"/>
    <x v="13"/>
    <x v="196"/>
    <x v="2738"/>
    <x v="3"/>
    <x v="2"/>
  </r>
  <r>
    <n v="3537"/>
    <x v="1755"/>
    <x v="26"/>
    <d v="2017-06-20T00:00:00"/>
    <s v="Second Class"/>
    <x v="248"/>
    <s v="Fred McMath"/>
    <x v="0"/>
    <s v="United States"/>
    <s v="New York City"/>
    <x v="15"/>
    <n v="10024"/>
    <x v="3"/>
    <x v="1033"/>
    <x v="1"/>
    <x v="4"/>
    <x v="1024"/>
    <x v="1344"/>
    <x v="1"/>
    <x v="0"/>
  </r>
  <r>
    <n v="3538"/>
    <x v="1756"/>
    <x v="309"/>
    <d v="2015-05-09T00:00:00"/>
    <s v="Same Day"/>
    <x v="115"/>
    <s v="Sean Braxton"/>
    <x v="1"/>
    <s v="United States"/>
    <s v="Henderson"/>
    <x v="0"/>
    <n v="42420"/>
    <x v="0"/>
    <x v="17"/>
    <x v="1"/>
    <x v="4"/>
    <x v="17"/>
    <x v="2739"/>
    <x v="5"/>
    <x v="2"/>
  </r>
  <r>
    <n v="3539"/>
    <x v="1756"/>
    <x v="309"/>
    <d v="2015-05-09T00:00:00"/>
    <s v="Same Day"/>
    <x v="115"/>
    <s v="Sean Braxton"/>
    <x v="1"/>
    <s v="United States"/>
    <s v="Henderson"/>
    <x v="0"/>
    <n v="42420"/>
    <x v="0"/>
    <x v="1042"/>
    <x v="1"/>
    <x v="2"/>
    <x v="1031"/>
    <x v="1227"/>
    <x v="5"/>
    <x v="2"/>
  </r>
  <r>
    <n v="3540"/>
    <x v="1756"/>
    <x v="309"/>
    <d v="2015-05-09T00:00:00"/>
    <s v="Same Day"/>
    <x v="115"/>
    <s v="Sean Braxton"/>
    <x v="1"/>
    <s v="United States"/>
    <s v="Henderson"/>
    <x v="0"/>
    <n v="42420"/>
    <x v="0"/>
    <x v="1008"/>
    <x v="1"/>
    <x v="2"/>
    <x v="1000"/>
    <x v="2740"/>
    <x v="5"/>
    <x v="2"/>
  </r>
  <r>
    <n v="3541"/>
    <x v="1756"/>
    <x v="309"/>
    <d v="2015-05-09T00:00:00"/>
    <s v="Same Day"/>
    <x v="115"/>
    <s v="Sean Braxton"/>
    <x v="1"/>
    <s v="United States"/>
    <s v="Henderson"/>
    <x v="0"/>
    <n v="42420"/>
    <x v="0"/>
    <x v="1076"/>
    <x v="1"/>
    <x v="10"/>
    <x v="1066"/>
    <x v="1544"/>
    <x v="5"/>
    <x v="2"/>
  </r>
  <r>
    <n v="3542"/>
    <x v="1757"/>
    <x v="31"/>
    <d v="2017-09-20T00:00:00"/>
    <s v="First Class"/>
    <x v="277"/>
    <s v="Seth Vernon"/>
    <x v="0"/>
    <s v="United States"/>
    <s v="Columbus"/>
    <x v="24"/>
    <n v="43229"/>
    <x v="3"/>
    <x v="1348"/>
    <x v="0"/>
    <x v="5"/>
    <x v="1333"/>
    <x v="2741"/>
    <x v="8"/>
    <x v="0"/>
  </r>
  <r>
    <n v="3543"/>
    <x v="1757"/>
    <x v="31"/>
    <d v="2017-09-20T00:00:00"/>
    <s v="First Class"/>
    <x v="277"/>
    <s v="Seth Vernon"/>
    <x v="0"/>
    <s v="United States"/>
    <s v="Columbus"/>
    <x v="24"/>
    <n v="43229"/>
    <x v="3"/>
    <x v="474"/>
    <x v="0"/>
    <x v="1"/>
    <x v="475"/>
    <x v="2742"/>
    <x v="8"/>
    <x v="0"/>
  </r>
  <r>
    <n v="3544"/>
    <x v="1757"/>
    <x v="31"/>
    <d v="2017-09-20T00:00:00"/>
    <s v="First Class"/>
    <x v="277"/>
    <s v="Seth Vernon"/>
    <x v="0"/>
    <s v="United States"/>
    <s v="Columbus"/>
    <x v="24"/>
    <n v="43229"/>
    <x v="3"/>
    <x v="1216"/>
    <x v="1"/>
    <x v="6"/>
    <x v="1200"/>
    <x v="2743"/>
    <x v="8"/>
    <x v="0"/>
  </r>
  <r>
    <n v="3545"/>
    <x v="1758"/>
    <x v="331"/>
    <d v="2018-12-25T00:00:00"/>
    <s v="Second Class"/>
    <x v="462"/>
    <s v="Michael Moore"/>
    <x v="0"/>
    <s v="United States"/>
    <s v="College Station"/>
    <x v="5"/>
    <n v="77840"/>
    <x v="2"/>
    <x v="1056"/>
    <x v="1"/>
    <x v="10"/>
    <x v="1045"/>
    <x v="2744"/>
    <x v="4"/>
    <x v="3"/>
  </r>
  <r>
    <n v="3546"/>
    <x v="1758"/>
    <x v="331"/>
    <d v="2018-12-25T00:00:00"/>
    <s v="Second Class"/>
    <x v="462"/>
    <s v="Michael Moore"/>
    <x v="0"/>
    <s v="United States"/>
    <s v="College Station"/>
    <x v="5"/>
    <n v="77840"/>
    <x v="2"/>
    <x v="1549"/>
    <x v="1"/>
    <x v="9"/>
    <x v="1537"/>
    <x v="2745"/>
    <x v="4"/>
    <x v="3"/>
  </r>
  <r>
    <n v="3547"/>
    <x v="1759"/>
    <x v="505"/>
    <d v="2018-11-01T00:00:00"/>
    <s v="First Class"/>
    <x v="279"/>
    <s v="Ross DeVincentis"/>
    <x v="2"/>
    <s v="United States"/>
    <s v="Richmond"/>
    <x v="0"/>
    <n v="40475"/>
    <x v="0"/>
    <x v="464"/>
    <x v="1"/>
    <x v="4"/>
    <x v="465"/>
    <x v="2746"/>
    <x v="2"/>
    <x v="3"/>
  </r>
  <r>
    <n v="3548"/>
    <x v="1759"/>
    <x v="505"/>
    <d v="2018-11-01T00:00:00"/>
    <s v="First Class"/>
    <x v="279"/>
    <s v="Ross DeVincentis"/>
    <x v="2"/>
    <s v="United States"/>
    <s v="Richmond"/>
    <x v="0"/>
    <n v="40475"/>
    <x v="0"/>
    <x v="354"/>
    <x v="1"/>
    <x v="14"/>
    <x v="354"/>
    <x v="1507"/>
    <x v="2"/>
    <x v="3"/>
  </r>
  <r>
    <n v="3549"/>
    <x v="1759"/>
    <x v="505"/>
    <d v="2018-11-01T00:00:00"/>
    <s v="First Class"/>
    <x v="279"/>
    <s v="Ross DeVincentis"/>
    <x v="2"/>
    <s v="United States"/>
    <s v="Richmond"/>
    <x v="0"/>
    <n v="40475"/>
    <x v="0"/>
    <x v="1272"/>
    <x v="0"/>
    <x v="1"/>
    <x v="1257"/>
    <x v="2747"/>
    <x v="2"/>
    <x v="3"/>
  </r>
  <r>
    <n v="3550"/>
    <x v="1759"/>
    <x v="505"/>
    <d v="2018-11-01T00:00:00"/>
    <s v="First Class"/>
    <x v="279"/>
    <s v="Ross DeVincentis"/>
    <x v="2"/>
    <s v="United States"/>
    <s v="Richmond"/>
    <x v="0"/>
    <n v="40475"/>
    <x v="0"/>
    <x v="1550"/>
    <x v="1"/>
    <x v="2"/>
    <x v="1538"/>
    <x v="59"/>
    <x v="2"/>
    <x v="3"/>
  </r>
  <r>
    <n v="3551"/>
    <x v="1760"/>
    <x v="892"/>
    <d v="2017-04-02T00:00:00"/>
    <s v="Second Class"/>
    <x v="467"/>
    <s v="Maria Etezadi"/>
    <x v="2"/>
    <s v="United States"/>
    <s v="Chicago"/>
    <x v="10"/>
    <n v="60653"/>
    <x v="2"/>
    <x v="1237"/>
    <x v="1"/>
    <x v="10"/>
    <x v="1220"/>
    <x v="2748"/>
    <x v="10"/>
    <x v="0"/>
  </r>
  <r>
    <n v="3552"/>
    <x v="1760"/>
    <x v="892"/>
    <d v="2017-04-02T00:00:00"/>
    <s v="Second Class"/>
    <x v="467"/>
    <s v="Maria Etezadi"/>
    <x v="2"/>
    <s v="United States"/>
    <s v="Chicago"/>
    <x v="10"/>
    <n v="60653"/>
    <x v="2"/>
    <x v="228"/>
    <x v="0"/>
    <x v="1"/>
    <x v="229"/>
    <x v="2749"/>
    <x v="10"/>
    <x v="0"/>
  </r>
  <r>
    <n v="3553"/>
    <x v="1760"/>
    <x v="892"/>
    <d v="2017-04-02T00:00:00"/>
    <s v="Second Class"/>
    <x v="467"/>
    <s v="Maria Etezadi"/>
    <x v="2"/>
    <s v="United States"/>
    <s v="Chicago"/>
    <x v="10"/>
    <n v="60653"/>
    <x v="2"/>
    <x v="143"/>
    <x v="2"/>
    <x v="7"/>
    <x v="144"/>
    <x v="2750"/>
    <x v="10"/>
    <x v="0"/>
  </r>
  <r>
    <n v="3554"/>
    <x v="1761"/>
    <x v="51"/>
    <d v="2018-11-26T00:00:00"/>
    <s v="Second Class"/>
    <x v="395"/>
    <s v="Frank Hawley"/>
    <x v="1"/>
    <s v="United States"/>
    <s v="Philadelphia"/>
    <x v="9"/>
    <n v="19120"/>
    <x v="3"/>
    <x v="444"/>
    <x v="1"/>
    <x v="8"/>
    <x v="444"/>
    <x v="2751"/>
    <x v="0"/>
    <x v="3"/>
  </r>
  <r>
    <n v="3555"/>
    <x v="1762"/>
    <x v="893"/>
    <d v="2015-03-26T00:00:00"/>
    <s v="Second Class"/>
    <x v="22"/>
    <s v="Patrick O'Donnell"/>
    <x v="0"/>
    <s v="United States"/>
    <s v="Los Angeles"/>
    <x v="1"/>
    <n v="90036"/>
    <x v="1"/>
    <x v="546"/>
    <x v="1"/>
    <x v="4"/>
    <x v="546"/>
    <x v="606"/>
    <x v="10"/>
    <x v="2"/>
  </r>
  <r>
    <n v="3556"/>
    <x v="1762"/>
    <x v="893"/>
    <d v="2015-03-26T00:00:00"/>
    <s v="Second Class"/>
    <x v="22"/>
    <s v="Patrick O'Donnell"/>
    <x v="0"/>
    <s v="United States"/>
    <s v="Los Angeles"/>
    <x v="1"/>
    <n v="90036"/>
    <x v="1"/>
    <x v="1551"/>
    <x v="2"/>
    <x v="7"/>
    <x v="1539"/>
    <x v="2752"/>
    <x v="10"/>
    <x v="2"/>
  </r>
  <r>
    <n v="3557"/>
    <x v="1763"/>
    <x v="96"/>
    <d v="2018-12-05T00:00:00"/>
    <s v="Standard Class"/>
    <x v="142"/>
    <s v="Clay Cheatham"/>
    <x v="0"/>
    <s v="United States"/>
    <s v="Los Angeles"/>
    <x v="1"/>
    <n v="90008"/>
    <x v="1"/>
    <x v="832"/>
    <x v="1"/>
    <x v="10"/>
    <x v="827"/>
    <x v="1544"/>
    <x v="4"/>
    <x v="3"/>
  </r>
  <r>
    <n v="3558"/>
    <x v="1763"/>
    <x v="96"/>
    <d v="2018-12-05T00:00:00"/>
    <s v="Standard Class"/>
    <x v="142"/>
    <s v="Clay Cheatham"/>
    <x v="0"/>
    <s v="United States"/>
    <s v="Los Angeles"/>
    <x v="1"/>
    <n v="90008"/>
    <x v="1"/>
    <x v="858"/>
    <x v="1"/>
    <x v="8"/>
    <x v="852"/>
    <x v="2753"/>
    <x v="4"/>
    <x v="3"/>
  </r>
  <r>
    <n v="3559"/>
    <x v="1764"/>
    <x v="659"/>
    <d v="2018-11-12T00:00:00"/>
    <s v="Standard Class"/>
    <x v="700"/>
    <s v="Tony Sayre"/>
    <x v="0"/>
    <s v="United States"/>
    <s v="San Francisco"/>
    <x v="1"/>
    <n v="94122"/>
    <x v="1"/>
    <x v="1282"/>
    <x v="1"/>
    <x v="8"/>
    <x v="1267"/>
    <x v="2754"/>
    <x v="0"/>
    <x v="3"/>
  </r>
  <r>
    <n v="3560"/>
    <x v="1764"/>
    <x v="659"/>
    <d v="2018-11-12T00:00:00"/>
    <s v="Standard Class"/>
    <x v="700"/>
    <s v="Tony Sayre"/>
    <x v="0"/>
    <s v="United States"/>
    <s v="San Francisco"/>
    <x v="1"/>
    <n v="94122"/>
    <x v="1"/>
    <x v="989"/>
    <x v="2"/>
    <x v="11"/>
    <x v="982"/>
    <x v="2755"/>
    <x v="0"/>
    <x v="3"/>
  </r>
  <r>
    <n v="3561"/>
    <x v="1765"/>
    <x v="507"/>
    <d v="2018-09-09T00:00:00"/>
    <s v="Second Class"/>
    <x v="198"/>
    <s v="Maribeth Dona"/>
    <x v="0"/>
    <s v="United States"/>
    <s v="Akron"/>
    <x v="24"/>
    <n v="44312"/>
    <x v="3"/>
    <x v="679"/>
    <x v="1"/>
    <x v="6"/>
    <x v="679"/>
    <x v="2756"/>
    <x v="8"/>
    <x v="3"/>
  </r>
  <r>
    <n v="3562"/>
    <x v="1765"/>
    <x v="507"/>
    <d v="2018-09-09T00:00:00"/>
    <s v="Second Class"/>
    <x v="198"/>
    <s v="Maribeth Dona"/>
    <x v="0"/>
    <s v="United States"/>
    <s v="Akron"/>
    <x v="24"/>
    <n v="44312"/>
    <x v="3"/>
    <x v="822"/>
    <x v="1"/>
    <x v="8"/>
    <x v="818"/>
    <x v="2757"/>
    <x v="8"/>
    <x v="3"/>
  </r>
  <r>
    <n v="3563"/>
    <x v="1765"/>
    <x v="507"/>
    <d v="2018-09-09T00:00:00"/>
    <s v="Second Class"/>
    <x v="198"/>
    <s v="Maribeth Dona"/>
    <x v="0"/>
    <s v="United States"/>
    <s v="Akron"/>
    <x v="24"/>
    <n v="44312"/>
    <x v="3"/>
    <x v="24"/>
    <x v="1"/>
    <x v="8"/>
    <x v="24"/>
    <x v="964"/>
    <x v="8"/>
    <x v="3"/>
  </r>
  <r>
    <n v="3564"/>
    <x v="1765"/>
    <x v="507"/>
    <d v="2018-09-09T00:00:00"/>
    <s v="Second Class"/>
    <x v="198"/>
    <s v="Maribeth Dona"/>
    <x v="0"/>
    <s v="United States"/>
    <s v="Akron"/>
    <x v="24"/>
    <n v="44312"/>
    <x v="3"/>
    <x v="1552"/>
    <x v="1"/>
    <x v="10"/>
    <x v="1540"/>
    <x v="132"/>
    <x v="8"/>
    <x v="3"/>
  </r>
  <r>
    <n v="3565"/>
    <x v="1766"/>
    <x v="894"/>
    <d v="2017-07-06T00:00:00"/>
    <s v="First Class"/>
    <x v="150"/>
    <s v="Guy Thornton"/>
    <x v="0"/>
    <s v="United States"/>
    <s v="Los Angeles"/>
    <x v="1"/>
    <n v="90049"/>
    <x v="1"/>
    <x v="1553"/>
    <x v="1"/>
    <x v="10"/>
    <x v="1541"/>
    <x v="91"/>
    <x v="7"/>
    <x v="0"/>
  </r>
  <r>
    <n v="3566"/>
    <x v="1766"/>
    <x v="894"/>
    <d v="2017-07-06T00:00:00"/>
    <s v="First Class"/>
    <x v="150"/>
    <s v="Guy Thornton"/>
    <x v="0"/>
    <s v="United States"/>
    <s v="Los Angeles"/>
    <x v="1"/>
    <n v="90049"/>
    <x v="1"/>
    <x v="1079"/>
    <x v="1"/>
    <x v="13"/>
    <x v="1069"/>
    <x v="532"/>
    <x v="7"/>
    <x v="0"/>
  </r>
  <r>
    <n v="3567"/>
    <x v="1767"/>
    <x v="210"/>
    <d v="2018-09-14T00:00:00"/>
    <s v="Standard Class"/>
    <x v="372"/>
    <s v="Robert Dilbeck"/>
    <x v="2"/>
    <s v="United States"/>
    <s v="Independence"/>
    <x v="25"/>
    <n v="64055"/>
    <x v="2"/>
    <x v="115"/>
    <x v="1"/>
    <x v="8"/>
    <x v="115"/>
    <x v="2758"/>
    <x v="8"/>
    <x v="3"/>
  </r>
  <r>
    <n v="3568"/>
    <x v="1768"/>
    <x v="369"/>
    <d v="2017-09-14T00:00:00"/>
    <s v="Second Class"/>
    <x v="626"/>
    <s v="Daniel Byrd"/>
    <x v="2"/>
    <s v="United States"/>
    <s v="Dallas"/>
    <x v="5"/>
    <n v="75220"/>
    <x v="2"/>
    <x v="1441"/>
    <x v="0"/>
    <x v="5"/>
    <x v="1429"/>
    <x v="1632"/>
    <x v="8"/>
    <x v="0"/>
  </r>
  <r>
    <n v="3569"/>
    <x v="1769"/>
    <x v="445"/>
    <d v="2018-07-03T00:00:00"/>
    <s v="Same Day"/>
    <x v="82"/>
    <s v="Jim Kriz"/>
    <x v="2"/>
    <s v="United States"/>
    <s v="Seattle"/>
    <x v="4"/>
    <n v="98105"/>
    <x v="1"/>
    <x v="246"/>
    <x v="2"/>
    <x v="11"/>
    <x v="247"/>
    <x v="2759"/>
    <x v="7"/>
    <x v="3"/>
  </r>
  <r>
    <n v="3570"/>
    <x v="1769"/>
    <x v="445"/>
    <d v="2018-07-03T00:00:00"/>
    <s v="Same Day"/>
    <x v="82"/>
    <s v="Jim Kriz"/>
    <x v="2"/>
    <s v="United States"/>
    <s v="Seattle"/>
    <x v="4"/>
    <n v="98105"/>
    <x v="1"/>
    <x v="206"/>
    <x v="2"/>
    <x v="15"/>
    <x v="1542"/>
    <x v="2760"/>
    <x v="7"/>
    <x v="3"/>
  </r>
  <r>
    <n v="3571"/>
    <x v="1769"/>
    <x v="445"/>
    <d v="2018-07-03T00:00:00"/>
    <s v="Same Day"/>
    <x v="82"/>
    <s v="Jim Kriz"/>
    <x v="2"/>
    <s v="United States"/>
    <s v="Seattle"/>
    <x v="4"/>
    <n v="98105"/>
    <x v="1"/>
    <x v="695"/>
    <x v="2"/>
    <x v="11"/>
    <x v="1062"/>
    <x v="2761"/>
    <x v="7"/>
    <x v="3"/>
  </r>
  <r>
    <n v="3572"/>
    <x v="1769"/>
    <x v="445"/>
    <d v="2018-07-03T00:00:00"/>
    <s v="Same Day"/>
    <x v="82"/>
    <s v="Jim Kriz"/>
    <x v="2"/>
    <s v="United States"/>
    <s v="Seattle"/>
    <x v="4"/>
    <n v="98105"/>
    <x v="1"/>
    <x v="312"/>
    <x v="2"/>
    <x v="7"/>
    <x v="312"/>
    <x v="462"/>
    <x v="7"/>
    <x v="3"/>
  </r>
  <r>
    <n v="3573"/>
    <x v="1770"/>
    <x v="222"/>
    <d v="2018-07-04T00:00:00"/>
    <s v="Standard Class"/>
    <x v="712"/>
    <s v="Fred Chung"/>
    <x v="1"/>
    <s v="United States"/>
    <s v="Mesquite"/>
    <x v="5"/>
    <n v="75150"/>
    <x v="2"/>
    <x v="644"/>
    <x v="1"/>
    <x v="10"/>
    <x v="644"/>
    <x v="1170"/>
    <x v="1"/>
    <x v="3"/>
  </r>
  <r>
    <n v="3574"/>
    <x v="1771"/>
    <x v="783"/>
    <d v="2018-08-12T00:00:00"/>
    <s v="Standard Class"/>
    <x v="527"/>
    <s v="Joni Wasserman"/>
    <x v="0"/>
    <s v="United States"/>
    <s v="Long Beach"/>
    <x v="15"/>
    <n v="11561"/>
    <x v="3"/>
    <x v="241"/>
    <x v="1"/>
    <x v="6"/>
    <x v="242"/>
    <x v="2582"/>
    <x v="6"/>
    <x v="3"/>
  </r>
  <r>
    <n v="3575"/>
    <x v="1771"/>
    <x v="783"/>
    <d v="2018-08-12T00:00:00"/>
    <s v="Standard Class"/>
    <x v="527"/>
    <s v="Joni Wasserman"/>
    <x v="0"/>
    <s v="United States"/>
    <s v="Long Beach"/>
    <x v="15"/>
    <n v="11561"/>
    <x v="3"/>
    <x v="1554"/>
    <x v="1"/>
    <x v="6"/>
    <x v="772"/>
    <x v="2762"/>
    <x v="6"/>
    <x v="3"/>
  </r>
  <r>
    <n v="3576"/>
    <x v="1772"/>
    <x v="531"/>
    <d v="2016-03-24T00:00:00"/>
    <s v="Standard Class"/>
    <x v="419"/>
    <s v="Dan Campbell"/>
    <x v="0"/>
    <s v="United States"/>
    <s v="North Miami"/>
    <x v="2"/>
    <n v="33161"/>
    <x v="0"/>
    <x v="670"/>
    <x v="1"/>
    <x v="10"/>
    <x v="670"/>
    <x v="2763"/>
    <x v="10"/>
    <x v="1"/>
  </r>
  <r>
    <n v="3577"/>
    <x v="1773"/>
    <x v="843"/>
    <d v="2017-06-11T00:00:00"/>
    <s v="Standard Class"/>
    <x v="86"/>
    <s v="Frank Merwin"/>
    <x v="2"/>
    <s v="United States"/>
    <s v="Bakersfield"/>
    <x v="1"/>
    <n v="93309"/>
    <x v="1"/>
    <x v="570"/>
    <x v="1"/>
    <x v="8"/>
    <x v="570"/>
    <x v="2764"/>
    <x v="1"/>
    <x v="0"/>
  </r>
  <r>
    <n v="3578"/>
    <x v="1773"/>
    <x v="843"/>
    <d v="2017-06-11T00:00:00"/>
    <s v="Standard Class"/>
    <x v="86"/>
    <s v="Frank Merwin"/>
    <x v="2"/>
    <s v="United States"/>
    <s v="Bakersfield"/>
    <x v="1"/>
    <n v="93309"/>
    <x v="1"/>
    <x v="204"/>
    <x v="1"/>
    <x v="10"/>
    <x v="205"/>
    <x v="2765"/>
    <x v="1"/>
    <x v="0"/>
  </r>
  <r>
    <n v="3579"/>
    <x v="1774"/>
    <x v="197"/>
    <d v="2017-07-29T00:00:00"/>
    <s v="Standard Class"/>
    <x v="363"/>
    <s v="Meg Tillman"/>
    <x v="0"/>
    <s v="United States"/>
    <s v="Jackson"/>
    <x v="35"/>
    <n v="39212"/>
    <x v="0"/>
    <x v="1555"/>
    <x v="1"/>
    <x v="4"/>
    <x v="1543"/>
    <x v="2766"/>
    <x v="7"/>
    <x v="0"/>
  </r>
  <r>
    <n v="3580"/>
    <x v="1774"/>
    <x v="197"/>
    <d v="2017-07-29T00:00:00"/>
    <s v="Standard Class"/>
    <x v="363"/>
    <s v="Meg Tillman"/>
    <x v="0"/>
    <s v="United States"/>
    <s v="Jackson"/>
    <x v="35"/>
    <n v="39212"/>
    <x v="0"/>
    <x v="1402"/>
    <x v="1"/>
    <x v="10"/>
    <x v="1389"/>
    <x v="2767"/>
    <x v="7"/>
    <x v="0"/>
  </r>
  <r>
    <n v="3581"/>
    <x v="1774"/>
    <x v="197"/>
    <d v="2017-07-29T00:00:00"/>
    <s v="Standard Class"/>
    <x v="363"/>
    <s v="Meg Tillman"/>
    <x v="0"/>
    <s v="United States"/>
    <s v="Jackson"/>
    <x v="35"/>
    <n v="39212"/>
    <x v="0"/>
    <x v="335"/>
    <x v="0"/>
    <x v="3"/>
    <x v="335"/>
    <x v="2768"/>
    <x v="7"/>
    <x v="0"/>
  </r>
  <r>
    <n v="3582"/>
    <x v="1775"/>
    <x v="172"/>
    <d v="2018-10-07T00:00:00"/>
    <s v="Standard Class"/>
    <x v="54"/>
    <s v="Dave Kipp"/>
    <x v="0"/>
    <s v="United States"/>
    <s v="Fremont"/>
    <x v="8"/>
    <n v="68025"/>
    <x v="2"/>
    <x v="921"/>
    <x v="1"/>
    <x v="10"/>
    <x v="913"/>
    <x v="1230"/>
    <x v="2"/>
    <x v="3"/>
  </r>
  <r>
    <n v="3583"/>
    <x v="1776"/>
    <x v="895"/>
    <d v="2016-12-16T00:00:00"/>
    <s v="Standard Class"/>
    <x v="470"/>
    <s v="Keith Dawkins"/>
    <x v="1"/>
    <s v="United States"/>
    <s v="Jackson"/>
    <x v="12"/>
    <n v="49201"/>
    <x v="2"/>
    <x v="130"/>
    <x v="1"/>
    <x v="6"/>
    <x v="1544"/>
    <x v="2769"/>
    <x v="4"/>
    <x v="1"/>
  </r>
  <r>
    <n v="3584"/>
    <x v="1776"/>
    <x v="895"/>
    <d v="2016-12-16T00:00:00"/>
    <s v="Standard Class"/>
    <x v="470"/>
    <s v="Keith Dawkins"/>
    <x v="1"/>
    <s v="United States"/>
    <s v="Jackson"/>
    <x v="12"/>
    <n v="49201"/>
    <x v="2"/>
    <x v="1382"/>
    <x v="0"/>
    <x v="3"/>
    <x v="1367"/>
    <x v="2770"/>
    <x v="4"/>
    <x v="1"/>
  </r>
  <r>
    <n v="3585"/>
    <x v="1776"/>
    <x v="895"/>
    <d v="2016-12-16T00:00:00"/>
    <s v="Standard Class"/>
    <x v="470"/>
    <s v="Keith Dawkins"/>
    <x v="1"/>
    <s v="United States"/>
    <s v="Jackson"/>
    <x v="12"/>
    <n v="49201"/>
    <x v="2"/>
    <x v="992"/>
    <x v="0"/>
    <x v="1"/>
    <x v="984"/>
    <x v="2771"/>
    <x v="4"/>
    <x v="1"/>
  </r>
  <r>
    <n v="3586"/>
    <x v="1776"/>
    <x v="895"/>
    <d v="2016-12-16T00:00:00"/>
    <s v="Standard Class"/>
    <x v="470"/>
    <s v="Keith Dawkins"/>
    <x v="1"/>
    <s v="United States"/>
    <s v="Jackson"/>
    <x v="12"/>
    <n v="49201"/>
    <x v="2"/>
    <x v="709"/>
    <x v="1"/>
    <x v="2"/>
    <x v="708"/>
    <x v="533"/>
    <x v="4"/>
    <x v="1"/>
  </r>
  <r>
    <n v="3587"/>
    <x v="1777"/>
    <x v="213"/>
    <d v="2018-09-08T00:00:00"/>
    <s v="Standard Class"/>
    <x v="636"/>
    <s v="Aleksandra Gannaway"/>
    <x v="1"/>
    <s v="United States"/>
    <s v="San Francisco"/>
    <x v="1"/>
    <n v="94122"/>
    <x v="1"/>
    <x v="79"/>
    <x v="1"/>
    <x v="6"/>
    <x v="79"/>
    <x v="456"/>
    <x v="8"/>
    <x v="3"/>
  </r>
  <r>
    <n v="3588"/>
    <x v="1778"/>
    <x v="241"/>
    <d v="2018-09-28T00:00:00"/>
    <s v="Standard Class"/>
    <x v="414"/>
    <s v="Mick Hernandez"/>
    <x v="2"/>
    <s v="United States"/>
    <s v="Lancaster"/>
    <x v="24"/>
    <n v="43130"/>
    <x v="3"/>
    <x v="1148"/>
    <x v="2"/>
    <x v="7"/>
    <x v="1136"/>
    <x v="2772"/>
    <x v="8"/>
    <x v="3"/>
  </r>
  <r>
    <n v="3589"/>
    <x v="1779"/>
    <x v="484"/>
    <d v="2018-12-21T00:00:00"/>
    <s v="First Class"/>
    <x v="549"/>
    <s v="Amy Cox"/>
    <x v="0"/>
    <s v="United States"/>
    <s v="Lafayette"/>
    <x v="28"/>
    <n v="70506"/>
    <x v="0"/>
    <x v="465"/>
    <x v="1"/>
    <x v="14"/>
    <x v="466"/>
    <x v="2773"/>
    <x v="4"/>
    <x v="3"/>
  </r>
  <r>
    <n v="3590"/>
    <x v="1780"/>
    <x v="221"/>
    <d v="2018-11-30T00:00:00"/>
    <s v="Standard Class"/>
    <x v="86"/>
    <s v="Frank Merwin"/>
    <x v="2"/>
    <s v="United States"/>
    <s v="Richmond"/>
    <x v="0"/>
    <n v="40475"/>
    <x v="0"/>
    <x v="614"/>
    <x v="1"/>
    <x v="8"/>
    <x v="614"/>
    <x v="704"/>
    <x v="0"/>
    <x v="3"/>
  </r>
  <r>
    <n v="3591"/>
    <x v="1780"/>
    <x v="221"/>
    <d v="2018-11-30T00:00:00"/>
    <s v="Standard Class"/>
    <x v="86"/>
    <s v="Frank Merwin"/>
    <x v="2"/>
    <s v="United States"/>
    <s v="Richmond"/>
    <x v="0"/>
    <n v="40475"/>
    <x v="0"/>
    <x v="772"/>
    <x v="1"/>
    <x v="4"/>
    <x v="771"/>
    <x v="2774"/>
    <x v="0"/>
    <x v="3"/>
  </r>
  <r>
    <n v="3592"/>
    <x v="1781"/>
    <x v="736"/>
    <d v="2015-12-15T00:00:00"/>
    <s v="Second Class"/>
    <x v="267"/>
    <s v="Ralph Arnett"/>
    <x v="0"/>
    <s v="United States"/>
    <s v="Houston"/>
    <x v="5"/>
    <n v="77070"/>
    <x v="2"/>
    <x v="503"/>
    <x v="1"/>
    <x v="14"/>
    <x v="503"/>
    <x v="2775"/>
    <x v="4"/>
    <x v="2"/>
  </r>
  <r>
    <n v="3593"/>
    <x v="1782"/>
    <x v="5"/>
    <d v="2017-12-07T00:00:00"/>
    <s v="Second Class"/>
    <x v="506"/>
    <s v="James Galang"/>
    <x v="0"/>
    <s v="United States"/>
    <s v="New York City"/>
    <x v="15"/>
    <n v="10024"/>
    <x v="3"/>
    <x v="1449"/>
    <x v="1"/>
    <x v="4"/>
    <x v="1436"/>
    <x v="2776"/>
    <x v="4"/>
    <x v="0"/>
  </r>
  <r>
    <n v="3594"/>
    <x v="1783"/>
    <x v="108"/>
    <d v="2017-09-17T00:00:00"/>
    <s v="Standard Class"/>
    <x v="125"/>
    <s v="Nick Zandusky"/>
    <x v="2"/>
    <s v="United States"/>
    <s v="Toledo"/>
    <x v="24"/>
    <n v="43615"/>
    <x v="3"/>
    <x v="444"/>
    <x v="1"/>
    <x v="8"/>
    <x v="444"/>
    <x v="2777"/>
    <x v="8"/>
    <x v="0"/>
  </r>
  <r>
    <n v="3595"/>
    <x v="1783"/>
    <x v="108"/>
    <d v="2017-09-17T00:00:00"/>
    <s v="Standard Class"/>
    <x v="125"/>
    <s v="Nick Zandusky"/>
    <x v="2"/>
    <s v="United States"/>
    <s v="Toledo"/>
    <x v="24"/>
    <n v="43615"/>
    <x v="3"/>
    <x v="1190"/>
    <x v="1"/>
    <x v="4"/>
    <x v="683"/>
    <x v="2778"/>
    <x v="8"/>
    <x v="0"/>
  </r>
  <r>
    <n v="3596"/>
    <x v="1784"/>
    <x v="34"/>
    <d v="2018-12-15T00:00:00"/>
    <s v="Standard Class"/>
    <x v="366"/>
    <s v="Kalyca Meade"/>
    <x v="1"/>
    <s v="United States"/>
    <s v="Philadelphia"/>
    <x v="9"/>
    <n v="19143"/>
    <x v="3"/>
    <x v="346"/>
    <x v="1"/>
    <x v="6"/>
    <x v="346"/>
    <x v="367"/>
    <x v="4"/>
    <x v="3"/>
  </r>
  <r>
    <n v="3597"/>
    <x v="1785"/>
    <x v="340"/>
    <d v="2015-09-14T00:00:00"/>
    <s v="Second Class"/>
    <x v="95"/>
    <s v="Logan Currie"/>
    <x v="0"/>
    <s v="United States"/>
    <s v="Philadelphia"/>
    <x v="9"/>
    <n v="19140"/>
    <x v="3"/>
    <x v="739"/>
    <x v="1"/>
    <x v="10"/>
    <x v="738"/>
    <x v="12"/>
    <x v="8"/>
    <x v="2"/>
  </r>
  <r>
    <n v="3598"/>
    <x v="1785"/>
    <x v="340"/>
    <d v="2015-09-14T00:00:00"/>
    <s v="Second Class"/>
    <x v="95"/>
    <s v="Logan Currie"/>
    <x v="0"/>
    <s v="United States"/>
    <s v="Philadelphia"/>
    <x v="9"/>
    <n v="19140"/>
    <x v="3"/>
    <x v="1556"/>
    <x v="2"/>
    <x v="11"/>
    <x v="1545"/>
    <x v="2779"/>
    <x v="8"/>
    <x v="2"/>
  </r>
  <r>
    <n v="3599"/>
    <x v="1785"/>
    <x v="340"/>
    <d v="2015-09-14T00:00:00"/>
    <s v="Second Class"/>
    <x v="95"/>
    <s v="Logan Currie"/>
    <x v="0"/>
    <s v="United States"/>
    <s v="Philadelphia"/>
    <x v="9"/>
    <n v="19140"/>
    <x v="3"/>
    <x v="1027"/>
    <x v="0"/>
    <x v="5"/>
    <x v="1018"/>
    <x v="1121"/>
    <x v="8"/>
    <x v="2"/>
  </r>
  <r>
    <n v="3600"/>
    <x v="1785"/>
    <x v="340"/>
    <d v="2015-09-14T00:00:00"/>
    <s v="Second Class"/>
    <x v="95"/>
    <s v="Logan Currie"/>
    <x v="0"/>
    <s v="United States"/>
    <s v="Philadelphia"/>
    <x v="9"/>
    <n v="19140"/>
    <x v="3"/>
    <x v="944"/>
    <x v="2"/>
    <x v="7"/>
    <x v="937"/>
    <x v="2780"/>
    <x v="8"/>
    <x v="2"/>
  </r>
  <r>
    <n v="3601"/>
    <x v="1786"/>
    <x v="335"/>
    <d v="2018-06-30T00:00:00"/>
    <s v="Standard Class"/>
    <x v="413"/>
    <s v="Nora Preis"/>
    <x v="0"/>
    <s v="United States"/>
    <s v="Denver"/>
    <x v="22"/>
    <n v="80219"/>
    <x v="1"/>
    <x v="876"/>
    <x v="2"/>
    <x v="11"/>
    <x v="870"/>
    <x v="1065"/>
    <x v="1"/>
    <x v="3"/>
  </r>
  <r>
    <n v="3602"/>
    <x v="1787"/>
    <x v="664"/>
    <d v="2015-11-24T00:00:00"/>
    <s v="Standard Class"/>
    <x v="713"/>
    <s v="Randy Bradley"/>
    <x v="0"/>
    <s v="United States"/>
    <s v="Philadelphia"/>
    <x v="9"/>
    <n v="19143"/>
    <x v="3"/>
    <x v="565"/>
    <x v="1"/>
    <x v="10"/>
    <x v="565"/>
    <x v="2781"/>
    <x v="0"/>
    <x v="2"/>
  </r>
  <r>
    <n v="3603"/>
    <x v="1787"/>
    <x v="664"/>
    <d v="2015-11-24T00:00:00"/>
    <s v="Standard Class"/>
    <x v="713"/>
    <s v="Randy Bradley"/>
    <x v="0"/>
    <s v="United States"/>
    <s v="Philadelphia"/>
    <x v="9"/>
    <n v="19143"/>
    <x v="3"/>
    <x v="499"/>
    <x v="0"/>
    <x v="1"/>
    <x v="499"/>
    <x v="2782"/>
    <x v="0"/>
    <x v="2"/>
  </r>
  <r>
    <n v="3604"/>
    <x v="1788"/>
    <x v="170"/>
    <d v="2018-08-27T00:00:00"/>
    <s v="Standard Class"/>
    <x v="274"/>
    <s v="Tracy Hopkins"/>
    <x v="2"/>
    <s v="United States"/>
    <s v="Columbia"/>
    <x v="39"/>
    <n v="21044"/>
    <x v="3"/>
    <x v="447"/>
    <x v="1"/>
    <x v="10"/>
    <x v="1228"/>
    <x v="1928"/>
    <x v="6"/>
    <x v="3"/>
  </r>
  <r>
    <n v="3605"/>
    <x v="1788"/>
    <x v="170"/>
    <d v="2018-08-27T00:00:00"/>
    <s v="Standard Class"/>
    <x v="274"/>
    <s v="Tracy Hopkins"/>
    <x v="2"/>
    <s v="United States"/>
    <s v="Columbia"/>
    <x v="39"/>
    <n v="21044"/>
    <x v="3"/>
    <x v="980"/>
    <x v="0"/>
    <x v="5"/>
    <x v="973"/>
    <x v="2783"/>
    <x v="6"/>
    <x v="3"/>
  </r>
  <r>
    <n v="3606"/>
    <x v="1788"/>
    <x v="170"/>
    <d v="2018-08-27T00:00:00"/>
    <s v="Standard Class"/>
    <x v="274"/>
    <s v="Tracy Hopkins"/>
    <x v="2"/>
    <s v="United States"/>
    <s v="Columbia"/>
    <x v="39"/>
    <n v="21044"/>
    <x v="3"/>
    <x v="935"/>
    <x v="0"/>
    <x v="5"/>
    <x v="928"/>
    <x v="2784"/>
    <x v="6"/>
    <x v="3"/>
  </r>
  <r>
    <n v="3607"/>
    <x v="1789"/>
    <x v="299"/>
    <d v="2017-03-16T00:00:00"/>
    <s v="Second Class"/>
    <x v="242"/>
    <s v="Clytie Kelty"/>
    <x v="0"/>
    <s v="United States"/>
    <s v="New York City"/>
    <x v="15"/>
    <n v="10024"/>
    <x v="3"/>
    <x v="706"/>
    <x v="1"/>
    <x v="12"/>
    <x v="153"/>
    <x v="1599"/>
    <x v="10"/>
    <x v="0"/>
  </r>
  <r>
    <n v="3608"/>
    <x v="1790"/>
    <x v="865"/>
    <d v="2015-09-28T00:00:00"/>
    <s v="Second Class"/>
    <x v="461"/>
    <s v="Shui Tom"/>
    <x v="0"/>
    <s v="United States"/>
    <s v="New York City"/>
    <x v="15"/>
    <n v="10035"/>
    <x v="3"/>
    <x v="920"/>
    <x v="1"/>
    <x v="8"/>
    <x v="912"/>
    <x v="2785"/>
    <x v="8"/>
    <x v="2"/>
  </r>
  <r>
    <n v="3609"/>
    <x v="1791"/>
    <x v="582"/>
    <d v="2015-05-03T00:00:00"/>
    <s v="Standard Class"/>
    <x v="334"/>
    <s v="George Bell"/>
    <x v="1"/>
    <s v="United States"/>
    <s v="Newark"/>
    <x v="24"/>
    <n v="43055"/>
    <x v="3"/>
    <x v="745"/>
    <x v="1"/>
    <x v="2"/>
    <x v="743"/>
    <x v="2721"/>
    <x v="3"/>
    <x v="2"/>
  </r>
  <r>
    <n v="3610"/>
    <x v="1791"/>
    <x v="582"/>
    <d v="2015-05-03T00:00:00"/>
    <s v="Standard Class"/>
    <x v="334"/>
    <s v="George Bell"/>
    <x v="1"/>
    <s v="United States"/>
    <s v="Newark"/>
    <x v="24"/>
    <n v="43055"/>
    <x v="3"/>
    <x v="1011"/>
    <x v="1"/>
    <x v="4"/>
    <x v="1003"/>
    <x v="2786"/>
    <x v="3"/>
    <x v="2"/>
  </r>
  <r>
    <n v="3611"/>
    <x v="1791"/>
    <x v="582"/>
    <d v="2015-05-03T00:00:00"/>
    <s v="Standard Class"/>
    <x v="334"/>
    <s v="George Bell"/>
    <x v="1"/>
    <s v="United States"/>
    <s v="Newark"/>
    <x v="24"/>
    <n v="43055"/>
    <x v="3"/>
    <x v="1439"/>
    <x v="1"/>
    <x v="4"/>
    <x v="1427"/>
    <x v="2787"/>
    <x v="3"/>
    <x v="2"/>
  </r>
  <r>
    <n v="3612"/>
    <x v="1792"/>
    <x v="896"/>
    <d v="2017-12-01T00:00:00"/>
    <s v="Second Class"/>
    <x v="714"/>
    <s v="Nick Crebassa"/>
    <x v="1"/>
    <s v="United States"/>
    <s v="Dallas"/>
    <x v="5"/>
    <n v="75217"/>
    <x v="2"/>
    <x v="1312"/>
    <x v="2"/>
    <x v="11"/>
    <x v="1298"/>
    <x v="2788"/>
    <x v="0"/>
    <x v="0"/>
  </r>
  <r>
    <n v="3613"/>
    <x v="1793"/>
    <x v="155"/>
    <d v="2016-12-08T00:00:00"/>
    <s v="Standard Class"/>
    <x v="437"/>
    <s v="Alejandro Ballentine"/>
    <x v="2"/>
    <s v="United States"/>
    <s v="Philadelphia"/>
    <x v="9"/>
    <n v="19134"/>
    <x v="3"/>
    <x v="1536"/>
    <x v="1"/>
    <x v="10"/>
    <x v="1524"/>
    <x v="2789"/>
    <x v="4"/>
    <x v="1"/>
  </r>
  <r>
    <n v="3614"/>
    <x v="1793"/>
    <x v="155"/>
    <d v="2016-12-08T00:00:00"/>
    <s v="Standard Class"/>
    <x v="437"/>
    <s v="Alejandro Ballentine"/>
    <x v="2"/>
    <s v="United States"/>
    <s v="Philadelphia"/>
    <x v="9"/>
    <n v="19134"/>
    <x v="3"/>
    <x v="43"/>
    <x v="2"/>
    <x v="11"/>
    <x v="43"/>
    <x v="2790"/>
    <x v="4"/>
    <x v="1"/>
  </r>
  <r>
    <n v="3615"/>
    <x v="1794"/>
    <x v="123"/>
    <d v="2018-11-21T00:00:00"/>
    <s v="First Class"/>
    <x v="34"/>
    <s v="Stewart Carmichael"/>
    <x v="1"/>
    <s v="United States"/>
    <s v="San Antonio"/>
    <x v="5"/>
    <n v="78207"/>
    <x v="2"/>
    <x v="975"/>
    <x v="0"/>
    <x v="3"/>
    <x v="969"/>
    <x v="2791"/>
    <x v="0"/>
    <x v="3"/>
  </r>
  <r>
    <n v="3616"/>
    <x v="1794"/>
    <x v="123"/>
    <d v="2018-11-21T00:00:00"/>
    <s v="First Class"/>
    <x v="34"/>
    <s v="Stewart Carmichael"/>
    <x v="1"/>
    <s v="United States"/>
    <s v="San Antonio"/>
    <x v="5"/>
    <n v="78207"/>
    <x v="2"/>
    <x v="1068"/>
    <x v="1"/>
    <x v="6"/>
    <x v="1057"/>
    <x v="2792"/>
    <x v="0"/>
    <x v="3"/>
  </r>
  <r>
    <n v="3617"/>
    <x v="1795"/>
    <x v="64"/>
    <d v="2017-09-09T00:00:00"/>
    <s v="Standard Class"/>
    <x v="209"/>
    <s v="Jasper Cacioppo"/>
    <x v="0"/>
    <s v="United States"/>
    <s v="Philadelphia"/>
    <x v="9"/>
    <n v="19120"/>
    <x v="3"/>
    <x v="48"/>
    <x v="1"/>
    <x v="8"/>
    <x v="48"/>
    <x v="2793"/>
    <x v="8"/>
    <x v="0"/>
  </r>
  <r>
    <n v="3618"/>
    <x v="1796"/>
    <x v="507"/>
    <d v="2018-09-08T00:00:00"/>
    <s v="Standard Class"/>
    <x v="267"/>
    <s v="Ralph Arnett"/>
    <x v="0"/>
    <s v="United States"/>
    <s v="Los Angeles"/>
    <x v="1"/>
    <n v="90004"/>
    <x v="1"/>
    <x v="569"/>
    <x v="1"/>
    <x v="8"/>
    <x v="569"/>
    <x v="1611"/>
    <x v="8"/>
    <x v="3"/>
  </r>
  <r>
    <n v="3619"/>
    <x v="1796"/>
    <x v="507"/>
    <d v="2018-09-08T00:00:00"/>
    <s v="Standard Class"/>
    <x v="267"/>
    <s v="Ralph Arnett"/>
    <x v="0"/>
    <s v="United States"/>
    <s v="Los Angeles"/>
    <x v="1"/>
    <n v="90004"/>
    <x v="1"/>
    <x v="1091"/>
    <x v="2"/>
    <x v="7"/>
    <x v="1081"/>
    <x v="345"/>
    <x v="8"/>
    <x v="3"/>
  </r>
  <r>
    <n v="3620"/>
    <x v="1796"/>
    <x v="507"/>
    <d v="2018-09-08T00:00:00"/>
    <s v="Standard Class"/>
    <x v="267"/>
    <s v="Ralph Arnett"/>
    <x v="0"/>
    <s v="United States"/>
    <s v="Los Angeles"/>
    <x v="1"/>
    <n v="90004"/>
    <x v="1"/>
    <x v="123"/>
    <x v="1"/>
    <x v="4"/>
    <x v="123"/>
    <x v="2794"/>
    <x v="8"/>
    <x v="3"/>
  </r>
  <r>
    <n v="3621"/>
    <x v="1797"/>
    <x v="897"/>
    <d v="2017-09-29T00:00:00"/>
    <s v="Standard Class"/>
    <x v="64"/>
    <s v="Sally Hughsby"/>
    <x v="1"/>
    <s v="United States"/>
    <s v="Smyrna"/>
    <x v="18"/>
    <n v="37167"/>
    <x v="0"/>
    <x v="1385"/>
    <x v="1"/>
    <x v="6"/>
    <x v="1371"/>
    <x v="2795"/>
    <x v="8"/>
    <x v="0"/>
  </r>
  <r>
    <n v="3622"/>
    <x v="1797"/>
    <x v="897"/>
    <d v="2017-09-29T00:00:00"/>
    <s v="Standard Class"/>
    <x v="64"/>
    <s v="Sally Hughsby"/>
    <x v="1"/>
    <s v="United States"/>
    <s v="Smyrna"/>
    <x v="18"/>
    <n v="37167"/>
    <x v="0"/>
    <x v="1557"/>
    <x v="2"/>
    <x v="7"/>
    <x v="1546"/>
    <x v="2796"/>
    <x v="8"/>
    <x v="0"/>
  </r>
  <r>
    <n v="3623"/>
    <x v="1798"/>
    <x v="80"/>
    <d v="2015-09-19T00:00:00"/>
    <s v="Standard Class"/>
    <x v="547"/>
    <s v="John Castell"/>
    <x v="0"/>
    <s v="United States"/>
    <s v="Macon"/>
    <x v="32"/>
    <n v="31204"/>
    <x v="0"/>
    <x v="1146"/>
    <x v="0"/>
    <x v="5"/>
    <x v="1134"/>
    <x v="2797"/>
    <x v="8"/>
    <x v="2"/>
  </r>
  <r>
    <n v="3624"/>
    <x v="1798"/>
    <x v="80"/>
    <d v="2015-09-19T00:00:00"/>
    <s v="Standard Class"/>
    <x v="547"/>
    <s v="John Castell"/>
    <x v="0"/>
    <s v="United States"/>
    <s v="Macon"/>
    <x v="32"/>
    <n v="31204"/>
    <x v="0"/>
    <x v="175"/>
    <x v="1"/>
    <x v="8"/>
    <x v="176"/>
    <x v="181"/>
    <x v="8"/>
    <x v="2"/>
  </r>
  <r>
    <n v="3625"/>
    <x v="1799"/>
    <x v="240"/>
    <d v="2018-05-21T00:00:00"/>
    <s v="Second Class"/>
    <x v="604"/>
    <s v="Becky Castell"/>
    <x v="2"/>
    <s v="United States"/>
    <s v="San Francisco"/>
    <x v="1"/>
    <n v="94109"/>
    <x v="1"/>
    <x v="474"/>
    <x v="0"/>
    <x v="1"/>
    <x v="475"/>
    <x v="2798"/>
    <x v="5"/>
    <x v="3"/>
  </r>
  <r>
    <n v="3626"/>
    <x v="1799"/>
    <x v="240"/>
    <d v="2018-05-21T00:00:00"/>
    <s v="Second Class"/>
    <x v="604"/>
    <s v="Becky Castell"/>
    <x v="2"/>
    <s v="United States"/>
    <s v="San Francisco"/>
    <x v="1"/>
    <n v="94109"/>
    <x v="1"/>
    <x v="1039"/>
    <x v="1"/>
    <x v="6"/>
    <x v="1029"/>
    <x v="2799"/>
    <x v="5"/>
    <x v="3"/>
  </r>
  <r>
    <n v="3627"/>
    <x v="1799"/>
    <x v="240"/>
    <d v="2018-05-21T00:00:00"/>
    <s v="Second Class"/>
    <x v="604"/>
    <s v="Becky Castell"/>
    <x v="2"/>
    <s v="United States"/>
    <s v="San Francisco"/>
    <x v="1"/>
    <n v="94109"/>
    <x v="1"/>
    <x v="311"/>
    <x v="1"/>
    <x v="6"/>
    <x v="311"/>
    <x v="2228"/>
    <x v="5"/>
    <x v="3"/>
  </r>
  <r>
    <n v="3628"/>
    <x v="1799"/>
    <x v="240"/>
    <d v="2018-05-21T00:00:00"/>
    <s v="Second Class"/>
    <x v="604"/>
    <s v="Becky Castell"/>
    <x v="2"/>
    <s v="United States"/>
    <s v="San Francisco"/>
    <x v="1"/>
    <n v="94109"/>
    <x v="1"/>
    <x v="477"/>
    <x v="2"/>
    <x v="11"/>
    <x v="478"/>
    <x v="2800"/>
    <x v="5"/>
    <x v="3"/>
  </r>
  <r>
    <n v="3629"/>
    <x v="1800"/>
    <x v="128"/>
    <d v="2015-08-13T00:00:00"/>
    <s v="Standard Class"/>
    <x v="98"/>
    <s v="Joseph Holt"/>
    <x v="0"/>
    <s v="United States"/>
    <s v="Seattle"/>
    <x v="4"/>
    <n v="98103"/>
    <x v="1"/>
    <x v="1498"/>
    <x v="1"/>
    <x v="8"/>
    <x v="1486"/>
    <x v="2801"/>
    <x v="6"/>
    <x v="2"/>
  </r>
  <r>
    <n v="3630"/>
    <x v="1801"/>
    <x v="200"/>
    <d v="2018-11-30T00:00:00"/>
    <s v="Standard Class"/>
    <x v="566"/>
    <s v="Corey Catlett"/>
    <x v="1"/>
    <s v="United States"/>
    <s v="Columbus"/>
    <x v="24"/>
    <n v="43229"/>
    <x v="3"/>
    <x v="1112"/>
    <x v="1"/>
    <x v="9"/>
    <x v="1101"/>
    <x v="2413"/>
    <x v="0"/>
    <x v="3"/>
  </r>
  <r>
    <n v="3631"/>
    <x v="1801"/>
    <x v="200"/>
    <d v="2018-11-30T00:00:00"/>
    <s v="Standard Class"/>
    <x v="566"/>
    <s v="Corey Catlett"/>
    <x v="1"/>
    <s v="United States"/>
    <s v="Columbus"/>
    <x v="24"/>
    <n v="43229"/>
    <x v="3"/>
    <x v="513"/>
    <x v="1"/>
    <x v="9"/>
    <x v="513"/>
    <x v="2802"/>
    <x v="0"/>
    <x v="3"/>
  </r>
  <r>
    <n v="3632"/>
    <x v="1802"/>
    <x v="898"/>
    <d v="2018-05-08T00:00:00"/>
    <s v="Second Class"/>
    <x v="715"/>
    <s v="Darren Budd"/>
    <x v="1"/>
    <s v="United States"/>
    <s v="Los Angeles"/>
    <x v="1"/>
    <n v="90004"/>
    <x v="1"/>
    <x v="1156"/>
    <x v="1"/>
    <x v="4"/>
    <x v="1144"/>
    <x v="2803"/>
    <x v="5"/>
    <x v="3"/>
  </r>
  <r>
    <n v="3633"/>
    <x v="1802"/>
    <x v="898"/>
    <d v="2018-05-08T00:00:00"/>
    <s v="Second Class"/>
    <x v="715"/>
    <s v="Darren Budd"/>
    <x v="1"/>
    <s v="United States"/>
    <s v="Los Angeles"/>
    <x v="1"/>
    <n v="90004"/>
    <x v="1"/>
    <x v="621"/>
    <x v="1"/>
    <x v="4"/>
    <x v="621"/>
    <x v="2804"/>
    <x v="5"/>
    <x v="3"/>
  </r>
  <r>
    <n v="3634"/>
    <x v="1803"/>
    <x v="338"/>
    <d v="2017-11-14T00:00:00"/>
    <s v="Standard Class"/>
    <x v="452"/>
    <s v="Paul Prost"/>
    <x v="2"/>
    <s v="United States"/>
    <s v="Springfield"/>
    <x v="24"/>
    <n v="45503"/>
    <x v="3"/>
    <x v="745"/>
    <x v="1"/>
    <x v="2"/>
    <x v="743"/>
    <x v="2106"/>
    <x v="0"/>
    <x v="0"/>
  </r>
  <r>
    <n v="3635"/>
    <x v="1803"/>
    <x v="338"/>
    <d v="2017-11-14T00:00:00"/>
    <s v="Standard Class"/>
    <x v="452"/>
    <s v="Paul Prost"/>
    <x v="2"/>
    <s v="United States"/>
    <s v="Springfield"/>
    <x v="24"/>
    <n v="45503"/>
    <x v="3"/>
    <x v="433"/>
    <x v="2"/>
    <x v="7"/>
    <x v="433"/>
    <x v="2805"/>
    <x v="0"/>
    <x v="0"/>
  </r>
  <r>
    <n v="3636"/>
    <x v="1803"/>
    <x v="338"/>
    <d v="2017-11-14T00:00:00"/>
    <s v="Standard Class"/>
    <x v="452"/>
    <s v="Paul Prost"/>
    <x v="2"/>
    <s v="United States"/>
    <s v="Springfield"/>
    <x v="24"/>
    <n v="45503"/>
    <x v="3"/>
    <x v="1558"/>
    <x v="1"/>
    <x v="10"/>
    <x v="1547"/>
    <x v="2806"/>
    <x v="0"/>
    <x v="0"/>
  </r>
  <r>
    <n v="3637"/>
    <x v="1803"/>
    <x v="338"/>
    <d v="2017-11-14T00:00:00"/>
    <s v="Standard Class"/>
    <x v="452"/>
    <s v="Paul Prost"/>
    <x v="2"/>
    <s v="United States"/>
    <s v="Springfield"/>
    <x v="24"/>
    <n v="45503"/>
    <x v="3"/>
    <x v="1286"/>
    <x v="1"/>
    <x v="10"/>
    <x v="1272"/>
    <x v="2807"/>
    <x v="0"/>
    <x v="0"/>
  </r>
  <r>
    <n v="3638"/>
    <x v="1803"/>
    <x v="338"/>
    <d v="2017-11-14T00:00:00"/>
    <s v="Standard Class"/>
    <x v="452"/>
    <s v="Paul Prost"/>
    <x v="2"/>
    <s v="United States"/>
    <s v="Springfield"/>
    <x v="24"/>
    <n v="45503"/>
    <x v="3"/>
    <x v="549"/>
    <x v="1"/>
    <x v="9"/>
    <x v="549"/>
    <x v="2808"/>
    <x v="0"/>
    <x v="0"/>
  </r>
  <r>
    <n v="3639"/>
    <x v="1803"/>
    <x v="338"/>
    <d v="2017-11-14T00:00:00"/>
    <s v="Standard Class"/>
    <x v="452"/>
    <s v="Paul Prost"/>
    <x v="2"/>
    <s v="United States"/>
    <s v="Springfield"/>
    <x v="24"/>
    <n v="45503"/>
    <x v="3"/>
    <x v="1092"/>
    <x v="0"/>
    <x v="5"/>
    <x v="1082"/>
    <x v="2809"/>
    <x v="0"/>
    <x v="0"/>
  </r>
  <r>
    <n v="3640"/>
    <x v="1803"/>
    <x v="338"/>
    <d v="2017-11-14T00:00:00"/>
    <s v="Standard Class"/>
    <x v="452"/>
    <s v="Paul Prost"/>
    <x v="2"/>
    <s v="United States"/>
    <s v="Springfield"/>
    <x v="24"/>
    <n v="45503"/>
    <x v="3"/>
    <x v="874"/>
    <x v="1"/>
    <x v="10"/>
    <x v="868"/>
    <x v="696"/>
    <x v="0"/>
    <x v="0"/>
  </r>
  <r>
    <n v="3641"/>
    <x v="1803"/>
    <x v="338"/>
    <d v="2017-11-14T00:00:00"/>
    <s v="Standard Class"/>
    <x v="452"/>
    <s v="Paul Prost"/>
    <x v="2"/>
    <s v="United States"/>
    <s v="Springfield"/>
    <x v="24"/>
    <n v="45503"/>
    <x v="3"/>
    <x v="1365"/>
    <x v="2"/>
    <x v="11"/>
    <x v="1548"/>
    <x v="2810"/>
    <x v="0"/>
    <x v="0"/>
  </r>
  <r>
    <n v="3642"/>
    <x v="1803"/>
    <x v="338"/>
    <d v="2017-11-14T00:00:00"/>
    <s v="Standard Class"/>
    <x v="452"/>
    <s v="Paul Prost"/>
    <x v="2"/>
    <s v="United States"/>
    <s v="Springfield"/>
    <x v="24"/>
    <n v="45503"/>
    <x v="3"/>
    <x v="1197"/>
    <x v="1"/>
    <x v="8"/>
    <x v="1182"/>
    <x v="2811"/>
    <x v="0"/>
    <x v="0"/>
  </r>
  <r>
    <n v="3643"/>
    <x v="1804"/>
    <x v="414"/>
    <d v="2015-12-23T00:00:00"/>
    <s v="Second Class"/>
    <x v="266"/>
    <s v="Michael Chen"/>
    <x v="0"/>
    <s v="United States"/>
    <s v="Los Angeles"/>
    <x v="1"/>
    <n v="90008"/>
    <x v="1"/>
    <x v="569"/>
    <x v="1"/>
    <x v="8"/>
    <x v="569"/>
    <x v="1611"/>
    <x v="4"/>
    <x v="2"/>
  </r>
  <r>
    <n v="3644"/>
    <x v="1804"/>
    <x v="414"/>
    <d v="2015-12-23T00:00:00"/>
    <s v="Second Class"/>
    <x v="266"/>
    <s v="Michael Chen"/>
    <x v="0"/>
    <s v="United States"/>
    <s v="Los Angeles"/>
    <x v="1"/>
    <n v="90008"/>
    <x v="1"/>
    <x v="1559"/>
    <x v="1"/>
    <x v="6"/>
    <x v="1549"/>
    <x v="2812"/>
    <x v="4"/>
    <x v="2"/>
  </r>
  <r>
    <n v="3645"/>
    <x v="1804"/>
    <x v="414"/>
    <d v="2015-12-23T00:00:00"/>
    <s v="Second Class"/>
    <x v="266"/>
    <s v="Michael Chen"/>
    <x v="0"/>
    <s v="United States"/>
    <s v="Los Angeles"/>
    <x v="1"/>
    <n v="90008"/>
    <x v="1"/>
    <x v="1560"/>
    <x v="1"/>
    <x v="6"/>
    <x v="1550"/>
    <x v="1508"/>
    <x v="4"/>
    <x v="2"/>
  </r>
  <r>
    <n v="3646"/>
    <x v="1804"/>
    <x v="414"/>
    <d v="2015-12-23T00:00:00"/>
    <s v="Second Class"/>
    <x v="266"/>
    <s v="Michael Chen"/>
    <x v="0"/>
    <s v="United States"/>
    <s v="Los Angeles"/>
    <x v="1"/>
    <n v="90008"/>
    <x v="1"/>
    <x v="1561"/>
    <x v="1"/>
    <x v="8"/>
    <x v="1551"/>
    <x v="2813"/>
    <x v="4"/>
    <x v="2"/>
  </r>
  <r>
    <n v="3647"/>
    <x v="1805"/>
    <x v="739"/>
    <d v="2015-07-27T00:00:00"/>
    <s v="Second Class"/>
    <x v="665"/>
    <s v="Vicky Freymann"/>
    <x v="2"/>
    <s v="United States"/>
    <s v="Los Angeles"/>
    <x v="1"/>
    <n v="90045"/>
    <x v="1"/>
    <x v="727"/>
    <x v="1"/>
    <x v="10"/>
    <x v="1552"/>
    <x v="90"/>
    <x v="7"/>
    <x v="2"/>
  </r>
  <r>
    <n v="3648"/>
    <x v="1805"/>
    <x v="739"/>
    <d v="2015-07-27T00:00:00"/>
    <s v="Second Class"/>
    <x v="665"/>
    <s v="Vicky Freymann"/>
    <x v="2"/>
    <s v="United States"/>
    <s v="Los Angeles"/>
    <x v="1"/>
    <n v="90045"/>
    <x v="1"/>
    <x v="1562"/>
    <x v="1"/>
    <x v="14"/>
    <x v="1553"/>
    <x v="2814"/>
    <x v="7"/>
    <x v="2"/>
  </r>
  <r>
    <n v="3649"/>
    <x v="1806"/>
    <x v="6"/>
    <d v="2016-11-27T00:00:00"/>
    <s v="Standard Class"/>
    <x v="507"/>
    <s v="Marc Crier"/>
    <x v="0"/>
    <s v="United States"/>
    <s v="Memphis"/>
    <x v="18"/>
    <n v="38109"/>
    <x v="0"/>
    <x v="696"/>
    <x v="1"/>
    <x v="8"/>
    <x v="696"/>
    <x v="194"/>
    <x v="0"/>
    <x v="1"/>
  </r>
  <r>
    <n v="3650"/>
    <x v="1806"/>
    <x v="6"/>
    <d v="2016-11-27T00:00:00"/>
    <s v="Standard Class"/>
    <x v="507"/>
    <s v="Marc Crier"/>
    <x v="0"/>
    <s v="United States"/>
    <s v="Memphis"/>
    <x v="18"/>
    <n v="38109"/>
    <x v="0"/>
    <x v="271"/>
    <x v="1"/>
    <x v="13"/>
    <x v="271"/>
    <x v="2815"/>
    <x v="0"/>
    <x v="1"/>
  </r>
  <r>
    <n v="3651"/>
    <x v="1807"/>
    <x v="34"/>
    <d v="2018-12-11T00:00:00"/>
    <s v="Second Class"/>
    <x v="203"/>
    <s v="Dean Braden"/>
    <x v="0"/>
    <s v="United States"/>
    <s v="Detroit"/>
    <x v="12"/>
    <n v="48234"/>
    <x v="2"/>
    <x v="1563"/>
    <x v="2"/>
    <x v="11"/>
    <x v="1554"/>
    <x v="2816"/>
    <x v="4"/>
    <x v="3"/>
  </r>
  <r>
    <n v="3652"/>
    <x v="1807"/>
    <x v="34"/>
    <d v="2018-12-11T00:00:00"/>
    <s v="Second Class"/>
    <x v="203"/>
    <s v="Dean Braden"/>
    <x v="0"/>
    <s v="United States"/>
    <s v="Detroit"/>
    <x v="12"/>
    <n v="48234"/>
    <x v="2"/>
    <x v="924"/>
    <x v="1"/>
    <x v="6"/>
    <x v="916"/>
    <x v="2817"/>
    <x v="4"/>
    <x v="3"/>
  </r>
  <r>
    <n v="3653"/>
    <x v="1807"/>
    <x v="34"/>
    <d v="2018-12-11T00:00:00"/>
    <s v="Second Class"/>
    <x v="203"/>
    <s v="Dean Braden"/>
    <x v="0"/>
    <s v="United States"/>
    <s v="Detroit"/>
    <x v="12"/>
    <n v="48234"/>
    <x v="2"/>
    <x v="674"/>
    <x v="1"/>
    <x v="8"/>
    <x v="674"/>
    <x v="2818"/>
    <x v="4"/>
    <x v="3"/>
  </r>
  <r>
    <n v="3654"/>
    <x v="1807"/>
    <x v="34"/>
    <d v="2018-12-11T00:00:00"/>
    <s v="Second Class"/>
    <x v="203"/>
    <s v="Dean Braden"/>
    <x v="0"/>
    <s v="United States"/>
    <s v="Detroit"/>
    <x v="12"/>
    <n v="48234"/>
    <x v="2"/>
    <x v="811"/>
    <x v="1"/>
    <x v="10"/>
    <x v="33"/>
    <x v="1801"/>
    <x v="4"/>
    <x v="3"/>
  </r>
  <r>
    <n v="3655"/>
    <x v="1808"/>
    <x v="515"/>
    <d v="2018-09-05T00:00:00"/>
    <s v="Standard Class"/>
    <x v="219"/>
    <s v="Ashley Jarboe"/>
    <x v="0"/>
    <s v="United States"/>
    <s v="Lawrence"/>
    <x v="14"/>
    <n v="46226"/>
    <x v="2"/>
    <x v="554"/>
    <x v="1"/>
    <x v="9"/>
    <x v="553"/>
    <x v="2819"/>
    <x v="6"/>
    <x v="3"/>
  </r>
  <r>
    <n v="3656"/>
    <x v="1809"/>
    <x v="558"/>
    <d v="2018-04-30T00:00:00"/>
    <s v="Standard Class"/>
    <x v="291"/>
    <s v="Christine Phan"/>
    <x v="1"/>
    <s v="United States"/>
    <s v="Jacksonville"/>
    <x v="2"/>
    <n v="32216"/>
    <x v="0"/>
    <x v="1043"/>
    <x v="1"/>
    <x v="4"/>
    <x v="1032"/>
    <x v="391"/>
    <x v="3"/>
    <x v="3"/>
  </r>
  <r>
    <n v="3657"/>
    <x v="1810"/>
    <x v="565"/>
    <d v="2018-09-14T00:00:00"/>
    <s v="Standard Class"/>
    <x v="587"/>
    <s v="Dorothy Badders"/>
    <x v="1"/>
    <s v="United States"/>
    <s v="Dublin"/>
    <x v="24"/>
    <n v="43017"/>
    <x v="3"/>
    <x v="1564"/>
    <x v="2"/>
    <x v="11"/>
    <x v="1555"/>
    <x v="2820"/>
    <x v="8"/>
    <x v="3"/>
  </r>
  <r>
    <n v="3658"/>
    <x v="1811"/>
    <x v="899"/>
    <d v="2016-03-17T00:00:00"/>
    <s v="Standard Class"/>
    <x v="494"/>
    <s v="Edward Becker"/>
    <x v="1"/>
    <s v="United States"/>
    <s v="Plantation"/>
    <x v="2"/>
    <n v="33317"/>
    <x v="0"/>
    <x v="135"/>
    <x v="1"/>
    <x v="12"/>
    <x v="136"/>
    <x v="2821"/>
    <x v="10"/>
    <x v="1"/>
  </r>
  <r>
    <n v="3659"/>
    <x v="1811"/>
    <x v="899"/>
    <d v="2016-03-17T00:00:00"/>
    <s v="Standard Class"/>
    <x v="494"/>
    <s v="Edward Becker"/>
    <x v="1"/>
    <s v="United States"/>
    <s v="Plantation"/>
    <x v="2"/>
    <n v="33317"/>
    <x v="0"/>
    <x v="76"/>
    <x v="0"/>
    <x v="5"/>
    <x v="76"/>
    <x v="2822"/>
    <x v="10"/>
    <x v="1"/>
  </r>
  <r>
    <n v="3660"/>
    <x v="1811"/>
    <x v="899"/>
    <d v="2016-03-17T00:00:00"/>
    <s v="Standard Class"/>
    <x v="494"/>
    <s v="Edward Becker"/>
    <x v="1"/>
    <s v="United States"/>
    <s v="Plantation"/>
    <x v="2"/>
    <n v="33317"/>
    <x v="0"/>
    <x v="1565"/>
    <x v="0"/>
    <x v="5"/>
    <x v="1556"/>
    <x v="1669"/>
    <x v="10"/>
    <x v="1"/>
  </r>
  <r>
    <n v="3661"/>
    <x v="1812"/>
    <x v="427"/>
    <d v="2017-07-23T00:00:00"/>
    <s v="Standard Class"/>
    <x v="687"/>
    <s v="Jennifer Patt"/>
    <x v="1"/>
    <s v="United States"/>
    <s v="Glendale"/>
    <x v="16"/>
    <n v="85301"/>
    <x v="1"/>
    <x v="1566"/>
    <x v="1"/>
    <x v="14"/>
    <x v="1557"/>
    <x v="2823"/>
    <x v="7"/>
    <x v="0"/>
  </r>
  <r>
    <n v="3662"/>
    <x v="1813"/>
    <x v="900"/>
    <d v="2017-06-15T00:00:00"/>
    <s v="Second Class"/>
    <x v="337"/>
    <s v="Sample Company A"/>
    <x v="2"/>
    <s v="United States"/>
    <s v="Jackson"/>
    <x v="12"/>
    <n v="49201"/>
    <x v="2"/>
    <x v="1551"/>
    <x v="2"/>
    <x v="7"/>
    <x v="1539"/>
    <x v="2216"/>
    <x v="1"/>
    <x v="0"/>
  </r>
  <r>
    <n v="3663"/>
    <x v="1814"/>
    <x v="445"/>
    <d v="2018-07-09T00:00:00"/>
    <s v="Standard Class"/>
    <x v="86"/>
    <s v="Frank Merwin"/>
    <x v="2"/>
    <s v="United States"/>
    <s v="Quincy"/>
    <x v="31"/>
    <n v="2169"/>
    <x v="3"/>
    <x v="1113"/>
    <x v="2"/>
    <x v="11"/>
    <x v="1102"/>
    <x v="2824"/>
    <x v="7"/>
    <x v="3"/>
  </r>
  <r>
    <n v="3664"/>
    <x v="1814"/>
    <x v="445"/>
    <d v="2018-07-09T00:00:00"/>
    <s v="Standard Class"/>
    <x v="86"/>
    <s v="Frank Merwin"/>
    <x v="2"/>
    <s v="United States"/>
    <s v="Quincy"/>
    <x v="31"/>
    <n v="2169"/>
    <x v="3"/>
    <x v="314"/>
    <x v="1"/>
    <x v="10"/>
    <x v="314"/>
    <x v="332"/>
    <x v="7"/>
    <x v="3"/>
  </r>
  <r>
    <n v="3665"/>
    <x v="1815"/>
    <x v="589"/>
    <d v="2015-12-13T00:00:00"/>
    <s v="Standard Class"/>
    <x v="621"/>
    <s v="Tim Brockman"/>
    <x v="0"/>
    <s v="United States"/>
    <s v="Salem"/>
    <x v="21"/>
    <n v="97301"/>
    <x v="1"/>
    <x v="639"/>
    <x v="1"/>
    <x v="2"/>
    <x v="639"/>
    <x v="2825"/>
    <x v="4"/>
    <x v="2"/>
  </r>
  <r>
    <n v="3666"/>
    <x v="1815"/>
    <x v="589"/>
    <d v="2015-12-13T00:00:00"/>
    <s v="Standard Class"/>
    <x v="621"/>
    <s v="Tim Brockman"/>
    <x v="0"/>
    <s v="United States"/>
    <s v="Salem"/>
    <x v="21"/>
    <n v="97301"/>
    <x v="1"/>
    <x v="636"/>
    <x v="1"/>
    <x v="8"/>
    <x v="636"/>
    <x v="2826"/>
    <x v="4"/>
    <x v="2"/>
  </r>
  <r>
    <n v="3667"/>
    <x v="1815"/>
    <x v="589"/>
    <d v="2015-12-13T00:00:00"/>
    <s v="Standard Class"/>
    <x v="621"/>
    <s v="Tim Brockman"/>
    <x v="0"/>
    <s v="United States"/>
    <s v="Salem"/>
    <x v="21"/>
    <n v="97301"/>
    <x v="1"/>
    <x v="1513"/>
    <x v="2"/>
    <x v="7"/>
    <x v="1500"/>
    <x v="2610"/>
    <x v="4"/>
    <x v="2"/>
  </r>
  <r>
    <n v="3668"/>
    <x v="1815"/>
    <x v="589"/>
    <d v="2015-12-13T00:00:00"/>
    <s v="Standard Class"/>
    <x v="621"/>
    <s v="Tim Brockman"/>
    <x v="0"/>
    <s v="United States"/>
    <s v="Salem"/>
    <x v="21"/>
    <n v="97301"/>
    <x v="1"/>
    <x v="1567"/>
    <x v="1"/>
    <x v="14"/>
    <x v="1558"/>
    <x v="2827"/>
    <x v="4"/>
    <x v="2"/>
  </r>
  <r>
    <n v="3669"/>
    <x v="1815"/>
    <x v="589"/>
    <d v="2015-12-13T00:00:00"/>
    <s v="Standard Class"/>
    <x v="621"/>
    <s v="Tim Brockman"/>
    <x v="0"/>
    <s v="United States"/>
    <s v="Salem"/>
    <x v="21"/>
    <n v="97301"/>
    <x v="1"/>
    <x v="1421"/>
    <x v="2"/>
    <x v="11"/>
    <x v="1409"/>
    <x v="434"/>
    <x v="4"/>
    <x v="2"/>
  </r>
  <r>
    <n v="3670"/>
    <x v="1815"/>
    <x v="589"/>
    <d v="2015-12-13T00:00:00"/>
    <s v="Standard Class"/>
    <x v="621"/>
    <s v="Tim Brockman"/>
    <x v="0"/>
    <s v="United States"/>
    <s v="Salem"/>
    <x v="21"/>
    <n v="97301"/>
    <x v="1"/>
    <x v="1568"/>
    <x v="1"/>
    <x v="2"/>
    <x v="1559"/>
    <x v="132"/>
    <x v="4"/>
    <x v="2"/>
  </r>
  <r>
    <n v="3671"/>
    <x v="1815"/>
    <x v="589"/>
    <d v="2015-12-13T00:00:00"/>
    <s v="Standard Class"/>
    <x v="621"/>
    <s v="Tim Brockman"/>
    <x v="0"/>
    <s v="United States"/>
    <s v="Salem"/>
    <x v="21"/>
    <n v="97301"/>
    <x v="1"/>
    <x v="55"/>
    <x v="1"/>
    <x v="10"/>
    <x v="55"/>
    <x v="559"/>
    <x v="4"/>
    <x v="2"/>
  </r>
  <r>
    <n v="3672"/>
    <x v="1815"/>
    <x v="589"/>
    <d v="2015-12-13T00:00:00"/>
    <s v="Standard Class"/>
    <x v="621"/>
    <s v="Tim Brockman"/>
    <x v="0"/>
    <s v="United States"/>
    <s v="Salem"/>
    <x v="21"/>
    <n v="97301"/>
    <x v="1"/>
    <x v="1569"/>
    <x v="1"/>
    <x v="4"/>
    <x v="1560"/>
    <x v="381"/>
    <x v="4"/>
    <x v="2"/>
  </r>
  <r>
    <n v="3673"/>
    <x v="1816"/>
    <x v="143"/>
    <d v="2017-04-14T00:00:00"/>
    <s v="Standard Class"/>
    <x v="258"/>
    <s v="Eugene Hildebrand"/>
    <x v="2"/>
    <s v="United States"/>
    <s v="Troy"/>
    <x v="24"/>
    <n v="45373"/>
    <x v="3"/>
    <x v="1475"/>
    <x v="1"/>
    <x v="12"/>
    <x v="1462"/>
    <x v="2828"/>
    <x v="3"/>
    <x v="0"/>
  </r>
  <r>
    <n v="3674"/>
    <x v="1816"/>
    <x v="143"/>
    <d v="2017-04-14T00:00:00"/>
    <s v="Standard Class"/>
    <x v="258"/>
    <s v="Eugene Hildebrand"/>
    <x v="2"/>
    <s v="United States"/>
    <s v="Troy"/>
    <x v="24"/>
    <n v="45373"/>
    <x v="3"/>
    <x v="1080"/>
    <x v="1"/>
    <x v="8"/>
    <x v="1070"/>
    <x v="1425"/>
    <x v="3"/>
    <x v="0"/>
  </r>
  <r>
    <n v="3675"/>
    <x v="1817"/>
    <x v="44"/>
    <d v="2018-11-11T00:00:00"/>
    <s v="Standard Class"/>
    <x v="586"/>
    <s v="Maris LaWare"/>
    <x v="0"/>
    <s v="United States"/>
    <s v="Philadelphia"/>
    <x v="9"/>
    <n v="19143"/>
    <x v="3"/>
    <x v="1209"/>
    <x v="0"/>
    <x v="1"/>
    <x v="1194"/>
    <x v="2829"/>
    <x v="0"/>
    <x v="3"/>
  </r>
  <r>
    <n v="3676"/>
    <x v="1817"/>
    <x v="44"/>
    <d v="2018-11-11T00:00:00"/>
    <s v="Standard Class"/>
    <x v="586"/>
    <s v="Maris LaWare"/>
    <x v="0"/>
    <s v="United States"/>
    <s v="Philadelphia"/>
    <x v="9"/>
    <n v="19143"/>
    <x v="3"/>
    <x v="368"/>
    <x v="1"/>
    <x v="10"/>
    <x v="369"/>
    <x v="1097"/>
    <x v="0"/>
    <x v="3"/>
  </r>
  <r>
    <n v="3677"/>
    <x v="1818"/>
    <x v="901"/>
    <d v="2016-12-09T00:00:00"/>
    <s v="Standard Class"/>
    <x v="588"/>
    <s v="Matt Hagelstein"/>
    <x v="1"/>
    <s v="United States"/>
    <s v="San Diego"/>
    <x v="1"/>
    <n v="92105"/>
    <x v="1"/>
    <x v="642"/>
    <x v="0"/>
    <x v="5"/>
    <x v="642"/>
    <x v="785"/>
    <x v="4"/>
    <x v="1"/>
  </r>
  <r>
    <n v="3678"/>
    <x v="1819"/>
    <x v="584"/>
    <d v="2016-07-14T00:00:00"/>
    <s v="Standard Class"/>
    <x v="537"/>
    <s v="Brian Thompson"/>
    <x v="0"/>
    <s v="United States"/>
    <s v="Clinton"/>
    <x v="39"/>
    <n v="20735"/>
    <x v="3"/>
    <x v="1432"/>
    <x v="1"/>
    <x v="13"/>
    <x v="1420"/>
    <x v="2347"/>
    <x v="7"/>
    <x v="1"/>
  </r>
  <r>
    <n v="3679"/>
    <x v="1819"/>
    <x v="584"/>
    <d v="2016-07-14T00:00:00"/>
    <s v="Standard Class"/>
    <x v="537"/>
    <s v="Brian Thompson"/>
    <x v="0"/>
    <s v="United States"/>
    <s v="Clinton"/>
    <x v="39"/>
    <n v="20735"/>
    <x v="3"/>
    <x v="1520"/>
    <x v="2"/>
    <x v="15"/>
    <x v="1507"/>
    <x v="2830"/>
    <x v="7"/>
    <x v="1"/>
  </r>
  <r>
    <n v="3680"/>
    <x v="1819"/>
    <x v="584"/>
    <d v="2016-07-14T00:00:00"/>
    <s v="Standard Class"/>
    <x v="537"/>
    <s v="Brian Thompson"/>
    <x v="0"/>
    <s v="United States"/>
    <s v="Clinton"/>
    <x v="39"/>
    <n v="20735"/>
    <x v="3"/>
    <x v="269"/>
    <x v="0"/>
    <x v="5"/>
    <x v="269"/>
    <x v="2831"/>
    <x v="7"/>
    <x v="1"/>
  </r>
  <r>
    <n v="3681"/>
    <x v="1819"/>
    <x v="584"/>
    <d v="2016-07-14T00:00:00"/>
    <s v="Standard Class"/>
    <x v="537"/>
    <s v="Brian Thompson"/>
    <x v="0"/>
    <s v="United States"/>
    <s v="Clinton"/>
    <x v="39"/>
    <n v="20735"/>
    <x v="3"/>
    <x v="1570"/>
    <x v="1"/>
    <x v="2"/>
    <x v="1561"/>
    <x v="708"/>
    <x v="7"/>
    <x v="1"/>
  </r>
  <r>
    <n v="3682"/>
    <x v="1819"/>
    <x v="584"/>
    <d v="2016-07-14T00:00:00"/>
    <s v="Standard Class"/>
    <x v="537"/>
    <s v="Brian Thompson"/>
    <x v="0"/>
    <s v="United States"/>
    <s v="Clinton"/>
    <x v="39"/>
    <n v="20735"/>
    <x v="3"/>
    <x v="912"/>
    <x v="1"/>
    <x v="8"/>
    <x v="904"/>
    <x v="2832"/>
    <x v="7"/>
    <x v="1"/>
  </r>
  <r>
    <n v="3683"/>
    <x v="1819"/>
    <x v="584"/>
    <d v="2016-07-14T00:00:00"/>
    <s v="Standard Class"/>
    <x v="537"/>
    <s v="Brian Thompson"/>
    <x v="0"/>
    <s v="United States"/>
    <s v="Clinton"/>
    <x v="39"/>
    <n v="20735"/>
    <x v="3"/>
    <x v="1571"/>
    <x v="1"/>
    <x v="6"/>
    <x v="1562"/>
    <x v="1362"/>
    <x v="7"/>
    <x v="1"/>
  </r>
  <r>
    <n v="3684"/>
    <x v="1819"/>
    <x v="584"/>
    <d v="2016-07-14T00:00:00"/>
    <s v="Standard Class"/>
    <x v="537"/>
    <s v="Brian Thompson"/>
    <x v="0"/>
    <s v="United States"/>
    <s v="Clinton"/>
    <x v="39"/>
    <n v="20735"/>
    <x v="3"/>
    <x v="822"/>
    <x v="1"/>
    <x v="8"/>
    <x v="818"/>
    <x v="2833"/>
    <x v="7"/>
    <x v="1"/>
  </r>
  <r>
    <n v="3685"/>
    <x v="1819"/>
    <x v="584"/>
    <d v="2016-07-14T00:00:00"/>
    <s v="Standard Class"/>
    <x v="537"/>
    <s v="Brian Thompson"/>
    <x v="0"/>
    <s v="United States"/>
    <s v="Clinton"/>
    <x v="39"/>
    <n v="20735"/>
    <x v="3"/>
    <x v="24"/>
    <x v="1"/>
    <x v="8"/>
    <x v="24"/>
    <x v="2834"/>
    <x v="7"/>
    <x v="1"/>
  </r>
  <r>
    <n v="3686"/>
    <x v="1819"/>
    <x v="584"/>
    <d v="2016-07-14T00:00:00"/>
    <s v="Standard Class"/>
    <x v="537"/>
    <s v="Brian Thompson"/>
    <x v="0"/>
    <s v="United States"/>
    <s v="Clinton"/>
    <x v="39"/>
    <n v="20735"/>
    <x v="3"/>
    <x v="768"/>
    <x v="1"/>
    <x v="4"/>
    <x v="767"/>
    <x v="2835"/>
    <x v="7"/>
    <x v="1"/>
  </r>
  <r>
    <n v="3687"/>
    <x v="1820"/>
    <x v="180"/>
    <d v="2017-12-19T00:00:00"/>
    <s v="Standard Class"/>
    <x v="209"/>
    <s v="Jasper Cacioppo"/>
    <x v="0"/>
    <s v="United States"/>
    <s v="Riverside"/>
    <x v="1"/>
    <n v="92503"/>
    <x v="1"/>
    <x v="346"/>
    <x v="1"/>
    <x v="6"/>
    <x v="346"/>
    <x v="294"/>
    <x v="4"/>
    <x v="0"/>
  </r>
  <r>
    <n v="3688"/>
    <x v="1821"/>
    <x v="244"/>
    <d v="2017-05-24T00:00:00"/>
    <s v="Standard Class"/>
    <x v="203"/>
    <s v="Dean Braden"/>
    <x v="0"/>
    <s v="United States"/>
    <s v="Port Saint Lucie"/>
    <x v="2"/>
    <n v="34952"/>
    <x v="0"/>
    <x v="307"/>
    <x v="1"/>
    <x v="8"/>
    <x v="307"/>
    <x v="986"/>
    <x v="5"/>
    <x v="0"/>
  </r>
  <r>
    <n v="3689"/>
    <x v="1822"/>
    <x v="455"/>
    <d v="2018-06-05T00:00:00"/>
    <s v="Second Class"/>
    <x v="157"/>
    <s v="Denny Ordway"/>
    <x v="0"/>
    <s v="United States"/>
    <s v="Mesa"/>
    <x v="16"/>
    <n v="85204"/>
    <x v="1"/>
    <x v="218"/>
    <x v="1"/>
    <x v="10"/>
    <x v="219"/>
    <x v="863"/>
    <x v="1"/>
    <x v="3"/>
  </r>
  <r>
    <n v="3690"/>
    <x v="1822"/>
    <x v="455"/>
    <d v="2018-06-05T00:00:00"/>
    <s v="Second Class"/>
    <x v="157"/>
    <s v="Denny Ordway"/>
    <x v="0"/>
    <s v="United States"/>
    <s v="Mesa"/>
    <x v="16"/>
    <n v="85204"/>
    <x v="1"/>
    <x v="598"/>
    <x v="1"/>
    <x v="12"/>
    <x v="598"/>
    <x v="2836"/>
    <x v="1"/>
    <x v="3"/>
  </r>
  <r>
    <n v="3691"/>
    <x v="1823"/>
    <x v="628"/>
    <d v="2016-11-02T00:00:00"/>
    <s v="Second Class"/>
    <x v="135"/>
    <s v="Frank Atkinson"/>
    <x v="1"/>
    <s v="United States"/>
    <s v="Denver"/>
    <x v="22"/>
    <n v="80219"/>
    <x v="1"/>
    <x v="1313"/>
    <x v="2"/>
    <x v="15"/>
    <x v="1299"/>
    <x v="2837"/>
    <x v="2"/>
    <x v="1"/>
  </r>
  <r>
    <n v="3692"/>
    <x v="1823"/>
    <x v="628"/>
    <d v="2016-11-02T00:00:00"/>
    <s v="Second Class"/>
    <x v="135"/>
    <s v="Frank Atkinson"/>
    <x v="1"/>
    <s v="United States"/>
    <s v="Denver"/>
    <x v="22"/>
    <n v="80219"/>
    <x v="1"/>
    <x v="1572"/>
    <x v="2"/>
    <x v="16"/>
    <x v="1563"/>
    <x v="2838"/>
    <x v="2"/>
    <x v="1"/>
  </r>
  <r>
    <n v="3693"/>
    <x v="1823"/>
    <x v="628"/>
    <d v="2016-11-02T00:00:00"/>
    <s v="Second Class"/>
    <x v="135"/>
    <s v="Frank Atkinson"/>
    <x v="1"/>
    <s v="United States"/>
    <s v="Denver"/>
    <x v="22"/>
    <n v="80219"/>
    <x v="1"/>
    <x v="722"/>
    <x v="2"/>
    <x v="7"/>
    <x v="721"/>
    <x v="2839"/>
    <x v="2"/>
    <x v="1"/>
  </r>
  <r>
    <n v="3694"/>
    <x v="1823"/>
    <x v="628"/>
    <d v="2016-11-02T00:00:00"/>
    <s v="Second Class"/>
    <x v="135"/>
    <s v="Frank Atkinson"/>
    <x v="1"/>
    <s v="United States"/>
    <s v="Denver"/>
    <x v="22"/>
    <n v="80219"/>
    <x v="1"/>
    <x v="1573"/>
    <x v="0"/>
    <x v="5"/>
    <x v="1564"/>
    <x v="2840"/>
    <x v="2"/>
    <x v="1"/>
  </r>
  <r>
    <n v="3695"/>
    <x v="1824"/>
    <x v="680"/>
    <d v="2017-10-20T00:00:00"/>
    <s v="Standard Class"/>
    <x v="425"/>
    <s v="Quincy Jones"/>
    <x v="1"/>
    <s v="United States"/>
    <s v="Springfield"/>
    <x v="17"/>
    <n v="22153"/>
    <x v="0"/>
    <x v="1197"/>
    <x v="1"/>
    <x v="8"/>
    <x v="1182"/>
    <x v="2841"/>
    <x v="2"/>
    <x v="0"/>
  </r>
  <r>
    <n v="3696"/>
    <x v="1824"/>
    <x v="680"/>
    <d v="2017-10-20T00:00:00"/>
    <s v="Standard Class"/>
    <x v="425"/>
    <s v="Quincy Jones"/>
    <x v="1"/>
    <s v="United States"/>
    <s v="Springfield"/>
    <x v="17"/>
    <n v="22153"/>
    <x v="0"/>
    <x v="1475"/>
    <x v="1"/>
    <x v="12"/>
    <x v="1462"/>
    <x v="2842"/>
    <x v="2"/>
    <x v="0"/>
  </r>
  <r>
    <n v="3697"/>
    <x v="1824"/>
    <x v="680"/>
    <d v="2017-10-20T00:00:00"/>
    <s v="Standard Class"/>
    <x v="425"/>
    <s v="Quincy Jones"/>
    <x v="1"/>
    <s v="United States"/>
    <s v="Springfield"/>
    <x v="17"/>
    <n v="22153"/>
    <x v="0"/>
    <x v="336"/>
    <x v="1"/>
    <x v="9"/>
    <x v="336"/>
    <x v="1874"/>
    <x v="2"/>
    <x v="0"/>
  </r>
  <r>
    <n v="3698"/>
    <x v="1825"/>
    <x v="902"/>
    <d v="2016-11-21T00:00:00"/>
    <s v="Second Class"/>
    <x v="679"/>
    <s v="Tony Chapman"/>
    <x v="2"/>
    <s v="United States"/>
    <s v="Seattle"/>
    <x v="4"/>
    <n v="98115"/>
    <x v="1"/>
    <x v="1460"/>
    <x v="0"/>
    <x v="5"/>
    <x v="1446"/>
    <x v="1713"/>
    <x v="0"/>
    <x v="1"/>
  </r>
  <r>
    <n v="3699"/>
    <x v="1826"/>
    <x v="103"/>
    <d v="2015-09-17T00:00:00"/>
    <s v="Standard Class"/>
    <x v="21"/>
    <s v="Odella Nelson"/>
    <x v="1"/>
    <s v="United States"/>
    <s v="Tempe"/>
    <x v="16"/>
    <n v="85281"/>
    <x v="1"/>
    <x v="1574"/>
    <x v="1"/>
    <x v="4"/>
    <x v="1565"/>
    <x v="2843"/>
    <x v="8"/>
    <x v="2"/>
  </r>
  <r>
    <n v="3700"/>
    <x v="1827"/>
    <x v="38"/>
    <d v="2018-11-18T00:00:00"/>
    <s v="Second Class"/>
    <x v="57"/>
    <s v="Alan Dominguez"/>
    <x v="2"/>
    <s v="United States"/>
    <s v="Yonkers"/>
    <x v="15"/>
    <n v="10701"/>
    <x v="3"/>
    <x v="374"/>
    <x v="2"/>
    <x v="11"/>
    <x v="375"/>
    <x v="2844"/>
    <x v="0"/>
    <x v="3"/>
  </r>
  <r>
    <n v="3701"/>
    <x v="1828"/>
    <x v="165"/>
    <d v="2018-12-29T00:00:00"/>
    <s v="Standard Class"/>
    <x v="556"/>
    <s v="Ann Chong"/>
    <x v="1"/>
    <s v="United States"/>
    <s v="Rochester"/>
    <x v="15"/>
    <n v="14609"/>
    <x v="3"/>
    <x v="767"/>
    <x v="0"/>
    <x v="5"/>
    <x v="766"/>
    <x v="2845"/>
    <x v="4"/>
    <x v="3"/>
  </r>
  <r>
    <n v="3702"/>
    <x v="1829"/>
    <x v="850"/>
    <d v="2017-01-13T00:00:00"/>
    <s v="Second Class"/>
    <x v="716"/>
    <s v="Maureen Fritzler"/>
    <x v="1"/>
    <s v="United States"/>
    <s v="Toledo"/>
    <x v="24"/>
    <n v="43615"/>
    <x v="3"/>
    <x v="1462"/>
    <x v="0"/>
    <x v="5"/>
    <x v="1448"/>
    <x v="2846"/>
    <x v="9"/>
    <x v="0"/>
  </r>
  <r>
    <n v="3703"/>
    <x v="1830"/>
    <x v="385"/>
    <d v="2016-06-19T00:00:00"/>
    <s v="Standard Class"/>
    <x v="704"/>
    <s v="Dave Hallsten"/>
    <x v="1"/>
    <s v="United States"/>
    <s v="Decatur"/>
    <x v="19"/>
    <n v="35601"/>
    <x v="0"/>
    <x v="1560"/>
    <x v="1"/>
    <x v="6"/>
    <x v="1550"/>
    <x v="2847"/>
    <x v="1"/>
    <x v="1"/>
  </r>
  <r>
    <n v="3704"/>
    <x v="1830"/>
    <x v="385"/>
    <d v="2016-06-19T00:00:00"/>
    <s v="Standard Class"/>
    <x v="704"/>
    <s v="Dave Hallsten"/>
    <x v="1"/>
    <s v="United States"/>
    <s v="Decatur"/>
    <x v="19"/>
    <n v="35601"/>
    <x v="0"/>
    <x v="1206"/>
    <x v="1"/>
    <x v="8"/>
    <x v="1191"/>
    <x v="2848"/>
    <x v="1"/>
    <x v="1"/>
  </r>
  <r>
    <n v="3705"/>
    <x v="1830"/>
    <x v="385"/>
    <d v="2016-06-19T00:00:00"/>
    <s v="Standard Class"/>
    <x v="704"/>
    <s v="Dave Hallsten"/>
    <x v="1"/>
    <s v="United States"/>
    <s v="Decatur"/>
    <x v="19"/>
    <n v="35601"/>
    <x v="0"/>
    <x v="851"/>
    <x v="2"/>
    <x v="16"/>
    <x v="844"/>
    <x v="2849"/>
    <x v="1"/>
    <x v="1"/>
  </r>
  <r>
    <n v="3706"/>
    <x v="1830"/>
    <x v="385"/>
    <d v="2016-06-19T00:00:00"/>
    <s v="Standard Class"/>
    <x v="704"/>
    <s v="Dave Hallsten"/>
    <x v="1"/>
    <s v="United States"/>
    <s v="Decatur"/>
    <x v="19"/>
    <n v="35601"/>
    <x v="0"/>
    <x v="1541"/>
    <x v="1"/>
    <x v="10"/>
    <x v="1529"/>
    <x v="56"/>
    <x v="1"/>
    <x v="1"/>
  </r>
  <r>
    <n v="3707"/>
    <x v="1831"/>
    <x v="257"/>
    <d v="2018-03-22T00:00:00"/>
    <s v="Standard Class"/>
    <x v="633"/>
    <s v="Edward Nazzal"/>
    <x v="0"/>
    <s v="United States"/>
    <s v="Dallas"/>
    <x v="5"/>
    <n v="75220"/>
    <x v="2"/>
    <x v="1068"/>
    <x v="1"/>
    <x v="6"/>
    <x v="1057"/>
    <x v="358"/>
    <x v="10"/>
    <x v="3"/>
  </r>
  <r>
    <n v="3708"/>
    <x v="1832"/>
    <x v="533"/>
    <d v="2015-11-27T00:00:00"/>
    <s v="Standard Class"/>
    <x v="164"/>
    <s v="Saphhira Shifley"/>
    <x v="1"/>
    <s v="United States"/>
    <s v="Mesquite"/>
    <x v="5"/>
    <n v="75150"/>
    <x v="2"/>
    <x v="740"/>
    <x v="0"/>
    <x v="5"/>
    <x v="222"/>
    <x v="2850"/>
    <x v="0"/>
    <x v="2"/>
  </r>
  <r>
    <n v="3709"/>
    <x v="1832"/>
    <x v="533"/>
    <d v="2015-11-27T00:00:00"/>
    <s v="Standard Class"/>
    <x v="164"/>
    <s v="Saphhira Shifley"/>
    <x v="1"/>
    <s v="United States"/>
    <s v="Mesquite"/>
    <x v="5"/>
    <n v="75150"/>
    <x v="2"/>
    <x v="1051"/>
    <x v="1"/>
    <x v="9"/>
    <x v="1040"/>
    <x v="2851"/>
    <x v="0"/>
    <x v="2"/>
  </r>
  <r>
    <n v="3710"/>
    <x v="1832"/>
    <x v="533"/>
    <d v="2015-11-27T00:00:00"/>
    <s v="Standard Class"/>
    <x v="164"/>
    <s v="Saphhira Shifley"/>
    <x v="1"/>
    <s v="United States"/>
    <s v="Mesquite"/>
    <x v="5"/>
    <n v="75150"/>
    <x v="2"/>
    <x v="1425"/>
    <x v="2"/>
    <x v="11"/>
    <x v="1413"/>
    <x v="2852"/>
    <x v="0"/>
    <x v="2"/>
  </r>
  <r>
    <n v="3711"/>
    <x v="1833"/>
    <x v="453"/>
    <d v="2018-10-17T00:00:00"/>
    <s v="First Class"/>
    <x v="276"/>
    <s v="Roland Schwarz"/>
    <x v="1"/>
    <s v="United States"/>
    <s v="Los Angeles"/>
    <x v="1"/>
    <n v="90045"/>
    <x v="1"/>
    <x v="214"/>
    <x v="0"/>
    <x v="3"/>
    <x v="215"/>
    <x v="2853"/>
    <x v="2"/>
    <x v="3"/>
  </r>
  <r>
    <n v="3712"/>
    <x v="1833"/>
    <x v="453"/>
    <d v="2018-10-17T00:00:00"/>
    <s v="First Class"/>
    <x v="276"/>
    <s v="Roland Schwarz"/>
    <x v="1"/>
    <s v="United States"/>
    <s v="Los Angeles"/>
    <x v="1"/>
    <n v="90045"/>
    <x v="1"/>
    <x v="1127"/>
    <x v="1"/>
    <x v="10"/>
    <x v="1115"/>
    <x v="2854"/>
    <x v="2"/>
    <x v="3"/>
  </r>
  <r>
    <n v="3713"/>
    <x v="1834"/>
    <x v="81"/>
    <d v="2018-04-24T00:00:00"/>
    <s v="First Class"/>
    <x v="527"/>
    <s v="Joni Wasserman"/>
    <x v="0"/>
    <s v="United States"/>
    <s v="Seattle"/>
    <x v="4"/>
    <n v="98103"/>
    <x v="1"/>
    <x v="1575"/>
    <x v="2"/>
    <x v="11"/>
    <x v="1566"/>
    <x v="1034"/>
    <x v="3"/>
    <x v="3"/>
  </r>
  <r>
    <n v="3714"/>
    <x v="1834"/>
    <x v="81"/>
    <d v="2018-04-24T00:00:00"/>
    <s v="First Class"/>
    <x v="527"/>
    <s v="Joni Wasserman"/>
    <x v="0"/>
    <s v="United States"/>
    <s v="Seattle"/>
    <x v="4"/>
    <n v="98103"/>
    <x v="1"/>
    <x v="797"/>
    <x v="0"/>
    <x v="5"/>
    <x v="795"/>
    <x v="2855"/>
    <x v="3"/>
    <x v="3"/>
  </r>
  <r>
    <n v="3715"/>
    <x v="1835"/>
    <x v="589"/>
    <d v="2015-12-10T00:00:00"/>
    <s v="Second Class"/>
    <x v="600"/>
    <s v="Jim Karlsson"/>
    <x v="0"/>
    <s v="United States"/>
    <s v="Olympia"/>
    <x v="4"/>
    <n v="98502"/>
    <x v="1"/>
    <x v="600"/>
    <x v="1"/>
    <x v="10"/>
    <x v="600"/>
    <x v="1816"/>
    <x v="4"/>
    <x v="2"/>
  </r>
  <r>
    <n v="3716"/>
    <x v="1835"/>
    <x v="589"/>
    <d v="2015-12-10T00:00:00"/>
    <s v="Second Class"/>
    <x v="600"/>
    <s v="Jim Karlsson"/>
    <x v="0"/>
    <s v="United States"/>
    <s v="Olympia"/>
    <x v="4"/>
    <n v="98502"/>
    <x v="1"/>
    <x v="291"/>
    <x v="0"/>
    <x v="1"/>
    <x v="291"/>
    <x v="884"/>
    <x v="4"/>
    <x v="2"/>
  </r>
  <r>
    <n v="3717"/>
    <x v="1836"/>
    <x v="148"/>
    <d v="2018-06-02T00:00:00"/>
    <s v="Standard Class"/>
    <x v="270"/>
    <s v="Jesus Ocampo"/>
    <x v="2"/>
    <s v="United States"/>
    <s v="Omaha"/>
    <x v="8"/>
    <n v="68104"/>
    <x v="2"/>
    <x v="1217"/>
    <x v="1"/>
    <x v="13"/>
    <x v="1201"/>
    <x v="2856"/>
    <x v="5"/>
    <x v="3"/>
  </r>
  <r>
    <n v="3718"/>
    <x v="1837"/>
    <x v="251"/>
    <d v="2017-09-23T00:00:00"/>
    <s v="Standard Class"/>
    <x v="236"/>
    <s v="Theone Pippenger"/>
    <x v="0"/>
    <s v="United States"/>
    <s v="Columbus"/>
    <x v="32"/>
    <n v="31907"/>
    <x v="0"/>
    <x v="1576"/>
    <x v="1"/>
    <x v="14"/>
    <x v="1567"/>
    <x v="1310"/>
    <x v="8"/>
    <x v="0"/>
  </r>
  <r>
    <n v="3719"/>
    <x v="1837"/>
    <x v="251"/>
    <d v="2017-09-23T00:00:00"/>
    <s v="Standard Class"/>
    <x v="236"/>
    <s v="Theone Pippenger"/>
    <x v="0"/>
    <s v="United States"/>
    <s v="Columbus"/>
    <x v="32"/>
    <n v="31907"/>
    <x v="0"/>
    <x v="1135"/>
    <x v="2"/>
    <x v="11"/>
    <x v="1123"/>
    <x v="2857"/>
    <x v="8"/>
    <x v="0"/>
  </r>
  <r>
    <n v="3720"/>
    <x v="1838"/>
    <x v="42"/>
    <d v="2017-09-23T00:00:00"/>
    <s v="Standard Class"/>
    <x v="29"/>
    <s v="Brendan Sweed"/>
    <x v="1"/>
    <s v="United States"/>
    <s v="Columbus"/>
    <x v="14"/>
    <n v="47201"/>
    <x v="2"/>
    <x v="158"/>
    <x v="1"/>
    <x v="6"/>
    <x v="159"/>
    <x v="653"/>
    <x v="8"/>
    <x v="0"/>
  </r>
  <r>
    <n v="3721"/>
    <x v="1839"/>
    <x v="887"/>
    <d v="2017-12-24T00:00:00"/>
    <s v="Standard Class"/>
    <x v="437"/>
    <s v="Alejandro Ballentine"/>
    <x v="2"/>
    <s v="United States"/>
    <s v="Jackson"/>
    <x v="35"/>
    <n v="39212"/>
    <x v="0"/>
    <x v="283"/>
    <x v="0"/>
    <x v="5"/>
    <x v="283"/>
    <x v="2858"/>
    <x v="4"/>
    <x v="0"/>
  </r>
  <r>
    <n v="3722"/>
    <x v="1839"/>
    <x v="887"/>
    <d v="2017-12-24T00:00:00"/>
    <s v="Standard Class"/>
    <x v="437"/>
    <s v="Alejandro Ballentine"/>
    <x v="2"/>
    <s v="United States"/>
    <s v="Jackson"/>
    <x v="35"/>
    <n v="39212"/>
    <x v="0"/>
    <x v="8"/>
    <x v="1"/>
    <x v="8"/>
    <x v="8"/>
    <x v="735"/>
    <x v="4"/>
    <x v="0"/>
  </r>
  <r>
    <n v="3723"/>
    <x v="1840"/>
    <x v="903"/>
    <d v="2018-11-26T00:00:00"/>
    <s v="Standard Class"/>
    <x v="383"/>
    <s v="Frank Olsen"/>
    <x v="0"/>
    <s v="United States"/>
    <s v="Houston"/>
    <x v="5"/>
    <n v="77070"/>
    <x v="2"/>
    <x v="311"/>
    <x v="1"/>
    <x v="6"/>
    <x v="311"/>
    <x v="2859"/>
    <x v="0"/>
    <x v="3"/>
  </r>
  <r>
    <n v="3724"/>
    <x v="1841"/>
    <x v="125"/>
    <d v="2016-01-04T00:00:00"/>
    <s v="Standard Class"/>
    <x v="716"/>
    <s v="Maureen Fritzler"/>
    <x v="1"/>
    <s v="United States"/>
    <s v="Phoenix"/>
    <x v="16"/>
    <n v="85023"/>
    <x v="1"/>
    <x v="1498"/>
    <x v="1"/>
    <x v="8"/>
    <x v="1486"/>
    <x v="2860"/>
    <x v="4"/>
    <x v="2"/>
  </r>
  <r>
    <n v="3725"/>
    <x v="1842"/>
    <x v="355"/>
    <d v="2018-04-05T00:00:00"/>
    <s v="First Class"/>
    <x v="193"/>
    <s v="Sue Ann Reed"/>
    <x v="0"/>
    <s v="United States"/>
    <s v="Chicago"/>
    <x v="10"/>
    <n v="60653"/>
    <x v="2"/>
    <x v="425"/>
    <x v="1"/>
    <x v="6"/>
    <x v="425"/>
    <x v="2559"/>
    <x v="3"/>
    <x v="3"/>
  </r>
  <r>
    <n v="3726"/>
    <x v="1843"/>
    <x v="482"/>
    <d v="2018-01-02T00:00:00"/>
    <s v="Standard Class"/>
    <x v="64"/>
    <s v="Sally Hughsby"/>
    <x v="1"/>
    <s v="United States"/>
    <s v="Denver"/>
    <x v="22"/>
    <n v="80219"/>
    <x v="1"/>
    <x v="1267"/>
    <x v="1"/>
    <x v="9"/>
    <x v="1251"/>
    <x v="690"/>
    <x v="4"/>
    <x v="0"/>
  </r>
  <r>
    <n v="3727"/>
    <x v="1844"/>
    <x v="410"/>
    <d v="2017-06-11T00:00:00"/>
    <s v="Standard Class"/>
    <x v="538"/>
    <s v="Janet Lee"/>
    <x v="0"/>
    <s v="United States"/>
    <s v="Newark"/>
    <x v="13"/>
    <n v="19711"/>
    <x v="3"/>
    <x v="734"/>
    <x v="1"/>
    <x v="4"/>
    <x v="733"/>
    <x v="2861"/>
    <x v="1"/>
    <x v="0"/>
  </r>
  <r>
    <n v="3728"/>
    <x v="1844"/>
    <x v="410"/>
    <d v="2017-06-11T00:00:00"/>
    <s v="Standard Class"/>
    <x v="538"/>
    <s v="Janet Lee"/>
    <x v="0"/>
    <s v="United States"/>
    <s v="Newark"/>
    <x v="13"/>
    <n v="19711"/>
    <x v="3"/>
    <x v="311"/>
    <x v="1"/>
    <x v="6"/>
    <x v="311"/>
    <x v="946"/>
    <x v="1"/>
    <x v="0"/>
  </r>
  <r>
    <n v="3729"/>
    <x v="1844"/>
    <x v="410"/>
    <d v="2017-06-11T00:00:00"/>
    <s v="Standard Class"/>
    <x v="538"/>
    <s v="Janet Lee"/>
    <x v="0"/>
    <s v="United States"/>
    <s v="Newark"/>
    <x v="13"/>
    <n v="19711"/>
    <x v="3"/>
    <x v="1508"/>
    <x v="1"/>
    <x v="2"/>
    <x v="1495"/>
    <x v="1801"/>
    <x v="1"/>
    <x v="0"/>
  </r>
  <r>
    <n v="3730"/>
    <x v="1845"/>
    <x v="227"/>
    <d v="2016-09-23T00:00:00"/>
    <s v="Standard Class"/>
    <x v="175"/>
    <s v="Ken Heidel"/>
    <x v="1"/>
    <s v="United States"/>
    <s v="Clinton"/>
    <x v="39"/>
    <n v="20735"/>
    <x v="3"/>
    <x v="1018"/>
    <x v="1"/>
    <x v="4"/>
    <x v="1009"/>
    <x v="108"/>
    <x v="8"/>
    <x v="1"/>
  </r>
  <r>
    <n v="3731"/>
    <x v="1845"/>
    <x v="227"/>
    <d v="2016-09-23T00:00:00"/>
    <s v="Standard Class"/>
    <x v="175"/>
    <s v="Ken Heidel"/>
    <x v="1"/>
    <s v="United States"/>
    <s v="Clinton"/>
    <x v="39"/>
    <n v="20735"/>
    <x v="3"/>
    <x v="72"/>
    <x v="1"/>
    <x v="4"/>
    <x v="72"/>
    <x v="2862"/>
    <x v="8"/>
    <x v="1"/>
  </r>
  <r>
    <n v="3732"/>
    <x v="1845"/>
    <x v="227"/>
    <d v="2016-09-23T00:00:00"/>
    <s v="Standard Class"/>
    <x v="175"/>
    <s v="Ken Heidel"/>
    <x v="1"/>
    <s v="United States"/>
    <s v="Clinton"/>
    <x v="39"/>
    <n v="20735"/>
    <x v="3"/>
    <x v="1577"/>
    <x v="2"/>
    <x v="7"/>
    <x v="1568"/>
    <x v="2863"/>
    <x v="8"/>
    <x v="1"/>
  </r>
  <r>
    <n v="3733"/>
    <x v="1845"/>
    <x v="227"/>
    <d v="2016-09-23T00:00:00"/>
    <s v="Standard Class"/>
    <x v="175"/>
    <s v="Ken Heidel"/>
    <x v="1"/>
    <s v="United States"/>
    <s v="Clinton"/>
    <x v="39"/>
    <n v="20735"/>
    <x v="3"/>
    <x v="1149"/>
    <x v="2"/>
    <x v="7"/>
    <x v="1137"/>
    <x v="2864"/>
    <x v="8"/>
    <x v="1"/>
  </r>
  <r>
    <n v="3734"/>
    <x v="1845"/>
    <x v="227"/>
    <d v="2016-09-23T00:00:00"/>
    <s v="Standard Class"/>
    <x v="175"/>
    <s v="Ken Heidel"/>
    <x v="1"/>
    <s v="United States"/>
    <s v="Clinton"/>
    <x v="39"/>
    <n v="20735"/>
    <x v="3"/>
    <x v="1526"/>
    <x v="1"/>
    <x v="8"/>
    <x v="1513"/>
    <x v="2865"/>
    <x v="8"/>
    <x v="1"/>
  </r>
  <r>
    <n v="3735"/>
    <x v="1846"/>
    <x v="904"/>
    <d v="2018-03-11T00:00:00"/>
    <s v="Second Class"/>
    <x v="717"/>
    <s v="Roland Murray"/>
    <x v="0"/>
    <s v="United States"/>
    <s v="New York City"/>
    <x v="15"/>
    <n v="10011"/>
    <x v="3"/>
    <x v="145"/>
    <x v="1"/>
    <x v="10"/>
    <x v="146"/>
    <x v="970"/>
    <x v="10"/>
    <x v="3"/>
  </r>
  <r>
    <n v="3736"/>
    <x v="1846"/>
    <x v="904"/>
    <d v="2018-03-11T00:00:00"/>
    <s v="Second Class"/>
    <x v="717"/>
    <s v="Roland Murray"/>
    <x v="0"/>
    <s v="United States"/>
    <s v="New York City"/>
    <x v="15"/>
    <n v="10011"/>
    <x v="3"/>
    <x v="928"/>
    <x v="0"/>
    <x v="5"/>
    <x v="921"/>
    <x v="2866"/>
    <x v="10"/>
    <x v="3"/>
  </r>
  <r>
    <n v="3737"/>
    <x v="1847"/>
    <x v="716"/>
    <d v="2017-03-17T00:00:00"/>
    <s v="Same Day"/>
    <x v="718"/>
    <s v="Vivian Mathis"/>
    <x v="0"/>
    <s v="United States"/>
    <s v="Newark"/>
    <x v="13"/>
    <n v="19711"/>
    <x v="3"/>
    <x v="1417"/>
    <x v="2"/>
    <x v="7"/>
    <x v="1405"/>
    <x v="2214"/>
    <x v="10"/>
    <x v="0"/>
  </r>
  <r>
    <n v="3738"/>
    <x v="1847"/>
    <x v="716"/>
    <d v="2017-03-17T00:00:00"/>
    <s v="Same Day"/>
    <x v="718"/>
    <s v="Vivian Mathis"/>
    <x v="0"/>
    <s v="United States"/>
    <s v="Newark"/>
    <x v="13"/>
    <n v="19711"/>
    <x v="3"/>
    <x v="1526"/>
    <x v="1"/>
    <x v="8"/>
    <x v="1513"/>
    <x v="2867"/>
    <x v="10"/>
    <x v="0"/>
  </r>
  <r>
    <n v="3739"/>
    <x v="1848"/>
    <x v="10"/>
    <d v="2017-12-13T00:00:00"/>
    <s v="Standard Class"/>
    <x v="109"/>
    <s v="Logan Haushalter"/>
    <x v="0"/>
    <s v="United States"/>
    <s v="Jackson"/>
    <x v="12"/>
    <n v="49201"/>
    <x v="2"/>
    <x v="47"/>
    <x v="2"/>
    <x v="7"/>
    <x v="47"/>
    <x v="2868"/>
    <x v="4"/>
    <x v="0"/>
  </r>
  <r>
    <n v="3740"/>
    <x v="1848"/>
    <x v="10"/>
    <d v="2017-12-13T00:00:00"/>
    <s v="Standard Class"/>
    <x v="109"/>
    <s v="Logan Haushalter"/>
    <x v="0"/>
    <s v="United States"/>
    <s v="Jackson"/>
    <x v="12"/>
    <n v="49201"/>
    <x v="2"/>
    <x v="1016"/>
    <x v="2"/>
    <x v="11"/>
    <x v="1007"/>
    <x v="2759"/>
    <x v="4"/>
    <x v="0"/>
  </r>
  <r>
    <n v="3741"/>
    <x v="1848"/>
    <x v="10"/>
    <d v="2017-12-13T00:00:00"/>
    <s v="Standard Class"/>
    <x v="109"/>
    <s v="Logan Haushalter"/>
    <x v="0"/>
    <s v="United States"/>
    <s v="Jackson"/>
    <x v="12"/>
    <n v="49201"/>
    <x v="2"/>
    <x v="14"/>
    <x v="1"/>
    <x v="9"/>
    <x v="14"/>
    <x v="2869"/>
    <x v="4"/>
    <x v="0"/>
  </r>
  <r>
    <n v="3742"/>
    <x v="1849"/>
    <x v="804"/>
    <d v="2017-01-21T00:00:00"/>
    <s v="Standard Class"/>
    <x v="576"/>
    <s v="William Brown"/>
    <x v="0"/>
    <s v="United States"/>
    <s v="New York City"/>
    <x v="15"/>
    <n v="10011"/>
    <x v="3"/>
    <x v="318"/>
    <x v="1"/>
    <x v="12"/>
    <x v="318"/>
    <x v="1045"/>
    <x v="9"/>
    <x v="0"/>
  </r>
  <r>
    <n v="3743"/>
    <x v="1849"/>
    <x v="804"/>
    <d v="2017-01-21T00:00:00"/>
    <s v="Standard Class"/>
    <x v="576"/>
    <s v="William Brown"/>
    <x v="0"/>
    <s v="United States"/>
    <s v="New York City"/>
    <x v="15"/>
    <n v="10011"/>
    <x v="3"/>
    <x v="1283"/>
    <x v="1"/>
    <x v="10"/>
    <x v="1268"/>
    <x v="1817"/>
    <x v="9"/>
    <x v="0"/>
  </r>
  <r>
    <n v="3744"/>
    <x v="1849"/>
    <x v="804"/>
    <d v="2017-01-21T00:00:00"/>
    <s v="Standard Class"/>
    <x v="576"/>
    <s v="William Brown"/>
    <x v="0"/>
    <s v="United States"/>
    <s v="New York City"/>
    <x v="15"/>
    <n v="10011"/>
    <x v="3"/>
    <x v="340"/>
    <x v="1"/>
    <x v="8"/>
    <x v="340"/>
    <x v="361"/>
    <x v="9"/>
    <x v="0"/>
  </r>
  <r>
    <n v="3745"/>
    <x v="1850"/>
    <x v="745"/>
    <d v="2015-10-24T00:00:00"/>
    <s v="Same Day"/>
    <x v="275"/>
    <s v="Arthur Prichep"/>
    <x v="0"/>
    <s v="United States"/>
    <s v="Rock Hill"/>
    <x v="20"/>
    <n v="29730"/>
    <x v="0"/>
    <x v="1432"/>
    <x v="1"/>
    <x v="13"/>
    <x v="1420"/>
    <x v="2870"/>
    <x v="2"/>
    <x v="2"/>
  </r>
  <r>
    <n v="3746"/>
    <x v="1851"/>
    <x v="713"/>
    <d v="2017-09-28T00:00:00"/>
    <s v="Second Class"/>
    <x v="154"/>
    <s v="Russell Applegate"/>
    <x v="0"/>
    <s v="United States"/>
    <s v="Columbus"/>
    <x v="32"/>
    <n v="31907"/>
    <x v="0"/>
    <x v="392"/>
    <x v="1"/>
    <x v="4"/>
    <x v="393"/>
    <x v="2871"/>
    <x v="8"/>
    <x v="0"/>
  </r>
  <r>
    <n v="3747"/>
    <x v="1851"/>
    <x v="713"/>
    <d v="2017-09-28T00:00:00"/>
    <s v="Second Class"/>
    <x v="154"/>
    <s v="Russell Applegate"/>
    <x v="0"/>
    <s v="United States"/>
    <s v="Columbus"/>
    <x v="32"/>
    <n v="31907"/>
    <x v="0"/>
    <x v="1265"/>
    <x v="0"/>
    <x v="1"/>
    <x v="1249"/>
    <x v="2363"/>
    <x v="8"/>
    <x v="0"/>
  </r>
  <r>
    <n v="3748"/>
    <x v="1852"/>
    <x v="151"/>
    <d v="2018-08-29T00:00:00"/>
    <s v="Second Class"/>
    <x v="112"/>
    <s v="Dan Reichenbach"/>
    <x v="1"/>
    <s v="United States"/>
    <s v="Inglewood"/>
    <x v="1"/>
    <n v="90301"/>
    <x v="1"/>
    <x v="1071"/>
    <x v="0"/>
    <x v="5"/>
    <x v="1060"/>
    <x v="1403"/>
    <x v="6"/>
    <x v="3"/>
  </r>
  <r>
    <n v="3749"/>
    <x v="1852"/>
    <x v="151"/>
    <d v="2018-08-29T00:00:00"/>
    <s v="Second Class"/>
    <x v="112"/>
    <s v="Dan Reichenbach"/>
    <x v="1"/>
    <s v="United States"/>
    <s v="Inglewood"/>
    <x v="1"/>
    <n v="90301"/>
    <x v="1"/>
    <x v="1429"/>
    <x v="1"/>
    <x v="9"/>
    <x v="1417"/>
    <x v="2872"/>
    <x v="6"/>
    <x v="3"/>
  </r>
  <r>
    <n v="3750"/>
    <x v="1852"/>
    <x v="151"/>
    <d v="2018-08-29T00:00:00"/>
    <s v="Second Class"/>
    <x v="112"/>
    <s v="Dan Reichenbach"/>
    <x v="1"/>
    <s v="United States"/>
    <s v="Inglewood"/>
    <x v="1"/>
    <n v="90301"/>
    <x v="1"/>
    <x v="1572"/>
    <x v="2"/>
    <x v="16"/>
    <x v="1563"/>
    <x v="2873"/>
    <x v="6"/>
    <x v="3"/>
  </r>
  <r>
    <n v="3751"/>
    <x v="1852"/>
    <x v="151"/>
    <d v="2018-08-29T00:00:00"/>
    <s v="Second Class"/>
    <x v="112"/>
    <s v="Dan Reichenbach"/>
    <x v="1"/>
    <s v="United States"/>
    <s v="Inglewood"/>
    <x v="1"/>
    <n v="90301"/>
    <x v="1"/>
    <x v="675"/>
    <x v="1"/>
    <x v="14"/>
    <x v="675"/>
    <x v="158"/>
    <x v="6"/>
    <x v="3"/>
  </r>
  <r>
    <n v="3752"/>
    <x v="1852"/>
    <x v="151"/>
    <d v="2018-08-29T00:00:00"/>
    <s v="Second Class"/>
    <x v="112"/>
    <s v="Dan Reichenbach"/>
    <x v="1"/>
    <s v="United States"/>
    <s v="Inglewood"/>
    <x v="1"/>
    <n v="90301"/>
    <x v="1"/>
    <x v="370"/>
    <x v="0"/>
    <x v="1"/>
    <x v="371"/>
    <x v="2145"/>
    <x v="6"/>
    <x v="3"/>
  </r>
  <r>
    <n v="3753"/>
    <x v="1852"/>
    <x v="151"/>
    <d v="2018-08-29T00:00:00"/>
    <s v="Second Class"/>
    <x v="112"/>
    <s v="Dan Reichenbach"/>
    <x v="1"/>
    <s v="United States"/>
    <s v="Inglewood"/>
    <x v="1"/>
    <n v="90301"/>
    <x v="1"/>
    <x v="968"/>
    <x v="1"/>
    <x v="10"/>
    <x v="961"/>
    <x v="2207"/>
    <x v="6"/>
    <x v="3"/>
  </r>
  <r>
    <n v="3754"/>
    <x v="1852"/>
    <x v="151"/>
    <d v="2018-08-29T00:00:00"/>
    <s v="Second Class"/>
    <x v="112"/>
    <s v="Dan Reichenbach"/>
    <x v="1"/>
    <s v="United States"/>
    <s v="Inglewood"/>
    <x v="1"/>
    <n v="90301"/>
    <x v="1"/>
    <x v="115"/>
    <x v="1"/>
    <x v="8"/>
    <x v="115"/>
    <x v="841"/>
    <x v="6"/>
    <x v="3"/>
  </r>
  <r>
    <n v="3755"/>
    <x v="1852"/>
    <x v="151"/>
    <d v="2018-08-29T00:00:00"/>
    <s v="Second Class"/>
    <x v="112"/>
    <s v="Dan Reichenbach"/>
    <x v="1"/>
    <s v="United States"/>
    <s v="Inglewood"/>
    <x v="1"/>
    <n v="90301"/>
    <x v="1"/>
    <x v="1043"/>
    <x v="1"/>
    <x v="4"/>
    <x v="1032"/>
    <x v="1367"/>
    <x v="6"/>
    <x v="3"/>
  </r>
  <r>
    <n v="3756"/>
    <x v="1853"/>
    <x v="840"/>
    <d v="2017-03-06T00:00:00"/>
    <s v="First Class"/>
    <x v="684"/>
    <s v="Jason Gross"/>
    <x v="1"/>
    <s v="United States"/>
    <s v="Odessa"/>
    <x v="5"/>
    <n v="79762"/>
    <x v="2"/>
    <x v="827"/>
    <x v="1"/>
    <x v="10"/>
    <x v="823"/>
    <x v="2874"/>
    <x v="10"/>
    <x v="0"/>
  </r>
  <r>
    <n v="3757"/>
    <x v="1853"/>
    <x v="840"/>
    <d v="2017-03-06T00:00:00"/>
    <s v="First Class"/>
    <x v="684"/>
    <s v="Jason Gross"/>
    <x v="1"/>
    <s v="United States"/>
    <s v="Odessa"/>
    <x v="5"/>
    <n v="79762"/>
    <x v="2"/>
    <x v="1578"/>
    <x v="0"/>
    <x v="1"/>
    <x v="1569"/>
    <x v="2875"/>
    <x v="10"/>
    <x v="0"/>
  </r>
  <r>
    <n v="3758"/>
    <x v="1854"/>
    <x v="905"/>
    <d v="2017-03-04T00:00:00"/>
    <s v="Standard Class"/>
    <x v="48"/>
    <s v="Lena Cacioppo"/>
    <x v="0"/>
    <s v="United States"/>
    <s v="Newark"/>
    <x v="24"/>
    <n v="43055"/>
    <x v="3"/>
    <x v="1500"/>
    <x v="1"/>
    <x v="6"/>
    <x v="1488"/>
    <x v="2876"/>
    <x v="11"/>
    <x v="0"/>
  </r>
  <r>
    <n v="3759"/>
    <x v="1855"/>
    <x v="227"/>
    <d v="2016-09-23T00:00:00"/>
    <s v="Standard Class"/>
    <x v="334"/>
    <s v="George Bell"/>
    <x v="1"/>
    <s v="United States"/>
    <s v="Los Angeles"/>
    <x v="1"/>
    <n v="90049"/>
    <x v="1"/>
    <x v="241"/>
    <x v="1"/>
    <x v="6"/>
    <x v="242"/>
    <x v="2582"/>
    <x v="8"/>
    <x v="1"/>
  </r>
  <r>
    <n v="3760"/>
    <x v="1855"/>
    <x v="227"/>
    <d v="2016-09-23T00:00:00"/>
    <s v="Standard Class"/>
    <x v="334"/>
    <s v="George Bell"/>
    <x v="1"/>
    <s v="United States"/>
    <s v="Los Angeles"/>
    <x v="1"/>
    <n v="90049"/>
    <x v="1"/>
    <x v="1566"/>
    <x v="1"/>
    <x v="14"/>
    <x v="1557"/>
    <x v="2877"/>
    <x v="8"/>
    <x v="1"/>
  </r>
  <r>
    <n v="3761"/>
    <x v="1855"/>
    <x v="227"/>
    <d v="2016-09-23T00:00:00"/>
    <s v="Standard Class"/>
    <x v="334"/>
    <s v="George Bell"/>
    <x v="1"/>
    <s v="United States"/>
    <s v="Los Angeles"/>
    <x v="1"/>
    <n v="90049"/>
    <x v="1"/>
    <x v="1122"/>
    <x v="0"/>
    <x v="5"/>
    <x v="1110"/>
    <x v="2878"/>
    <x v="8"/>
    <x v="1"/>
  </r>
  <r>
    <n v="3762"/>
    <x v="1856"/>
    <x v="605"/>
    <d v="2018-05-17T00:00:00"/>
    <s v="Standard Class"/>
    <x v="237"/>
    <s v="Chloris Kastensmidt"/>
    <x v="0"/>
    <s v="United States"/>
    <s v="Everett"/>
    <x v="31"/>
    <n v="2149"/>
    <x v="3"/>
    <x v="161"/>
    <x v="1"/>
    <x v="10"/>
    <x v="1295"/>
    <x v="2879"/>
    <x v="5"/>
    <x v="3"/>
  </r>
  <r>
    <n v="3763"/>
    <x v="1857"/>
    <x v="572"/>
    <d v="2017-08-18T00:00:00"/>
    <s v="Second Class"/>
    <x v="378"/>
    <s v="Theresa Swint"/>
    <x v="1"/>
    <s v="United States"/>
    <s v="West Allis"/>
    <x v="6"/>
    <n v="53214"/>
    <x v="2"/>
    <x v="430"/>
    <x v="0"/>
    <x v="0"/>
    <x v="430"/>
    <x v="1776"/>
    <x v="6"/>
    <x v="0"/>
  </r>
  <r>
    <n v="3764"/>
    <x v="1857"/>
    <x v="572"/>
    <d v="2017-08-18T00:00:00"/>
    <s v="Second Class"/>
    <x v="378"/>
    <s v="Theresa Swint"/>
    <x v="1"/>
    <s v="United States"/>
    <s v="West Allis"/>
    <x v="6"/>
    <n v="53214"/>
    <x v="2"/>
    <x v="798"/>
    <x v="1"/>
    <x v="8"/>
    <x v="796"/>
    <x v="2880"/>
    <x v="6"/>
    <x v="0"/>
  </r>
  <r>
    <n v="3765"/>
    <x v="1858"/>
    <x v="906"/>
    <d v="2018-03-02T00:00:00"/>
    <s v="Standard Class"/>
    <x v="659"/>
    <s v="Michelle Huthwaite"/>
    <x v="0"/>
    <s v="United States"/>
    <s v="Chicago"/>
    <x v="10"/>
    <n v="60623"/>
    <x v="2"/>
    <x v="98"/>
    <x v="1"/>
    <x v="8"/>
    <x v="98"/>
    <x v="99"/>
    <x v="11"/>
    <x v="3"/>
  </r>
  <r>
    <n v="3766"/>
    <x v="1859"/>
    <x v="844"/>
    <d v="2017-03-25T00:00:00"/>
    <s v="Standard Class"/>
    <x v="678"/>
    <s v="Dario Medina"/>
    <x v="1"/>
    <s v="United States"/>
    <s v="Houston"/>
    <x v="5"/>
    <n v="77036"/>
    <x v="2"/>
    <x v="1169"/>
    <x v="0"/>
    <x v="3"/>
    <x v="1156"/>
    <x v="2742"/>
    <x v="10"/>
    <x v="0"/>
  </r>
  <r>
    <n v="3767"/>
    <x v="1859"/>
    <x v="844"/>
    <d v="2017-03-25T00:00:00"/>
    <s v="Standard Class"/>
    <x v="678"/>
    <s v="Dario Medina"/>
    <x v="1"/>
    <s v="United States"/>
    <s v="Houston"/>
    <x v="5"/>
    <n v="77036"/>
    <x v="2"/>
    <x v="59"/>
    <x v="1"/>
    <x v="6"/>
    <x v="59"/>
    <x v="2000"/>
    <x v="10"/>
    <x v="0"/>
  </r>
  <r>
    <n v="3768"/>
    <x v="1860"/>
    <x v="575"/>
    <d v="2016-12-10T00:00:00"/>
    <s v="Second Class"/>
    <x v="342"/>
    <s v="Joel Jenkins"/>
    <x v="2"/>
    <s v="United States"/>
    <s v="Houston"/>
    <x v="5"/>
    <n v="77036"/>
    <x v="2"/>
    <x v="173"/>
    <x v="2"/>
    <x v="7"/>
    <x v="174"/>
    <x v="664"/>
    <x v="4"/>
    <x v="1"/>
  </r>
  <r>
    <n v="3769"/>
    <x v="1861"/>
    <x v="757"/>
    <d v="2015-12-20T00:00:00"/>
    <s v="Second Class"/>
    <x v="10"/>
    <s v="Ken Black"/>
    <x v="1"/>
    <s v="United States"/>
    <s v="Hialeah"/>
    <x v="2"/>
    <n v="33012"/>
    <x v="0"/>
    <x v="1153"/>
    <x v="0"/>
    <x v="1"/>
    <x v="1141"/>
    <x v="2881"/>
    <x v="4"/>
    <x v="2"/>
  </r>
  <r>
    <n v="3770"/>
    <x v="1861"/>
    <x v="757"/>
    <d v="2015-12-20T00:00:00"/>
    <s v="Second Class"/>
    <x v="10"/>
    <s v="Ken Black"/>
    <x v="1"/>
    <s v="United States"/>
    <s v="Hialeah"/>
    <x v="2"/>
    <n v="33012"/>
    <x v="0"/>
    <x v="310"/>
    <x v="1"/>
    <x v="13"/>
    <x v="310"/>
    <x v="2882"/>
    <x v="4"/>
    <x v="2"/>
  </r>
  <r>
    <n v="3771"/>
    <x v="1862"/>
    <x v="907"/>
    <d v="2017-12-21T00:00:00"/>
    <s v="Standard Class"/>
    <x v="380"/>
    <s v="Charles McCrossin"/>
    <x v="0"/>
    <s v="United States"/>
    <s v="San Francisco"/>
    <x v="1"/>
    <n v="94122"/>
    <x v="1"/>
    <x v="489"/>
    <x v="0"/>
    <x v="3"/>
    <x v="489"/>
    <x v="2883"/>
    <x v="4"/>
    <x v="0"/>
  </r>
  <r>
    <n v="3772"/>
    <x v="1863"/>
    <x v="536"/>
    <d v="2017-05-17T00:00:00"/>
    <s v="Standard Class"/>
    <x v="524"/>
    <s v="Filia McAdams"/>
    <x v="1"/>
    <s v="United States"/>
    <s v="Philadelphia"/>
    <x v="9"/>
    <n v="19140"/>
    <x v="3"/>
    <x v="232"/>
    <x v="1"/>
    <x v="4"/>
    <x v="233"/>
    <x v="249"/>
    <x v="5"/>
    <x v="0"/>
  </r>
  <r>
    <n v="3773"/>
    <x v="1864"/>
    <x v="908"/>
    <d v="2015-08-11T00:00:00"/>
    <s v="Second Class"/>
    <x v="288"/>
    <s v="Roland Fjeld"/>
    <x v="0"/>
    <s v="United States"/>
    <s v="Columbia"/>
    <x v="20"/>
    <n v="29203"/>
    <x v="0"/>
    <x v="917"/>
    <x v="2"/>
    <x v="11"/>
    <x v="909"/>
    <x v="2884"/>
    <x v="6"/>
    <x v="2"/>
  </r>
  <r>
    <n v="3774"/>
    <x v="1865"/>
    <x v="909"/>
    <d v="2015-04-13T00:00:00"/>
    <s v="Second Class"/>
    <x v="271"/>
    <s v="Jay Kimmel"/>
    <x v="0"/>
    <s v="United States"/>
    <s v="Miami"/>
    <x v="2"/>
    <n v="33180"/>
    <x v="0"/>
    <x v="1579"/>
    <x v="1"/>
    <x v="13"/>
    <x v="1570"/>
    <x v="2721"/>
    <x v="3"/>
    <x v="2"/>
  </r>
  <r>
    <n v="3775"/>
    <x v="1865"/>
    <x v="909"/>
    <d v="2015-04-13T00:00:00"/>
    <s v="Second Class"/>
    <x v="271"/>
    <s v="Jay Kimmel"/>
    <x v="0"/>
    <s v="United States"/>
    <s v="Miami"/>
    <x v="2"/>
    <n v="33180"/>
    <x v="0"/>
    <x v="265"/>
    <x v="2"/>
    <x v="11"/>
    <x v="265"/>
    <x v="2885"/>
    <x v="3"/>
    <x v="2"/>
  </r>
  <r>
    <n v="3776"/>
    <x v="1865"/>
    <x v="909"/>
    <d v="2015-04-13T00:00:00"/>
    <s v="Second Class"/>
    <x v="271"/>
    <s v="Jay Kimmel"/>
    <x v="0"/>
    <s v="United States"/>
    <s v="Miami"/>
    <x v="2"/>
    <n v="33180"/>
    <x v="0"/>
    <x v="815"/>
    <x v="1"/>
    <x v="10"/>
    <x v="811"/>
    <x v="559"/>
    <x v="3"/>
    <x v="2"/>
  </r>
  <r>
    <n v="3777"/>
    <x v="1865"/>
    <x v="909"/>
    <d v="2015-04-13T00:00:00"/>
    <s v="Second Class"/>
    <x v="271"/>
    <s v="Jay Kimmel"/>
    <x v="0"/>
    <s v="United States"/>
    <s v="Miami"/>
    <x v="2"/>
    <n v="33180"/>
    <x v="0"/>
    <x v="1580"/>
    <x v="2"/>
    <x v="11"/>
    <x v="1571"/>
    <x v="2886"/>
    <x v="3"/>
    <x v="2"/>
  </r>
  <r>
    <n v="3778"/>
    <x v="1866"/>
    <x v="910"/>
    <d v="2016-05-08T00:00:00"/>
    <s v="Standard Class"/>
    <x v="674"/>
    <s v="Julia Barnett"/>
    <x v="2"/>
    <s v="United States"/>
    <s v="Chula Vista"/>
    <x v="1"/>
    <n v="91911"/>
    <x v="1"/>
    <x v="1319"/>
    <x v="0"/>
    <x v="5"/>
    <x v="1305"/>
    <x v="16"/>
    <x v="5"/>
    <x v="1"/>
  </r>
  <r>
    <n v="3779"/>
    <x v="1867"/>
    <x v="329"/>
    <d v="2018-12-02T00:00:00"/>
    <s v="Second Class"/>
    <x v="43"/>
    <s v="Parhena Norris"/>
    <x v="2"/>
    <s v="United States"/>
    <s v="Miami"/>
    <x v="2"/>
    <n v="33180"/>
    <x v="0"/>
    <x v="993"/>
    <x v="2"/>
    <x v="7"/>
    <x v="985"/>
    <x v="973"/>
    <x v="0"/>
    <x v="3"/>
  </r>
  <r>
    <n v="3780"/>
    <x v="1868"/>
    <x v="911"/>
    <d v="2018-02-20T00:00:00"/>
    <s v="Standard Class"/>
    <x v="166"/>
    <s v="Luke Foster"/>
    <x v="0"/>
    <s v="United States"/>
    <s v="New York City"/>
    <x v="15"/>
    <n v="10035"/>
    <x v="3"/>
    <x v="423"/>
    <x v="1"/>
    <x v="10"/>
    <x v="423"/>
    <x v="2428"/>
    <x v="11"/>
    <x v="3"/>
  </r>
  <r>
    <n v="3781"/>
    <x v="1869"/>
    <x v="912"/>
    <d v="2015-11-20T00:00:00"/>
    <s v="Standard Class"/>
    <x v="563"/>
    <s v="Rick Huthwaite"/>
    <x v="2"/>
    <s v="United States"/>
    <s v="Manhattan"/>
    <x v="41"/>
    <n v="66502"/>
    <x v="2"/>
    <x v="1075"/>
    <x v="2"/>
    <x v="7"/>
    <x v="1065"/>
    <x v="2887"/>
    <x v="0"/>
    <x v="2"/>
  </r>
  <r>
    <n v="3782"/>
    <x v="1870"/>
    <x v="584"/>
    <d v="2016-07-14T00:00:00"/>
    <s v="Second Class"/>
    <x v="430"/>
    <s v="Matt Collins"/>
    <x v="0"/>
    <s v="United States"/>
    <s v="Philadelphia"/>
    <x v="9"/>
    <n v="19120"/>
    <x v="3"/>
    <x v="1334"/>
    <x v="2"/>
    <x v="7"/>
    <x v="1319"/>
    <x v="2888"/>
    <x v="7"/>
    <x v="1"/>
  </r>
  <r>
    <n v="3783"/>
    <x v="1871"/>
    <x v="38"/>
    <d v="2018-11-16T00:00:00"/>
    <s v="Second Class"/>
    <x v="438"/>
    <s v="Michael Nguyen"/>
    <x v="0"/>
    <s v="United States"/>
    <s v="Memphis"/>
    <x v="18"/>
    <n v="38109"/>
    <x v="0"/>
    <x v="1101"/>
    <x v="1"/>
    <x v="10"/>
    <x v="1090"/>
    <x v="821"/>
    <x v="0"/>
    <x v="3"/>
  </r>
  <r>
    <n v="3784"/>
    <x v="1871"/>
    <x v="38"/>
    <d v="2018-11-16T00:00:00"/>
    <s v="Second Class"/>
    <x v="438"/>
    <s v="Michael Nguyen"/>
    <x v="0"/>
    <s v="United States"/>
    <s v="Memphis"/>
    <x v="18"/>
    <n v="38109"/>
    <x v="0"/>
    <x v="906"/>
    <x v="1"/>
    <x v="4"/>
    <x v="898"/>
    <x v="2889"/>
    <x v="0"/>
    <x v="3"/>
  </r>
  <r>
    <n v="3785"/>
    <x v="1872"/>
    <x v="689"/>
    <d v="2018-08-04T00:00:00"/>
    <s v="Standard Class"/>
    <x v="258"/>
    <s v="Eugene Hildebrand"/>
    <x v="2"/>
    <s v="United States"/>
    <s v="Fort Lauderdale"/>
    <x v="2"/>
    <n v="33311"/>
    <x v="0"/>
    <x v="1113"/>
    <x v="2"/>
    <x v="11"/>
    <x v="1102"/>
    <x v="2890"/>
    <x v="7"/>
    <x v="3"/>
  </r>
  <r>
    <n v="3786"/>
    <x v="1873"/>
    <x v="377"/>
    <d v="2018-12-30T00:00:00"/>
    <s v="Standard Class"/>
    <x v="426"/>
    <s v="Tracy Collins"/>
    <x v="2"/>
    <s v="United States"/>
    <s v="Columbus"/>
    <x v="24"/>
    <n v="43229"/>
    <x v="3"/>
    <x v="1581"/>
    <x v="1"/>
    <x v="8"/>
    <x v="1572"/>
    <x v="2891"/>
    <x v="4"/>
    <x v="3"/>
  </r>
  <r>
    <n v="3787"/>
    <x v="1874"/>
    <x v="731"/>
    <d v="2017-11-04T00:00:00"/>
    <s v="Standard Class"/>
    <x v="63"/>
    <s v="Jonathan Doherty"/>
    <x v="1"/>
    <s v="United States"/>
    <s v="Los Angeles"/>
    <x v="1"/>
    <n v="90045"/>
    <x v="1"/>
    <x v="1449"/>
    <x v="1"/>
    <x v="4"/>
    <x v="1436"/>
    <x v="2892"/>
    <x v="2"/>
    <x v="0"/>
  </r>
  <r>
    <n v="3788"/>
    <x v="1875"/>
    <x v="913"/>
    <d v="2017-09-09T00:00:00"/>
    <s v="Standard Class"/>
    <x v="582"/>
    <s v="Ivan Liston"/>
    <x v="0"/>
    <s v="United States"/>
    <s v="Houston"/>
    <x v="5"/>
    <n v="77041"/>
    <x v="2"/>
    <x v="282"/>
    <x v="1"/>
    <x v="6"/>
    <x v="282"/>
    <x v="2893"/>
    <x v="8"/>
    <x v="0"/>
  </r>
  <r>
    <n v="3789"/>
    <x v="1875"/>
    <x v="913"/>
    <d v="2017-09-09T00:00:00"/>
    <s v="Standard Class"/>
    <x v="582"/>
    <s v="Ivan Liston"/>
    <x v="0"/>
    <s v="United States"/>
    <s v="Houston"/>
    <x v="5"/>
    <n v="77041"/>
    <x v="2"/>
    <x v="1062"/>
    <x v="1"/>
    <x v="6"/>
    <x v="1051"/>
    <x v="2894"/>
    <x v="8"/>
    <x v="0"/>
  </r>
  <r>
    <n v="3790"/>
    <x v="1876"/>
    <x v="764"/>
    <d v="2017-04-21T00:00:00"/>
    <s v="Standard Class"/>
    <x v="680"/>
    <s v="Sean Wendt"/>
    <x v="2"/>
    <s v="United States"/>
    <s v="Omaha"/>
    <x v="8"/>
    <n v="68104"/>
    <x v="2"/>
    <x v="195"/>
    <x v="1"/>
    <x v="13"/>
    <x v="196"/>
    <x v="2895"/>
    <x v="3"/>
    <x v="0"/>
  </r>
  <r>
    <n v="3791"/>
    <x v="1877"/>
    <x v="260"/>
    <d v="2015-07-11T00:00:00"/>
    <s v="Standard Class"/>
    <x v="503"/>
    <s v="Dennis Pardue"/>
    <x v="2"/>
    <s v="United States"/>
    <s v="Los Angeles"/>
    <x v="1"/>
    <n v="90004"/>
    <x v="1"/>
    <x v="443"/>
    <x v="1"/>
    <x v="8"/>
    <x v="443"/>
    <x v="2131"/>
    <x v="7"/>
    <x v="2"/>
  </r>
  <r>
    <n v="3792"/>
    <x v="1878"/>
    <x v="914"/>
    <d v="2016-02-28T00:00:00"/>
    <s v="First Class"/>
    <x v="387"/>
    <s v="Bill Tyler"/>
    <x v="1"/>
    <s v="United States"/>
    <s v="Altoona"/>
    <x v="9"/>
    <n v="16602"/>
    <x v="3"/>
    <x v="185"/>
    <x v="1"/>
    <x v="8"/>
    <x v="186"/>
    <x v="2896"/>
    <x v="11"/>
    <x v="1"/>
  </r>
  <r>
    <n v="3793"/>
    <x v="1878"/>
    <x v="914"/>
    <d v="2016-02-28T00:00:00"/>
    <s v="First Class"/>
    <x v="387"/>
    <s v="Bill Tyler"/>
    <x v="1"/>
    <s v="United States"/>
    <s v="Altoona"/>
    <x v="9"/>
    <n v="16602"/>
    <x v="3"/>
    <x v="1216"/>
    <x v="1"/>
    <x v="6"/>
    <x v="1200"/>
    <x v="2897"/>
    <x v="11"/>
    <x v="1"/>
  </r>
  <r>
    <n v="3794"/>
    <x v="1879"/>
    <x v="154"/>
    <d v="2016-12-01T00:00:00"/>
    <s v="Standard Class"/>
    <x v="188"/>
    <s v="Jeremy Ellison"/>
    <x v="0"/>
    <s v="United States"/>
    <s v="New York City"/>
    <x v="15"/>
    <n v="10024"/>
    <x v="3"/>
    <x v="1068"/>
    <x v="1"/>
    <x v="6"/>
    <x v="1057"/>
    <x v="1400"/>
    <x v="0"/>
    <x v="1"/>
  </r>
  <r>
    <n v="3795"/>
    <x v="1880"/>
    <x v="915"/>
    <d v="2015-02-02T00:00:00"/>
    <s v="Standard Class"/>
    <x v="719"/>
    <s v="Ed Jacobs"/>
    <x v="0"/>
    <s v="United States"/>
    <s v="San Diego"/>
    <x v="1"/>
    <n v="92037"/>
    <x v="1"/>
    <x v="1277"/>
    <x v="1"/>
    <x v="4"/>
    <x v="1262"/>
    <x v="2898"/>
    <x v="9"/>
    <x v="2"/>
  </r>
  <r>
    <n v="3796"/>
    <x v="1880"/>
    <x v="915"/>
    <d v="2015-02-02T00:00:00"/>
    <s v="Standard Class"/>
    <x v="719"/>
    <s v="Ed Jacobs"/>
    <x v="0"/>
    <s v="United States"/>
    <s v="San Diego"/>
    <x v="1"/>
    <n v="92037"/>
    <x v="1"/>
    <x v="1582"/>
    <x v="0"/>
    <x v="3"/>
    <x v="1573"/>
    <x v="2899"/>
    <x v="9"/>
    <x v="2"/>
  </r>
  <r>
    <n v="3797"/>
    <x v="1880"/>
    <x v="915"/>
    <d v="2015-02-02T00:00:00"/>
    <s v="Standard Class"/>
    <x v="719"/>
    <s v="Ed Jacobs"/>
    <x v="0"/>
    <s v="United States"/>
    <s v="San Diego"/>
    <x v="1"/>
    <n v="92037"/>
    <x v="1"/>
    <x v="1583"/>
    <x v="1"/>
    <x v="6"/>
    <x v="1574"/>
    <x v="2900"/>
    <x v="9"/>
    <x v="2"/>
  </r>
  <r>
    <n v="3798"/>
    <x v="1881"/>
    <x v="397"/>
    <d v="2018-09-26T00:00:00"/>
    <s v="First Class"/>
    <x v="648"/>
    <s v="Bobby Elias"/>
    <x v="0"/>
    <s v="United States"/>
    <s v="Miami"/>
    <x v="2"/>
    <n v="33178"/>
    <x v="0"/>
    <x v="656"/>
    <x v="1"/>
    <x v="10"/>
    <x v="656"/>
    <x v="1140"/>
    <x v="8"/>
    <x v="3"/>
  </r>
  <r>
    <n v="3799"/>
    <x v="1882"/>
    <x v="259"/>
    <d v="2018-11-05T00:00:00"/>
    <s v="First Class"/>
    <x v="126"/>
    <s v="Kelly Lampkin"/>
    <x v="1"/>
    <s v="United States"/>
    <s v="Greensboro"/>
    <x v="3"/>
    <n v="27405"/>
    <x v="0"/>
    <x v="309"/>
    <x v="0"/>
    <x v="3"/>
    <x v="309"/>
    <x v="2901"/>
    <x v="0"/>
    <x v="3"/>
  </r>
  <r>
    <n v="3800"/>
    <x v="1882"/>
    <x v="259"/>
    <d v="2018-11-05T00:00:00"/>
    <s v="First Class"/>
    <x v="126"/>
    <s v="Kelly Lampkin"/>
    <x v="1"/>
    <s v="United States"/>
    <s v="Greensboro"/>
    <x v="3"/>
    <n v="27405"/>
    <x v="0"/>
    <x v="1194"/>
    <x v="2"/>
    <x v="7"/>
    <x v="1179"/>
    <x v="2902"/>
    <x v="0"/>
    <x v="3"/>
  </r>
  <r>
    <n v="3801"/>
    <x v="1883"/>
    <x v="500"/>
    <d v="2017-10-20T00:00:00"/>
    <s v="Standard Class"/>
    <x v="720"/>
    <s v="Nathan Cano"/>
    <x v="0"/>
    <s v="United States"/>
    <s v="Jacksonville"/>
    <x v="3"/>
    <n v="28540"/>
    <x v="0"/>
    <x v="1584"/>
    <x v="0"/>
    <x v="1"/>
    <x v="1575"/>
    <x v="2903"/>
    <x v="2"/>
    <x v="0"/>
  </r>
  <r>
    <n v="3802"/>
    <x v="1883"/>
    <x v="500"/>
    <d v="2017-10-20T00:00:00"/>
    <s v="Standard Class"/>
    <x v="720"/>
    <s v="Nathan Cano"/>
    <x v="0"/>
    <s v="United States"/>
    <s v="Jacksonville"/>
    <x v="3"/>
    <n v="28540"/>
    <x v="0"/>
    <x v="721"/>
    <x v="2"/>
    <x v="11"/>
    <x v="720"/>
    <x v="216"/>
    <x v="2"/>
    <x v="0"/>
  </r>
  <r>
    <n v="3803"/>
    <x v="1883"/>
    <x v="500"/>
    <d v="2017-10-20T00:00:00"/>
    <s v="Standard Class"/>
    <x v="720"/>
    <s v="Nathan Cano"/>
    <x v="0"/>
    <s v="United States"/>
    <s v="Jacksonville"/>
    <x v="3"/>
    <n v="28540"/>
    <x v="0"/>
    <x v="1413"/>
    <x v="1"/>
    <x v="10"/>
    <x v="1400"/>
    <x v="2502"/>
    <x v="2"/>
    <x v="0"/>
  </r>
  <r>
    <n v="3804"/>
    <x v="1883"/>
    <x v="500"/>
    <d v="2017-10-20T00:00:00"/>
    <s v="Standard Class"/>
    <x v="720"/>
    <s v="Nathan Cano"/>
    <x v="0"/>
    <s v="United States"/>
    <s v="Jacksonville"/>
    <x v="3"/>
    <n v="28540"/>
    <x v="0"/>
    <x v="1444"/>
    <x v="1"/>
    <x v="14"/>
    <x v="327"/>
    <x v="2543"/>
    <x v="2"/>
    <x v="0"/>
  </r>
  <r>
    <n v="3805"/>
    <x v="1883"/>
    <x v="500"/>
    <d v="2017-10-20T00:00:00"/>
    <s v="Standard Class"/>
    <x v="720"/>
    <s v="Nathan Cano"/>
    <x v="0"/>
    <s v="United States"/>
    <s v="Jacksonville"/>
    <x v="3"/>
    <n v="28540"/>
    <x v="0"/>
    <x v="466"/>
    <x v="1"/>
    <x v="12"/>
    <x v="467"/>
    <x v="2904"/>
    <x v="2"/>
    <x v="0"/>
  </r>
  <r>
    <n v="3806"/>
    <x v="1883"/>
    <x v="500"/>
    <d v="2017-10-20T00:00:00"/>
    <s v="Standard Class"/>
    <x v="720"/>
    <s v="Nathan Cano"/>
    <x v="0"/>
    <s v="United States"/>
    <s v="Jacksonville"/>
    <x v="3"/>
    <n v="28540"/>
    <x v="0"/>
    <x v="126"/>
    <x v="1"/>
    <x v="10"/>
    <x v="127"/>
    <x v="2905"/>
    <x v="2"/>
    <x v="0"/>
  </r>
  <r>
    <n v="3807"/>
    <x v="1884"/>
    <x v="768"/>
    <d v="2016-11-19T00:00:00"/>
    <s v="Standard Class"/>
    <x v="706"/>
    <s v="Anna Häberlin"/>
    <x v="1"/>
    <s v="United States"/>
    <s v="Plantation"/>
    <x v="2"/>
    <n v="33317"/>
    <x v="0"/>
    <x v="454"/>
    <x v="1"/>
    <x v="6"/>
    <x v="455"/>
    <x v="2660"/>
    <x v="0"/>
    <x v="1"/>
  </r>
  <r>
    <n v="3808"/>
    <x v="1884"/>
    <x v="768"/>
    <d v="2016-11-19T00:00:00"/>
    <s v="Standard Class"/>
    <x v="706"/>
    <s v="Anna Häberlin"/>
    <x v="1"/>
    <s v="United States"/>
    <s v="Plantation"/>
    <x v="2"/>
    <n v="33317"/>
    <x v="0"/>
    <x v="44"/>
    <x v="1"/>
    <x v="8"/>
    <x v="44"/>
    <x v="2906"/>
    <x v="0"/>
    <x v="1"/>
  </r>
  <r>
    <n v="3809"/>
    <x v="1884"/>
    <x v="768"/>
    <d v="2016-11-19T00:00:00"/>
    <s v="Standard Class"/>
    <x v="706"/>
    <s v="Anna Häberlin"/>
    <x v="1"/>
    <s v="United States"/>
    <s v="Plantation"/>
    <x v="2"/>
    <n v="33317"/>
    <x v="0"/>
    <x v="1472"/>
    <x v="1"/>
    <x v="8"/>
    <x v="1459"/>
    <x v="2907"/>
    <x v="0"/>
    <x v="1"/>
  </r>
  <r>
    <n v="3810"/>
    <x v="1884"/>
    <x v="768"/>
    <d v="2016-11-19T00:00:00"/>
    <s v="Standard Class"/>
    <x v="706"/>
    <s v="Anna Häberlin"/>
    <x v="1"/>
    <s v="United States"/>
    <s v="Plantation"/>
    <x v="2"/>
    <n v="33317"/>
    <x v="0"/>
    <x v="1585"/>
    <x v="0"/>
    <x v="1"/>
    <x v="1576"/>
    <x v="2908"/>
    <x v="0"/>
    <x v="1"/>
  </r>
  <r>
    <n v="3811"/>
    <x v="1884"/>
    <x v="768"/>
    <d v="2016-11-19T00:00:00"/>
    <s v="Standard Class"/>
    <x v="706"/>
    <s v="Anna Häberlin"/>
    <x v="1"/>
    <s v="United States"/>
    <s v="Plantation"/>
    <x v="2"/>
    <n v="33317"/>
    <x v="0"/>
    <x v="1066"/>
    <x v="2"/>
    <x v="7"/>
    <x v="1055"/>
    <x v="515"/>
    <x v="0"/>
    <x v="1"/>
  </r>
  <r>
    <n v="3812"/>
    <x v="1884"/>
    <x v="768"/>
    <d v="2016-11-19T00:00:00"/>
    <s v="Standard Class"/>
    <x v="706"/>
    <s v="Anna Häberlin"/>
    <x v="1"/>
    <s v="United States"/>
    <s v="Plantation"/>
    <x v="2"/>
    <n v="33317"/>
    <x v="0"/>
    <x v="212"/>
    <x v="0"/>
    <x v="1"/>
    <x v="213"/>
    <x v="2909"/>
    <x v="0"/>
    <x v="1"/>
  </r>
  <r>
    <n v="3813"/>
    <x v="1885"/>
    <x v="916"/>
    <d v="2018-03-05T00:00:00"/>
    <s v="Same Day"/>
    <x v="7"/>
    <s v="Pete Kriz"/>
    <x v="0"/>
    <s v="United States"/>
    <s v="Milwaukee"/>
    <x v="6"/>
    <n v="53209"/>
    <x v="2"/>
    <x v="1586"/>
    <x v="1"/>
    <x v="2"/>
    <x v="1577"/>
    <x v="2910"/>
    <x v="10"/>
    <x v="3"/>
  </r>
  <r>
    <n v="3814"/>
    <x v="1886"/>
    <x v="599"/>
    <d v="2016-11-09T00:00:00"/>
    <s v="Standard Class"/>
    <x v="159"/>
    <s v="Nathan Gelder"/>
    <x v="0"/>
    <s v="United States"/>
    <s v="Quincy"/>
    <x v="10"/>
    <n v="62301"/>
    <x v="2"/>
    <x v="617"/>
    <x v="1"/>
    <x v="2"/>
    <x v="617"/>
    <x v="2911"/>
    <x v="0"/>
    <x v="1"/>
  </r>
  <r>
    <n v="3815"/>
    <x v="1887"/>
    <x v="630"/>
    <d v="2017-07-08T00:00:00"/>
    <s v="Same Day"/>
    <x v="9"/>
    <s v="Zuschuss Donatelli"/>
    <x v="0"/>
    <s v="United States"/>
    <s v="Jacksonville"/>
    <x v="2"/>
    <n v="32216"/>
    <x v="0"/>
    <x v="1164"/>
    <x v="2"/>
    <x v="7"/>
    <x v="1151"/>
    <x v="2912"/>
    <x v="7"/>
    <x v="0"/>
  </r>
  <r>
    <n v="3816"/>
    <x v="1887"/>
    <x v="630"/>
    <d v="2017-07-08T00:00:00"/>
    <s v="Same Day"/>
    <x v="9"/>
    <s v="Zuschuss Donatelli"/>
    <x v="0"/>
    <s v="United States"/>
    <s v="Jacksonville"/>
    <x v="2"/>
    <n v="32216"/>
    <x v="0"/>
    <x v="112"/>
    <x v="1"/>
    <x v="10"/>
    <x v="112"/>
    <x v="2913"/>
    <x v="7"/>
    <x v="0"/>
  </r>
  <r>
    <n v="3817"/>
    <x v="1888"/>
    <x v="426"/>
    <d v="2016-09-19T00:00:00"/>
    <s v="Standard Class"/>
    <x v="508"/>
    <s v="Natalie Webber"/>
    <x v="0"/>
    <s v="United States"/>
    <s v="Mobile"/>
    <x v="19"/>
    <n v="36608"/>
    <x v="0"/>
    <x v="1382"/>
    <x v="0"/>
    <x v="3"/>
    <x v="1367"/>
    <x v="2770"/>
    <x v="8"/>
    <x v="1"/>
  </r>
  <r>
    <n v="3818"/>
    <x v="1888"/>
    <x v="426"/>
    <d v="2016-09-19T00:00:00"/>
    <s v="Standard Class"/>
    <x v="508"/>
    <s v="Natalie Webber"/>
    <x v="0"/>
    <s v="United States"/>
    <s v="Mobile"/>
    <x v="19"/>
    <n v="36608"/>
    <x v="0"/>
    <x v="1431"/>
    <x v="2"/>
    <x v="7"/>
    <x v="1419"/>
    <x v="127"/>
    <x v="8"/>
    <x v="1"/>
  </r>
  <r>
    <n v="3819"/>
    <x v="1888"/>
    <x v="426"/>
    <d v="2016-09-19T00:00:00"/>
    <s v="Standard Class"/>
    <x v="508"/>
    <s v="Natalie Webber"/>
    <x v="0"/>
    <s v="United States"/>
    <s v="Mobile"/>
    <x v="19"/>
    <n v="36608"/>
    <x v="0"/>
    <x v="531"/>
    <x v="0"/>
    <x v="1"/>
    <x v="531"/>
    <x v="2914"/>
    <x v="8"/>
    <x v="1"/>
  </r>
  <r>
    <n v="3820"/>
    <x v="1889"/>
    <x v="449"/>
    <d v="2018-10-14T00:00:00"/>
    <s v="Standard Class"/>
    <x v="668"/>
    <s v="Harry Greene"/>
    <x v="0"/>
    <s v="United States"/>
    <s v="New York City"/>
    <x v="15"/>
    <n v="10024"/>
    <x v="3"/>
    <x v="880"/>
    <x v="1"/>
    <x v="8"/>
    <x v="874"/>
    <x v="2915"/>
    <x v="2"/>
    <x v="3"/>
  </r>
  <r>
    <n v="3821"/>
    <x v="1889"/>
    <x v="449"/>
    <d v="2018-10-14T00:00:00"/>
    <s v="Standard Class"/>
    <x v="668"/>
    <s v="Harry Greene"/>
    <x v="0"/>
    <s v="United States"/>
    <s v="New York City"/>
    <x v="15"/>
    <n v="10024"/>
    <x v="3"/>
    <x v="1219"/>
    <x v="0"/>
    <x v="0"/>
    <x v="1203"/>
    <x v="2317"/>
    <x v="2"/>
    <x v="3"/>
  </r>
  <r>
    <n v="3822"/>
    <x v="1889"/>
    <x v="449"/>
    <d v="2018-10-14T00:00:00"/>
    <s v="Standard Class"/>
    <x v="668"/>
    <s v="Harry Greene"/>
    <x v="0"/>
    <s v="United States"/>
    <s v="New York City"/>
    <x v="15"/>
    <n v="10024"/>
    <x v="3"/>
    <x v="1587"/>
    <x v="1"/>
    <x v="10"/>
    <x v="1578"/>
    <x v="2916"/>
    <x v="2"/>
    <x v="3"/>
  </r>
  <r>
    <n v="3823"/>
    <x v="1889"/>
    <x v="449"/>
    <d v="2018-10-14T00:00:00"/>
    <s v="Standard Class"/>
    <x v="668"/>
    <s v="Harry Greene"/>
    <x v="0"/>
    <s v="United States"/>
    <s v="New York City"/>
    <x v="15"/>
    <n v="10024"/>
    <x v="3"/>
    <x v="1469"/>
    <x v="1"/>
    <x v="8"/>
    <x v="1456"/>
    <x v="2556"/>
    <x v="2"/>
    <x v="3"/>
  </r>
  <r>
    <n v="3824"/>
    <x v="1890"/>
    <x v="471"/>
    <d v="2016-09-18T00:00:00"/>
    <s v="Standard Class"/>
    <x v="530"/>
    <s v="Craig Carroll"/>
    <x v="0"/>
    <s v="United States"/>
    <s v="New York City"/>
    <x v="15"/>
    <n v="10011"/>
    <x v="3"/>
    <x v="546"/>
    <x v="1"/>
    <x v="4"/>
    <x v="546"/>
    <x v="2917"/>
    <x v="8"/>
    <x v="1"/>
  </r>
  <r>
    <n v="3825"/>
    <x v="1890"/>
    <x v="471"/>
    <d v="2016-09-18T00:00:00"/>
    <s v="Standard Class"/>
    <x v="530"/>
    <s v="Craig Carroll"/>
    <x v="0"/>
    <s v="United States"/>
    <s v="New York City"/>
    <x v="15"/>
    <n v="10011"/>
    <x v="3"/>
    <x v="1572"/>
    <x v="2"/>
    <x v="16"/>
    <x v="1563"/>
    <x v="2873"/>
    <x v="8"/>
    <x v="1"/>
  </r>
  <r>
    <n v="3826"/>
    <x v="1890"/>
    <x v="471"/>
    <d v="2016-09-18T00:00:00"/>
    <s v="Standard Class"/>
    <x v="530"/>
    <s v="Craig Carroll"/>
    <x v="0"/>
    <s v="United States"/>
    <s v="New York City"/>
    <x v="15"/>
    <n v="10011"/>
    <x v="3"/>
    <x v="751"/>
    <x v="1"/>
    <x v="8"/>
    <x v="749"/>
    <x v="91"/>
    <x v="8"/>
    <x v="1"/>
  </r>
  <r>
    <n v="3827"/>
    <x v="1891"/>
    <x v="273"/>
    <d v="2015-10-12T00:00:00"/>
    <s v="Standard Class"/>
    <x v="189"/>
    <s v="John Grady"/>
    <x v="1"/>
    <s v="United States"/>
    <s v="Dallas"/>
    <x v="5"/>
    <n v="75217"/>
    <x v="2"/>
    <x v="230"/>
    <x v="1"/>
    <x v="4"/>
    <x v="231"/>
    <x v="2025"/>
    <x v="2"/>
    <x v="2"/>
  </r>
  <r>
    <n v="3828"/>
    <x v="1892"/>
    <x v="917"/>
    <d v="2018-05-11T00:00:00"/>
    <s v="Standard Class"/>
    <x v="459"/>
    <s v="Rick Wilson"/>
    <x v="1"/>
    <s v="United States"/>
    <s v="Detroit"/>
    <x v="12"/>
    <n v="48234"/>
    <x v="2"/>
    <x v="284"/>
    <x v="0"/>
    <x v="1"/>
    <x v="284"/>
    <x v="2918"/>
    <x v="5"/>
    <x v="3"/>
  </r>
  <r>
    <n v="3829"/>
    <x v="1892"/>
    <x v="917"/>
    <d v="2018-05-11T00:00:00"/>
    <s v="Standard Class"/>
    <x v="459"/>
    <s v="Rick Wilson"/>
    <x v="1"/>
    <s v="United States"/>
    <s v="Detroit"/>
    <x v="12"/>
    <n v="48234"/>
    <x v="2"/>
    <x v="1391"/>
    <x v="0"/>
    <x v="1"/>
    <x v="1377"/>
    <x v="2919"/>
    <x v="5"/>
    <x v="3"/>
  </r>
  <r>
    <n v="3830"/>
    <x v="1892"/>
    <x v="917"/>
    <d v="2018-05-11T00:00:00"/>
    <s v="Standard Class"/>
    <x v="459"/>
    <s v="Rick Wilson"/>
    <x v="1"/>
    <s v="United States"/>
    <s v="Detroit"/>
    <x v="12"/>
    <n v="48234"/>
    <x v="2"/>
    <x v="467"/>
    <x v="0"/>
    <x v="1"/>
    <x v="468"/>
    <x v="2920"/>
    <x v="5"/>
    <x v="3"/>
  </r>
  <r>
    <n v="3831"/>
    <x v="1892"/>
    <x v="917"/>
    <d v="2018-05-11T00:00:00"/>
    <s v="Standard Class"/>
    <x v="459"/>
    <s v="Rick Wilson"/>
    <x v="1"/>
    <s v="United States"/>
    <s v="Detroit"/>
    <x v="12"/>
    <n v="48234"/>
    <x v="2"/>
    <x v="535"/>
    <x v="1"/>
    <x v="9"/>
    <x v="535"/>
    <x v="2921"/>
    <x v="5"/>
    <x v="3"/>
  </r>
  <r>
    <n v="3832"/>
    <x v="1893"/>
    <x v="717"/>
    <d v="2016-11-19T00:00:00"/>
    <s v="Standard Class"/>
    <x v="721"/>
    <s v="Lycoris Saunders"/>
    <x v="0"/>
    <s v="United States"/>
    <s v="Dover"/>
    <x v="13"/>
    <n v="19901"/>
    <x v="3"/>
    <x v="216"/>
    <x v="0"/>
    <x v="5"/>
    <x v="1579"/>
    <x v="2922"/>
    <x v="0"/>
    <x v="1"/>
  </r>
  <r>
    <n v="3833"/>
    <x v="1893"/>
    <x v="717"/>
    <d v="2016-11-19T00:00:00"/>
    <s v="Standard Class"/>
    <x v="721"/>
    <s v="Lycoris Saunders"/>
    <x v="0"/>
    <s v="United States"/>
    <s v="Dover"/>
    <x v="13"/>
    <n v="19901"/>
    <x v="3"/>
    <x v="1230"/>
    <x v="1"/>
    <x v="8"/>
    <x v="1213"/>
    <x v="2923"/>
    <x v="0"/>
    <x v="1"/>
  </r>
  <r>
    <n v="3834"/>
    <x v="1894"/>
    <x v="156"/>
    <d v="2015-11-24T00:00:00"/>
    <s v="Same Day"/>
    <x v="501"/>
    <s v="Muhammed Yedwab"/>
    <x v="1"/>
    <s v="United States"/>
    <s v="Columbus"/>
    <x v="24"/>
    <n v="43229"/>
    <x v="3"/>
    <x v="754"/>
    <x v="2"/>
    <x v="7"/>
    <x v="752"/>
    <x v="2924"/>
    <x v="0"/>
    <x v="2"/>
  </r>
  <r>
    <n v="3835"/>
    <x v="1894"/>
    <x v="156"/>
    <d v="2015-11-24T00:00:00"/>
    <s v="Same Day"/>
    <x v="501"/>
    <s v="Muhammed Yedwab"/>
    <x v="1"/>
    <s v="United States"/>
    <s v="Columbus"/>
    <x v="24"/>
    <n v="43229"/>
    <x v="3"/>
    <x v="1003"/>
    <x v="0"/>
    <x v="1"/>
    <x v="995"/>
    <x v="2925"/>
    <x v="0"/>
    <x v="2"/>
  </r>
  <r>
    <n v="3836"/>
    <x v="1895"/>
    <x v="918"/>
    <d v="2015-04-15T00:00:00"/>
    <s v="Standard Class"/>
    <x v="487"/>
    <s v="Jim Mitchum"/>
    <x v="1"/>
    <s v="United States"/>
    <s v="Glendale"/>
    <x v="16"/>
    <n v="85301"/>
    <x v="1"/>
    <x v="1084"/>
    <x v="1"/>
    <x v="13"/>
    <x v="1074"/>
    <x v="2926"/>
    <x v="3"/>
    <x v="2"/>
  </r>
  <r>
    <n v="3837"/>
    <x v="1895"/>
    <x v="918"/>
    <d v="2015-04-15T00:00:00"/>
    <s v="Standard Class"/>
    <x v="487"/>
    <s v="Jim Mitchum"/>
    <x v="1"/>
    <s v="United States"/>
    <s v="Glendale"/>
    <x v="16"/>
    <n v="85301"/>
    <x v="1"/>
    <x v="1588"/>
    <x v="1"/>
    <x v="10"/>
    <x v="1580"/>
    <x v="2927"/>
    <x v="3"/>
    <x v="2"/>
  </r>
  <r>
    <n v="3838"/>
    <x v="1896"/>
    <x v="711"/>
    <d v="2015-08-02T00:00:00"/>
    <s v="Standard Class"/>
    <x v="27"/>
    <s v="Kunst Miller"/>
    <x v="0"/>
    <s v="United States"/>
    <s v="North Las Vegas"/>
    <x v="33"/>
    <n v="89031"/>
    <x v="1"/>
    <x v="432"/>
    <x v="2"/>
    <x v="7"/>
    <x v="432"/>
    <x v="2928"/>
    <x v="7"/>
    <x v="2"/>
  </r>
  <r>
    <n v="3839"/>
    <x v="1896"/>
    <x v="711"/>
    <d v="2015-08-02T00:00:00"/>
    <s v="Standard Class"/>
    <x v="27"/>
    <s v="Kunst Miller"/>
    <x v="0"/>
    <s v="United States"/>
    <s v="North Las Vegas"/>
    <x v="33"/>
    <n v="89031"/>
    <x v="1"/>
    <x v="299"/>
    <x v="0"/>
    <x v="1"/>
    <x v="299"/>
    <x v="2929"/>
    <x v="7"/>
    <x v="2"/>
  </r>
  <r>
    <n v="3840"/>
    <x v="1896"/>
    <x v="711"/>
    <d v="2015-08-02T00:00:00"/>
    <s v="Standard Class"/>
    <x v="27"/>
    <s v="Kunst Miller"/>
    <x v="0"/>
    <s v="United States"/>
    <s v="North Las Vegas"/>
    <x v="33"/>
    <n v="89031"/>
    <x v="1"/>
    <x v="943"/>
    <x v="0"/>
    <x v="5"/>
    <x v="936"/>
    <x v="2930"/>
    <x v="7"/>
    <x v="2"/>
  </r>
  <r>
    <n v="3841"/>
    <x v="1896"/>
    <x v="711"/>
    <d v="2015-08-02T00:00:00"/>
    <s v="Standard Class"/>
    <x v="27"/>
    <s v="Kunst Miller"/>
    <x v="0"/>
    <s v="United States"/>
    <s v="North Las Vegas"/>
    <x v="33"/>
    <n v="89031"/>
    <x v="1"/>
    <x v="1589"/>
    <x v="2"/>
    <x v="11"/>
    <x v="1581"/>
    <x v="2931"/>
    <x v="7"/>
    <x v="2"/>
  </r>
  <r>
    <n v="3842"/>
    <x v="1897"/>
    <x v="785"/>
    <d v="2015-06-12T00:00:00"/>
    <s v="Standard Class"/>
    <x v="722"/>
    <s v="Katrina Edelman"/>
    <x v="1"/>
    <s v="United States"/>
    <s v="Bristol"/>
    <x v="18"/>
    <n v="37620"/>
    <x v="0"/>
    <x v="474"/>
    <x v="0"/>
    <x v="1"/>
    <x v="475"/>
    <x v="2932"/>
    <x v="1"/>
    <x v="2"/>
  </r>
  <r>
    <n v="3843"/>
    <x v="1898"/>
    <x v="919"/>
    <d v="2015-10-31T00:00:00"/>
    <s v="First Class"/>
    <x v="477"/>
    <s v="Todd Sumrall"/>
    <x v="1"/>
    <s v="United States"/>
    <s v="Los Angeles"/>
    <x v="1"/>
    <n v="90049"/>
    <x v="1"/>
    <x v="307"/>
    <x v="1"/>
    <x v="8"/>
    <x v="307"/>
    <x v="1576"/>
    <x v="2"/>
    <x v="2"/>
  </r>
  <r>
    <n v="3844"/>
    <x v="1898"/>
    <x v="919"/>
    <d v="2015-10-31T00:00:00"/>
    <s v="First Class"/>
    <x v="477"/>
    <s v="Todd Sumrall"/>
    <x v="1"/>
    <s v="United States"/>
    <s v="Los Angeles"/>
    <x v="1"/>
    <n v="90049"/>
    <x v="1"/>
    <x v="1590"/>
    <x v="1"/>
    <x v="14"/>
    <x v="1582"/>
    <x v="2933"/>
    <x v="2"/>
    <x v="2"/>
  </r>
  <r>
    <n v="3845"/>
    <x v="1898"/>
    <x v="919"/>
    <d v="2015-10-31T00:00:00"/>
    <s v="First Class"/>
    <x v="477"/>
    <s v="Todd Sumrall"/>
    <x v="1"/>
    <s v="United States"/>
    <s v="Los Angeles"/>
    <x v="1"/>
    <n v="90049"/>
    <x v="1"/>
    <x v="262"/>
    <x v="1"/>
    <x v="14"/>
    <x v="262"/>
    <x v="2934"/>
    <x v="2"/>
    <x v="2"/>
  </r>
  <r>
    <n v="3846"/>
    <x v="1898"/>
    <x v="919"/>
    <d v="2015-10-31T00:00:00"/>
    <s v="First Class"/>
    <x v="477"/>
    <s v="Todd Sumrall"/>
    <x v="1"/>
    <s v="United States"/>
    <s v="Los Angeles"/>
    <x v="1"/>
    <n v="90049"/>
    <x v="1"/>
    <x v="430"/>
    <x v="0"/>
    <x v="0"/>
    <x v="430"/>
    <x v="2935"/>
    <x v="2"/>
    <x v="2"/>
  </r>
  <r>
    <n v="3847"/>
    <x v="1898"/>
    <x v="919"/>
    <d v="2015-10-31T00:00:00"/>
    <s v="First Class"/>
    <x v="477"/>
    <s v="Todd Sumrall"/>
    <x v="1"/>
    <s v="United States"/>
    <s v="Los Angeles"/>
    <x v="1"/>
    <n v="90049"/>
    <x v="1"/>
    <x v="86"/>
    <x v="1"/>
    <x v="4"/>
    <x v="86"/>
    <x v="1581"/>
    <x v="2"/>
    <x v="2"/>
  </r>
  <r>
    <n v="3848"/>
    <x v="1899"/>
    <x v="920"/>
    <d v="2018-11-27T00:00:00"/>
    <s v="Second Class"/>
    <x v="449"/>
    <s v="Sam Zeldin"/>
    <x v="2"/>
    <s v="United States"/>
    <s v="Canton"/>
    <x v="12"/>
    <n v="48187"/>
    <x v="2"/>
    <x v="749"/>
    <x v="1"/>
    <x v="4"/>
    <x v="747"/>
    <x v="875"/>
    <x v="0"/>
    <x v="3"/>
  </r>
  <r>
    <n v="3849"/>
    <x v="1900"/>
    <x v="585"/>
    <d v="2018-09-23T00:00:00"/>
    <s v="First Class"/>
    <x v="32"/>
    <s v="Joel Eaton"/>
    <x v="0"/>
    <s v="United States"/>
    <s v="Fayetteville"/>
    <x v="36"/>
    <n v="72701"/>
    <x v="0"/>
    <x v="1591"/>
    <x v="1"/>
    <x v="8"/>
    <x v="1583"/>
    <x v="2936"/>
    <x v="8"/>
    <x v="3"/>
  </r>
  <r>
    <n v="3850"/>
    <x v="1900"/>
    <x v="585"/>
    <d v="2018-09-23T00:00:00"/>
    <s v="First Class"/>
    <x v="32"/>
    <s v="Joel Eaton"/>
    <x v="0"/>
    <s v="United States"/>
    <s v="Fayetteville"/>
    <x v="36"/>
    <n v="72701"/>
    <x v="0"/>
    <x v="60"/>
    <x v="2"/>
    <x v="11"/>
    <x v="60"/>
    <x v="2700"/>
    <x v="8"/>
    <x v="3"/>
  </r>
  <r>
    <n v="3851"/>
    <x v="1901"/>
    <x v="784"/>
    <d v="2016-12-09T00:00:00"/>
    <s v="Standard Class"/>
    <x v="99"/>
    <s v="Michael Stewart"/>
    <x v="1"/>
    <s v="United States"/>
    <s v="Springfield"/>
    <x v="25"/>
    <n v="65807"/>
    <x v="2"/>
    <x v="314"/>
    <x v="1"/>
    <x v="10"/>
    <x v="314"/>
    <x v="2937"/>
    <x v="4"/>
    <x v="1"/>
  </r>
  <r>
    <n v="3852"/>
    <x v="1902"/>
    <x v="481"/>
    <d v="2016-09-21T00:00:00"/>
    <s v="Same Day"/>
    <x v="723"/>
    <s v="Duane Huffman"/>
    <x v="2"/>
    <s v="United States"/>
    <s v="Quincy"/>
    <x v="31"/>
    <n v="2169"/>
    <x v="3"/>
    <x v="101"/>
    <x v="0"/>
    <x v="5"/>
    <x v="101"/>
    <x v="2938"/>
    <x v="8"/>
    <x v="1"/>
  </r>
  <r>
    <n v="3853"/>
    <x v="1903"/>
    <x v="200"/>
    <d v="2018-11-29T00:00:00"/>
    <s v="First Class"/>
    <x v="150"/>
    <s v="Guy Thornton"/>
    <x v="0"/>
    <s v="United States"/>
    <s v="Rockford"/>
    <x v="10"/>
    <n v="61107"/>
    <x v="2"/>
    <x v="301"/>
    <x v="1"/>
    <x v="8"/>
    <x v="301"/>
    <x v="2939"/>
    <x v="0"/>
    <x v="3"/>
  </r>
  <r>
    <n v="3854"/>
    <x v="1904"/>
    <x v="921"/>
    <d v="2018-06-10T00:00:00"/>
    <s v="Standard Class"/>
    <x v="689"/>
    <s v="Gary Hansen"/>
    <x v="2"/>
    <s v="United States"/>
    <s v="San Francisco"/>
    <x v="1"/>
    <n v="94122"/>
    <x v="1"/>
    <x v="1592"/>
    <x v="0"/>
    <x v="5"/>
    <x v="1584"/>
    <x v="1900"/>
    <x v="1"/>
    <x v="3"/>
  </r>
  <r>
    <n v="3855"/>
    <x v="1904"/>
    <x v="921"/>
    <d v="2018-06-10T00:00:00"/>
    <s v="Standard Class"/>
    <x v="689"/>
    <s v="Gary Hansen"/>
    <x v="2"/>
    <s v="United States"/>
    <s v="San Francisco"/>
    <x v="1"/>
    <n v="94122"/>
    <x v="1"/>
    <x v="1505"/>
    <x v="1"/>
    <x v="4"/>
    <x v="1492"/>
    <x v="1579"/>
    <x v="1"/>
    <x v="3"/>
  </r>
  <r>
    <n v="3856"/>
    <x v="1905"/>
    <x v="436"/>
    <d v="2018-10-28T00:00:00"/>
    <s v="Second Class"/>
    <x v="661"/>
    <s v="Darrin Martin"/>
    <x v="0"/>
    <s v="United States"/>
    <s v="San Antonio"/>
    <x v="5"/>
    <n v="78207"/>
    <x v="2"/>
    <x v="990"/>
    <x v="1"/>
    <x v="8"/>
    <x v="305"/>
    <x v="2940"/>
    <x v="2"/>
    <x v="3"/>
  </r>
  <r>
    <n v="3857"/>
    <x v="1905"/>
    <x v="436"/>
    <d v="2018-10-28T00:00:00"/>
    <s v="Second Class"/>
    <x v="661"/>
    <s v="Darrin Martin"/>
    <x v="0"/>
    <s v="United States"/>
    <s v="San Antonio"/>
    <x v="5"/>
    <n v="78207"/>
    <x v="2"/>
    <x v="1164"/>
    <x v="2"/>
    <x v="7"/>
    <x v="1151"/>
    <x v="2912"/>
    <x v="2"/>
    <x v="3"/>
  </r>
  <r>
    <n v="3858"/>
    <x v="1905"/>
    <x v="436"/>
    <d v="2018-10-28T00:00:00"/>
    <s v="Second Class"/>
    <x v="661"/>
    <s v="Darrin Martin"/>
    <x v="0"/>
    <s v="United States"/>
    <s v="San Antonio"/>
    <x v="5"/>
    <n v="78207"/>
    <x v="2"/>
    <x v="1005"/>
    <x v="1"/>
    <x v="6"/>
    <x v="997"/>
    <x v="1495"/>
    <x v="2"/>
    <x v="3"/>
  </r>
  <r>
    <n v="3859"/>
    <x v="1906"/>
    <x v="414"/>
    <d v="2015-12-20T00:00:00"/>
    <s v="Same Day"/>
    <x v="646"/>
    <s v="Toby Carlisle"/>
    <x v="0"/>
    <s v="United States"/>
    <s v="Thornton"/>
    <x v="22"/>
    <n v="80229"/>
    <x v="1"/>
    <x v="1593"/>
    <x v="2"/>
    <x v="11"/>
    <x v="1585"/>
    <x v="2941"/>
    <x v="4"/>
    <x v="2"/>
  </r>
  <r>
    <n v="3860"/>
    <x v="1907"/>
    <x v="922"/>
    <d v="2018-02-22T00:00:00"/>
    <s v="Standard Class"/>
    <x v="451"/>
    <s v="Julie Kriz"/>
    <x v="2"/>
    <s v="United States"/>
    <s v="Chicago"/>
    <x v="10"/>
    <n v="60653"/>
    <x v="2"/>
    <x v="855"/>
    <x v="0"/>
    <x v="3"/>
    <x v="848"/>
    <x v="2942"/>
    <x v="11"/>
    <x v="3"/>
  </r>
  <r>
    <n v="3861"/>
    <x v="1907"/>
    <x v="922"/>
    <d v="2018-02-22T00:00:00"/>
    <s v="Standard Class"/>
    <x v="451"/>
    <s v="Julie Kriz"/>
    <x v="2"/>
    <s v="United States"/>
    <s v="Chicago"/>
    <x v="10"/>
    <n v="60653"/>
    <x v="2"/>
    <x v="1594"/>
    <x v="2"/>
    <x v="7"/>
    <x v="1586"/>
    <x v="1858"/>
    <x v="11"/>
    <x v="3"/>
  </r>
  <r>
    <n v="3862"/>
    <x v="1908"/>
    <x v="523"/>
    <d v="2015-05-10T00:00:00"/>
    <s v="Standard Class"/>
    <x v="720"/>
    <s v="Nathan Cano"/>
    <x v="0"/>
    <s v="United States"/>
    <s v="Yonkers"/>
    <x v="15"/>
    <n v="10701"/>
    <x v="3"/>
    <x v="1595"/>
    <x v="1"/>
    <x v="8"/>
    <x v="1587"/>
    <x v="2943"/>
    <x v="5"/>
    <x v="2"/>
  </r>
  <r>
    <n v="3863"/>
    <x v="1908"/>
    <x v="523"/>
    <d v="2015-05-10T00:00:00"/>
    <s v="Standard Class"/>
    <x v="720"/>
    <s v="Nathan Cano"/>
    <x v="0"/>
    <s v="United States"/>
    <s v="Yonkers"/>
    <x v="15"/>
    <n v="10701"/>
    <x v="3"/>
    <x v="109"/>
    <x v="1"/>
    <x v="8"/>
    <x v="109"/>
    <x v="2944"/>
    <x v="5"/>
    <x v="2"/>
  </r>
  <r>
    <n v="3864"/>
    <x v="1909"/>
    <x v="161"/>
    <d v="2018-10-19T00:00:00"/>
    <s v="Second Class"/>
    <x v="195"/>
    <s v="Astrea Jones"/>
    <x v="0"/>
    <s v="United States"/>
    <s v="San Diego"/>
    <x v="1"/>
    <n v="92037"/>
    <x v="1"/>
    <x v="1596"/>
    <x v="1"/>
    <x v="6"/>
    <x v="1588"/>
    <x v="2945"/>
    <x v="2"/>
    <x v="3"/>
  </r>
  <r>
    <n v="3865"/>
    <x v="1910"/>
    <x v="109"/>
    <d v="2016-12-03T00:00:00"/>
    <s v="Standard Class"/>
    <x v="62"/>
    <s v="Lena Creighton"/>
    <x v="0"/>
    <s v="United States"/>
    <s v="Champaign"/>
    <x v="10"/>
    <n v="61821"/>
    <x v="2"/>
    <x v="1597"/>
    <x v="0"/>
    <x v="5"/>
    <x v="1589"/>
    <x v="2946"/>
    <x v="0"/>
    <x v="1"/>
  </r>
  <r>
    <n v="3866"/>
    <x v="1911"/>
    <x v="923"/>
    <d v="2015-07-29T00:00:00"/>
    <s v="Second Class"/>
    <x v="543"/>
    <s v="Giulietta Weimer"/>
    <x v="0"/>
    <s v="United States"/>
    <s v="San Francisco"/>
    <x v="1"/>
    <n v="94122"/>
    <x v="1"/>
    <x v="1200"/>
    <x v="2"/>
    <x v="11"/>
    <x v="1185"/>
    <x v="1657"/>
    <x v="7"/>
    <x v="2"/>
  </r>
  <r>
    <n v="3867"/>
    <x v="1912"/>
    <x v="756"/>
    <d v="2018-04-25T00:00:00"/>
    <s v="Second Class"/>
    <x v="253"/>
    <s v="Sean Christensen"/>
    <x v="0"/>
    <s v="United States"/>
    <s v="Lawrence"/>
    <x v="14"/>
    <n v="46226"/>
    <x v="2"/>
    <x v="1113"/>
    <x v="2"/>
    <x v="11"/>
    <x v="1102"/>
    <x v="2947"/>
    <x v="3"/>
    <x v="3"/>
  </r>
  <r>
    <n v="3868"/>
    <x v="1913"/>
    <x v="924"/>
    <d v="2016-10-27T00:00:00"/>
    <s v="Second Class"/>
    <x v="282"/>
    <s v="Jay Fein"/>
    <x v="0"/>
    <s v="United States"/>
    <s v="San Diego"/>
    <x v="1"/>
    <n v="92105"/>
    <x v="1"/>
    <x v="678"/>
    <x v="2"/>
    <x v="11"/>
    <x v="678"/>
    <x v="2948"/>
    <x v="2"/>
    <x v="1"/>
  </r>
  <r>
    <n v="3869"/>
    <x v="1913"/>
    <x v="924"/>
    <d v="2016-10-27T00:00:00"/>
    <s v="Second Class"/>
    <x v="282"/>
    <s v="Jay Fein"/>
    <x v="0"/>
    <s v="United States"/>
    <s v="San Diego"/>
    <x v="1"/>
    <n v="92105"/>
    <x v="1"/>
    <x v="1496"/>
    <x v="0"/>
    <x v="1"/>
    <x v="1484"/>
    <x v="2949"/>
    <x v="2"/>
    <x v="1"/>
  </r>
  <r>
    <n v="3870"/>
    <x v="1913"/>
    <x v="924"/>
    <d v="2016-10-27T00:00:00"/>
    <s v="Second Class"/>
    <x v="282"/>
    <s v="Jay Fein"/>
    <x v="0"/>
    <s v="United States"/>
    <s v="San Diego"/>
    <x v="1"/>
    <n v="92105"/>
    <x v="1"/>
    <x v="877"/>
    <x v="0"/>
    <x v="1"/>
    <x v="871"/>
    <x v="2950"/>
    <x v="2"/>
    <x v="1"/>
  </r>
  <r>
    <n v="3871"/>
    <x v="1913"/>
    <x v="924"/>
    <d v="2016-10-27T00:00:00"/>
    <s v="Second Class"/>
    <x v="282"/>
    <s v="Jay Fein"/>
    <x v="0"/>
    <s v="United States"/>
    <s v="San Diego"/>
    <x v="1"/>
    <n v="92105"/>
    <x v="1"/>
    <x v="609"/>
    <x v="1"/>
    <x v="10"/>
    <x v="609"/>
    <x v="1049"/>
    <x v="2"/>
    <x v="1"/>
  </r>
  <r>
    <n v="3872"/>
    <x v="1913"/>
    <x v="924"/>
    <d v="2016-10-27T00:00:00"/>
    <s v="Second Class"/>
    <x v="282"/>
    <s v="Jay Fein"/>
    <x v="0"/>
    <s v="United States"/>
    <s v="San Diego"/>
    <x v="1"/>
    <n v="92105"/>
    <x v="1"/>
    <x v="111"/>
    <x v="1"/>
    <x v="12"/>
    <x v="111"/>
    <x v="2951"/>
    <x v="2"/>
    <x v="1"/>
  </r>
  <r>
    <n v="3873"/>
    <x v="1913"/>
    <x v="924"/>
    <d v="2016-10-27T00:00:00"/>
    <s v="Second Class"/>
    <x v="282"/>
    <s v="Jay Fein"/>
    <x v="0"/>
    <s v="United States"/>
    <s v="San Diego"/>
    <x v="1"/>
    <n v="92105"/>
    <x v="1"/>
    <x v="1131"/>
    <x v="0"/>
    <x v="1"/>
    <x v="1119"/>
    <x v="2952"/>
    <x v="2"/>
    <x v="1"/>
  </r>
  <r>
    <n v="3874"/>
    <x v="1914"/>
    <x v="64"/>
    <d v="2017-09-07T00:00:00"/>
    <s v="Second Class"/>
    <x v="661"/>
    <s v="Darrin Martin"/>
    <x v="0"/>
    <s v="United States"/>
    <s v="Johnson City"/>
    <x v="18"/>
    <n v="37604"/>
    <x v="0"/>
    <x v="706"/>
    <x v="1"/>
    <x v="12"/>
    <x v="153"/>
    <x v="2953"/>
    <x v="8"/>
    <x v="0"/>
  </r>
  <r>
    <n v="3875"/>
    <x v="1914"/>
    <x v="64"/>
    <d v="2017-09-07T00:00:00"/>
    <s v="Second Class"/>
    <x v="661"/>
    <s v="Darrin Martin"/>
    <x v="0"/>
    <s v="United States"/>
    <s v="Johnson City"/>
    <x v="18"/>
    <n v="37604"/>
    <x v="0"/>
    <x v="800"/>
    <x v="1"/>
    <x v="8"/>
    <x v="798"/>
    <x v="2954"/>
    <x v="8"/>
    <x v="0"/>
  </r>
  <r>
    <n v="3876"/>
    <x v="1914"/>
    <x v="64"/>
    <d v="2017-09-07T00:00:00"/>
    <s v="Second Class"/>
    <x v="661"/>
    <s v="Darrin Martin"/>
    <x v="0"/>
    <s v="United States"/>
    <s v="Johnson City"/>
    <x v="18"/>
    <n v="37604"/>
    <x v="0"/>
    <x v="704"/>
    <x v="2"/>
    <x v="7"/>
    <x v="704"/>
    <x v="2955"/>
    <x v="8"/>
    <x v="0"/>
  </r>
  <r>
    <n v="3877"/>
    <x v="1914"/>
    <x v="64"/>
    <d v="2017-09-07T00:00:00"/>
    <s v="Second Class"/>
    <x v="661"/>
    <s v="Darrin Martin"/>
    <x v="0"/>
    <s v="United States"/>
    <s v="Johnson City"/>
    <x v="18"/>
    <n v="37604"/>
    <x v="0"/>
    <x v="1450"/>
    <x v="1"/>
    <x v="10"/>
    <x v="1437"/>
    <x v="1495"/>
    <x v="8"/>
    <x v="0"/>
  </r>
  <r>
    <n v="3878"/>
    <x v="1915"/>
    <x v="99"/>
    <d v="2017-11-02T00:00:00"/>
    <s v="Standard Class"/>
    <x v="212"/>
    <s v="Emily Phan"/>
    <x v="0"/>
    <s v="United States"/>
    <s v="Tampa"/>
    <x v="2"/>
    <n v="33614"/>
    <x v="0"/>
    <x v="986"/>
    <x v="1"/>
    <x v="8"/>
    <x v="979"/>
    <x v="2956"/>
    <x v="2"/>
    <x v="0"/>
  </r>
  <r>
    <n v="3879"/>
    <x v="1916"/>
    <x v="267"/>
    <d v="2015-04-07T00:00:00"/>
    <s v="First Class"/>
    <x v="189"/>
    <s v="John Grady"/>
    <x v="1"/>
    <s v="United States"/>
    <s v="Decatur"/>
    <x v="10"/>
    <n v="62521"/>
    <x v="2"/>
    <x v="170"/>
    <x v="1"/>
    <x v="4"/>
    <x v="171"/>
    <x v="1587"/>
    <x v="3"/>
    <x v="2"/>
  </r>
  <r>
    <n v="3880"/>
    <x v="1916"/>
    <x v="267"/>
    <d v="2015-04-07T00:00:00"/>
    <s v="First Class"/>
    <x v="189"/>
    <s v="John Grady"/>
    <x v="1"/>
    <s v="United States"/>
    <s v="Decatur"/>
    <x v="10"/>
    <n v="62521"/>
    <x v="2"/>
    <x v="1569"/>
    <x v="1"/>
    <x v="4"/>
    <x v="1560"/>
    <x v="2957"/>
    <x v="3"/>
    <x v="2"/>
  </r>
  <r>
    <n v="3881"/>
    <x v="1917"/>
    <x v="925"/>
    <d v="2016-06-20T00:00:00"/>
    <s v="Standard Class"/>
    <x v="724"/>
    <s v="Peter Fuller"/>
    <x v="0"/>
    <s v="United States"/>
    <s v="Gilbert"/>
    <x v="16"/>
    <n v="85234"/>
    <x v="1"/>
    <x v="1357"/>
    <x v="1"/>
    <x v="10"/>
    <x v="1343"/>
    <x v="380"/>
    <x v="1"/>
    <x v="1"/>
  </r>
  <r>
    <n v="3882"/>
    <x v="1917"/>
    <x v="925"/>
    <d v="2016-06-20T00:00:00"/>
    <s v="Standard Class"/>
    <x v="724"/>
    <s v="Peter Fuller"/>
    <x v="0"/>
    <s v="United States"/>
    <s v="Gilbert"/>
    <x v="16"/>
    <n v="85234"/>
    <x v="1"/>
    <x v="232"/>
    <x v="1"/>
    <x v="4"/>
    <x v="233"/>
    <x v="249"/>
    <x v="1"/>
    <x v="1"/>
  </r>
  <r>
    <n v="3883"/>
    <x v="1917"/>
    <x v="925"/>
    <d v="2016-06-20T00:00:00"/>
    <s v="Standard Class"/>
    <x v="724"/>
    <s v="Peter Fuller"/>
    <x v="0"/>
    <s v="United States"/>
    <s v="Gilbert"/>
    <x v="16"/>
    <n v="85234"/>
    <x v="1"/>
    <x v="1597"/>
    <x v="0"/>
    <x v="5"/>
    <x v="1589"/>
    <x v="2958"/>
    <x v="1"/>
    <x v="1"/>
  </r>
  <r>
    <n v="3884"/>
    <x v="1917"/>
    <x v="925"/>
    <d v="2016-06-20T00:00:00"/>
    <s v="Standard Class"/>
    <x v="724"/>
    <s v="Peter Fuller"/>
    <x v="0"/>
    <s v="United States"/>
    <s v="Gilbert"/>
    <x v="16"/>
    <n v="85234"/>
    <x v="1"/>
    <x v="1598"/>
    <x v="0"/>
    <x v="5"/>
    <x v="1590"/>
    <x v="2959"/>
    <x v="1"/>
    <x v="1"/>
  </r>
  <r>
    <n v="3885"/>
    <x v="1918"/>
    <x v="260"/>
    <d v="2015-07-12T00:00:00"/>
    <s v="Standard Class"/>
    <x v="694"/>
    <s v="David Wiener"/>
    <x v="1"/>
    <s v="United States"/>
    <s v="Knoxville"/>
    <x v="18"/>
    <n v="37918"/>
    <x v="0"/>
    <x v="6"/>
    <x v="1"/>
    <x v="6"/>
    <x v="6"/>
    <x v="964"/>
    <x v="7"/>
    <x v="2"/>
  </r>
  <r>
    <n v="3886"/>
    <x v="1919"/>
    <x v="926"/>
    <d v="2018-02-02T00:00:00"/>
    <s v="Standard Class"/>
    <x v="242"/>
    <s v="Clytie Kelty"/>
    <x v="0"/>
    <s v="United States"/>
    <s v="Chicago"/>
    <x v="10"/>
    <n v="60653"/>
    <x v="2"/>
    <x v="280"/>
    <x v="1"/>
    <x v="8"/>
    <x v="280"/>
    <x v="2960"/>
    <x v="9"/>
    <x v="3"/>
  </r>
  <r>
    <n v="3887"/>
    <x v="1920"/>
    <x v="840"/>
    <d v="2017-03-08T00:00:00"/>
    <s v="Second Class"/>
    <x v="113"/>
    <s v="Craig Carreira"/>
    <x v="0"/>
    <s v="United States"/>
    <s v="Bloomington"/>
    <x v="14"/>
    <n v="47401"/>
    <x v="2"/>
    <x v="1517"/>
    <x v="2"/>
    <x v="7"/>
    <x v="1504"/>
    <x v="2961"/>
    <x v="10"/>
    <x v="0"/>
  </r>
  <r>
    <n v="3888"/>
    <x v="1921"/>
    <x v="270"/>
    <d v="2015-06-06T00:00:00"/>
    <s v="Standard Class"/>
    <x v="647"/>
    <s v="Stewart Visinsky"/>
    <x v="0"/>
    <s v="United States"/>
    <s v="Roswell"/>
    <x v="32"/>
    <n v="30076"/>
    <x v="0"/>
    <x v="1253"/>
    <x v="1"/>
    <x v="6"/>
    <x v="1237"/>
    <x v="18"/>
    <x v="1"/>
    <x v="2"/>
  </r>
  <r>
    <n v="3889"/>
    <x v="1921"/>
    <x v="270"/>
    <d v="2015-06-06T00:00:00"/>
    <s v="Standard Class"/>
    <x v="647"/>
    <s v="Stewart Visinsky"/>
    <x v="0"/>
    <s v="United States"/>
    <s v="Roswell"/>
    <x v="32"/>
    <n v="30076"/>
    <x v="0"/>
    <x v="516"/>
    <x v="2"/>
    <x v="7"/>
    <x v="516"/>
    <x v="758"/>
    <x v="1"/>
    <x v="2"/>
  </r>
  <r>
    <n v="3890"/>
    <x v="1921"/>
    <x v="270"/>
    <d v="2015-06-06T00:00:00"/>
    <s v="Standard Class"/>
    <x v="647"/>
    <s v="Stewart Visinsky"/>
    <x v="0"/>
    <s v="United States"/>
    <s v="Roswell"/>
    <x v="32"/>
    <n v="30076"/>
    <x v="0"/>
    <x v="518"/>
    <x v="1"/>
    <x v="4"/>
    <x v="518"/>
    <x v="2962"/>
    <x v="1"/>
    <x v="2"/>
  </r>
  <r>
    <n v="3891"/>
    <x v="1922"/>
    <x v="390"/>
    <d v="2017-11-30T00:00:00"/>
    <s v="Standard Class"/>
    <x v="133"/>
    <s v="Sung Pak"/>
    <x v="1"/>
    <s v="United States"/>
    <s v="Los Angeles"/>
    <x v="1"/>
    <n v="90036"/>
    <x v="1"/>
    <x v="764"/>
    <x v="2"/>
    <x v="11"/>
    <x v="763"/>
    <x v="2963"/>
    <x v="0"/>
    <x v="0"/>
  </r>
  <r>
    <n v="3892"/>
    <x v="1922"/>
    <x v="390"/>
    <d v="2017-11-30T00:00:00"/>
    <s v="Standard Class"/>
    <x v="133"/>
    <s v="Sung Pak"/>
    <x v="1"/>
    <s v="United States"/>
    <s v="Los Angeles"/>
    <x v="1"/>
    <n v="90036"/>
    <x v="1"/>
    <x v="654"/>
    <x v="0"/>
    <x v="1"/>
    <x v="654"/>
    <x v="2964"/>
    <x v="0"/>
    <x v="0"/>
  </r>
  <r>
    <n v="3893"/>
    <x v="1922"/>
    <x v="390"/>
    <d v="2017-11-30T00:00:00"/>
    <s v="Standard Class"/>
    <x v="133"/>
    <s v="Sung Pak"/>
    <x v="1"/>
    <s v="United States"/>
    <s v="Los Angeles"/>
    <x v="1"/>
    <n v="90036"/>
    <x v="1"/>
    <x v="1509"/>
    <x v="2"/>
    <x v="11"/>
    <x v="1496"/>
    <x v="2965"/>
    <x v="0"/>
    <x v="0"/>
  </r>
  <r>
    <n v="3894"/>
    <x v="1923"/>
    <x v="338"/>
    <d v="2017-11-14T00:00:00"/>
    <s v="Standard Class"/>
    <x v="474"/>
    <s v="Maxwell Schwartz"/>
    <x v="0"/>
    <s v="United States"/>
    <s v="Houston"/>
    <x v="5"/>
    <n v="77036"/>
    <x v="2"/>
    <x v="648"/>
    <x v="2"/>
    <x v="11"/>
    <x v="648"/>
    <x v="1761"/>
    <x v="0"/>
    <x v="0"/>
  </r>
  <r>
    <n v="3895"/>
    <x v="1924"/>
    <x v="754"/>
    <d v="2015-11-28T00:00:00"/>
    <s v="Standard Class"/>
    <x v="679"/>
    <s v="Tony Chapman"/>
    <x v="2"/>
    <s v="United States"/>
    <s v="Bolingbrook"/>
    <x v="10"/>
    <n v="60440"/>
    <x v="2"/>
    <x v="1230"/>
    <x v="1"/>
    <x v="8"/>
    <x v="1213"/>
    <x v="2966"/>
    <x v="0"/>
    <x v="2"/>
  </r>
  <r>
    <n v="3896"/>
    <x v="1925"/>
    <x v="927"/>
    <d v="2018-05-05T00:00:00"/>
    <s v="Standard Class"/>
    <x v="319"/>
    <s v="Sanjit Jacobs"/>
    <x v="2"/>
    <s v="United States"/>
    <s v="Texarkana"/>
    <x v="36"/>
    <n v="71854"/>
    <x v="0"/>
    <x v="1599"/>
    <x v="2"/>
    <x v="11"/>
    <x v="1591"/>
    <x v="2967"/>
    <x v="5"/>
    <x v="3"/>
  </r>
  <r>
    <n v="3897"/>
    <x v="1926"/>
    <x v="226"/>
    <d v="2018-12-12T00:00:00"/>
    <s v="Standard Class"/>
    <x v="103"/>
    <s v="David Smith"/>
    <x v="1"/>
    <s v="United States"/>
    <s v="San Antonio"/>
    <x v="5"/>
    <n v="78207"/>
    <x v="2"/>
    <x v="1084"/>
    <x v="1"/>
    <x v="13"/>
    <x v="1074"/>
    <x v="1480"/>
    <x v="4"/>
    <x v="3"/>
  </r>
  <r>
    <n v="3898"/>
    <x v="1926"/>
    <x v="226"/>
    <d v="2018-12-12T00:00:00"/>
    <s v="Standard Class"/>
    <x v="103"/>
    <s v="David Smith"/>
    <x v="1"/>
    <s v="United States"/>
    <s v="San Antonio"/>
    <x v="5"/>
    <n v="78207"/>
    <x v="2"/>
    <x v="88"/>
    <x v="1"/>
    <x v="10"/>
    <x v="88"/>
    <x v="12"/>
    <x v="4"/>
    <x v="3"/>
  </r>
  <r>
    <n v="3899"/>
    <x v="1927"/>
    <x v="329"/>
    <d v="2018-12-04T00:00:00"/>
    <s v="Standard Class"/>
    <x v="561"/>
    <s v="Stuart Calhoun"/>
    <x v="0"/>
    <s v="United States"/>
    <s v="Edinburg"/>
    <x v="5"/>
    <n v="78539"/>
    <x v="2"/>
    <x v="1084"/>
    <x v="1"/>
    <x v="13"/>
    <x v="1074"/>
    <x v="2926"/>
    <x v="0"/>
    <x v="3"/>
  </r>
  <r>
    <n v="3900"/>
    <x v="1928"/>
    <x v="226"/>
    <d v="2018-12-09T00:00:00"/>
    <s v="First Class"/>
    <x v="129"/>
    <s v="Shahid Hopkins"/>
    <x v="0"/>
    <s v="United States"/>
    <s v="Toledo"/>
    <x v="24"/>
    <n v="43615"/>
    <x v="3"/>
    <x v="428"/>
    <x v="2"/>
    <x v="11"/>
    <x v="428"/>
    <x v="2454"/>
    <x v="4"/>
    <x v="3"/>
  </r>
  <r>
    <n v="3901"/>
    <x v="1929"/>
    <x v="928"/>
    <d v="2016-01-08T00:00:00"/>
    <s v="Standard Class"/>
    <x v="245"/>
    <s v="Sylvia Foulston"/>
    <x v="1"/>
    <s v="United States"/>
    <s v="Baytown"/>
    <x v="5"/>
    <n v="77520"/>
    <x v="2"/>
    <x v="289"/>
    <x v="1"/>
    <x v="10"/>
    <x v="289"/>
    <x v="559"/>
    <x v="9"/>
    <x v="1"/>
  </r>
  <r>
    <n v="3902"/>
    <x v="1930"/>
    <x v="717"/>
    <d v="2016-11-20T00:00:00"/>
    <s v="Standard Class"/>
    <x v="67"/>
    <s v="Maureen Gastineau"/>
    <x v="2"/>
    <s v="United States"/>
    <s v="Philadelphia"/>
    <x v="9"/>
    <n v="19143"/>
    <x v="3"/>
    <x v="1600"/>
    <x v="2"/>
    <x v="11"/>
    <x v="1592"/>
    <x v="730"/>
    <x v="0"/>
    <x v="1"/>
  </r>
  <r>
    <n v="3903"/>
    <x v="1931"/>
    <x v="653"/>
    <d v="2016-10-07T00:00:00"/>
    <s v="Second Class"/>
    <x v="37"/>
    <s v="Christopher Schild"/>
    <x v="2"/>
    <s v="United States"/>
    <s v="Los Angeles"/>
    <x v="1"/>
    <n v="90045"/>
    <x v="1"/>
    <x v="1220"/>
    <x v="1"/>
    <x v="4"/>
    <x v="1204"/>
    <x v="2968"/>
    <x v="2"/>
    <x v="1"/>
  </r>
  <r>
    <n v="3904"/>
    <x v="1932"/>
    <x v="57"/>
    <d v="2016-04-10T00:00:00"/>
    <s v="Standard Class"/>
    <x v="725"/>
    <s v="Valerie Takahito"/>
    <x v="2"/>
    <s v="United States"/>
    <s v="Philadelphia"/>
    <x v="9"/>
    <n v="19143"/>
    <x v="3"/>
    <x v="1297"/>
    <x v="1"/>
    <x v="9"/>
    <x v="1282"/>
    <x v="2969"/>
    <x v="3"/>
    <x v="1"/>
  </r>
  <r>
    <n v="3905"/>
    <x v="1932"/>
    <x v="57"/>
    <d v="2016-04-10T00:00:00"/>
    <s v="Standard Class"/>
    <x v="725"/>
    <s v="Valerie Takahito"/>
    <x v="2"/>
    <s v="United States"/>
    <s v="Philadelphia"/>
    <x v="9"/>
    <n v="19143"/>
    <x v="3"/>
    <x v="718"/>
    <x v="1"/>
    <x v="4"/>
    <x v="717"/>
    <x v="2480"/>
    <x v="3"/>
    <x v="1"/>
  </r>
  <r>
    <n v="3906"/>
    <x v="1932"/>
    <x v="57"/>
    <d v="2016-04-10T00:00:00"/>
    <s v="Standard Class"/>
    <x v="725"/>
    <s v="Valerie Takahito"/>
    <x v="2"/>
    <s v="United States"/>
    <s v="Philadelphia"/>
    <x v="9"/>
    <n v="19143"/>
    <x v="3"/>
    <x v="844"/>
    <x v="1"/>
    <x v="8"/>
    <x v="838"/>
    <x v="2970"/>
    <x v="3"/>
    <x v="1"/>
  </r>
  <r>
    <n v="3907"/>
    <x v="1932"/>
    <x v="57"/>
    <d v="2016-04-10T00:00:00"/>
    <s v="Standard Class"/>
    <x v="725"/>
    <s v="Valerie Takahito"/>
    <x v="2"/>
    <s v="United States"/>
    <s v="Philadelphia"/>
    <x v="9"/>
    <n v="19143"/>
    <x v="3"/>
    <x v="1304"/>
    <x v="0"/>
    <x v="5"/>
    <x v="1289"/>
    <x v="1926"/>
    <x v="3"/>
    <x v="1"/>
  </r>
  <r>
    <n v="3908"/>
    <x v="1932"/>
    <x v="57"/>
    <d v="2016-04-10T00:00:00"/>
    <s v="Standard Class"/>
    <x v="725"/>
    <s v="Valerie Takahito"/>
    <x v="2"/>
    <s v="United States"/>
    <s v="Philadelphia"/>
    <x v="9"/>
    <n v="19143"/>
    <x v="3"/>
    <x v="500"/>
    <x v="2"/>
    <x v="7"/>
    <x v="500"/>
    <x v="542"/>
    <x v="3"/>
    <x v="1"/>
  </r>
  <r>
    <n v="3909"/>
    <x v="1932"/>
    <x v="57"/>
    <d v="2016-04-10T00:00:00"/>
    <s v="Standard Class"/>
    <x v="725"/>
    <s v="Valerie Takahito"/>
    <x v="2"/>
    <s v="United States"/>
    <s v="Philadelphia"/>
    <x v="9"/>
    <n v="19143"/>
    <x v="3"/>
    <x v="104"/>
    <x v="2"/>
    <x v="7"/>
    <x v="104"/>
    <x v="2971"/>
    <x v="3"/>
    <x v="1"/>
  </r>
  <r>
    <n v="3910"/>
    <x v="1932"/>
    <x v="57"/>
    <d v="2016-04-10T00:00:00"/>
    <s v="Standard Class"/>
    <x v="725"/>
    <s v="Valerie Takahito"/>
    <x v="2"/>
    <s v="United States"/>
    <s v="Philadelphia"/>
    <x v="9"/>
    <n v="19143"/>
    <x v="3"/>
    <x v="1183"/>
    <x v="0"/>
    <x v="5"/>
    <x v="1169"/>
    <x v="2972"/>
    <x v="3"/>
    <x v="1"/>
  </r>
  <r>
    <n v="3911"/>
    <x v="1932"/>
    <x v="57"/>
    <d v="2016-04-10T00:00:00"/>
    <s v="Standard Class"/>
    <x v="725"/>
    <s v="Valerie Takahito"/>
    <x v="2"/>
    <s v="United States"/>
    <s v="Philadelphia"/>
    <x v="9"/>
    <n v="19143"/>
    <x v="3"/>
    <x v="1601"/>
    <x v="0"/>
    <x v="0"/>
    <x v="1593"/>
    <x v="2973"/>
    <x v="3"/>
    <x v="1"/>
  </r>
  <r>
    <n v="3912"/>
    <x v="1933"/>
    <x v="929"/>
    <d v="2018-06-06T00:00:00"/>
    <s v="First Class"/>
    <x v="455"/>
    <s v="Adrian Barton"/>
    <x v="0"/>
    <s v="United States"/>
    <s v="Pearland"/>
    <x v="5"/>
    <n v="77581"/>
    <x v="2"/>
    <x v="1602"/>
    <x v="2"/>
    <x v="7"/>
    <x v="1594"/>
    <x v="549"/>
    <x v="1"/>
    <x v="3"/>
  </r>
  <r>
    <n v="3913"/>
    <x v="1934"/>
    <x v="65"/>
    <d v="2018-09-25T00:00:00"/>
    <s v="Standard Class"/>
    <x v="152"/>
    <s v="Muhammed MacIntyre"/>
    <x v="1"/>
    <s v="United States"/>
    <s v="New York City"/>
    <x v="15"/>
    <n v="10035"/>
    <x v="3"/>
    <x v="988"/>
    <x v="1"/>
    <x v="10"/>
    <x v="981"/>
    <x v="537"/>
    <x v="8"/>
    <x v="3"/>
  </r>
  <r>
    <n v="3914"/>
    <x v="1934"/>
    <x v="65"/>
    <d v="2018-09-25T00:00:00"/>
    <s v="Standard Class"/>
    <x v="152"/>
    <s v="Muhammed MacIntyre"/>
    <x v="1"/>
    <s v="United States"/>
    <s v="New York City"/>
    <x v="15"/>
    <n v="10035"/>
    <x v="3"/>
    <x v="875"/>
    <x v="0"/>
    <x v="5"/>
    <x v="869"/>
    <x v="759"/>
    <x v="8"/>
    <x v="3"/>
  </r>
  <r>
    <n v="3915"/>
    <x v="1935"/>
    <x v="930"/>
    <d v="2018-07-23T00:00:00"/>
    <s v="Standard Class"/>
    <x v="586"/>
    <s v="Maris LaWare"/>
    <x v="0"/>
    <s v="United States"/>
    <s v="Phoenix"/>
    <x v="16"/>
    <n v="85023"/>
    <x v="1"/>
    <x v="855"/>
    <x v="0"/>
    <x v="3"/>
    <x v="848"/>
    <x v="2974"/>
    <x v="7"/>
    <x v="3"/>
  </r>
  <r>
    <n v="3916"/>
    <x v="1935"/>
    <x v="930"/>
    <d v="2018-07-23T00:00:00"/>
    <s v="Standard Class"/>
    <x v="586"/>
    <s v="Maris LaWare"/>
    <x v="0"/>
    <s v="United States"/>
    <s v="Phoenix"/>
    <x v="16"/>
    <n v="85023"/>
    <x v="1"/>
    <x v="38"/>
    <x v="0"/>
    <x v="1"/>
    <x v="38"/>
    <x v="224"/>
    <x v="7"/>
    <x v="3"/>
  </r>
  <r>
    <n v="3917"/>
    <x v="1935"/>
    <x v="930"/>
    <d v="2018-07-23T00:00:00"/>
    <s v="Standard Class"/>
    <x v="586"/>
    <s v="Maris LaWare"/>
    <x v="0"/>
    <s v="United States"/>
    <s v="Phoenix"/>
    <x v="16"/>
    <n v="85023"/>
    <x v="1"/>
    <x v="1603"/>
    <x v="1"/>
    <x v="10"/>
    <x v="1595"/>
    <x v="2975"/>
    <x v="7"/>
    <x v="3"/>
  </r>
  <r>
    <n v="3918"/>
    <x v="1935"/>
    <x v="930"/>
    <d v="2018-07-23T00:00:00"/>
    <s v="Standard Class"/>
    <x v="586"/>
    <s v="Maris LaWare"/>
    <x v="0"/>
    <s v="United States"/>
    <s v="Phoenix"/>
    <x v="16"/>
    <n v="85023"/>
    <x v="1"/>
    <x v="849"/>
    <x v="1"/>
    <x v="8"/>
    <x v="842"/>
    <x v="2976"/>
    <x v="7"/>
    <x v="3"/>
  </r>
  <r>
    <n v="3919"/>
    <x v="1935"/>
    <x v="930"/>
    <d v="2018-07-23T00:00:00"/>
    <s v="Standard Class"/>
    <x v="586"/>
    <s v="Maris LaWare"/>
    <x v="0"/>
    <s v="United States"/>
    <s v="Phoenix"/>
    <x v="16"/>
    <n v="85023"/>
    <x v="1"/>
    <x v="70"/>
    <x v="0"/>
    <x v="1"/>
    <x v="70"/>
    <x v="2977"/>
    <x v="7"/>
    <x v="3"/>
  </r>
  <r>
    <n v="3920"/>
    <x v="1936"/>
    <x v="494"/>
    <d v="2016-12-07T00:00:00"/>
    <s v="Standard Class"/>
    <x v="470"/>
    <s v="Keith Dawkins"/>
    <x v="1"/>
    <s v="United States"/>
    <s v="Chesapeake"/>
    <x v="17"/>
    <n v="23320"/>
    <x v="0"/>
    <x v="421"/>
    <x v="1"/>
    <x v="4"/>
    <x v="421"/>
    <x v="2978"/>
    <x v="4"/>
    <x v="1"/>
  </r>
  <r>
    <n v="3921"/>
    <x v="1936"/>
    <x v="494"/>
    <d v="2016-12-07T00:00:00"/>
    <s v="Standard Class"/>
    <x v="470"/>
    <s v="Keith Dawkins"/>
    <x v="1"/>
    <s v="United States"/>
    <s v="Chesapeake"/>
    <x v="17"/>
    <n v="23320"/>
    <x v="0"/>
    <x v="1399"/>
    <x v="1"/>
    <x v="8"/>
    <x v="1386"/>
    <x v="1458"/>
    <x v="4"/>
    <x v="1"/>
  </r>
  <r>
    <n v="3922"/>
    <x v="1937"/>
    <x v="931"/>
    <d v="2017-07-02T00:00:00"/>
    <s v="Second Class"/>
    <x v="288"/>
    <s v="Roland Fjeld"/>
    <x v="0"/>
    <s v="United States"/>
    <s v="Chicago"/>
    <x v="10"/>
    <n v="60610"/>
    <x v="2"/>
    <x v="1501"/>
    <x v="2"/>
    <x v="7"/>
    <x v="1489"/>
    <x v="1988"/>
    <x v="1"/>
    <x v="0"/>
  </r>
  <r>
    <n v="3923"/>
    <x v="1938"/>
    <x v="735"/>
    <d v="2018-09-01T00:00:00"/>
    <s v="Standard Class"/>
    <x v="253"/>
    <s v="Sean Christensen"/>
    <x v="0"/>
    <s v="United States"/>
    <s v="Chicago"/>
    <x v="10"/>
    <n v="60623"/>
    <x v="2"/>
    <x v="218"/>
    <x v="1"/>
    <x v="10"/>
    <x v="219"/>
    <x v="863"/>
    <x v="6"/>
    <x v="3"/>
  </r>
  <r>
    <n v="3924"/>
    <x v="1938"/>
    <x v="735"/>
    <d v="2018-09-01T00:00:00"/>
    <s v="Standard Class"/>
    <x v="253"/>
    <s v="Sean Christensen"/>
    <x v="0"/>
    <s v="United States"/>
    <s v="Chicago"/>
    <x v="10"/>
    <n v="60623"/>
    <x v="2"/>
    <x v="1604"/>
    <x v="1"/>
    <x v="10"/>
    <x v="1596"/>
    <x v="2979"/>
    <x v="6"/>
    <x v="3"/>
  </r>
  <r>
    <n v="3925"/>
    <x v="1939"/>
    <x v="328"/>
    <d v="2015-09-21T00:00:00"/>
    <s v="Standard Class"/>
    <x v="202"/>
    <s v="Bradley Nguyen"/>
    <x v="0"/>
    <s v="United States"/>
    <s v="Seattle"/>
    <x v="4"/>
    <n v="98103"/>
    <x v="1"/>
    <x v="464"/>
    <x v="1"/>
    <x v="4"/>
    <x v="465"/>
    <x v="2980"/>
    <x v="8"/>
    <x v="2"/>
  </r>
  <r>
    <n v="3926"/>
    <x v="1939"/>
    <x v="328"/>
    <d v="2015-09-21T00:00:00"/>
    <s v="Standard Class"/>
    <x v="202"/>
    <s v="Bradley Nguyen"/>
    <x v="0"/>
    <s v="United States"/>
    <s v="Seattle"/>
    <x v="4"/>
    <n v="98103"/>
    <x v="1"/>
    <x v="1220"/>
    <x v="1"/>
    <x v="4"/>
    <x v="1204"/>
    <x v="2981"/>
    <x v="8"/>
    <x v="2"/>
  </r>
  <r>
    <n v="3927"/>
    <x v="1939"/>
    <x v="328"/>
    <d v="2015-09-21T00:00:00"/>
    <s v="Standard Class"/>
    <x v="202"/>
    <s v="Bradley Nguyen"/>
    <x v="0"/>
    <s v="United States"/>
    <s v="Seattle"/>
    <x v="4"/>
    <n v="98103"/>
    <x v="1"/>
    <x v="1381"/>
    <x v="0"/>
    <x v="5"/>
    <x v="1366"/>
    <x v="2233"/>
    <x v="8"/>
    <x v="2"/>
  </r>
  <r>
    <n v="3928"/>
    <x v="1939"/>
    <x v="328"/>
    <d v="2015-09-21T00:00:00"/>
    <s v="Standard Class"/>
    <x v="202"/>
    <s v="Bradley Nguyen"/>
    <x v="0"/>
    <s v="United States"/>
    <s v="Seattle"/>
    <x v="4"/>
    <n v="98103"/>
    <x v="1"/>
    <x v="141"/>
    <x v="1"/>
    <x v="8"/>
    <x v="142"/>
    <x v="1944"/>
    <x v="8"/>
    <x v="2"/>
  </r>
  <r>
    <n v="3929"/>
    <x v="1940"/>
    <x v="560"/>
    <d v="2017-03-17T00:00:00"/>
    <s v="First Class"/>
    <x v="365"/>
    <s v="John Stevenson"/>
    <x v="0"/>
    <s v="United States"/>
    <s v="Harlingen"/>
    <x v="5"/>
    <n v="78550"/>
    <x v="2"/>
    <x v="631"/>
    <x v="0"/>
    <x v="0"/>
    <x v="631"/>
    <x v="2982"/>
    <x v="10"/>
    <x v="0"/>
  </r>
  <r>
    <n v="3930"/>
    <x v="1940"/>
    <x v="560"/>
    <d v="2017-03-17T00:00:00"/>
    <s v="First Class"/>
    <x v="365"/>
    <s v="John Stevenson"/>
    <x v="0"/>
    <s v="United States"/>
    <s v="Harlingen"/>
    <x v="5"/>
    <n v="78550"/>
    <x v="2"/>
    <x v="548"/>
    <x v="1"/>
    <x v="10"/>
    <x v="548"/>
    <x v="1170"/>
    <x v="10"/>
    <x v="0"/>
  </r>
  <r>
    <n v="3931"/>
    <x v="1940"/>
    <x v="560"/>
    <d v="2017-03-17T00:00:00"/>
    <s v="First Class"/>
    <x v="365"/>
    <s v="John Stevenson"/>
    <x v="0"/>
    <s v="United States"/>
    <s v="Harlingen"/>
    <x v="5"/>
    <n v="78550"/>
    <x v="2"/>
    <x v="1062"/>
    <x v="1"/>
    <x v="6"/>
    <x v="1051"/>
    <x v="2983"/>
    <x v="10"/>
    <x v="0"/>
  </r>
  <r>
    <n v="3932"/>
    <x v="1941"/>
    <x v="370"/>
    <d v="2017-09-02T00:00:00"/>
    <s v="Standard Class"/>
    <x v="500"/>
    <s v="Vivek Grady"/>
    <x v="1"/>
    <s v="United States"/>
    <s v="Philadelphia"/>
    <x v="9"/>
    <n v="19140"/>
    <x v="3"/>
    <x v="1605"/>
    <x v="1"/>
    <x v="6"/>
    <x v="1597"/>
    <x v="2984"/>
    <x v="6"/>
    <x v="0"/>
  </r>
  <r>
    <n v="3933"/>
    <x v="1941"/>
    <x v="370"/>
    <d v="2017-09-02T00:00:00"/>
    <s v="Standard Class"/>
    <x v="500"/>
    <s v="Vivek Grady"/>
    <x v="1"/>
    <s v="United States"/>
    <s v="Philadelphia"/>
    <x v="9"/>
    <n v="19140"/>
    <x v="3"/>
    <x v="1016"/>
    <x v="2"/>
    <x v="11"/>
    <x v="1007"/>
    <x v="730"/>
    <x v="6"/>
    <x v="0"/>
  </r>
  <r>
    <n v="3934"/>
    <x v="1942"/>
    <x v="264"/>
    <d v="2018-09-08T00:00:00"/>
    <s v="Standard Class"/>
    <x v="497"/>
    <s v="Anthony Witt"/>
    <x v="0"/>
    <s v="United States"/>
    <s v="Bakersfield"/>
    <x v="1"/>
    <n v="93309"/>
    <x v="1"/>
    <x v="868"/>
    <x v="1"/>
    <x v="6"/>
    <x v="862"/>
    <x v="2985"/>
    <x v="8"/>
    <x v="3"/>
  </r>
  <r>
    <n v="3935"/>
    <x v="1942"/>
    <x v="264"/>
    <d v="2018-09-08T00:00:00"/>
    <s v="Standard Class"/>
    <x v="497"/>
    <s v="Anthony Witt"/>
    <x v="0"/>
    <s v="United States"/>
    <s v="Bakersfield"/>
    <x v="1"/>
    <n v="93309"/>
    <x v="1"/>
    <x v="198"/>
    <x v="1"/>
    <x v="2"/>
    <x v="199"/>
    <x v="2986"/>
    <x v="8"/>
    <x v="3"/>
  </r>
  <r>
    <n v="3936"/>
    <x v="1942"/>
    <x v="264"/>
    <d v="2018-09-08T00:00:00"/>
    <s v="Standard Class"/>
    <x v="497"/>
    <s v="Anthony Witt"/>
    <x v="0"/>
    <s v="United States"/>
    <s v="Bakersfield"/>
    <x v="1"/>
    <n v="93309"/>
    <x v="1"/>
    <x v="1551"/>
    <x v="2"/>
    <x v="7"/>
    <x v="1539"/>
    <x v="1212"/>
    <x v="8"/>
    <x v="3"/>
  </r>
  <r>
    <n v="3937"/>
    <x v="1943"/>
    <x v="382"/>
    <d v="2016-06-20T00:00:00"/>
    <s v="Standard Class"/>
    <x v="721"/>
    <s v="Lycoris Saunders"/>
    <x v="0"/>
    <s v="United States"/>
    <s v="Grand Prairie"/>
    <x v="5"/>
    <n v="75051"/>
    <x v="2"/>
    <x v="1606"/>
    <x v="1"/>
    <x v="12"/>
    <x v="153"/>
    <x v="1505"/>
    <x v="1"/>
    <x v="1"/>
  </r>
  <r>
    <n v="3938"/>
    <x v="1943"/>
    <x v="382"/>
    <d v="2016-06-20T00:00:00"/>
    <s v="Standard Class"/>
    <x v="721"/>
    <s v="Lycoris Saunders"/>
    <x v="0"/>
    <s v="United States"/>
    <s v="Grand Prairie"/>
    <x v="5"/>
    <n v="75051"/>
    <x v="2"/>
    <x v="752"/>
    <x v="1"/>
    <x v="10"/>
    <x v="750"/>
    <x v="1908"/>
    <x v="1"/>
    <x v="1"/>
  </r>
  <r>
    <n v="3939"/>
    <x v="1943"/>
    <x v="382"/>
    <d v="2016-06-20T00:00:00"/>
    <s v="Standard Class"/>
    <x v="721"/>
    <s v="Lycoris Saunders"/>
    <x v="0"/>
    <s v="United States"/>
    <s v="Grand Prairie"/>
    <x v="5"/>
    <n v="75051"/>
    <x v="2"/>
    <x v="901"/>
    <x v="0"/>
    <x v="1"/>
    <x v="893"/>
    <x v="2987"/>
    <x v="1"/>
    <x v="1"/>
  </r>
  <r>
    <n v="3940"/>
    <x v="1944"/>
    <x v="107"/>
    <d v="2017-12-10T00:00:00"/>
    <s v="Same Day"/>
    <x v="708"/>
    <s v="Mark Hamilton"/>
    <x v="0"/>
    <s v="United States"/>
    <s v="Greenwood"/>
    <x v="14"/>
    <n v="46142"/>
    <x v="2"/>
    <x v="463"/>
    <x v="0"/>
    <x v="1"/>
    <x v="464"/>
    <x v="2988"/>
    <x v="4"/>
    <x v="0"/>
  </r>
  <r>
    <n v="3941"/>
    <x v="1945"/>
    <x v="796"/>
    <d v="2018-05-23T00:00:00"/>
    <s v="Standard Class"/>
    <x v="358"/>
    <s v="Toby Swindell"/>
    <x v="0"/>
    <s v="United States"/>
    <s v="New York City"/>
    <x v="15"/>
    <n v="10024"/>
    <x v="3"/>
    <x v="1027"/>
    <x v="0"/>
    <x v="5"/>
    <x v="1018"/>
    <x v="58"/>
    <x v="5"/>
    <x v="3"/>
  </r>
  <r>
    <n v="3942"/>
    <x v="1945"/>
    <x v="796"/>
    <d v="2018-05-23T00:00:00"/>
    <s v="Standard Class"/>
    <x v="358"/>
    <s v="Toby Swindell"/>
    <x v="0"/>
    <s v="United States"/>
    <s v="New York City"/>
    <x v="15"/>
    <n v="10024"/>
    <x v="3"/>
    <x v="536"/>
    <x v="1"/>
    <x v="8"/>
    <x v="536"/>
    <x v="334"/>
    <x v="5"/>
    <x v="3"/>
  </r>
  <r>
    <n v="3943"/>
    <x v="1946"/>
    <x v="837"/>
    <d v="2018-05-29T00:00:00"/>
    <s v="Second Class"/>
    <x v="13"/>
    <s v="Eric Hoffmann"/>
    <x v="0"/>
    <s v="United States"/>
    <s v="Memphis"/>
    <x v="18"/>
    <n v="38109"/>
    <x v="0"/>
    <x v="778"/>
    <x v="1"/>
    <x v="10"/>
    <x v="777"/>
    <x v="233"/>
    <x v="5"/>
    <x v="3"/>
  </r>
  <r>
    <n v="3944"/>
    <x v="1947"/>
    <x v="661"/>
    <d v="2017-06-30T00:00:00"/>
    <s v="Standard Class"/>
    <x v="726"/>
    <s v="Maureen Gnade"/>
    <x v="0"/>
    <s v="United States"/>
    <s v="Buffalo"/>
    <x v="15"/>
    <n v="14215"/>
    <x v="3"/>
    <x v="1420"/>
    <x v="1"/>
    <x v="14"/>
    <x v="1408"/>
    <x v="2989"/>
    <x v="1"/>
    <x v="0"/>
  </r>
  <r>
    <n v="3945"/>
    <x v="1948"/>
    <x v="458"/>
    <d v="2017-05-21T00:00:00"/>
    <s v="Second Class"/>
    <x v="157"/>
    <s v="Denny Ordway"/>
    <x v="0"/>
    <s v="United States"/>
    <s v="Los Angeles"/>
    <x v="1"/>
    <n v="90036"/>
    <x v="1"/>
    <x v="609"/>
    <x v="1"/>
    <x v="10"/>
    <x v="609"/>
    <x v="1686"/>
    <x v="5"/>
    <x v="0"/>
  </r>
  <r>
    <n v="3946"/>
    <x v="1949"/>
    <x v="551"/>
    <d v="2018-11-23T00:00:00"/>
    <s v="Standard Class"/>
    <x v="578"/>
    <s v="Art Ferguson"/>
    <x v="0"/>
    <s v="United States"/>
    <s v="Homestead"/>
    <x v="2"/>
    <n v="33030"/>
    <x v="0"/>
    <x v="1486"/>
    <x v="1"/>
    <x v="10"/>
    <x v="1473"/>
    <x v="2990"/>
    <x v="0"/>
    <x v="3"/>
  </r>
  <r>
    <n v="3947"/>
    <x v="1949"/>
    <x v="551"/>
    <d v="2018-11-23T00:00:00"/>
    <s v="Standard Class"/>
    <x v="578"/>
    <s v="Art Ferguson"/>
    <x v="0"/>
    <s v="United States"/>
    <s v="Homestead"/>
    <x v="2"/>
    <n v="33030"/>
    <x v="0"/>
    <x v="327"/>
    <x v="1"/>
    <x v="14"/>
    <x v="327"/>
    <x v="2991"/>
    <x v="0"/>
    <x v="3"/>
  </r>
  <r>
    <n v="3948"/>
    <x v="1950"/>
    <x v="741"/>
    <d v="2017-11-22T00:00:00"/>
    <s v="Standard Class"/>
    <x v="17"/>
    <s v="Steve Nguyen"/>
    <x v="2"/>
    <s v="United States"/>
    <s v="Pasadena"/>
    <x v="5"/>
    <n v="77506"/>
    <x v="2"/>
    <x v="181"/>
    <x v="1"/>
    <x v="6"/>
    <x v="182"/>
    <x v="2850"/>
    <x v="0"/>
    <x v="0"/>
  </r>
  <r>
    <n v="3949"/>
    <x v="1950"/>
    <x v="741"/>
    <d v="2017-11-22T00:00:00"/>
    <s v="Standard Class"/>
    <x v="17"/>
    <s v="Steve Nguyen"/>
    <x v="2"/>
    <s v="United States"/>
    <s v="Pasadena"/>
    <x v="5"/>
    <n v="77506"/>
    <x v="2"/>
    <x v="580"/>
    <x v="1"/>
    <x v="2"/>
    <x v="580"/>
    <x v="2992"/>
    <x v="0"/>
    <x v="0"/>
  </r>
  <r>
    <n v="3950"/>
    <x v="1950"/>
    <x v="741"/>
    <d v="2017-11-22T00:00:00"/>
    <s v="Standard Class"/>
    <x v="17"/>
    <s v="Steve Nguyen"/>
    <x v="2"/>
    <s v="United States"/>
    <s v="Pasadena"/>
    <x v="5"/>
    <n v="77506"/>
    <x v="2"/>
    <x v="314"/>
    <x v="1"/>
    <x v="10"/>
    <x v="314"/>
    <x v="2993"/>
    <x v="0"/>
    <x v="0"/>
  </r>
  <r>
    <n v="3951"/>
    <x v="1950"/>
    <x v="741"/>
    <d v="2017-11-22T00:00:00"/>
    <s v="Standard Class"/>
    <x v="17"/>
    <s v="Steve Nguyen"/>
    <x v="2"/>
    <s v="United States"/>
    <s v="Pasadena"/>
    <x v="5"/>
    <n v="77506"/>
    <x v="2"/>
    <x v="163"/>
    <x v="0"/>
    <x v="1"/>
    <x v="164"/>
    <x v="2994"/>
    <x v="0"/>
    <x v="0"/>
  </r>
  <r>
    <n v="3952"/>
    <x v="1951"/>
    <x v="683"/>
    <d v="2015-11-30T00:00:00"/>
    <s v="Second Class"/>
    <x v="373"/>
    <s v="Mary O'Rourke"/>
    <x v="0"/>
    <s v="United States"/>
    <s v="Freeport"/>
    <x v="15"/>
    <n v="11520"/>
    <x v="3"/>
    <x v="828"/>
    <x v="1"/>
    <x v="8"/>
    <x v="824"/>
    <x v="2995"/>
    <x v="0"/>
    <x v="2"/>
  </r>
  <r>
    <n v="3953"/>
    <x v="1952"/>
    <x v="398"/>
    <d v="2017-03-08T00:00:00"/>
    <s v="Standard Class"/>
    <x v="21"/>
    <s v="Odella Nelson"/>
    <x v="1"/>
    <s v="United States"/>
    <s v="Denver"/>
    <x v="22"/>
    <n v="80219"/>
    <x v="1"/>
    <x v="1607"/>
    <x v="2"/>
    <x v="7"/>
    <x v="1598"/>
    <x v="1290"/>
    <x v="10"/>
    <x v="0"/>
  </r>
  <r>
    <n v="3954"/>
    <x v="1953"/>
    <x v="787"/>
    <d v="2018-01-19T00:00:00"/>
    <s v="Standard Class"/>
    <x v="183"/>
    <s v="Sanjit Chand"/>
    <x v="0"/>
    <s v="United States"/>
    <s v="Quincy"/>
    <x v="31"/>
    <n v="2169"/>
    <x v="3"/>
    <x v="69"/>
    <x v="1"/>
    <x v="10"/>
    <x v="69"/>
    <x v="1418"/>
    <x v="9"/>
    <x v="3"/>
  </r>
  <r>
    <n v="3955"/>
    <x v="1954"/>
    <x v="527"/>
    <d v="2015-04-09T00:00:00"/>
    <s v="Standard Class"/>
    <x v="384"/>
    <s v="Maurice Satty"/>
    <x v="0"/>
    <s v="United States"/>
    <s v="Detroit"/>
    <x v="12"/>
    <n v="48205"/>
    <x v="2"/>
    <x v="493"/>
    <x v="0"/>
    <x v="5"/>
    <x v="493"/>
    <x v="2996"/>
    <x v="3"/>
    <x v="2"/>
  </r>
  <r>
    <n v="3956"/>
    <x v="1954"/>
    <x v="527"/>
    <d v="2015-04-09T00:00:00"/>
    <s v="Standard Class"/>
    <x v="384"/>
    <s v="Maurice Satty"/>
    <x v="0"/>
    <s v="United States"/>
    <s v="Detroit"/>
    <x v="12"/>
    <n v="48205"/>
    <x v="2"/>
    <x v="1041"/>
    <x v="1"/>
    <x v="6"/>
    <x v="1030"/>
    <x v="1362"/>
    <x v="3"/>
    <x v="2"/>
  </r>
  <r>
    <n v="3957"/>
    <x v="1955"/>
    <x v="190"/>
    <d v="2017-07-03T00:00:00"/>
    <s v="Standard Class"/>
    <x v="35"/>
    <s v="Duane Noonan"/>
    <x v="0"/>
    <s v="United States"/>
    <s v="San Francisco"/>
    <x v="1"/>
    <n v="94109"/>
    <x v="1"/>
    <x v="1256"/>
    <x v="0"/>
    <x v="5"/>
    <x v="1240"/>
    <x v="2997"/>
    <x v="1"/>
    <x v="0"/>
  </r>
  <r>
    <n v="3958"/>
    <x v="1956"/>
    <x v="211"/>
    <d v="2017-06-02T00:00:00"/>
    <s v="Standard Class"/>
    <x v="181"/>
    <s v="Raymond Buch"/>
    <x v="0"/>
    <s v="United States"/>
    <s v="Nashville"/>
    <x v="18"/>
    <n v="37211"/>
    <x v="0"/>
    <x v="1095"/>
    <x v="1"/>
    <x v="8"/>
    <x v="1085"/>
    <x v="2998"/>
    <x v="5"/>
    <x v="0"/>
  </r>
  <r>
    <n v="3959"/>
    <x v="1956"/>
    <x v="211"/>
    <d v="2017-06-02T00:00:00"/>
    <s v="Standard Class"/>
    <x v="181"/>
    <s v="Raymond Buch"/>
    <x v="0"/>
    <s v="United States"/>
    <s v="Nashville"/>
    <x v="18"/>
    <n v="37211"/>
    <x v="0"/>
    <x v="324"/>
    <x v="1"/>
    <x v="6"/>
    <x v="324"/>
    <x v="2999"/>
    <x v="5"/>
    <x v="0"/>
  </r>
  <r>
    <n v="3960"/>
    <x v="1956"/>
    <x v="211"/>
    <d v="2017-06-02T00:00:00"/>
    <s v="Standard Class"/>
    <x v="181"/>
    <s v="Raymond Buch"/>
    <x v="0"/>
    <s v="United States"/>
    <s v="Nashville"/>
    <x v="18"/>
    <n v="37211"/>
    <x v="0"/>
    <x v="1608"/>
    <x v="0"/>
    <x v="5"/>
    <x v="1599"/>
    <x v="3000"/>
    <x v="5"/>
    <x v="0"/>
  </r>
  <r>
    <n v="3961"/>
    <x v="1957"/>
    <x v="324"/>
    <d v="2016-10-24T00:00:00"/>
    <s v="Standard Class"/>
    <x v="468"/>
    <s v="Nicole Hansen"/>
    <x v="1"/>
    <s v="United States"/>
    <s v="Detroit"/>
    <x v="12"/>
    <n v="48227"/>
    <x v="2"/>
    <x v="1206"/>
    <x v="1"/>
    <x v="8"/>
    <x v="1191"/>
    <x v="3001"/>
    <x v="2"/>
    <x v="1"/>
  </r>
  <r>
    <n v="3962"/>
    <x v="1957"/>
    <x v="324"/>
    <d v="2016-10-24T00:00:00"/>
    <s v="Standard Class"/>
    <x v="468"/>
    <s v="Nicole Hansen"/>
    <x v="1"/>
    <s v="United States"/>
    <s v="Detroit"/>
    <x v="12"/>
    <n v="48227"/>
    <x v="2"/>
    <x v="993"/>
    <x v="2"/>
    <x v="7"/>
    <x v="985"/>
    <x v="179"/>
    <x v="2"/>
    <x v="1"/>
  </r>
  <r>
    <n v="3963"/>
    <x v="1958"/>
    <x v="600"/>
    <d v="2018-02-20T00:00:00"/>
    <s v="First Class"/>
    <x v="525"/>
    <s v="Emily Ducich"/>
    <x v="2"/>
    <s v="United States"/>
    <s v="Los Angeles"/>
    <x v="1"/>
    <n v="90045"/>
    <x v="1"/>
    <x v="1005"/>
    <x v="1"/>
    <x v="6"/>
    <x v="997"/>
    <x v="1371"/>
    <x v="11"/>
    <x v="3"/>
  </r>
  <r>
    <n v="3964"/>
    <x v="1958"/>
    <x v="600"/>
    <d v="2018-02-20T00:00:00"/>
    <s v="First Class"/>
    <x v="525"/>
    <s v="Emily Ducich"/>
    <x v="2"/>
    <s v="United States"/>
    <s v="Los Angeles"/>
    <x v="1"/>
    <n v="90045"/>
    <x v="1"/>
    <x v="943"/>
    <x v="0"/>
    <x v="5"/>
    <x v="936"/>
    <x v="3002"/>
    <x v="11"/>
    <x v="3"/>
  </r>
  <r>
    <n v="3965"/>
    <x v="1959"/>
    <x v="897"/>
    <d v="2017-09-28T00:00:00"/>
    <s v="Standard Class"/>
    <x v="617"/>
    <s v="Pierre Wener"/>
    <x v="0"/>
    <s v="United States"/>
    <s v="Philadelphia"/>
    <x v="9"/>
    <n v="19140"/>
    <x v="3"/>
    <x v="1609"/>
    <x v="1"/>
    <x v="6"/>
    <x v="1600"/>
    <x v="956"/>
    <x v="8"/>
    <x v="0"/>
  </r>
  <r>
    <n v="3966"/>
    <x v="1960"/>
    <x v="607"/>
    <d v="2015-11-17T00:00:00"/>
    <s v="Second Class"/>
    <x v="664"/>
    <s v="Denise Monton"/>
    <x v="1"/>
    <s v="United States"/>
    <s v="Asheville"/>
    <x v="3"/>
    <n v="28806"/>
    <x v="0"/>
    <x v="279"/>
    <x v="1"/>
    <x v="6"/>
    <x v="279"/>
    <x v="956"/>
    <x v="0"/>
    <x v="2"/>
  </r>
  <r>
    <n v="3967"/>
    <x v="1961"/>
    <x v="178"/>
    <d v="2017-04-06T00:00:00"/>
    <s v="Standard Class"/>
    <x v="386"/>
    <s v="Don Weiss"/>
    <x v="0"/>
    <s v="United States"/>
    <s v="New York City"/>
    <x v="15"/>
    <n v="10024"/>
    <x v="3"/>
    <x v="666"/>
    <x v="1"/>
    <x v="6"/>
    <x v="666"/>
    <x v="1912"/>
    <x v="3"/>
    <x v="0"/>
  </r>
  <r>
    <n v="3968"/>
    <x v="1962"/>
    <x v="244"/>
    <d v="2017-05-23T00:00:00"/>
    <s v="First Class"/>
    <x v="258"/>
    <s v="Eugene Hildebrand"/>
    <x v="2"/>
    <s v="United States"/>
    <s v="Colorado Springs"/>
    <x v="22"/>
    <n v="80906"/>
    <x v="1"/>
    <x v="612"/>
    <x v="1"/>
    <x v="8"/>
    <x v="612"/>
    <x v="3003"/>
    <x v="5"/>
    <x v="0"/>
  </r>
  <r>
    <n v="3969"/>
    <x v="1963"/>
    <x v="932"/>
    <d v="2016-06-05T00:00:00"/>
    <s v="Standard Class"/>
    <x v="722"/>
    <s v="Katrina Edelman"/>
    <x v="1"/>
    <s v="United States"/>
    <s v="San Antonio"/>
    <x v="5"/>
    <n v="78207"/>
    <x v="2"/>
    <x v="175"/>
    <x v="1"/>
    <x v="8"/>
    <x v="176"/>
    <x v="3004"/>
    <x v="1"/>
    <x v="1"/>
  </r>
  <r>
    <n v="3970"/>
    <x v="1963"/>
    <x v="932"/>
    <d v="2016-06-05T00:00:00"/>
    <s v="Standard Class"/>
    <x v="722"/>
    <s v="Katrina Edelman"/>
    <x v="1"/>
    <s v="United States"/>
    <s v="San Antonio"/>
    <x v="5"/>
    <n v="78207"/>
    <x v="2"/>
    <x v="1610"/>
    <x v="1"/>
    <x v="10"/>
    <x v="1601"/>
    <x v="3005"/>
    <x v="1"/>
    <x v="1"/>
  </r>
  <r>
    <n v="3971"/>
    <x v="1964"/>
    <x v="754"/>
    <d v="2015-11-26T00:00:00"/>
    <s v="Standard Class"/>
    <x v="727"/>
    <s v="Susan Pistek"/>
    <x v="0"/>
    <s v="United States"/>
    <s v="Los Angeles"/>
    <x v="1"/>
    <n v="90036"/>
    <x v="1"/>
    <x v="1357"/>
    <x v="1"/>
    <x v="10"/>
    <x v="1343"/>
    <x v="3006"/>
    <x v="0"/>
    <x v="2"/>
  </r>
  <r>
    <n v="3972"/>
    <x v="1965"/>
    <x v="933"/>
    <d v="2016-02-24T00:00:00"/>
    <s v="Second Class"/>
    <x v="390"/>
    <s v="Penelope Sewall"/>
    <x v="2"/>
    <s v="United States"/>
    <s v="Sterling Heights"/>
    <x v="12"/>
    <n v="48310"/>
    <x v="2"/>
    <x v="1500"/>
    <x v="1"/>
    <x v="6"/>
    <x v="1488"/>
    <x v="1362"/>
    <x v="11"/>
    <x v="1"/>
  </r>
  <r>
    <n v="3973"/>
    <x v="1966"/>
    <x v="892"/>
    <d v="2017-04-02T00:00:00"/>
    <s v="Standard Class"/>
    <x v="49"/>
    <s v="Janet Martin"/>
    <x v="0"/>
    <s v="United States"/>
    <s v="New York City"/>
    <x v="15"/>
    <n v="10009"/>
    <x v="3"/>
    <x v="949"/>
    <x v="1"/>
    <x v="10"/>
    <x v="942"/>
    <x v="808"/>
    <x v="10"/>
    <x v="0"/>
  </r>
  <r>
    <n v="3974"/>
    <x v="1966"/>
    <x v="892"/>
    <d v="2017-04-02T00:00:00"/>
    <s v="Standard Class"/>
    <x v="49"/>
    <s v="Janet Martin"/>
    <x v="0"/>
    <s v="United States"/>
    <s v="New York City"/>
    <x v="15"/>
    <n v="10009"/>
    <x v="3"/>
    <x v="985"/>
    <x v="1"/>
    <x v="8"/>
    <x v="978"/>
    <x v="1263"/>
    <x v="10"/>
    <x v="0"/>
  </r>
  <r>
    <n v="3975"/>
    <x v="1966"/>
    <x v="892"/>
    <d v="2017-04-02T00:00:00"/>
    <s v="Standard Class"/>
    <x v="49"/>
    <s v="Janet Martin"/>
    <x v="0"/>
    <s v="United States"/>
    <s v="New York City"/>
    <x v="15"/>
    <n v="10009"/>
    <x v="3"/>
    <x v="28"/>
    <x v="0"/>
    <x v="5"/>
    <x v="28"/>
    <x v="3007"/>
    <x v="10"/>
    <x v="0"/>
  </r>
  <r>
    <n v="3976"/>
    <x v="1966"/>
    <x v="892"/>
    <d v="2017-04-02T00:00:00"/>
    <s v="Standard Class"/>
    <x v="49"/>
    <s v="Janet Martin"/>
    <x v="0"/>
    <s v="United States"/>
    <s v="New York City"/>
    <x v="15"/>
    <n v="10009"/>
    <x v="3"/>
    <x v="777"/>
    <x v="1"/>
    <x v="8"/>
    <x v="776"/>
    <x v="3008"/>
    <x v="10"/>
    <x v="0"/>
  </r>
  <r>
    <n v="3977"/>
    <x v="1967"/>
    <x v="332"/>
    <d v="2017-10-24T00:00:00"/>
    <s v="First Class"/>
    <x v="518"/>
    <s v="Eric Barreto"/>
    <x v="0"/>
    <s v="United States"/>
    <s v="Richmond"/>
    <x v="17"/>
    <n v="23223"/>
    <x v="0"/>
    <x v="1611"/>
    <x v="0"/>
    <x v="5"/>
    <x v="1602"/>
    <x v="3009"/>
    <x v="2"/>
    <x v="0"/>
  </r>
  <r>
    <n v="3978"/>
    <x v="1968"/>
    <x v="280"/>
    <d v="2018-10-07T00:00:00"/>
    <s v="Standard Class"/>
    <x v="435"/>
    <s v="Frank Gastineau"/>
    <x v="2"/>
    <s v="United States"/>
    <s v="Seattle"/>
    <x v="4"/>
    <n v="98105"/>
    <x v="1"/>
    <x v="127"/>
    <x v="1"/>
    <x v="13"/>
    <x v="128"/>
    <x v="3010"/>
    <x v="2"/>
    <x v="3"/>
  </r>
  <r>
    <n v="3979"/>
    <x v="1968"/>
    <x v="280"/>
    <d v="2018-10-07T00:00:00"/>
    <s v="Standard Class"/>
    <x v="435"/>
    <s v="Frank Gastineau"/>
    <x v="2"/>
    <s v="United States"/>
    <s v="Seattle"/>
    <x v="4"/>
    <n v="98105"/>
    <x v="1"/>
    <x v="509"/>
    <x v="2"/>
    <x v="7"/>
    <x v="509"/>
    <x v="556"/>
    <x v="2"/>
    <x v="3"/>
  </r>
  <r>
    <n v="3980"/>
    <x v="1969"/>
    <x v="851"/>
    <d v="2015-12-27T00:00:00"/>
    <s v="Standard Class"/>
    <x v="260"/>
    <s v="Tiffany House"/>
    <x v="1"/>
    <s v="United States"/>
    <s v="New York City"/>
    <x v="15"/>
    <n v="10024"/>
    <x v="3"/>
    <x v="972"/>
    <x v="0"/>
    <x v="3"/>
    <x v="966"/>
    <x v="3011"/>
    <x v="4"/>
    <x v="2"/>
  </r>
  <r>
    <n v="3981"/>
    <x v="1969"/>
    <x v="851"/>
    <d v="2015-12-27T00:00:00"/>
    <s v="Standard Class"/>
    <x v="260"/>
    <s v="Tiffany House"/>
    <x v="1"/>
    <s v="United States"/>
    <s v="New York City"/>
    <x v="15"/>
    <n v="10024"/>
    <x v="3"/>
    <x v="551"/>
    <x v="1"/>
    <x v="9"/>
    <x v="550"/>
    <x v="3012"/>
    <x v="4"/>
    <x v="2"/>
  </r>
  <r>
    <n v="3982"/>
    <x v="1970"/>
    <x v="934"/>
    <d v="2018-12-20T00:00:00"/>
    <s v="Standard Class"/>
    <x v="484"/>
    <s v="Paul Lucas"/>
    <x v="2"/>
    <s v="United States"/>
    <s v="Seattle"/>
    <x v="4"/>
    <n v="98115"/>
    <x v="1"/>
    <x v="560"/>
    <x v="0"/>
    <x v="5"/>
    <x v="559"/>
    <x v="3013"/>
    <x v="4"/>
    <x v="3"/>
  </r>
  <r>
    <n v="3983"/>
    <x v="1971"/>
    <x v="274"/>
    <d v="2017-07-09T00:00:00"/>
    <s v="Second Class"/>
    <x v="666"/>
    <s v="Christopher Conant"/>
    <x v="0"/>
    <s v="United States"/>
    <s v="Los Angeles"/>
    <x v="1"/>
    <n v="90045"/>
    <x v="1"/>
    <x v="51"/>
    <x v="0"/>
    <x v="1"/>
    <x v="51"/>
    <x v="2736"/>
    <x v="7"/>
    <x v="0"/>
  </r>
  <r>
    <n v="3984"/>
    <x v="1971"/>
    <x v="274"/>
    <d v="2017-07-09T00:00:00"/>
    <s v="Second Class"/>
    <x v="666"/>
    <s v="Christopher Conant"/>
    <x v="0"/>
    <s v="United States"/>
    <s v="Los Angeles"/>
    <x v="1"/>
    <n v="90045"/>
    <x v="1"/>
    <x v="1293"/>
    <x v="2"/>
    <x v="16"/>
    <x v="1279"/>
    <x v="2430"/>
    <x v="7"/>
    <x v="0"/>
  </r>
  <r>
    <n v="3985"/>
    <x v="1971"/>
    <x v="274"/>
    <d v="2017-07-09T00:00:00"/>
    <s v="Second Class"/>
    <x v="666"/>
    <s v="Christopher Conant"/>
    <x v="0"/>
    <s v="United States"/>
    <s v="Los Angeles"/>
    <x v="1"/>
    <n v="90045"/>
    <x v="1"/>
    <x v="1438"/>
    <x v="1"/>
    <x v="10"/>
    <x v="1426"/>
    <x v="1529"/>
    <x v="7"/>
    <x v="0"/>
  </r>
  <r>
    <n v="3986"/>
    <x v="1972"/>
    <x v="764"/>
    <d v="2017-04-21T00:00:00"/>
    <s v="Standard Class"/>
    <x v="341"/>
    <s v="Jessica Myrick"/>
    <x v="0"/>
    <s v="United States"/>
    <s v="Lakewood"/>
    <x v="1"/>
    <n v="90712"/>
    <x v="1"/>
    <x v="713"/>
    <x v="0"/>
    <x v="0"/>
    <x v="712"/>
    <x v="3014"/>
    <x v="3"/>
    <x v="0"/>
  </r>
  <r>
    <n v="3987"/>
    <x v="1973"/>
    <x v="798"/>
    <d v="2018-04-14T00:00:00"/>
    <s v="Standard Class"/>
    <x v="580"/>
    <s v="Karen Ferguson"/>
    <x v="2"/>
    <s v="United States"/>
    <s v="Plainfield"/>
    <x v="30"/>
    <n v="7060"/>
    <x v="3"/>
    <x v="486"/>
    <x v="1"/>
    <x v="4"/>
    <x v="486"/>
    <x v="3015"/>
    <x v="3"/>
    <x v="3"/>
  </r>
  <r>
    <n v="3988"/>
    <x v="1973"/>
    <x v="798"/>
    <d v="2018-04-14T00:00:00"/>
    <s v="Standard Class"/>
    <x v="580"/>
    <s v="Karen Ferguson"/>
    <x v="2"/>
    <s v="United States"/>
    <s v="Plainfield"/>
    <x v="30"/>
    <n v="7060"/>
    <x v="3"/>
    <x v="1612"/>
    <x v="1"/>
    <x v="9"/>
    <x v="1603"/>
    <x v="3016"/>
    <x v="3"/>
    <x v="3"/>
  </r>
  <r>
    <n v="3989"/>
    <x v="1974"/>
    <x v="764"/>
    <d v="2017-04-22T00:00:00"/>
    <s v="Standard Class"/>
    <x v="728"/>
    <s v="Charles Sheldon"/>
    <x v="1"/>
    <s v="United States"/>
    <s v="Columbia"/>
    <x v="18"/>
    <n v="38401"/>
    <x v="0"/>
    <x v="1613"/>
    <x v="0"/>
    <x v="5"/>
    <x v="1604"/>
    <x v="3017"/>
    <x v="3"/>
    <x v="0"/>
  </r>
  <r>
    <n v="3990"/>
    <x v="1975"/>
    <x v="641"/>
    <d v="2015-11-27T00:00:00"/>
    <s v="Second Class"/>
    <x v="481"/>
    <s v="Andy Reiter"/>
    <x v="0"/>
    <s v="United States"/>
    <s v="Woonsocket"/>
    <x v="34"/>
    <n v="2895"/>
    <x v="3"/>
    <x v="750"/>
    <x v="0"/>
    <x v="5"/>
    <x v="748"/>
    <x v="3018"/>
    <x v="0"/>
    <x v="2"/>
  </r>
  <r>
    <n v="3991"/>
    <x v="1976"/>
    <x v="935"/>
    <d v="2015-11-08T00:00:00"/>
    <s v="Standard Class"/>
    <x v="474"/>
    <s v="Maxwell Schwartz"/>
    <x v="0"/>
    <s v="United States"/>
    <s v="Lancaster"/>
    <x v="9"/>
    <n v="17602"/>
    <x v="3"/>
    <x v="1420"/>
    <x v="1"/>
    <x v="14"/>
    <x v="1408"/>
    <x v="3019"/>
    <x v="0"/>
    <x v="2"/>
  </r>
  <r>
    <n v="3992"/>
    <x v="1977"/>
    <x v="489"/>
    <d v="2016-05-05T00:00:00"/>
    <s v="Standard Class"/>
    <x v="106"/>
    <s v="David Bremer"/>
    <x v="1"/>
    <s v="United States"/>
    <s v="Tampa"/>
    <x v="2"/>
    <n v="33614"/>
    <x v="0"/>
    <x v="750"/>
    <x v="0"/>
    <x v="5"/>
    <x v="748"/>
    <x v="3020"/>
    <x v="5"/>
    <x v="1"/>
  </r>
  <r>
    <n v="3993"/>
    <x v="1977"/>
    <x v="489"/>
    <d v="2016-05-05T00:00:00"/>
    <s v="Standard Class"/>
    <x v="106"/>
    <s v="David Bremer"/>
    <x v="1"/>
    <s v="United States"/>
    <s v="Tampa"/>
    <x v="2"/>
    <n v="33614"/>
    <x v="0"/>
    <x v="610"/>
    <x v="1"/>
    <x v="14"/>
    <x v="610"/>
    <x v="3021"/>
    <x v="5"/>
    <x v="1"/>
  </r>
  <r>
    <n v="3994"/>
    <x v="1977"/>
    <x v="489"/>
    <d v="2016-05-05T00:00:00"/>
    <s v="Standard Class"/>
    <x v="106"/>
    <s v="David Bremer"/>
    <x v="1"/>
    <s v="United States"/>
    <s v="Tampa"/>
    <x v="2"/>
    <n v="33614"/>
    <x v="0"/>
    <x v="915"/>
    <x v="1"/>
    <x v="6"/>
    <x v="907"/>
    <x v="3022"/>
    <x v="5"/>
    <x v="1"/>
  </r>
  <r>
    <n v="3995"/>
    <x v="1978"/>
    <x v="936"/>
    <d v="2016-03-12T00:00:00"/>
    <s v="Standard Class"/>
    <x v="729"/>
    <s v="Dana Kaydos"/>
    <x v="0"/>
    <s v="United States"/>
    <s v="Kenosha"/>
    <x v="6"/>
    <n v="53142"/>
    <x v="2"/>
    <x v="1528"/>
    <x v="0"/>
    <x v="0"/>
    <x v="1515"/>
    <x v="3023"/>
    <x v="10"/>
    <x v="1"/>
  </r>
  <r>
    <n v="3996"/>
    <x v="1978"/>
    <x v="936"/>
    <d v="2016-03-12T00:00:00"/>
    <s v="Standard Class"/>
    <x v="729"/>
    <s v="Dana Kaydos"/>
    <x v="0"/>
    <s v="United States"/>
    <s v="Kenosha"/>
    <x v="6"/>
    <n v="53142"/>
    <x v="2"/>
    <x v="1265"/>
    <x v="0"/>
    <x v="1"/>
    <x v="1249"/>
    <x v="3024"/>
    <x v="10"/>
    <x v="1"/>
  </r>
  <r>
    <n v="3997"/>
    <x v="1978"/>
    <x v="936"/>
    <d v="2016-03-12T00:00:00"/>
    <s v="Standard Class"/>
    <x v="729"/>
    <s v="Dana Kaydos"/>
    <x v="0"/>
    <s v="United States"/>
    <s v="Kenosha"/>
    <x v="6"/>
    <n v="53142"/>
    <x v="2"/>
    <x v="348"/>
    <x v="2"/>
    <x v="7"/>
    <x v="348"/>
    <x v="3025"/>
    <x v="10"/>
    <x v="1"/>
  </r>
  <r>
    <n v="3998"/>
    <x v="1978"/>
    <x v="936"/>
    <d v="2016-03-12T00:00:00"/>
    <s v="Standard Class"/>
    <x v="729"/>
    <s v="Dana Kaydos"/>
    <x v="0"/>
    <s v="United States"/>
    <s v="Kenosha"/>
    <x v="6"/>
    <n v="53142"/>
    <x v="2"/>
    <x v="1614"/>
    <x v="1"/>
    <x v="6"/>
    <x v="1605"/>
    <x v="1852"/>
    <x v="10"/>
    <x v="1"/>
  </r>
  <r>
    <n v="3999"/>
    <x v="1978"/>
    <x v="936"/>
    <d v="2016-03-12T00:00:00"/>
    <s v="Standard Class"/>
    <x v="729"/>
    <s v="Dana Kaydos"/>
    <x v="0"/>
    <s v="United States"/>
    <s v="Kenosha"/>
    <x v="6"/>
    <n v="53142"/>
    <x v="2"/>
    <x v="1292"/>
    <x v="0"/>
    <x v="5"/>
    <x v="1278"/>
    <x v="3026"/>
    <x v="10"/>
    <x v="1"/>
  </r>
  <r>
    <n v="4000"/>
    <x v="1979"/>
    <x v="789"/>
    <d v="2016-07-20T00:00:00"/>
    <s v="Second Class"/>
    <x v="172"/>
    <s v="Michael Paige"/>
    <x v="1"/>
    <s v="United States"/>
    <s v="Port Saint Lucie"/>
    <x v="2"/>
    <n v="34952"/>
    <x v="0"/>
    <x v="266"/>
    <x v="0"/>
    <x v="0"/>
    <x v="266"/>
    <x v="3027"/>
    <x v="7"/>
    <x v="1"/>
  </r>
  <r>
    <n v="4001"/>
    <x v="1980"/>
    <x v="856"/>
    <d v="2015-10-16T00:00:00"/>
    <s v="Standard Class"/>
    <x v="656"/>
    <s v="Dean percer"/>
    <x v="2"/>
    <s v="United States"/>
    <s v="Seattle"/>
    <x v="4"/>
    <n v="98115"/>
    <x v="1"/>
    <x v="1137"/>
    <x v="0"/>
    <x v="5"/>
    <x v="1125"/>
    <x v="3028"/>
    <x v="2"/>
    <x v="2"/>
  </r>
  <r>
    <n v="4002"/>
    <x v="1980"/>
    <x v="856"/>
    <d v="2015-10-16T00:00:00"/>
    <s v="Standard Class"/>
    <x v="656"/>
    <s v="Dean percer"/>
    <x v="2"/>
    <s v="United States"/>
    <s v="Seattle"/>
    <x v="4"/>
    <n v="98115"/>
    <x v="1"/>
    <x v="1615"/>
    <x v="2"/>
    <x v="11"/>
    <x v="1606"/>
    <x v="2013"/>
    <x v="2"/>
    <x v="2"/>
  </r>
  <r>
    <n v="4003"/>
    <x v="1981"/>
    <x v="840"/>
    <d v="2017-03-08T00:00:00"/>
    <s v="Standard Class"/>
    <x v="417"/>
    <s v="Chris Cortes"/>
    <x v="0"/>
    <s v="United States"/>
    <s v="San Antonio"/>
    <x v="5"/>
    <n v="78207"/>
    <x v="2"/>
    <x v="335"/>
    <x v="0"/>
    <x v="3"/>
    <x v="335"/>
    <x v="3029"/>
    <x v="10"/>
    <x v="0"/>
  </r>
  <r>
    <n v="4004"/>
    <x v="1981"/>
    <x v="840"/>
    <d v="2017-03-08T00:00:00"/>
    <s v="Standard Class"/>
    <x v="417"/>
    <s v="Chris Cortes"/>
    <x v="0"/>
    <s v="United States"/>
    <s v="San Antonio"/>
    <x v="5"/>
    <n v="78207"/>
    <x v="2"/>
    <x v="1616"/>
    <x v="2"/>
    <x v="15"/>
    <x v="1607"/>
    <x v="3030"/>
    <x v="10"/>
    <x v="0"/>
  </r>
  <r>
    <n v="4005"/>
    <x v="1981"/>
    <x v="840"/>
    <d v="2017-03-08T00:00:00"/>
    <s v="Standard Class"/>
    <x v="417"/>
    <s v="Chris Cortes"/>
    <x v="0"/>
    <s v="United States"/>
    <s v="San Antonio"/>
    <x v="5"/>
    <n v="78207"/>
    <x v="2"/>
    <x v="373"/>
    <x v="1"/>
    <x v="12"/>
    <x v="374"/>
    <x v="3031"/>
    <x v="10"/>
    <x v="0"/>
  </r>
  <r>
    <n v="4006"/>
    <x v="1982"/>
    <x v="895"/>
    <d v="2016-12-16T00:00:00"/>
    <s v="Standard Class"/>
    <x v="730"/>
    <s v="Khloe Miller"/>
    <x v="0"/>
    <s v="United States"/>
    <s v="Roswell"/>
    <x v="32"/>
    <n v="30076"/>
    <x v="0"/>
    <x v="1325"/>
    <x v="1"/>
    <x v="6"/>
    <x v="772"/>
    <x v="3032"/>
    <x v="4"/>
    <x v="1"/>
  </r>
  <r>
    <n v="4007"/>
    <x v="1982"/>
    <x v="895"/>
    <d v="2016-12-16T00:00:00"/>
    <s v="Standard Class"/>
    <x v="730"/>
    <s v="Khloe Miller"/>
    <x v="0"/>
    <s v="United States"/>
    <s v="Roswell"/>
    <x v="32"/>
    <n v="30076"/>
    <x v="0"/>
    <x v="1440"/>
    <x v="1"/>
    <x v="10"/>
    <x v="1428"/>
    <x v="233"/>
    <x v="4"/>
    <x v="1"/>
  </r>
  <r>
    <n v="4008"/>
    <x v="1982"/>
    <x v="895"/>
    <d v="2016-12-16T00:00:00"/>
    <s v="Standard Class"/>
    <x v="730"/>
    <s v="Khloe Miller"/>
    <x v="0"/>
    <s v="United States"/>
    <s v="Roswell"/>
    <x v="32"/>
    <n v="30076"/>
    <x v="0"/>
    <x v="1617"/>
    <x v="2"/>
    <x v="11"/>
    <x v="1608"/>
    <x v="3033"/>
    <x v="4"/>
    <x v="1"/>
  </r>
  <r>
    <n v="4009"/>
    <x v="1983"/>
    <x v="217"/>
    <d v="2016-12-22T00:00:00"/>
    <s v="Standard Class"/>
    <x v="149"/>
    <s v="Michael Kennedy"/>
    <x v="1"/>
    <s v="United States"/>
    <s v="Louisville"/>
    <x v="22"/>
    <n v="80027"/>
    <x v="1"/>
    <x v="1005"/>
    <x v="1"/>
    <x v="6"/>
    <x v="997"/>
    <x v="1297"/>
    <x v="4"/>
    <x v="1"/>
  </r>
  <r>
    <n v="4010"/>
    <x v="1984"/>
    <x v="314"/>
    <d v="2018-01-05T00:00:00"/>
    <s v="Standard Class"/>
    <x v="56"/>
    <s v="Steven Cartwright"/>
    <x v="0"/>
    <s v="United States"/>
    <s v="Los Angeles"/>
    <x v="1"/>
    <n v="90036"/>
    <x v="1"/>
    <x v="1618"/>
    <x v="0"/>
    <x v="5"/>
    <x v="1609"/>
    <x v="3034"/>
    <x v="9"/>
    <x v="3"/>
  </r>
  <r>
    <n v="4011"/>
    <x v="1985"/>
    <x v="610"/>
    <d v="2018-11-24T00:00:00"/>
    <s v="First Class"/>
    <x v="693"/>
    <s v="Cindy Chapman"/>
    <x v="0"/>
    <s v="United States"/>
    <s v="Philadelphia"/>
    <x v="9"/>
    <n v="19143"/>
    <x v="3"/>
    <x v="523"/>
    <x v="1"/>
    <x v="10"/>
    <x v="523"/>
    <x v="578"/>
    <x v="0"/>
    <x v="3"/>
  </r>
  <r>
    <n v="4012"/>
    <x v="1985"/>
    <x v="610"/>
    <d v="2018-11-24T00:00:00"/>
    <s v="First Class"/>
    <x v="693"/>
    <s v="Cindy Chapman"/>
    <x v="0"/>
    <s v="United States"/>
    <s v="Philadelphia"/>
    <x v="9"/>
    <n v="19143"/>
    <x v="3"/>
    <x v="576"/>
    <x v="1"/>
    <x v="4"/>
    <x v="576"/>
    <x v="3035"/>
    <x v="0"/>
    <x v="3"/>
  </r>
  <r>
    <n v="4013"/>
    <x v="1986"/>
    <x v="937"/>
    <d v="2016-12-27T00:00:00"/>
    <s v="Standard Class"/>
    <x v="457"/>
    <s v="Beth Thompson"/>
    <x v="2"/>
    <s v="United States"/>
    <s v="Superior"/>
    <x v="6"/>
    <n v="54880"/>
    <x v="2"/>
    <x v="786"/>
    <x v="1"/>
    <x v="6"/>
    <x v="785"/>
    <x v="854"/>
    <x v="4"/>
    <x v="1"/>
  </r>
  <r>
    <n v="4014"/>
    <x v="1987"/>
    <x v="841"/>
    <d v="2016-08-28T00:00:00"/>
    <s v="Standard Class"/>
    <x v="651"/>
    <s v="Fred Harton"/>
    <x v="0"/>
    <s v="United States"/>
    <s v="Atlanta"/>
    <x v="32"/>
    <n v="30318"/>
    <x v="0"/>
    <x v="1107"/>
    <x v="1"/>
    <x v="9"/>
    <x v="1096"/>
    <x v="3036"/>
    <x v="6"/>
    <x v="1"/>
  </r>
  <r>
    <n v="4015"/>
    <x v="1987"/>
    <x v="841"/>
    <d v="2016-08-28T00:00:00"/>
    <s v="Standard Class"/>
    <x v="651"/>
    <s v="Fred Harton"/>
    <x v="0"/>
    <s v="United States"/>
    <s v="Atlanta"/>
    <x v="32"/>
    <n v="30318"/>
    <x v="0"/>
    <x v="1186"/>
    <x v="1"/>
    <x v="2"/>
    <x v="1172"/>
    <x v="874"/>
    <x v="6"/>
    <x v="1"/>
  </r>
  <r>
    <n v="4016"/>
    <x v="1987"/>
    <x v="841"/>
    <d v="2016-08-28T00:00:00"/>
    <s v="Standard Class"/>
    <x v="651"/>
    <s v="Fred Harton"/>
    <x v="0"/>
    <s v="United States"/>
    <s v="Atlanta"/>
    <x v="32"/>
    <n v="30318"/>
    <x v="0"/>
    <x v="1413"/>
    <x v="1"/>
    <x v="10"/>
    <x v="1400"/>
    <x v="3037"/>
    <x v="6"/>
    <x v="1"/>
  </r>
  <r>
    <n v="4017"/>
    <x v="1987"/>
    <x v="841"/>
    <d v="2016-08-28T00:00:00"/>
    <s v="Standard Class"/>
    <x v="651"/>
    <s v="Fred Harton"/>
    <x v="0"/>
    <s v="United States"/>
    <s v="Atlanta"/>
    <x v="32"/>
    <n v="30318"/>
    <x v="0"/>
    <x v="1117"/>
    <x v="1"/>
    <x v="10"/>
    <x v="1105"/>
    <x v="1567"/>
    <x v="6"/>
    <x v="1"/>
  </r>
  <r>
    <n v="4018"/>
    <x v="1987"/>
    <x v="841"/>
    <d v="2016-08-28T00:00:00"/>
    <s v="Standard Class"/>
    <x v="651"/>
    <s v="Fred Harton"/>
    <x v="0"/>
    <s v="United States"/>
    <s v="Atlanta"/>
    <x v="32"/>
    <n v="30318"/>
    <x v="0"/>
    <x v="1619"/>
    <x v="1"/>
    <x v="10"/>
    <x v="1610"/>
    <x v="3038"/>
    <x v="6"/>
    <x v="1"/>
  </r>
  <r>
    <n v="4019"/>
    <x v="1987"/>
    <x v="841"/>
    <d v="2016-08-28T00:00:00"/>
    <s v="Standard Class"/>
    <x v="651"/>
    <s v="Fred Harton"/>
    <x v="0"/>
    <s v="United States"/>
    <s v="Atlanta"/>
    <x v="32"/>
    <n v="30318"/>
    <x v="0"/>
    <x v="1130"/>
    <x v="2"/>
    <x v="11"/>
    <x v="1118"/>
    <x v="1742"/>
    <x v="6"/>
    <x v="1"/>
  </r>
  <r>
    <n v="4020"/>
    <x v="1987"/>
    <x v="841"/>
    <d v="2016-08-28T00:00:00"/>
    <s v="Standard Class"/>
    <x v="651"/>
    <s v="Fred Harton"/>
    <x v="0"/>
    <s v="United States"/>
    <s v="Atlanta"/>
    <x v="32"/>
    <n v="30318"/>
    <x v="0"/>
    <x v="22"/>
    <x v="1"/>
    <x v="9"/>
    <x v="22"/>
    <x v="3039"/>
    <x v="6"/>
    <x v="1"/>
  </r>
  <r>
    <n v="4021"/>
    <x v="1988"/>
    <x v="169"/>
    <d v="2015-06-27T00:00:00"/>
    <s v="Standard Class"/>
    <x v="731"/>
    <s v="Anna Andreadi"/>
    <x v="0"/>
    <s v="United States"/>
    <s v="Chester"/>
    <x v="9"/>
    <n v="19013"/>
    <x v="3"/>
    <x v="167"/>
    <x v="0"/>
    <x v="1"/>
    <x v="168"/>
    <x v="3040"/>
    <x v="1"/>
    <x v="2"/>
  </r>
  <r>
    <n v="4022"/>
    <x v="1988"/>
    <x v="169"/>
    <d v="2015-06-27T00:00:00"/>
    <s v="Standard Class"/>
    <x v="731"/>
    <s v="Anna Andreadi"/>
    <x v="0"/>
    <s v="United States"/>
    <s v="Chester"/>
    <x v="9"/>
    <n v="19013"/>
    <x v="3"/>
    <x v="40"/>
    <x v="2"/>
    <x v="7"/>
    <x v="40"/>
    <x v="3041"/>
    <x v="1"/>
    <x v="2"/>
  </r>
  <r>
    <n v="4023"/>
    <x v="1988"/>
    <x v="169"/>
    <d v="2015-06-27T00:00:00"/>
    <s v="Standard Class"/>
    <x v="731"/>
    <s v="Anna Andreadi"/>
    <x v="0"/>
    <s v="United States"/>
    <s v="Chester"/>
    <x v="9"/>
    <n v="19013"/>
    <x v="3"/>
    <x v="1"/>
    <x v="0"/>
    <x v="1"/>
    <x v="1"/>
    <x v="3042"/>
    <x v="1"/>
    <x v="2"/>
  </r>
  <r>
    <n v="4024"/>
    <x v="1989"/>
    <x v="855"/>
    <d v="2018-10-28T00:00:00"/>
    <s v="First Class"/>
    <x v="705"/>
    <s v="Jack O'Briant"/>
    <x v="1"/>
    <s v="United States"/>
    <s v="San Francisco"/>
    <x v="1"/>
    <n v="94110"/>
    <x v="1"/>
    <x v="1219"/>
    <x v="0"/>
    <x v="0"/>
    <x v="1203"/>
    <x v="3043"/>
    <x v="2"/>
    <x v="3"/>
  </r>
  <r>
    <n v="4025"/>
    <x v="1989"/>
    <x v="855"/>
    <d v="2018-10-28T00:00:00"/>
    <s v="First Class"/>
    <x v="705"/>
    <s v="Jack O'Briant"/>
    <x v="1"/>
    <s v="United States"/>
    <s v="San Francisco"/>
    <x v="1"/>
    <n v="94110"/>
    <x v="1"/>
    <x v="1620"/>
    <x v="2"/>
    <x v="7"/>
    <x v="1611"/>
    <x v="3044"/>
    <x v="2"/>
    <x v="3"/>
  </r>
  <r>
    <n v="4026"/>
    <x v="1990"/>
    <x v="938"/>
    <d v="2018-08-13T00:00:00"/>
    <s v="First Class"/>
    <x v="245"/>
    <s v="Sylvia Foulston"/>
    <x v="1"/>
    <s v="United States"/>
    <s v="Bedford"/>
    <x v="5"/>
    <n v="76021"/>
    <x v="2"/>
    <x v="1286"/>
    <x v="1"/>
    <x v="10"/>
    <x v="1272"/>
    <x v="3045"/>
    <x v="6"/>
    <x v="3"/>
  </r>
  <r>
    <n v="4027"/>
    <x v="1990"/>
    <x v="938"/>
    <d v="2018-08-13T00:00:00"/>
    <s v="First Class"/>
    <x v="245"/>
    <s v="Sylvia Foulston"/>
    <x v="1"/>
    <s v="United States"/>
    <s v="Bedford"/>
    <x v="5"/>
    <n v="76021"/>
    <x v="2"/>
    <x v="1199"/>
    <x v="1"/>
    <x v="6"/>
    <x v="1184"/>
    <x v="1964"/>
    <x v="6"/>
    <x v="3"/>
  </r>
  <r>
    <n v="4028"/>
    <x v="1990"/>
    <x v="938"/>
    <d v="2018-08-13T00:00:00"/>
    <s v="First Class"/>
    <x v="245"/>
    <s v="Sylvia Foulston"/>
    <x v="1"/>
    <s v="United States"/>
    <s v="Bedford"/>
    <x v="5"/>
    <n v="76021"/>
    <x v="2"/>
    <x v="664"/>
    <x v="2"/>
    <x v="7"/>
    <x v="664"/>
    <x v="2045"/>
    <x v="6"/>
    <x v="3"/>
  </r>
  <r>
    <n v="4029"/>
    <x v="1990"/>
    <x v="938"/>
    <d v="2018-08-13T00:00:00"/>
    <s v="First Class"/>
    <x v="245"/>
    <s v="Sylvia Foulston"/>
    <x v="1"/>
    <s v="United States"/>
    <s v="Bedford"/>
    <x v="5"/>
    <n v="76021"/>
    <x v="2"/>
    <x v="1232"/>
    <x v="1"/>
    <x v="8"/>
    <x v="1215"/>
    <x v="3046"/>
    <x v="6"/>
    <x v="3"/>
  </r>
  <r>
    <n v="4030"/>
    <x v="1991"/>
    <x v="165"/>
    <d v="2018-12-28T00:00:00"/>
    <s v="Standard Class"/>
    <x v="394"/>
    <s v="Christine Sundaresam"/>
    <x v="0"/>
    <s v="United States"/>
    <s v="Lafayette"/>
    <x v="28"/>
    <n v="70506"/>
    <x v="0"/>
    <x v="958"/>
    <x v="2"/>
    <x v="15"/>
    <x v="951"/>
    <x v="647"/>
    <x v="4"/>
    <x v="3"/>
  </r>
  <r>
    <n v="4031"/>
    <x v="1991"/>
    <x v="165"/>
    <d v="2018-12-28T00:00:00"/>
    <s v="Standard Class"/>
    <x v="394"/>
    <s v="Christine Sundaresam"/>
    <x v="0"/>
    <s v="United States"/>
    <s v="Lafayette"/>
    <x v="28"/>
    <n v="70506"/>
    <x v="0"/>
    <x v="1340"/>
    <x v="0"/>
    <x v="1"/>
    <x v="1325"/>
    <x v="3047"/>
    <x v="4"/>
    <x v="3"/>
  </r>
  <r>
    <n v="4032"/>
    <x v="1992"/>
    <x v="182"/>
    <d v="2017-09-30T00:00:00"/>
    <s v="Standard Class"/>
    <x v="17"/>
    <s v="Steve Nguyen"/>
    <x v="2"/>
    <s v="United States"/>
    <s v="Covington"/>
    <x v="4"/>
    <n v="98042"/>
    <x v="1"/>
    <x v="643"/>
    <x v="1"/>
    <x v="9"/>
    <x v="643"/>
    <x v="3048"/>
    <x v="8"/>
    <x v="0"/>
  </r>
  <r>
    <n v="4033"/>
    <x v="1992"/>
    <x v="182"/>
    <d v="2017-09-30T00:00:00"/>
    <s v="Standard Class"/>
    <x v="17"/>
    <s v="Steve Nguyen"/>
    <x v="2"/>
    <s v="United States"/>
    <s v="Covington"/>
    <x v="4"/>
    <n v="98042"/>
    <x v="1"/>
    <x v="99"/>
    <x v="1"/>
    <x v="10"/>
    <x v="99"/>
    <x v="2680"/>
    <x v="8"/>
    <x v="0"/>
  </r>
  <r>
    <n v="4034"/>
    <x v="1992"/>
    <x v="182"/>
    <d v="2017-09-30T00:00:00"/>
    <s v="Standard Class"/>
    <x v="17"/>
    <s v="Steve Nguyen"/>
    <x v="2"/>
    <s v="United States"/>
    <s v="Covington"/>
    <x v="4"/>
    <n v="98042"/>
    <x v="1"/>
    <x v="1072"/>
    <x v="2"/>
    <x v="11"/>
    <x v="1061"/>
    <x v="1483"/>
    <x v="8"/>
    <x v="0"/>
  </r>
  <r>
    <n v="4035"/>
    <x v="1993"/>
    <x v="939"/>
    <d v="2017-12-12T00:00:00"/>
    <s v="Same Day"/>
    <x v="487"/>
    <s v="Jim Mitchum"/>
    <x v="1"/>
    <s v="United States"/>
    <s v="Lorain"/>
    <x v="24"/>
    <n v="44052"/>
    <x v="3"/>
    <x v="350"/>
    <x v="1"/>
    <x v="8"/>
    <x v="350"/>
    <x v="3049"/>
    <x v="4"/>
    <x v="0"/>
  </r>
  <r>
    <n v="4036"/>
    <x v="1993"/>
    <x v="939"/>
    <d v="2017-12-12T00:00:00"/>
    <s v="Same Day"/>
    <x v="487"/>
    <s v="Jim Mitchum"/>
    <x v="1"/>
    <s v="United States"/>
    <s v="Lorain"/>
    <x v="24"/>
    <n v="44052"/>
    <x v="3"/>
    <x v="428"/>
    <x v="2"/>
    <x v="11"/>
    <x v="428"/>
    <x v="3050"/>
    <x v="4"/>
    <x v="0"/>
  </r>
  <r>
    <n v="4037"/>
    <x v="1994"/>
    <x v="75"/>
    <d v="2017-01-01T00:00:00"/>
    <s v="Standard Class"/>
    <x v="651"/>
    <s v="Fred Harton"/>
    <x v="0"/>
    <s v="United States"/>
    <s v="Chicago"/>
    <x v="10"/>
    <n v="60623"/>
    <x v="2"/>
    <x v="1018"/>
    <x v="1"/>
    <x v="4"/>
    <x v="1519"/>
    <x v="176"/>
    <x v="4"/>
    <x v="1"/>
  </r>
  <r>
    <n v="4038"/>
    <x v="1995"/>
    <x v="282"/>
    <d v="2016-01-02T00:00:00"/>
    <s v="Standard Class"/>
    <x v="295"/>
    <s v="Anthony Johnson"/>
    <x v="1"/>
    <s v="United States"/>
    <s v="San Francisco"/>
    <x v="1"/>
    <n v="94110"/>
    <x v="1"/>
    <x v="1467"/>
    <x v="0"/>
    <x v="5"/>
    <x v="1454"/>
    <x v="1663"/>
    <x v="4"/>
    <x v="2"/>
  </r>
  <r>
    <n v="4039"/>
    <x v="1995"/>
    <x v="282"/>
    <d v="2016-01-02T00:00:00"/>
    <s v="Standard Class"/>
    <x v="295"/>
    <s v="Anthony Johnson"/>
    <x v="1"/>
    <s v="United States"/>
    <s v="San Francisco"/>
    <x v="1"/>
    <n v="94110"/>
    <x v="1"/>
    <x v="1157"/>
    <x v="1"/>
    <x v="10"/>
    <x v="1145"/>
    <x v="3051"/>
    <x v="4"/>
    <x v="2"/>
  </r>
  <r>
    <n v="4040"/>
    <x v="1995"/>
    <x v="282"/>
    <d v="2016-01-02T00:00:00"/>
    <s v="Standard Class"/>
    <x v="295"/>
    <s v="Anthony Johnson"/>
    <x v="1"/>
    <s v="United States"/>
    <s v="San Francisco"/>
    <x v="1"/>
    <n v="94110"/>
    <x v="1"/>
    <x v="958"/>
    <x v="2"/>
    <x v="15"/>
    <x v="951"/>
    <x v="3052"/>
    <x v="4"/>
    <x v="2"/>
  </r>
  <r>
    <n v="4041"/>
    <x v="1995"/>
    <x v="282"/>
    <d v="2016-01-02T00:00:00"/>
    <s v="Standard Class"/>
    <x v="295"/>
    <s v="Anthony Johnson"/>
    <x v="1"/>
    <s v="United States"/>
    <s v="San Francisco"/>
    <x v="1"/>
    <n v="94110"/>
    <x v="1"/>
    <x v="570"/>
    <x v="1"/>
    <x v="8"/>
    <x v="570"/>
    <x v="642"/>
    <x v="4"/>
    <x v="2"/>
  </r>
  <r>
    <n v="4042"/>
    <x v="1995"/>
    <x v="282"/>
    <d v="2016-01-02T00:00:00"/>
    <s v="Standard Class"/>
    <x v="295"/>
    <s v="Anthony Johnson"/>
    <x v="1"/>
    <s v="United States"/>
    <s v="San Francisco"/>
    <x v="1"/>
    <n v="94110"/>
    <x v="1"/>
    <x v="516"/>
    <x v="2"/>
    <x v="7"/>
    <x v="516"/>
    <x v="1807"/>
    <x v="4"/>
    <x v="2"/>
  </r>
  <r>
    <n v="4043"/>
    <x v="1995"/>
    <x v="282"/>
    <d v="2016-01-02T00:00:00"/>
    <s v="Standard Class"/>
    <x v="295"/>
    <s v="Anthony Johnson"/>
    <x v="1"/>
    <s v="United States"/>
    <s v="San Francisco"/>
    <x v="1"/>
    <n v="94110"/>
    <x v="1"/>
    <x v="933"/>
    <x v="1"/>
    <x v="2"/>
    <x v="926"/>
    <x v="3053"/>
    <x v="4"/>
    <x v="2"/>
  </r>
  <r>
    <n v="4044"/>
    <x v="1995"/>
    <x v="282"/>
    <d v="2016-01-02T00:00:00"/>
    <s v="Standard Class"/>
    <x v="295"/>
    <s v="Anthony Johnson"/>
    <x v="1"/>
    <s v="United States"/>
    <s v="San Francisco"/>
    <x v="1"/>
    <n v="94110"/>
    <x v="1"/>
    <x v="1530"/>
    <x v="0"/>
    <x v="5"/>
    <x v="1517"/>
    <x v="2623"/>
    <x v="4"/>
    <x v="2"/>
  </r>
  <r>
    <n v="4045"/>
    <x v="1996"/>
    <x v="608"/>
    <d v="2016-06-30T00:00:00"/>
    <s v="Standard Class"/>
    <x v="535"/>
    <s v="Jill Fjeld"/>
    <x v="0"/>
    <s v="United States"/>
    <s v="San Francisco"/>
    <x v="1"/>
    <n v="94110"/>
    <x v="1"/>
    <x v="514"/>
    <x v="0"/>
    <x v="5"/>
    <x v="514"/>
    <x v="3054"/>
    <x v="1"/>
    <x v="1"/>
  </r>
  <r>
    <n v="4046"/>
    <x v="1997"/>
    <x v="788"/>
    <d v="2016-04-07T00:00:00"/>
    <s v="Standard Class"/>
    <x v="688"/>
    <s v="Cari Sayre"/>
    <x v="1"/>
    <s v="United States"/>
    <s v="Houston"/>
    <x v="5"/>
    <n v="77070"/>
    <x v="2"/>
    <x v="785"/>
    <x v="1"/>
    <x v="8"/>
    <x v="784"/>
    <x v="1723"/>
    <x v="3"/>
    <x v="1"/>
  </r>
  <r>
    <n v="4047"/>
    <x v="1998"/>
    <x v="208"/>
    <d v="2018-10-25T00:00:00"/>
    <s v="Standard Class"/>
    <x v="727"/>
    <s v="Susan Pistek"/>
    <x v="0"/>
    <s v="United States"/>
    <s v="Chicago"/>
    <x v="10"/>
    <n v="60653"/>
    <x v="2"/>
    <x v="810"/>
    <x v="1"/>
    <x v="9"/>
    <x v="808"/>
    <x v="3055"/>
    <x v="2"/>
    <x v="3"/>
  </r>
  <r>
    <n v="4048"/>
    <x v="1999"/>
    <x v="747"/>
    <d v="2016-07-19T00:00:00"/>
    <s v="First Class"/>
    <x v="722"/>
    <s v="Katrina Edelman"/>
    <x v="1"/>
    <s v="United States"/>
    <s v="New York City"/>
    <x v="15"/>
    <n v="10035"/>
    <x v="3"/>
    <x v="982"/>
    <x v="1"/>
    <x v="10"/>
    <x v="975"/>
    <x v="152"/>
    <x v="7"/>
    <x v="1"/>
  </r>
  <r>
    <n v="4049"/>
    <x v="1999"/>
    <x v="747"/>
    <d v="2016-07-19T00:00:00"/>
    <s v="First Class"/>
    <x v="722"/>
    <s v="Katrina Edelman"/>
    <x v="1"/>
    <s v="United States"/>
    <s v="New York City"/>
    <x v="15"/>
    <n v="10035"/>
    <x v="3"/>
    <x v="876"/>
    <x v="2"/>
    <x v="11"/>
    <x v="870"/>
    <x v="3056"/>
    <x v="7"/>
    <x v="1"/>
  </r>
  <r>
    <n v="4050"/>
    <x v="2000"/>
    <x v="92"/>
    <d v="2018-06-26T00:00:00"/>
    <s v="Second Class"/>
    <x v="654"/>
    <s v="George Ashbrook"/>
    <x v="0"/>
    <s v="United States"/>
    <s v="New York City"/>
    <x v="15"/>
    <n v="10011"/>
    <x v="3"/>
    <x v="737"/>
    <x v="0"/>
    <x v="5"/>
    <x v="736"/>
    <x v="3057"/>
    <x v="1"/>
    <x v="3"/>
  </r>
  <r>
    <n v="4051"/>
    <x v="2000"/>
    <x v="92"/>
    <d v="2018-06-26T00:00:00"/>
    <s v="Second Class"/>
    <x v="654"/>
    <s v="George Ashbrook"/>
    <x v="0"/>
    <s v="United States"/>
    <s v="New York City"/>
    <x v="15"/>
    <n v="10011"/>
    <x v="3"/>
    <x v="268"/>
    <x v="0"/>
    <x v="1"/>
    <x v="268"/>
    <x v="3058"/>
    <x v="1"/>
    <x v="3"/>
  </r>
  <r>
    <n v="4052"/>
    <x v="2001"/>
    <x v="411"/>
    <d v="2015-10-03T00:00:00"/>
    <s v="Standard Class"/>
    <x v="416"/>
    <s v="Suzanne McNair"/>
    <x v="1"/>
    <s v="United States"/>
    <s v="Philadelphia"/>
    <x v="9"/>
    <n v="19134"/>
    <x v="3"/>
    <x v="1273"/>
    <x v="1"/>
    <x v="6"/>
    <x v="1258"/>
    <x v="1700"/>
    <x v="8"/>
    <x v="2"/>
  </r>
  <r>
    <n v="4053"/>
    <x v="2001"/>
    <x v="411"/>
    <d v="2015-10-03T00:00:00"/>
    <s v="Standard Class"/>
    <x v="416"/>
    <s v="Suzanne McNair"/>
    <x v="1"/>
    <s v="United States"/>
    <s v="Philadelphia"/>
    <x v="9"/>
    <n v="19134"/>
    <x v="3"/>
    <x v="1168"/>
    <x v="0"/>
    <x v="3"/>
    <x v="1155"/>
    <x v="3059"/>
    <x v="8"/>
    <x v="2"/>
  </r>
  <r>
    <n v="4054"/>
    <x v="2001"/>
    <x v="411"/>
    <d v="2015-10-03T00:00:00"/>
    <s v="Standard Class"/>
    <x v="416"/>
    <s v="Suzanne McNair"/>
    <x v="1"/>
    <s v="United States"/>
    <s v="Philadelphia"/>
    <x v="9"/>
    <n v="19134"/>
    <x v="3"/>
    <x v="1621"/>
    <x v="1"/>
    <x v="2"/>
    <x v="1612"/>
    <x v="3060"/>
    <x v="8"/>
    <x v="2"/>
  </r>
  <r>
    <n v="4055"/>
    <x v="2001"/>
    <x v="411"/>
    <d v="2015-10-03T00:00:00"/>
    <s v="Standard Class"/>
    <x v="416"/>
    <s v="Suzanne McNair"/>
    <x v="1"/>
    <s v="United States"/>
    <s v="Philadelphia"/>
    <x v="9"/>
    <n v="19134"/>
    <x v="3"/>
    <x v="1221"/>
    <x v="1"/>
    <x v="10"/>
    <x v="1205"/>
    <x v="2523"/>
    <x v="8"/>
    <x v="2"/>
  </r>
  <r>
    <n v="4056"/>
    <x v="2001"/>
    <x v="411"/>
    <d v="2015-10-03T00:00:00"/>
    <s v="Standard Class"/>
    <x v="416"/>
    <s v="Suzanne McNair"/>
    <x v="1"/>
    <s v="United States"/>
    <s v="Philadelphia"/>
    <x v="9"/>
    <n v="19134"/>
    <x v="3"/>
    <x v="458"/>
    <x v="1"/>
    <x v="4"/>
    <x v="459"/>
    <x v="2084"/>
    <x v="8"/>
    <x v="2"/>
  </r>
  <r>
    <n v="4057"/>
    <x v="2001"/>
    <x v="411"/>
    <d v="2015-10-03T00:00:00"/>
    <s v="Standard Class"/>
    <x v="416"/>
    <s v="Suzanne McNair"/>
    <x v="1"/>
    <s v="United States"/>
    <s v="Philadelphia"/>
    <x v="9"/>
    <n v="19134"/>
    <x v="3"/>
    <x v="823"/>
    <x v="0"/>
    <x v="3"/>
    <x v="819"/>
    <x v="3061"/>
    <x v="8"/>
    <x v="2"/>
  </r>
  <r>
    <n v="4058"/>
    <x v="2002"/>
    <x v="156"/>
    <d v="2015-11-28T00:00:00"/>
    <s v="Standard Class"/>
    <x v="213"/>
    <s v="Darren Koutras"/>
    <x v="0"/>
    <s v="United States"/>
    <s v="Chicago"/>
    <x v="10"/>
    <n v="60610"/>
    <x v="2"/>
    <x v="765"/>
    <x v="1"/>
    <x v="4"/>
    <x v="764"/>
    <x v="3062"/>
    <x v="0"/>
    <x v="2"/>
  </r>
  <r>
    <n v="4059"/>
    <x v="2003"/>
    <x v="312"/>
    <d v="2016-11-24T00:00:00"/>
    <s v="Standard Class"/>
    <x v="62"/>
    <s v="Lena Creighton"/>
    <x v="0"/>
    <s v="United States"/>
    <s v="Oakland"/>
    <x v="1"/>
    <n v="94601"/>
    <x v="1"/>
    <x v="714"/>
    <x v="2"/>
    <x v="7"/>
    <x v="713"/>
    <x v="3063"/>
    <x v="0"/>
    <x v="1"/>
  </r>
  <r>
    <n v="4060"/>
    <x v="2003"/>
    <x v="312"/>
    <d v="2016-11-24T00:00:00"/>
    <s v="Standard Class"/>
    <x v="62"/>
    <s v="Lena Creighton"/>
    <x v="0"/>
    <s v="United States"/>
    <s v="Oakland"/>
    <x v="1"/>
    <n v="94601"/>
    <x v="1"/>
    <x v="467"/>
    <x v="0"/>
    <x v="1"/>
    <x v="468"/>
    <x v="3064"/>
    <x v="0"/>
    <x v="1"/>
  </r>
  <r>
    <n v="4061"/>
    <x v="2004"/>
    <x v="474"/>
    <d v="2017-11-07T00:00:00"/>
    <s v="Standard Class"/>
    <x v="190"/>
    <s v="Xylona Preis"/>
    <x v="0"/>
    <s v="United States"/>
    <s v="Chicago"/>
    <x v="10"/>
    <n v="60610"/>
    <x v="2"/>
    <x v="721"/>
    <x v="2"/>
    <x v="11"/>
    <x v="720"/>
    <x v="3065"/>
    <x v="0"/>
    <x v="0"/>
  </r>
  <r>
    <n v="4062"/>
    <x v="2005"/>
    <x v="14"/>
    <d v="2016-09-20T00:00:00"/>
    <s v="First Class"/>
    <x v="688"/>
    <s v="Cari Sayre"/>
    <x v="1"/>
    <s v="United States"/>
    <s v="Seattle"/>
    <x v="4"/>
    <n v="98105"/>
    <x v="1"/>
    <x v="1124"/>
    <x v="1"/>
    <x v="8"/>
    <x v="1112"/>
    <x v="3066"/>
    <x v="8"/>
    <x v="1"/>
  </r>
  <r>
    <n v="4063"/>
    <x v="2006"/>
    <x v="612"/>
    <d v="2017-03-14T00:00:00"/>
    <s v="Standard Class"/>
    <x v="420"/>
    <s v="Bryan Davis"/>
    <x v="0"/>
    <s v="United States"/>
    <s v="Philadelphia"/>
    <x v="9"/>
    <n v="19143"/>
    <x v="3"/>
    <x v="1233"/>
    <x v="2"/>
    <x v="11"/>
    <x v="1216"/>
    <x v="3067"/>
    <x v="10"/>
    <x v="0"/>
  </r>
  <r>
    <n v="4064"/>
    <x v="2007"/>
    <x v="670"/>
    <d v="2015-06-26T00:00:00"/>
    <s v="First Class"/>
    <x v="658"/>
    <s v="Denise Leinenbach"/>
    <x v="0"/>
    <s v="United States"/>
    <s v="Concord"/>
    <x v="3"/>
    <n v="28027"/>
    <x v="0"/>
    <x v="1622"/>
    <x v="1"/>
    <x v="6"/>
    <x v="1050"/>
    <x v="184"/>
    <x v="1"/>
    <x v="2"/>
  </r>
  <r>
    <n v="4065"/>
    <x v="2007"/>
    <x v="670"/>
    <d v="2015-06-26T00:00:00"/>
    <s v="First Class"/>
    <x v="658"/>
    <s v="Denise Leinenbach"/>
    <x v="0"/>
    <s v="United States"/>
    <s v="Concord"/>
    <x v="3"/>
    <n v="28027"/>
    <x v="0"/>
    <x v="1562"/>
    <x v="1"/>
    <x v="14"/>
    <x v="1553"/>
    <x v="3068"/>
    <x v="1"/>
    <x v="2"/>
  </r>
  <r>
    <n v="4066"/>
    <x v="2008"/>
    <x v="301"/>
    <d v="2015-11-05T00:00:00"/>
    <s v="Standard Class"/>
    <x v="175"/>
    <s v="Ken Heidel"/>
    <x v="1"/>
    <s v="United States"/>
    <s v="Charlotte"/>
    <x v="3"/>
    <n v="28205"/>
    <x v="0"/>
    <x v="1014"/>
    <x v="1"/>
    <x v="13"/>
    <x v="128"/>
    <x v="1990"/>
    <x v="0"/>
    <x v="2"/>
  </r>
  <r>
    <n v="4067"/>
    <x v="2008"/>
    <x v="301"/>
    <d v="2015-11-05T00:00:00"/>
    <s v="Standard Class"/>
    <x v="175"/>
    <s v="Ken Heidel"/>
    <x v="1"/>
    <s v="United States"/>
    <s v="Charlotte"/>
    <x v="3"/>
    <n v="28205"/>
    <x v="0"/>
    <x v="1005"/>
    <x v="1"/>
    <x v="6"/>
    <x v="997"/>
    <x v="1495"/>
    <x v="0"/>
    <x v="2"/>
  </r>
  <r>
    <n v="4068"/>
    <x v="2008"/>
    <x v="301"/>
    <d v="2015-11-05T00:00:00"/>
    <s v="Standard Class"/>
    <x v="175"/>
    <s v="Ken Heidel"/>
    <x v="1"/>
    <s v="United States"/>
    <s v="Charlotte"/>
    <x v="3"/>
    <n v="28205"/>
    <x v="0"/>
    <x v="1140"/>
    <x v="1"/>
    <x v="2"/>
    <x v="1128"/>
    <x v="3069"/>
    <x v="0"/>
    <x v="2"/>
  </r>
  <r>
    <n v="4069"/>
    <x v="2008"/>
    <x v="301"/>
    <d v="2015-11-05T00:00:00"/>
    <s v="Standard Class"/>
    <x v="175"/>
    <s v="Ken Heidel"/>
    <x v="1"/>
    <s v="United States"/>
    <s v="Charlotte"/>
    <x v="3"/>
    <n v="28205"/>
    <x v="0"/>
    <x v="1623"/>
    <x v="2"/>
    <x v="7"/>
    <x v="1613"/>
    <x v="3070"/>
    <x v="0"/>
    <x v="2"/>
  </r>
  <r>
    <n v="4070"/>
    <x v="2009"/>
    <x v="770"/>
    <d v="2017-08-31T00:00:00"/>
    <s v="First Class"/>
    <x v="599"/>
    <s v="Tom Prescott"/>
    <x v="0"/>
    <s v="United States"/>
    <s v="Dallas"/>
    <x v="5"/>
    <n v="75081"/>
    <x v="2"/>
    <x v="347"/>
    <x v="1"/>
    <x v="8"/>
    <x v="347"/>
    <x v="3071"/>
    <x v="6"/>
    <x v="0"/>
  </r>
  <r>
    <n v="4071"/>
    <x v="2009"/>
    <x v="770"/>
    <d v="2017-08-31T00:00:00"/>
    <s v="First Class"/>
    <x v="599"/>
    <s v="Tom Prescott"/>
    <x v="0"/>
    <s v="United States"/>
    <s v="Dallas"/>
    <x v="5"/>
    <n v="75081"/>
    <x v="2"/>
    <x v="1095"/>
    <x v="1"/>
    <x v="8"/>
    <x v="1085"/>
    <x v="3072"/>
    <x v="6"/>
    <x v="0"/>
  </r>
  <r>
    <n v="4072"/>
    <x v="2009"/>
    <x v="770"/>
    <d v="2017-08-31T00:00:00"/>
    <s v="First Class"/>
    <x v="599"/>
    <s v="Tom Prescott"/>
    <x v="0"/>
    <s v="United States"/>
    <s v="Dallas"/>
    <x v="5"/>
    <n v="75081"/>
    <x v="2"/>
    <x v="1121"/>
    <x v="0"/>
    <x v="0"/>
    <x v="1109"/>
    <x v="3073"/>
    <x v="6"/>
    <x v="0"/>
  </r>
  <r>
    <n v="4073"/>
    <x v="2010"/>
    <x v="401"/>
    <d v="2016-12-08T00:00:00"/>
    <s v="Second Class"/>
    <x v="472"/>
    <s v="Nora Pelletier"/>
    <x v="2"/>
    <s v="United States"/>
    <s v="Indianapolis"/>
    <x v="14"/>
    <n v="46203"/>
    <x v="2"/>
    <x v="615"/>
    <x v="2"/>
    <x v="16"/>
    <x v="615"/>
    <x v="3074"/>
    <x v="4"/>
    <x v="1"/>
  </r>
  <r>
    <n v="4074"/>
    <x v="2011"/>
    <x v="496"/>
    <d v="2016-09-27T00:00:00"/>
    <s v="First Class"/>
    <x v="649"/>
    <s v="Steve Carroll"/>
    <x v="2"/>
    <s v="United States"/>
    <s v="Broken Arrow"/>
    <x v="26"/>
    <n v="74012"/>
    <x v="2"/>
    <x v="1546"/>
    <x v="2"/>
    <x v="7"/>
    <x v="1534"/>
    <x v="3075"/>
    <x v="8"/>
    <x v="1"/>
  </r>
  <r>
    <n v="4075"/>
    <x v="2012"/>
    <x v="940"/>
    <d v="2018-11-20T00:00:00"/>
    <s v="Standard Class"/>
    <x v="729"/>
    <s v="Dana Kaydos"/>
    <x v="0"/>
    <s v="United States"/>
    <s v="Miramar"/>
    <x v="2"/>
    <n v="33023"/>
    <x v="0"/>
    <x v="568"/>
    <x v="0"/>
    <x v="5"/>
    <x v="568"/>
    <x v="3076"/>
    <x v="0"/>
    <x v="3"/>
  </r>
  <r>
    <n v="4076"/>
    <x v="2012"/>
    <x v="940"/>
    <d v="2018-11-20T00:00:00"/>
    <s v="Standard Class"/>
    <x v="729"/>
    <s v="Dana Kaydos"/>
    <x v="0"/>
    <s v="United States"/>
    <s v="Miramar"/>
    <x v="2"/>
    <n v="33023"/>
    <x v="0"/>
    <x v="1060"/>
    <x v="0"/>
    <x v="5"/>
    <x v="1049"/>
    <x v="3077"/>
    <x v="0"/>
    <x v="3"/>
  </r>
  <r>
    <n v="4077"/>
    <x v="2013"/>
    <x v="546"/>
    <d v="2016-12-21T00:00:00"/>
    <s v="Second Class"/>
    <x v="416"/>
    <s v="Suzanne McNair"/>
    <x v="1"/>
    <s v="United States"/>
    <s v="Omaha"/>
    <x v="8"/>
    <n v="68104"/>
    <x v="2"/>
    <x v="653"/>
    <x v="1"/>
    <x v="8"/>
    <x v="653"/>
    <x v="983"/>
    <x v="4"/>
    <x v="1"/>
  </r>
  <r>
    <n v="4078"/>
    <x v="2013"/>
    <x v="546"/>
    <d v="2016-12-21T00:00:00"/>
    <s v="Second Class"/>
    <x v="416"/>
    <s v="Suzanne McNair"/>
    <x v="1"/>
    <s v="United States"/>
    <s v="Omaha"/>
    <x v="8"/>
    <n v="68104"/>
    <x v="2"/>
    <x v="242"/>
    <x v="1"/>
    <x v="13"/>
    <x v="243"/>
    <x v="1310"/>
    <x v="4"/>
    <x v="1"/>
  </r>
  <r>
    <n v="4079"/>
    <x v="2013"/>
    <x v="546"/>
    <d v="2016-12-21T00:00:00"/>
    <s v="Second Class"/>
    <x v="416"/>
    <s v="Suzanne McNair"/>
    <x v="1"/>
    <s v="United States"/>
    <s v="Omaha"/>
    <x v="8"/>
    <n v="68104"/>
    <x v="2"/>
    <x v="968"/>
    <x v="1"/>
    <x v="10"/>
    <x v="961"/>
    <x v="2207"/>
    <x v="4"/>
    <x v="1"/>
  </r>
  <r>
    <n v="4080"/>
    <x v="2014"/>
    <x v="379"/>
    <d v="2016-12-24T00:00:00"/>
    <s v="First Class"/>
    <x v="201"/>
    <s v="Lynn Smith"/>
    <x v="0"/>
    <s v="United States"/>
    <s v="Jacksonville"/>
    <x v="3"/>
    <n v="28540"/>
    <x v="0"/>
    <x v="125"/>
    <x v="2"/>
    <x v="7"/>
    <x v="126"/>
    <x v="331"/>
    <x v="4"/>
    <x v="1"/>
  </r>
  <r>
    <n v="4081"/>
    <x v="2015"/>
    <x v="477"/>
    <d v="2017-09-29T00:00:00"/>
    <s v="Standard Class"/>
    <x v="722"/>
    <s v="Katrina Edelman"/>
    <x v="1"/>
    <s v="United States"/>
    <s v="Tigard"/>
    <x v="21"/>
    <n v="97224"/>
    <x v="1"/>
    <x v="1305"/>
    <x v="1"/>
    <x v="10"/>
    <x v="1290"/>
    <x v="3078"/>
    <x v="8"/>
    <x v="0"/>
  </r>
  <r>
    <n v="4082"/>
    <x v="2015"/>
    <x v="477"/>
    <d v="2017-09-29T00:00:00"/>
    <s v="Standard Class"/>
    <x v="722"/>
    <s v="Katrina Edelman"/>
    <x v="1"/>
    <s v="United States"/>
    <s v="Tigard"/>
    <x v="21"/>
    <n v="97224"/>
    <x v="1"/>
    <x v="1595"/>
    <x v="1"/>
    <x v="8"/>
    <x v="1587"/>
    <x v="3079"/>
    <x v="8"/>
    <x v="0"/>
  </r>
  <r>
    <n v="4083"/>
    <x v="2016"/>
    <x v="92"/>
    <d v="2018-06-30T00:00:00"/>
    <s v="Standard Class"/>
    <x v="637"/>
    <s v="Matthew Clasen"/>
    <x v="1"/>
    <s v="United States"/>
    <s v="Decatur"/>
    <x v="10"/>
    <n v="62521"/>
    <x v="2"/>
    <x v="569"/>
    <x v="1"/>
    <x v="8"/>
    <x v="569"/>
    <x v="641"/>
    <x v="1"/>
    <x v="3"/>
  </r>
  <r>
    <n v="4084"/>
    <x v="2016"/>
    <x v="92"/>
    <d v="2018-06-30T00:00:00"/>
    <s v="Standard Class"/>
    <x v="637"/>
    <s v="Matthew Clasen"/>
    <x v="1"/>
    <s v="United States"/>
    <s v="Decatur"/>
    <x v="10"/>
    <n v="62521"/>
    <x v="2"/>
    <x v="1450"/>
    <x v="1"/>
    <x v="10"/>
    <x v="1437"/>
    <x v="1495"/>
    <x v="1"/>
    <x v="3"/>
  </r>
  <r>
    <n v="4085"/>
    <x v="2017"/>
    <x v="210"/>
    <d v="2018-09-09T00:00:00"/>
    <s v="First Class"/>
    <x v="656"/>
    <s v="Dean percer"/>
    <x v="2"/>
    <s v="United States"/>
    <s v="Phoenix"/>
    <x v="16"/>
    <n v="85023"/>
    <x v="1"/>
    <x v="44"/>
    <x v="1"/>
    <x v="8"/>
    <x v="44"/>
    <x v="3080"/>
    <x v="8"/>
    <x v="3"/>
  </r>
  <r>
    <n v="4086"/>
    <x v="2018"/>
    <x v="578"/>
    <d v="2017-08-06T00:00:00"/>
    <s v="Second Class"/>
    <x v="18"/>
    <s v="Linda Cazamias"/>
    <x v="1"/>
    <s v="United States"/>
    <s v="Sacramento"/>
    <x v="1"/>
    <n v="95823"/>
    <x v="1"/>
    <x v="7"/>
    <x v="2"/>
    <x v="7"/>
    <x v="7"/>
    <x v="3081"/>
    <x v="6"/>
    <x v="0"/>
  </r>
  <r>
    <n v="4087"/>
    <x v="2018"/>
    <x v="578"/>
    <d v="2017-08-06T00:00:00"/>
    <s v="Second Class"/>
    <x v="18"/>
    <s v="Linda Cazamias"/>
    <x v="1"/>
    <s v="United States"/>
    <s v="Sacramento"/>
    <x v="1"/>
    <n v="95823"/>
    <x v="1"/>
    <x v="44"/>
    <x v="1"/>
    <x v="8"/>
    <x v="44"/>
    <x v="3082"/>
    <x v="6"/>
    <x v="0"/>
  </r>
  <r>
    <n v="4088"/>
    <x v="2018"/>
    <x v="578"/>
    <d v="2017-08-06T00:00:00"/>
    <s v="Second Class"/>
    <x v="18"/>
    <s v="Linda Cazamias"/>
    <x v="1"/>
    <s v="United States"/>
    <s v="Sacramento"/>
    <x v="1"/>
    <n v="95823"/>
    <x v="1"/>
    <x v="185"/>
    <x v="1"/>
    <x v="8"/>
    <x v="186"/>
    <x v="692"/>
    <x v="6"/>
    <x v="0"/>
  </r>
  <r>
    <n v="4089"/>
    <x v="2019"/>
    <x v="710"/>
    <d v="2015-08-26T00:00:00"/>
    <s v="Standard Class"/>
    <x v="23"/>
    <s v="Lena Hernandez"/>
    <x v="0"/>
    <s v="United States"/>
    <s v="Jonesboro"/>
    <x v="36"/>
    <n v="72401"/>
    <x v="0"/>
    <x v="1624"/>
    <x v="0"/>
    <x v="0"/>
    <x v="1614"/>
    <x v="3083"/>
    <x v="6"/>
    <x v="2"/>
  </r>
  <r>
    <n v="4090"/>
    <x v="2020"/>
    <x v="178"/>
    <d v="2017-04-05T00:00:00"/>
    <s v="Standard Class"/>
    <x v="533"/>
    <s v="Thomas Boland"/>
    <x v="1"/>
    <s v="United States"/>
    <s v="New York City"/>
    <x v="15"/>
    <n v="10035"/>
    <x v="3"/>
    <x v="488"/>
    <x v="1"/>
    <x v="2"/>
    <x v="488"/>
    <x v="343"/>
    <x v="3"/>
    <x v="0"/>
  </r>
  <r>
    <n v="4091"/>
    <x v="2020"/>
    <x v="178"/>
    <d v="2017-04-05T00:00:00"/>
    <s v="Standard Class"/>
    <x v="533"/>
    <s v="Thomas Boland"/>
    <x v="1"/>
    <s v="United States"/>
    <s v="New York City"/>
    <x v="15"/>
    <n v="10035"/>
    <x v="3"/>
    <x v="503"/>
    <x v="1"/>
    <x v="14"/>
    <x v="503"/>
    <x v="1023"/>
    <x v="3"/>
    <x v="0"/>
  </r>
  <r>
    <n v="4092"/>
    <x v="2020"/>
    <x v="178"/>
    <d v="2017-04-05T00:00:00"/>
    <s v="Standard Class"/>
    <x v="533"/>
    <s v="Thomas Boland"/>
    <x v="1"/>
    <s v="United States"/>
    <s v="New York City"/>
    <x v="15"/>
    <n v="10035"/>
    <x v="3"/>
    <x v="570"/>
    <x v="1"/>
    <x v="8"/>
    <x v="570"/>
    <x v="642"/>
    <x v="3"/>
    <x v="0"/>
  </r>
  <r>
    <n v="4093"/>
    <x v="2021"/>
    <x v="941"/>
    <d v="2018-05-18T00:00:00"/>
    <s v="First Class"/>
    <x v="622"/>
    <s v="John Murray"/>
    <x v="0"/>
    <s v="United States"/>
    <s v="Akron"/>
    <x v="24"/>
    <n v="44312"/>
    <x v="3"/>
    <x v="942"/>
    <x v="1"/>
    <x v="4"/>
    <x v="935"/>
    <x v="3084"/>
    <x v="5"/>
    <x v="3"/>
  </r>
  <r>
    <n v="4094"/>
    <x v="2022"/>
    <x v="252"/>
    <d v="2016-08-28T00:00:00"/>
    <s v="Standard Class"/>
    <x v="147"/>
    <s v="Katrina Willman"/>
    <x v="0"/>
    <s v="United States"/>
    <s v="Florence"/>
    <x v="0"/>
    <n v="41042"/>
    <x v="0"/>
    <x v="200"/>
    <x v="2"/>
    <x v="15"/>
    <x v="201"/>
    <x v="3085"/>
    <x v="6"/>
    <x v="1"/>
  </r>
  <r>
    <n v="4095"/>
    <x v="2022"/>
    <x v="252"/>
    <d v="2016-08-28T00:00:00"/>
    <s v="Standard Class"/>
    <x v="147"/>
    <s v="Katrina Willman"/>
    <x v="0"/>
    <s v="United States"/>
    <s v="Florence"/>
    <x v="0"/>
    <n v="41042"/>
    <x v="0"/>
    <x v="1235"/>
    <x v="2"/>
    <x v="11"/>
    <x v="1218"/>
    <x v="1095"/>
    <x v="6"/>
    <x v="1"/>
  </r>
  <r>
    <n v="4096"/>
    <x v="2022"/>
    <x v="252"/>
    <d v="2016-08-28T00:00:00"/>
    <s v="Standard Class"/>
    <x v="147"/>
    <s v="Katrina Willman"/>
    <x v="0"/>
    <s v="United States"/>
    <s v="Florence"/>
    <x v="0"/>
    <n v="41042"/>
    <x v="0"/>
    <x v="1602"/>
    <x v="2"/>
    <x v="7"/>
    <x v="1594"/>
    <x v="2133"/>
    <x v="6"/>
    <x v="1"/>
  </r>
  <r>
    <n v="4097"/>
    <x v="2023"/>
    <x v="865"/>
    <d v="2015-09-28T00:00:00"/>
    <s v="Standard Class"/>
    <x v="183"/>
    <s v="Sanjit Chand"/>
    <x v="0"/>
    <s v="United States"/>
    <s v="Minneapolis"/>
    <x v="11"/>
    <n v="55407"/>
    <x v="2"/>
    <x v="974"/>
    <x v="1"/>
    <x v="10"/>
    <x v="968"/>
    <x v="56"/>
    <x v="8"/>
    <x v="2"/>
  </r>
  <r>
    <n v="4098"/>
    <x v="2023"/>
    <x v="865"/>
    <d v="2015-09-28T00:00:00"/>
    <s v="Standard Class"/>
    <x v="183"/>
    <s v="Sanjit Chand"/>
    <x v="0"/>
    <s v="United States"/>
    <s v="Minneapolis"/>
    <x v="11"/>
    <n v="55407"/>
    <x v="2"/>
    <x v="459"/>
    <x v="1"/>
    <x v="4"/>
    <x v="460"/>
    <x v="3086"/>
    <x v="8"/>
    <x v="2"/>
  </r>
  <r>
    <n v="4099"/>
    <x v="2023"/>
    <x v="865"/>
    <d v="2015-09-28T00:00:00"/>
    <s v="Standard Class"/>
    <x v="183"/>
    <s v="Sanjit Chand"/>
    <x v="0"/>
    <s v="United States"/>
    <s v="Minneapolis"/>
    <x v="11"/>
    <n v="55407"/>
    <x v="2"/>
    <x v="1625"/>
    <x v="1"/>
    <x v="8"/>
    <x v="1615"/>
    <x v="3087"/>
    <x v="8"/>
    <x v="2"/>
  </r>
  <r>
    <n v="4100"/>
    <x v="2023"/>
    <x v="865"/>
    <d v="2015-09-28T00:00:00"/>
    <s v="Standard Class"/>
    <x v="183"/>
    <s v="Sanjit Chand"/>
    <x v="0"/>
    <s v="United States"/>
    <s v="Minneapolis"/>
    <x v="11"/>
    <n v="55407"/>
    <x v="2"/>
    <x v="625"/>
    <x v="1"/>
    <x v="8"/>
    <x v="625"/>
    <x v="3088"/>
    <x v="8"/>
    <x v="2"/>
  </r>
  <r>
    <n v="4101"/>
    <x v="2024"/>
    <x v="249"/>
    <d v="2018-06-23T00:00:00"/>
    <s v="Standard Class"/>
    <x v="233"/>
    <s v="Zuschuss Carroll"/>
    <x v="0"/>
    <s v="United States"/>
    <s v="Houston"/>
    <x v="5"/>
    <n v="77095"/>
    <x v="2"/>
    <x v="1626"/>
    <x v="1"/>
    <x v="9"/>
    <x v="1616"/>
    <x v="3089"/>
    <x v="1"/>
    <x v="3"/>
  </r>
  <r>
    <n v="4102"/>
    <x v="2024"/>
    <x v="249"/>
    <d v="2018-06-23T00:00:00"/>
    <s v="Standard Class"/>
    <x v="233"/>
    <s v="Zuschuss Carroll"/>
    <x v="0"/>
    <s v="United States"/>
    <s v="Houston"/>
    <x v="5"/>
    <n v="77095"/>
    <x v="2"/>
    <x v="1108"/>
    <x v="1"/>
    <x v="9"/>
    <x v="1097"/>
    <x v="3090"/>
    <x v="1"/>
    <x v="3"/>
  </r>
  <r>
    <n v="4103"/>
    <x v="2024"/>
    <x v="249"/>
    <d v="2018-06-23T00:00:00"/>
    <s v="Standard Class"/>
    <x v="233"/>
    <s v="Zuschuss Carroll"/>
    <x v="0"/>
    <s v="United States"/>
    <s v="Houston"/>
    <x v="5"/>
    <n v="77095"/>
    <x v="2"/>
    <x v="1264"/>
    <x v="1"/>
    <x v="10"/>
    <x v="1248"/>
    <x v="3091"/>
    <x v="1"/>
    <x v="3"/>
  </r>
  <r>
    <n v="4104"/>
    <x v="2025"/>
    <x v="202"/>
    <d v="2018-12-21T00:00:00"/>
    <s v="Same Day"/>
    <x v="46"/>
    <s v="Rick Bensley"/>
    <x v="2"/>
    <s v="United States"/>
    <s v="Fremont"/>
    <x v="8"/>
    <n v="68025"/>
    <x v="2"/>
    <x v="740"/>
    <x v="0"/>
    <x v="5"/>
    <x v="222"/>
    <x v="204"/>
    <x v="4"/>
    <x v="3"/>
  </r>
  <r>
    <n v="4105"/>
    <x v="2026"/>
    <x v="783"/>
    <d v="2018-08-13T00:00:00"/>
    <s v="Standard Class"/>
    <x v="271"/>
    <s v="Jay Kimmel"/>
    <x v="0"/>
    <s v="United States"/>
    <s v="San Diego"/>
    <x v="1"/>
    <n v="92105"/>
    <x v="1"/>
    <x v="884"/>
    <x v="2"/>
    <x v="7"/>
    <x v="878"/>
    <x v="3092"/>
    <x v="6"/>
    <x v="3"/>
  </r>
  <r>
    <n v="4106"/>
    <x v="2026"/>
    <x v="783"/>
    <d v="2018-08-13T00:00:00"/>
    <s v="Standard Class"/>
    <x v="271"/>
    <s v="Jay Kimmel"/>
    <x v="0"/>
    <s v="United States"/>
    <s v="San Diego"/>
    <x v="1"/>
    <n v="92105"/>
    <x v="1"/>
    <x v="480"/>
    <x v="1"/>
    <x v="8"/>
    <x v="481"/>
    <x v="1273"/>
    <x v="6"/>
    <x v="3"/>
  </r>
  <r>
    <n v="4107"/>
    <x v="2027"/>
    <x v="250"/>
    <d v="2017-08-26T00:00:00"/>
    <s v="Standard Class"/>
    <x v="732"/>
    <s v="Dorothy Dickinson"/>
    <x v="0"/>
    <s v="United States"/>
    <s v="Houston"/>
    <x v="5"/>
    <n v="77041"/>
    <x v="2"/>
    <x v="828"/>
    <x v="1"/>
    <x v="8"/>
    <x v="824"/>
    <x v="3093"/>
    <x v="6"/>
    <x v="0"/>
  </r>
  <r>
    <n v="4108"/>
    <x v="2028"/>
    <x v="67"/>
    <d v="2016-09-07T00:00:00"/>
    <s v="Same Day"/>
    <x v="507"/>
    <s v="Marc Crier"/>
    <x v="0"/>
    <s v="United States"/>
    <s v="New York City"/>
    <x v="15"/>
    <n v="10011"/>
    <x v="3"/>
    <x v="700"/>
    <x v="1"/>
    <x v="4"/>
    <x v="700"/>
    <x v="540"/>
    <x v="8"/>
    <x v="1"/>
  </r>
  <r>
    <n v="4109"/>
    <x v="2028"/>
    <x v="67"/>
    <d v="2016-09-07T00:00:00"/>
    <s v="Same Day"/>
    <x v="507"/>
    <s v="Marc Crier"/>
    <x v="0"/>
    <s v="United States"/>
    <s v="New York City"/>
    <x v="15"/>
    <n v="10011"/>
    <x v="3"/>
    <x v="1479"/>
    <x v="0"/>
    <x v="3"/>
    <x v="1466"/>
    <x v="3094"/>
    <x v="8"/>
    <x v="1"/>
  </r>
  <r>
    <n v="4110"/>
    <x v="2029"/>
    <x v="707"/>
    <d v="2017-01-01T00:00:00"/>
    <s v="Standard Class"/>
    <x v="393"/>
    <s v="Dionis Lloyd"/>
    <x v="1"/>
    <s v="United States"/>
    <s v="Detroit"/>
    <x v="12"/>
    <n v="48227"/>
    <x v="2"/>
    <x v="687"/>
    <x v="2"/>
    <x v="7"/>
    <x v="687"/>
    <x v="2227"/>
    <x v="4"/>
    <x v="1"/>
  </r>
  <r>
    <n v="4111"/>
    <x v="2029"/>
    <x v="707"/>
    <d v="2017-01-01T00:00:00"/>
    <s v="Standard Class"/>
    <x v="393"/>
    <s v="Dionis Lloyd"/>
    <x v="1"/>
    <s v="United States"/>
    <s v="Detroit"/>
    <x v="12"/>
    <n v="48227"/>
    <x v="2"/>
    <x v="1627"/>
    <x v="0"/>
    <x v="0"/>
    <x v="1617"/>
    <x v="3095"/>
    <x v="4"/>
    <x v="1"/>
  </r>
  <r>
    <n v="4112"/>
    <x v="2029"/>
    <x v="707"/>
    <d v="2017-01-01T00:00:00"/>
    <s v="Standard Class"/>
    <x v="393"/>
    <s v="Dionis Lloyd"/>
    <x v="1"/>
    <s v="United States"/>
    <s v="Detroit"/>
    <x v="12"/>
    <n v="48227"/>
    <x v="2"/>
    <x v="1215"/>
    <x v="1"/>
    <x v="10"/>
    <x v="1199"/>
    <x v="1686"/>
    <x v="4"/>
    <x v="1"/>
  </r>
  <r>
    <n v="4113"/>
    <x v="2029"/>
    <x v="707"/>
    <d v="2017-01-01T00:00:00"/>
    <s v="Standard Class"/>
    <x v="393"/>
    <s v="Dionis Lloyd"/>
    <x v="1"/>
    <s v="United States"/>
    <s v="Detroit"/>
    <x v="12"/>
    <n v="48227"/>
    <x v="2"/>
    <x v="836"/>
    <x v="1"/>
    <x v="6"/>
    <x v="831"/>
    <x v="175"/>
    <x v="4"/>
    <x v="1"/>
  </r>
  <r>
    <n v="4114"/>
    <x v="2030"/>
    <x v="942"/>
    <d v="2016-05-07T00:00:00"/>
    <s v="Standard Class"/>
    <x v="544"/>
    <s v="Noah Childs"/>
    <x v="1"/>
    <s v="United States"/>
    <s v="Houston"/>
    <x v="5"/>
    <n v="77095"/>
    <x v="2"/>
    <x v="1139"/>
    <x v="1"/>
    <x v="2"/>
    <x v="1127"/>
    <x v="3096"/>
    <x v="5"/>
    <x v="1"/>
  </r>
  <r>
    <n v="4115"/>
    <x v="2030"/>
    <x v="942"/>
    <d v="2016-05-07T00:00:00"/>
    <s v="Standard Class"/>
    <x v="544"/>
    <s v="Noah Childs"/>
    <x v="1"/>
    <s v="United States"/>
    <s v="Houston"/>
    <x v="5"/>
    <n v="77095"/>
    <x v="2"/>
    <x v="984"/>
    <x v="2"/>
    <x v="7"/>
    <x v="977"/>
    <x v="3097"/>
    <x v="5"/>
    <x v="1"/>
  </r>
  <r>
    <n v="4116"/>
    <x v="2031"/>
    <x v="390"/>
    <d v="2017-11-27T00:00:00"/>
    <s v="First Class"/>
    <x v="549"/>
    <s v="Amy Cox"/>
    <x v="0"/>
    <s v="United States"/>
    <s v="Seattle"/>
    <x v="4"/>
    <n v="98105"/>
    <x v="1"/>
    <x v="569"/>
    <x v="1"/>
    <x v="8"/>
    <x v="569"/>
    <x v="3098"/>
    <x v="0"/>
    <x v="0"/>
  </r>
  <r>
    <n v="4117"/>
    <x v="2032"/>
    <x v="27"/>
    <d v="2016-11-29T00:00:00"/>
    <s v="Standard Class"/>
    <x v="358"/>
    <s v="Toby Swindell"/>
    <x v="0"/>
    <s v="United States"/>
    <s v="Los Angeles"/>
    <x v="1"/>
    <n v="90036"/>
    <x v="1"/>
    <x v="922"/>
    <x v="1"/>
    <x v="8"/>
    <x v="914"/>
    <x v="754"/>
    <x v="0"/>
    <x v="1"/>
  </r>
  <r>
    <n v="4118"/>
    <x v="2032"/>
    <x v="27"/>
    <d v="2016-11-29T00:00:00"/>
    <s v="Standard Class"/>
    <x v="358"/>
    <s v="Toby Swindell"/>
    <x v="0"/>
    <s v="United States"/>
    <s v="Los Angeles"/>
    <x v="1"/>
    <n v="90036"/>
    <x v="1"/>
    <x v="510"/>
    <x v="1"/>
    <x v="10"/>
    <x v="510"/>
    <x v="537"/>
    <x v="0"/>
    <x v="1"/>
  </r>
  <r>
    <n v="4119"/>
    <x v="2032"/>
    <x v="27"/>
    <d v="2016-11-29T00:00:00"/>
    <s v="Standard Class"/>
    <x v="358"/>
    <s v="Toby Swindell"/>
    <x v="0"/>
    <s v="United States"/>
    <s v="Los Angeles"/>
    <x v="1"/>
    <n v="90036"/>
    <x v="1"/>
    <x v="391"/>
    <x v="1"/>
    <x v="4"/>
    <x v="392"/>
    <x v="3099"/>
    <x v="0"/>
    <x v="1"/>
  </r>
  <r>
    <n v="4120"/>
    <x v="2032"/>
    <x v="27"/>
    <d v="2016-11-29T00:00:00"/>
    <s v="Standard Class"/>
    <x v="358"/>
    <s v="Toby Swindell"/>
    <x v="0"/>
    <s v="United States"/>
    <s v="Los Angeles"/>
    <x v="1"/>
    <n v="90036"/>
    <x v="1"/>
    <x v="276"/>
    <x v="1"/>
    <x v="8"/>
    <x v="276"/>
    <x v="3100"/>
    <x v="0"/>
    <x v="1"/>
  </r>
  <r>
    <n v="4121"/>
    <x v="2033"/>
    <x v="507"/>
    <d v="2018-09-10T00:00:00"/>
    <s v="Standard Class"/>
    <x v="462"/>
    <s v="Michael Moore"/>
    <x v="0"/>
    <s v="United States"/>
    <s v="Philadelphia"/>
    <x v="9"/>
    <n v="19120"/>
    <x v="3"/>
    <x v="1628"/>
    <x v="2"/>
    <x v="11"/>
    <x v="1618"/>
    <x v="2160"/>
    <x v="8"/>
    <x v="3"/>
  </r>
  <r>
    <n v="4122"/>
    <x v="2034"/>
    <x v="943"/>
    <d v="2018-05-12T00:00:00"/>
    <s v="Same Day"/>
    <x v="221"/>
    <s v="Liz Pelletier"/>
    <x v="0"/>
    <s v="United States"/>
    <s v="Seattle"/>
    <x v="4"/>
    <n v="98103"/>
    <x v="1"/>
    <x v="910"/>
    <x v="1"/>
    <x v="10"/>
    <x v="902"/>
    <x v="776"/>
    <x v="5"/>
    <x v="3"/>
  </r>
  <r>
    <n v="4123"/>
    <x v="2034"/>
    <x v="943"/>
    <d v="2018-05-12T00:00:00"/>
    <s v="Same Day"/>
    <x v="221"/>
    <s v="Liz Pelletier"/>
    <x v="0"/>
    <s v="United States"/>
    <s v="Seattle"/>
    <x v="4"/>
    <n v="98103"/>
    <x v="1"/>
    <x v="1351"/>
    <x v="1"/>
    <x v="2"/>
    <x v="1337"/>
    <x v="3101"/>
    <x v="5"/>
    <x v="3"/>
  </r>
  <r>
    <n v="4124"/>
    <x v="2034"/>
    <x v="943"/>
    <d v="2018-05-12T00:00:00"/>
    <s v="Same Day"/>
    <x v="221"/>
    <s v="Liz Pelletier"/>
    <x v="0"/>
    <s v="United States"/>
    <s v="Seattle"/>
    <x v="4"/>
    <n v="98103"/>
    <x v="1"/>
    <x v="1526"/>
    <x v="1"/>
    <x v="8"/>
    <x v="1513"/>
    <x v="3102"/>
    <x v="5"/>
    <x v="3"/>
  </r>
  <r>
    <n v="4125"/>
    <x v="2035"/>
    <x v="218"/>
    <d v="2015-05-18T00:00:00"/>
    <s v="Standard Class"/>
    <x v="410"/>
    <s v="Brooke Gillingham"/>
    <x v="1"/>
    <s v="United States"/>
    <s v="Watertown"/>
    <x v="15"/>
    <n v="13601"/>
    <x v="3"/>
    <x v="360"/>
    <x v="1"/>
    <x v="9"/>
    <x v="360"/>
    <x v="382"/>
    <x v="5"/>
    <x v="2"/>
  </r>
  <r>
    <n v="4126"/>
    <x v="2036"/>
    <x v="944"/>
    <d v="2018-07-31T00:00:00"/>
    <s v="Second Class"/>
    <x v="207"/>
    <s v="Mike Gockenbach"/>
    <x v="0"/>
    <s v="United States"/>
    <s v="Jacksonville"/>
    <x v="2"/>
    <n v="32216"/>
    <x v="0"/>
    <x v="767"/>
    <x v="0"/>
    <x v="5"/>
    <x v="766"/>
    <x v="3103"/>
    <x v="7"/>
    <x v="3"/>
  </r>
  <r>
    <n v="4127"/>
    <x v="2037"/>
    <x v="636"/>
    <d v="2018-05-09T00:00:00"/>
    <s v="First Class"/>
    <x v="47"/>
    <s v="Gary Zandusky"/>
    <x v="0"/>
    <s v="United States"/>
    <s v="Arlington"/>
    <x v="17"/>
    <n v="22204"/>
    <x v="0"/>
    <x v="1583"/>
    <x v="1"/>
    <x v="6"/>
    <x v="1574"/>
    <x v="3104"/>
    <x v="5"/>
    <x v="3"/>
  </r>
  <r>
    <n v="4128"/>
    <x v="2038"/>
    <x v="111"/>
    <d v="2015-09-24T00:00:00"/>
    <s v="Standard Class"/>
    <x v="252"/>
    <s v="John Lee"/>
    <x v="0"/>
    <s v="United States"/>
    <s v="Charlotte"/>
    <x v="3"/>
    <n v="28205"/>
    <x v="0"/>
    <x v="768"/>
    <x v="1"/>
    <x v="4"/>
    <x v="767"/>
    <x v="3105"/>
    <x v="8"/>
    <x v="2"/>
  </r>
  <r>
    <n v="4129"/>
    <x v="2038"/>
    <x v="111"/>
    <d v="2015-09-24T00:00:00"/>
    <s v="Standard Class"/>
    <x v="252"/>
    <s v="John Lee"/>
    <x v="0"/>
    <s v="United States"/>
    <s v="Charlotte"/>
    <x v="3"/>
    <n v="28205"/>
    <x v="0"/>
    <x v="1629"/>
    <x v="2"/>
    <x v="15"/>
    <x v="1619"/>
    <x v="3106"/>
    <x v="8"/>
    <x v="2"/>
  </r>
  <r>
    <n v="4130"/>
    <x v="2039"/>
    <x v="368"/>
    <d v="2016-04-04T00:00:00"/>
    <s v="Standard Class"/>
    <x v="157"/>
    <s v="Denny Ordway"/>
    <x v="0"/>
    <s v="United States"/>
    <s v="Seattle"/>
    <x v="4"/>
    <n v="98103"/>
    <x v="1"/>
    <x v="1549"/>
    <x v="1"/>
    <x v="9"/>
    <x v="1537"/>
    <x v="3107"/>
    <x v="10"/>
    <x v="1"/>
  </r>
  <r>
    <n v="4131"/>
    <x v="2040"/>
    <x v="728"/>
    <d v="2015-11-25T00:00:00"/>
    <s v="Standard Class"/>
    <x v="448"/>
    <s v="Ann Blume"/>
    <x v="1"/>
    <s v="United States"/>
    <s v="Chicago"/>
    <x v="10"/>
    <n v="60623"/>
    <x v="2"/>
    <x v="497"/>
    <x v="1"/>
    <x v="8"/>
    <x v="497"/>
    <x v="3108"/>
    <x v="0"/>
    <x v="2"/>
  </r>
  <r>
    <n v="4132"/>
    <x v="2041"/>
    <x v="740"/>
    <d v="2016-07-09T00:00:00"/>
    <s v="Standard Class"/>
    <x v="41"/>
    <s v="Karl Braun"/>
    <x v="0"/>
    <s v="United States"/>
    <s v="Hollywood"/>
    <x v="2"/>
    <n v="33021"/>
    <x v="0"/>
    <x v="811"/>
    <x v="1"/>
    <x v="10"/>
    <x v="33"/>
    <x v="1627"/>
    <x v="7"/>
    <x v="1"/>
  </r>
  <r>
    <n v="4133"/>
    <x v="2041"/>
    <x v="740"/>
    <d v="2016-07-09T00:00:00"/>
    <s v="Standard Class"/>
    <x v="41"/>
    <s v="Karl Braun"/>
    <x v="0"/>
    <s v="United States"/>
    <s v="Hollywood"/>
    <x v="2"/>
    <n v="33021"/>
    <x v="0"/>
    <x v="219"/>
    <x v="1"/>
    <x v="10"/>
    <x v="220"/>
    <x v="12"/>
    <x v="7"/>
    <x v="1"/>
  </r>
  <r>
    <n v="4134"/>
    <x v="2042"/>
    <x v="78"/>
    <d v="2015-09-13T00:00:00"/>
    <s v="Standard Class"/>
    <x v="74"/>
    <s v="Ted Trevino"/>
    <x v="0"/>
    <s v="United States"/>
    <s v="Chesapeake"/>
    <x v="17"/>
    <n v="23320"/>
    <x v="0"/>
    <x v="659"/>
    <x v="1"/>
    <x v="13"/>
    <x v="659"/>
    <x v="47"/>
    <x v="8"/>
    <x v="2"/>
  </r>
  <r>
    <n v="4135"/>
    <x v="2042"/>
    <x v="78"/>
    <d v="2015-09-13T00:00:00"/>
    <s v="Standard Class"/>
    <x v="74"/>
    <s v="Ted Trevino"/>
    <x v="0"/>
    <s v="United States"/>
    <s v="Chesapeake"/>
    <x v="17"/>
    <n v="23320"/>
    <x v="0"/>
    <x v="380"/>
    <x v="2"/>
    <x v="15"/>
    <x v="381"/>
    <x v="2713"/>
    <x v="8"/>
    <x v="2"/>
  </r>
  <r>
    <n v="4136"/>
    <x v="2043"/>
    <x v="280"/>
    <d v="2018-10-08T00:00:00"/>
    <s v="Standard Class"/>
    <x v="391"/>
    <s v="Paul Van Hugh"/>
    <x v="2"/>
    <s v="United States"/>
    <s v="Los Angeles"/>
    <x v="1"/>
    <n v="90036"/>
    <x v="1"/>
    <x v="912"/>
    <x v="1"/>
    <x v="8"/>
    <x v="904"/>
    <x v="3109"/>
    <x v="2"/>
    <x v="3"/>
  </r>
  <r>
    <n v="4137"/>
    <x v="2043"/>
    <x v="280"/>
    <d v="2018-10-08T00:00:00"/>
    <s v="Standard Class"/>
    <x v="391"/>
    <s v="Paul Van Hugh"/>
    <x v="2"/>
    <s v="United States"/>
    <s v="Los Angeles"/>
    <x v="1"/>
    <n v="90036"/>
    <x v="1"/>
    <x v="906"/>
    <x v="1"/>
    <x v="4"/>
    <x v="898"/>
    <x v="3110"/>
    <x v="2"/>
    <x v="3"/>
  </r>
  <r>
    <n v="4138"/>
    <x v="2044"/>
    <x v="123"/>
    <d v="2018-11-23T00:00:00"/>
    <s v="Standard Class"/>
    <x v="732"/>
    <s v="Dorothy Dickinson"/>
    <x v="0"/>
    <s v="United States"/>
    <s v="Alexandria"/>
    <x v="17"/>
    <n v="22304"/>
    <x v="0"/>
    <x v="294"/>
    <x v="1"/>
    <x v="13"/>
    <x v="294"/>
    <x v="2910"/>
    <x v="0"/>
    <x v="3"/>
  </r>
  <r>
    <n v="4139"/>
    <x v="2045"/>
    <x v="945"/>
    <d v="2018-01-01T00:00:00"/>
    <s v="First Class"/>
    <x v="470"/>
    <s v="Keith Dawkins"/>
    <x v="1"/>
    <s v="United States"/>
    <s v="Deer Park"/>
    <x v="5"/>
    <n v="77536"/>
    <x v="2"/>
    <x v="68"/>
    <x v="1"/>
    <x v="8"/>
    <x v="68"/>
    <x v="3111"/>
    <x v="4"/>
    <x v="0"/>
  </r>
  <r>
    <n v="4140"/>
    <x v="2046"/>
    <x v="96"/>
    <d v="2018-12-04T00:00:00"/>
    <s v="First Class"/>
    <x v="267"/>
    <s v="Ralph Arnett"/>
    <x v="0"/>
    <s v="United States"/>
    <s v="Philadelphia"/>
    <x v="9"/>
    <n v="19120"/>
    <x v="3"/>
    <x v="230"/>
    <x v="1"/>
    <x v="4"/>
    <x v="450"/>
    <x v="3112"/>
    <x v="4"/>
    <x v="3"/>
  </r>
  <r>
    <n v="4141"/>
    <x v="2046"/>
    <x v="96"/>
    <d v="2018-12-04T00:00:00"/>
    <s v="First Class"/>
    <x v="267"/>
    <s v="Ralph Arnett"/>
    <x v="0"/>
    <s v="United States"/>
    <s v="Philadelphia"/>
    <x v="9"/>
    <n v="19120"/>
    <x v="3"/>
    <x v="1613"/>
    <x v="0"/>
    <x v="5"/>
    <x v="1604"/>
    <x v="3017"/>
    <x v="4"/>
    <x v="3"/>
  </r>
  <r>
    <n v="4142"/>
    <x v="2047"/>
    <x v="900"/>
    <d v="2017-06-17T00:00:00"/>
    <s v="Standard Class"/>
    <x v="196"/>
    <s v="Sonia Sunley"/>
    <x v="0"/>
    <s v="United States"/>
    <s v="Wichita"/>
    <x v="41"/>
    <n v="67212"/>
    <x v="2"/>
    <x v="165"/>
    <x v="1"/>
    <x v="2"/>
    <x v="166"/>
    <x v="1365"/>
    <x v="1"/>
    <x v="0"/>
  </r>
  <r>
    <n v="4143"/>
    <x v="2048"/>
    <x v="946"/>
    <d v="2015-05-23T00:00:00"/>
    <s v="Standard Class"/>
    <x v="581"/>
    <s v="John Huston"/>
    <x v="0"/>
    <s v="United States"/>
    <s v="Midland"/>
    <x v="12"/>
    <n v="48640"/>
    <x v="2"/>
    <x v="1206"/>
    <x v="1"/>
    <x v="8"/>
    <x v="1191"/>
    <x v="3113"/>
    <x v="5"/>
    <x v="2"/>
  </r>
  <r>
    <n v="4144"/>
    <x v="2049"/>
    <x v="289"/>
    <d v="2018-02-06T00:00:00"/>
    <s v="Standard Class"/>
    <x v="258"/>
    <s v="Eugene Hildebrand"/>
    <x v="2"/>
    <s v="United States"/>
    <s v="San Francisco"/>
    <x v="1"/>
    <n v="94110"/>
    <x v="1"/>
    <x v="853"/>
    <x v="1"/>
    <x v="6"/>
    <x v="846"/>
    <x v="3114"/>
    <x v="9"/>
    <x v="3"/>
  </r>
  <r>
    <n v="4145"/>
    <x v="2049"/>
    <x v="289"/>
    <d v="2018-02-06T00:00:00"/>
    <s v="Standard Class"/>
    <x v="258"/>
    <s v="Eugene Hildebrand"/>
    <x v="2"/>
    <s v="United States"/>
    <s v="San Francisco"/>
    <x v="1"/>
    <n v="94110"/>
    <x v="1"/>
    <x v="1630"/>
    <x v="1"/>
    <x v="6"/>
    <x v="1620"/>
    <x v="138"/>
    <x v="9"/>
    <x v="3"/>
  </r>
  <r>
    <n v="4146"/>
    <x v="2049"/>
    <x v="289"/>
    <d v="2018-02-06T00:00:00"/>
    <s v="Standard Class"/>
    <x v="258"/>
    <s v="Eugene Hildebrand"/>
    <x v="2"/>
    <s v="United States"/>
    <s v="San Francisco"/>
    <x v="1"/>
    <n v="94110"/>
    <x v="1"/>
    <x v="83"/>
    <x v="0"/>
    <x v="1"/>
    <x v="83"/>
    <x v="3115"/>
    <x v="9"/>
    <x v="3"/>
  </r>
  <r>
    <n v="4147"/>
    <x v="2050"/>
    <x v="109"/>
    <d v="2016-12-04T00:00:00"/>
    <s v="Standard Class"/>
    <x v="599"/>
    <s v="Tom Prescott"/>
    <x v="0"/>
    <s v="United States"/>
    <s v="Freeport"/>
    <x v="15"/>
    <n v="11520"/>
    <x v="3"/>
    <x v="216"/>
    <x v="0"/>
    <x v="5"/>
    <x v="217"/>
    <x v="802"/>
    <x v="0"/>
    <x v="1"/>
  </r>
  <r>
    <n v="4148"/>
    <x v="2051"/>
    <x v="436"/>
    <d v="2018-10-28T00:00:00"/>
    <s v="Standard Class"/>
    <x v="713"/>
    <s v="Randy Bradley"/>
    <x v="0"/>
    <s v="United States"/>
    <s v="Austin"/>
    <x v="5"/>
    <n v="78745"/>
    <x v="2"/>
    <x v="1526"/>
    <x v="1"/>
    <x v="8"/>
    <x v="1513"/>
    <x v="3116"/>
    <x v="2"/>
    <x v="3"/>
  </r>
  <r>
    <n v="4149"/>
    <x v="2051"/>
    <x v="436"/>
    <d v="2018-10-28T00:00:00"/>
    <s v="Standard Class"/>
    <x v="713"/>
    <s v="Randy Bradley"/>
    <x v="0"/>
    <s v="United States"/>
    <s v="Austin"/>
    <x v="5"/>
    <n v="78745"/>
    <x v="2"/>
    <x v="456"/>
    <x v="1"/>
    <x v="4"/>
    <x v="457"/>
    <x v="3117"/>
    <x v="2"/>
    <x v="3"/>
  </r>
  <r>
    <n v="4150"/>
    <x v="2051"/>
    <x v="436"/>
    <d v="2018-10-28T00:00:00"/>
    <s v="Standard Class"/>
    <x v="713"/>
    <s v="Randy Bradley"/>
    <x v="0"/>
    <s v="United States"/>
    <s v="Austin"/>
    <x v="5"/>
    <n v="78745"/>
    <x v="2"/>
    <x v="1615"/>
    <x v="2"/>
    <x v="11"/>
    <x v="1606"/>
    <x v="3118"/>
    <x v="2"/>
    <x v="3"/>
  </r>
  <r>
    <n v="4151"/>
    <x v="2051"/>
    <x v="436"/>
    <d v="2018-10-28T00:00:00"/>
    <s v="Standard Class"/>
    <x v="713"/>
    <s v="Randy Bradley"/>
    <x v="0"/>
    <s v="United States"/>
    <s v="Austin"/>
    <x v="5"/>
    <n v="78745"/>
    <x v="2"/>
    <x v="871"/>
    <x v="1"/>
    <x v="4"/>
    <x v="865"/>
    <x v="1764"/>
    <x v="2"/>
    <x v="3"/>
  </r>
  <r>
    <n v="4152"/>
    <x v="2052"/>
    <x v="210"/>
    <d v="2018-09-11T00:00:00"/>
    <s v="Standard Class"/>
    <x v="90"/>
    <s v="Cassandra Brandow"/>
    <x v="0"/>
    <s v="United States"/>
    <s v="Philadelphia"/>
    <x v="9"/>
    <n v="19134"/>
    <x v="3"/>
    <x v="148"/>
    <x v="1"/>
    <x v="2"/>
    <x v="149"/>
    <x v="3119"/>
    <x v="8"/>
    <x v="3"/>
  </r>
  <r>
    <n v="4153"/>
    <x v="2052"/>
    <x v="210"/>
    <d v="2018-09-11T00:00:00"/>
    <s v="Standard Class"/>
    <x v="90"/>
    <s v="Cassandra Brandow"/>
    <x v="0"/>
    <s v="United States"/>
    <s v="Philadelphia"/>
    <x v="9"/>
    <n v="19134"/>
    <x v="3"/>
    <x v="934"/>
    <x v="1"/>
    <x v="10"/>
    <x v="927"/>
    <x v="12"/>
    <x v="8"/>
    <x v="3"/>
  </r>
  <r>
    <n v="4154"/>
    <x v="2052"/>
    <x v="210"/>
    <d v="2018-09-11T00:00:00"/>
    <s v="Standard Class"/>
    <x v="90"/>
    <s v="Cassandra Brandow"/>
    <x v="0"/>
    <s v="United States"/>
    <s v="Philadelphia"/>
    <x v="9"/>
    <n v="19134"/>
    <x v="3"/>
    <x v="29"/>
    <x v="1"/>
    <x v="12"/>
    <x v="29"/>
    <x v="319"/>
    <x v="8"/>
    <x v="3"/>
  </r>
  <r>
    <n v="4155"/>
    <x v="2053"/>
    <x v="723"/>
    <d v="2018-01-03T00:00:00"/>
    <s v="Standard Class"/>
    <x v="172"/>
    <s v="Michael Paige"/>
    <x v="1"/>
    <s v="United States"/>
    <s v="Bristol"/>
    <x v="18"/>
    <n v="37620"/>
    <x v="0"/>
    <x v="132"/>
    <x v="1"/>
    <x v="8"/>
    <x v="133"/>
    <x v="1795"/>
    <x v="4"/>
    <x v="0"/>
  </r>
  <r>
    <n v="4156"/>
    <x v="2053"/>
    <x v="723"/>
    <d v="2018-01-03T00:00:00"/>
    <s v="Standard Class"/>
    <x v="172"/>
    <s v="Michael Paige"/>
    <x v="1"/>
    <s v="United States"/>
    <s v="Bristol"/>
    <x v="18"/>
    <n v="37620"/>
    <x v="0"/>
    <x v="744"/>
    <x v="1"/>
    <x v="8"/>
    <x v="742"/>
    <x v="1774"/>
    <x v="4"/>
    <x v="0"/>
  </r>
  <r>
    <n v="4157"/>
    <x v="2054"/>
    <x v="901"/>
    <d v="2016-12-09T00:00:00"/>
    <s v="Second Class"/>
    <x v="573"/>
    <s v="Scot Wooten"/>
    <x v="0"/>
    <s v="United States"/>
    <s v="Philadelphia"/>
    <x v="9"/>
    <n v="19140"/>
    <x v="3"/>
    <x v="1048"/>
    <x v="2"/>
    <x v="11"/>
    <x v="1037"/>
    <x v="730"/>
    <x v="4"/>
    <x v="1"/>
  </r>
  <r>
    <n v="4158"/>
    <x v="2054"/>
    <x v="901"/>
    <d v="2016-12-09T00:00:00"/>
    <s v="Second Class"/>
    <x v="573"/>
    <s v="Scot Wooten"/>
    <x v="0"/>
    <s v="United States"/>
    <s v="Philadelphia"/>
    <x v="9"/>
    <n v="19140"/>
    <x v="3"/>
    <x v="497"/>
    <x v="1"/>
    <x v="8"/>
    <x v="497"/>
    <x v="3120"/>
    <x v="4"/>
    <x v="1"/>
  </r>
  <r>
    <n v="4159"/>
    <x v="2055"/>
    <x v="301"/>
    <d v="2015-11-08T00:00:00"/>
    <s v="Standard Class"/>
    <x v="416"/>
    <s v="Suzanne McNair"/>
    <x v="1"/>
    <s v="United States"/>
    <s v="Chicago"/>
    <x v="10"/>
    <n v="60610"/>
    <x v="2"/>
    <x v="1221"/>
    <x v="1"/>
    <x v="10"/>
    <x v="1205"/>
    <x v="929"/>
    <x v="0"/>
    <x v="2"/>
  </r>
  <r>
    <n v="4160"/>
    <x v="2056"/>
    <x v="947"/>
    <d v="2017-04-23T00:00:00"/>
    <s v="Standard Class"/>
    <x v="275"/>
    <s v="Arthur Prichep"/>
    <x v="0"/>
    <s v="United States"/>
    <s v="Columbus"/>
    <x v="32"/>
    <n v="31907"/>
    <x v="0"/>
    <x v="18"/>
    <x v="1"/>
    <x v="6"/>
    <x v="18"/>
    <x v="1371"/>
    <x v="3"/>
    <x v="0"/>
  </r>
  <r>
    <n v="4161"/>
    <x v="2057"/>
    <x v="304"/>
    <d v="2018-05-18T00:00:00"/>
    <s v="Standard Class"/>
    <x v="733"/>
    <s v="Amy Hunt"/>
    <x v="0"/>
    <s v="United States"/>
    <s v="New York City"/>
    <x v="15"/>
    <n v="10035"/>
    <x v="3"/>
    <x v="1400"/>
    <x v="2"/>
    <x v="7"/>
    <x v="1387"/>
    <x v="2451"/>
    <x v="5"/>
    <x v="3"/>
  </r>
  <r>
    <n v="4162"/>
    <x v="2057"/>
    <x v="304"/>
    <d v="2018-05-18T00:00:00"/>
    <s v="Standard Class"/>
    <x v="733"/>
    <s v="Amy Hunt"/>
    <x v="0"/>
    <s v="United States"/>
    <s v="New York City"/>
    <x v="15"/>
    <n v="10035"/>
    <x v="3"/>
    <x v="1011"/>
    <x v="1"/>
    <x v="4"/>
    <x v="1003"/>
    <x v="2383"/>
    <x v="5"/>
    <x v="3"/>
  </r>
  <r>
    <n v="4163"/>
    <x v="2058"/>
    <x v="948"/>
    <d v="2016-03-18T00:00:00"/>
    <s v="Standard Class"/>
    <x v="212"/>
    <s v="Emily Phan"/>
    <x v="0"/>
    <s v="United States"/>
    <s v="Dover"/>
    <x v="38"/>
    <n v="3820"/>
    <x v="3"/>
    <x v="617"/>
    <x v="1"/>
    <x v="2"/>
    <x v="617"/>
    <x v="1045"/>
    <x v="10"/>
    <x v="1"/>
  </r>
  <r>
    <n v="4164"/>
    <x v="2058"/>
    <x v="948"/>
    <d v="2016-03-18T00:00:00"/>
    <s v="Standard Class"/>
    <x v="212"/>
    <s v="Emily Phan"/>
    <x v="0"/>
    <s v="United States"/>
    <s v="Dover"/>
    <x v="38"/>
    <n v="3820"/>
    <x v="3"/>
    <x v="1188"/>
    <x v="1"/>
    <x v="8"/>
    <x v="1174"/>
    <x v="3121"/>
    <x v="10"/>
    <x v="1"/>
  </r>
  <r>
    <n v="4165"/>
    <x v="2059"/>
    <x v="424"/>
    <d v="2018-01-16T00:00:00"/>
    <s v="First Class"/>
    <x v="734"/>
    <s v="Tracy Poddar"/>
    <x v="1"/>
    <s v="United States"/>
    <s v="Aurora"/>
    <x v="22"/>
    <n v="80013"/>
    <x v="1"/>
    <x v="25"/>
    <x v="2"/>
    <x v="11"/>
    <x v="25"/>
    <x v="3122"/>
    <x v="9"/>
    <x v="3"/>
  </r>
  <r>
    <n v="4166"/>
    <x v="2059"/>
    <x v="424"/>
    <d v="2018-01-16T00:00:00"/>
    <s v="First Class"/>
    <x v="734"/>
    <s v="Tracy Poddar"/>
    <x v="1"/>
    <s v="United States"/>
    <s v="Aurora"/>
    <x v="22"/>
    <n v="80013"/>
    <x v="1"/>
    <x v="1247"/>
    <x v="1"/>
    <x v="4"/>
    <x v="1231"/>
    <x v="3123"/>
    <x v="9"/>
    <x v="3"/>
  </r>
  <r>
    <n v="4167"/>
    <x v="2060"/>
    <x v="936"/>
    <d v="2016-03-13T00:00:00"/>
    <s v="Standard Class"/>
    <x v="255"/>
    <s v="Anthony Rawles"/>
    <x v="1"/>
    <s v="United States"/>
    <s v="Long Beach"/>
    <x v="15"/>
    <n v="11561"/>
    <x v="3"/>
    <x v="1465"/>
    <x v="1"/>
    <x v="10"/>
    <x v="1451"/>
    <x v="537"/>
    <x v="10"/>
    <x v="1"/>
  </r>
  <r>
    <n v="4168"/>
    <x v="2061"/>
    <x v="856"/>
    <d v="2015-10-13T00:00:00"/>
    <s v="First Class"/>
    <x v="66"/>
    <s v="Helen Andreada"/>
    <x v="0"/>
    <s v="United States"/>
    <s v="Pasadena"/>
    <x v="1"/>
    <n v="91104"/>
    <x v="1"/>
    <x v="861"/>
    <x v="1"/>
    <x v="4"/>
    <x v="855"/>
    <x v="1043"/>
    <x v="2"/>
    <x v="2"/>
  </r>
  <r>
    <n v="4169"/>
    <x v="2061"/>
    <x v="856"/>
    <d v="2015-10-13T00:00:00"/>
    <s v="First Class"/>
    <x v="66"/>
    <s v="Helen Andreada"/>
    <x v="0"/>
    <s v="United States"/>
    <s v="Pasadena"/>
    <x v="1"/>
    <n v="91104"/>
    <x v="1"/>
    <x v="1631"/>
    <x v="0"/>
    <x v="1"/>
    <x v="1621"/>
    <x v="3124"/>
    <x v="2"/>
    <x v="2"/>
  </r>
  <r>
    <n v="4170"/>
    <x v="2062"/>
    <x v="657"/>
    <d v="2016-04-14T00:00:00"/>
    <s v="First Class"/>
    <x v="707"/>
    <s v="Heather Jas"/>
    <x v="2"/>
    <s v="United States"/>
    <s v="Mesa"/>
    <x v="16"/>
    <n v="85204"/>
    <x v="1"/>
    <x v="739"/>
    <x v="1"/>
    <x v="10"/>
    <x v="738"/>
    <x v="276"/>
    <x v="3"/>
    <x v="1"/>
  </r>
  <r>
    <n v="4171"/>
    <x v="2062"/>
    <x v="657"/>
    <d v="2016-04-14T00:00:00"/>
    <s v="First Class"/>
    <x v="707"/>
    <s v="Heather Jas"/>
    <x v="2"/>
    <s v="United States"/>
    <s v="Mesa"/>
    <x v="16"/>
    <n v="85204"/>
    <x v="1"/>
    <x v="926"/>
    <x v="1"/>
    <x v="10"/>
    <x v="918"/>
    <x v="1548"/>
    <x v="3"/>
    <x v="1"/>
  </r>
  <r>
    <n v="4172"/>
    <x v="2063"/>
    <x v="673"/>
    <d v="2018-11-20T00:00:00"/>
    <s v="Standard Class"/>
    <x v="271"/>
    <s v="Jay Kimmel"/>
    <x v="0"/>
    <s v="United States"/>
    <s v="Fresno"/>
    <x v="1"/>
    <n v="93727"/>
    <x v="1"/>
    <x v="700"/>
    <x v="1"/>
    <x v="4"/>
    <x v="700"/>
    <x v="5"/>
    <x v="0"/>
    <x v="3"/>
  </r>
  <r>
    <n v="4173"/>
    <x v="2064"/>
    <x v="949"/>
    <d v="2017-07-01T00:00:00"/>
    <s v="Same Day"/>
    <x v="282"/>
    <s v="Jay Fein"/>
    <x v="0"/>
    <s v="United States"/>
    <s v="Columbia"/>
    <x v="20"/>
    <n v="29203"/>
    <x v="0"/>
    <x v="20"/>
    <x v="1"/>
    <x v="8"/>
    <x v="20"/>
    <x v="1168"/>
    <x v="7"/>
    <x v="0"/>
  </r>
  <r>
    <n v="4174"/>
    <x v="2064"/>
    <x v="949"/>
    <d v="2017-07-01T00:00:00"/>
    <s v="Same Day"/>
    <x v="282"/>
    <s v="Jay Fein"/>
    <x v="0"/>
    <s v="United States"/>
    <s v="Columbia"/>
    <x v="20"/>
    <n v="29203"/>
    <x v="0"/>
    <x v="739"/>
    <x v="1"/>
    <x v="10"/>
    <x v="738"/>
    <x v="91"/>
    <x v="7"/>
    <x v="0"/>
  </r>
  <r>
    <n v="4175"/>
    <x v="2064"/>
    <x v="949"/>
    <d v="2017-07-01T00:00:00"/>
    <s v="Same Day"/>
    <x v="282"/>
    <s v="Jay Fein"/>
    <x v="0"/>
    <s v="United States"/>
    <s v="Columbia"/>
    <x v="20"/>
    <n v="29203"/>
    <x v="0"/>
    <x v="705"/>
    <x v="1"/>
    <x v="8"/>
    <x v="705"/>
    <x v="2450"/>
    <x v="7"/>
    <x v="0"/>
  </r>
  <r>
    <n v="4176"/>
    <x v="2065"/>
    <x v="239"/>
    <d v="2016-11-30T00:00:00"/>
    <s v="First Class"/>
    <x v="735"/>
    <s v="Eileen Kiefer"/>
    <x v="2"/>
    <s v="United States"/>
    <s v="Santa Ana"/>
    <x v="1"/>
    <n v="92704"/>
    <x v="1"/>
    <x v="1473"/>
    <x v="1"/>
    <x v="6"/>
    <x v="1460"/>
    <x v="2420"/>
    <x v="0"/>
    <x v="1"/>
  </r>
  <r>
    <n v="4177"/>
    <x v="2066"/>
    <x v="884"/>
    <d v="2015-04-12T00:00:00"/>
    <s v="Standard Class"/>
    <x v="276"/>
    <s v="Roland Schwarz"/>
    <x v="1"/>
    <s v="United States"/>
    <s v="Columbia"/>
    <x v="20"/>
    <n v="29203"/>
    <x v="0"/>
    <x v="172"/>
    <x v="2"/>
    <x v="7"/>
    <x v="173"/>
    <x v="3125"/>
    <x v="3"/>
    <x v="2"/>
  </r>
  <r>
    <n v="4178"/>
    <x v="2066"/>
    <x v="884"/>
    <d v="2015-04-12T00:00:00"/>
    <s v="Standard Class"/>
    <x v="276"/>
    <s v="Roland Schwarz"/>
    <x v="1"/>
    <s v="United States"/>
    <s v="Columbia"/>
    <x v="20"/>
    <n v="29203"/>
    <x v="0"/>
    <x v="839"/>
    <x v="1"/>
    <x v="10"/>
    <x v="833"/>
    <x v="1232"/>
    <x v="3"/>
    <x v="2"/>
  </r>
  <r>
    <n v="4179"/>
    <x v="2067"/>
    <x v="950"/>
    <d v="2017-06-18T00:00:00"/>
    <s v="Second Class"/>
    <x v="217"/>
    <s v="Bill Donatelli"/>
    <x v="0"/>
    <s v="United States"/>
    <s v="Los Angeles"/>
    <x v="1"/>
    <n v="90045"/>
    <x v="1"/>
    <x v="1286"/>
    <x v="1"/>
    <x v="10"/>
    <x v="1272"/>
    <x v="3126"/>
    <x v="1"/>
    <x v="0"/>
  </r>
  <r>
    <n v="4180"/>
    <x v="2068"/>
    <x v="904"/>
    <d v="2018-03-10T00:00:00"/>
    <s v="Standard Class"/>
    <x v="408"/>
    <s v="Ben Ferrer"/>
    <x v="2"/>
    <s v="United States"/>
    <s v="San Francisco"/>
    <x v="1"/>
    <n v="94109"/>
    <x v="1"/>
    <x v="73"/>
    <x v="1"/>
    <x v="8"/>
    <x v="73"/>
    <x v="2671"/>
    <x v="10"/>
    <x v="3"/>
  </r>
  <r>
    <n v="4181"/>
    <x v="2069"/>
    <x v="566"/>
    <d v="2018-10-11T00:00:00"/>
    <s v="Standard Class"/>
    <x v="300"/>
    <s v="Joe Kamberova"/>
    <x v="0"/>
    <s v="United States"/>
    <s v="Houston"/>
    <x v="5"/>
    <n v="77036"/>
    <x v="2"/>
    <x v="15"/>
    <x v="1"/>
    <x v="8"/>
    <x v="15"/>
    <x v="3127"/>
    <x v="2"/>
    <x v="3"/>
  </r>
  <r>
    <n v="4182"/>
    <x v="2070"/>
    <x v="833"/>
    <d v="2018-10-12T00:00:00"/>
    <s v="Standard Class"/>
    <x v="736"/>
    <s v="Cyra Reiten"/>
    <x v="2"/>
    <s v="United States"/>
    <s v="New York City"/>
    <x v="15"/>
    <n v="10035"/>
    <x v="3"/>
    <x v="1593"/>
    <x v="2"/>
    <x v="11"/>
    <x v="1585"/>
    <x v="3128"/>
    <x v="2"/>
    <x v="3"/>
  </r>
  <r>
    <n v="4183"/>
    <x v="2070"/>
    <x v="833"/>
    <d v="2018-10-12T00:00:00"/>
    <s v="Standard Class"/>
    <x v="736"/>
    <s v="Cyra Reiten"/>
    <x v="2"/>
    <s v="United States"/>
    <s v="New York City"/>
    <x v="15"/>
    <n v="10035"/>
    <x v="3"/>
    <x v="126"/>
    <x v="1"/>
    <x v="10"/>
    <x v="562"/>
    <x v="339"/>
    <x v="2"/>
    <x v="3"/>
  </r>
  <r>
    <n v="4184"/>
    <x v="2070"/>
    <x v="833"/>
    <d v="2018-10-12T00:00:00"/>
    <s v="Standard Class"/>
    <x v="736"/>
    <s v="Cyra Reiten"/>
    <x v="2"/>
    <s v="United States"/>
    <s v="New York City"/>
    <x v="15"/>
    <n v="10035"/>
    <x v="3"/>
    <x v="156"/>
    <x v="1"/>
    <x v="4"/>
    <x v="157"/>
    <x v="3129"/>
    <x v="2"/>
    <x v="3"/>
  </r>
  <r>
    <n v="4185"/>
    <x v="2071"/>
    <x v="5"/>
    <d v="2017-12-07T00:00:00"/>
    <s v="First Class"/>
    <x v="636"/>
    <s v="Aleksandra Gannaway"/>
    <x v="1"/>
    <s v="United States"/>
    <s v="Franklin"/>
    <x v="31"/>
    <n v="2038"/>
    <x v="3"/>
    <x v="1632"/>
    <x v="0"/>
    <x v="0"/>
    <x v="1622"/>
    <x v="3130"/>
    <x v="4"/>
    <x v="0"/>
  </r>
  <r>
    <n v="4186"/>
    <x v="2072"/>
    <x v="147"/>
    <d v="2017-10-22T00:00:00"/>
    <s v="First Class"/>
    <x v="380"/>
    <s v="Charles McCrossin"/>
    <x v="0"/>
    <s v="United States"/>
    <s v="Baltimore"/>
    <x v="39"/>
    <n v="21215"/>
    <x v="3"/>
    <x v="960"/>
    <x v="2"/>
    <x v="11"/>
    <x v="953"/>
    <x v="1524"/>
    <x v="2"/>
    <x v="0"/>
  </r>
  <r>
    <n v="4187"/>
    <x v="2073"/>
    <x v="796"/>
    <d v="2018-05-23T00:00:00"/>
    <s v="Standard Class"/>
    <x v="737"/>
    <s v="Susan Gilcrest"/>
    <x v="1"/>
    <s v="United States"/>
    <s v="Mcallen"/>
    <x v="5"/>
    <n v="78501"/>
    <x v="2"/>
    <x v="696"/>
    <x v="1"/>
    <x v="8"/>
    <x v="696"/>
    <x v="3131"/>
    <x v="5"/>
    <x v="3"/>
  </r>
  <r>
    <n v="4188"/>
    <x v="2073"/>
    <x v="796"/>
    <d v="2018-05-23T00:00:00"/>
    <s v="Standard Class"/>
    <x v="737"/>
    <s v="Susan Gilcrest"/>
    <x v="1"/>
    <s v="United States"/>
    <s v="Mcallen"/>
    <x v="5"/>
    <n v="78501"/>
    <x v="2"/>
    <x v="1230"/>
    <x v="1"/>
    <x v="8"/>
    <x v="1213"/>
    <x v="3132"/>
    <x v="5"/>
    <x v="3"/>
  </r>
  <r>
    <n v="4189"/>
    <x v="2073"/>
    <x v="796"/>
    <d v="2018-05-23T00:00:00"/>
    <s v="Standard Class"/>
    <x v="737"/>
    <s v="Susan Gilcrest"/>
    <x v="1"/>
    <s v="United States"/>
    <s v="Mcallen"/>
    <x v="5"/>
    <n v="78501"/>
    <x v="2"/>
    <x v="1427"/>
    <x v="1"/>
    <x v="4"/>
    <x v="1415"/>
    <x v="433"/>
    <x v="5"/>
    <x v="3"/>
  </r>
  <r>
    <n v="4190"/>
    <x v="2074"/>
    <x v="182"/>
    <d v="2017-10-01T00:00:00"/>
    <s v="Second Class"/>
    <x v="728"/>
    <s v="Charles Sheldon"/>
    <x v="1"/>
    <s v="United States"/>
    <s v="Iowa City"/>
    <x v="23"/>
    <n v="52240"/>
    <x v="2"/>
    <x v="1633"/>
    <x v="1"/>
    <x v="10"/>
    <x v="1623"/>
    <x v="1036"/>
    <x v="8"/>
    <x v="0"/>
  </r>
  <r>
    <n v="4191"/>
    <x v="2075"/>
    <x v="701"/>
    <d v="2018-11-22T00:00:00"/>
    <s v="Standard Class"/>
    <x v="332"/>
    <s v="Hunter Lopez"/>
    <x v="0"/>
    <s v="United States"/>
    <s v="Newark"/>
    <x v="13"/>
    <n v="19711"/>
    <x v="3"/>
    <x v="1388"/>
    <x v="2"/>
    <x v="16"/>
    <x v="1374"/>
    <x v="3133"/>
    <x v="0"/>
    <x v="3"/>
  </r>
  <r>
    <n v="4192"/>
    <x v="2076"/>
    <x v="951"/>
    <d v="2016-07-08T00:00:00"/>
    <s v="Same Day"/>
    <x v="661"/>
    <s v="Darrin Martin"/>
    <x v="0"/>
    <s v="United States"/>
    <s v="Houston"/>
    <x v="5"/>
    <n v="77070"/>
    <x v="2"/>
    <x v="1634"/>
    <x v="1"/>
    <x v="10"/>
    <x v="1624"/>
    <x v="3051"/>
    <x v="7"/>
    <x v="1"/>
  </r>
  <r>
    <n v="4193"/>
    <x v="2077"/>
    <x v="547"/>
    <d v="2016-11-20T00:00:00"/>
    <s v="Standard Class"/>
    <x v="96"/>
    <s v="Heather Kirkland"/>
    <x v="1"/>
    <s v="United States"/>
    <s v="Boise"/>
    <x v="45"/>
    <n v="83704"/>
    <x v="1"/>
    <x v="3"/>
    <x v="0"/>
    <x v="3"/>
    <x v="3"/>
    <x v="3134"/>
    <x v="0"/>
    <x v="1"/>
  </r>
  <r>
    <n v="4194"/>
    <x v="2077"/>
    <x v="547"/>
    <d v="2016-11-20T00:00:00"/>
    <s v="Standard Class"/>
    <x v="96"/>
    <s v="Heather Kirkland"/>
    <x v="1"/>
    <s v="United States"/>
    <s v="Boise"/>
    <x v="45"/>
    <n v="83704"/>
    <x v="1"/>
    <x v="143"/>
    <x v="2"/>
    <x v="7"/>
    <x v="144"/>
    <x v="3135"/>
    <x v="0"/>
    <x v="1"/>
  </r>
  <r>
    <n v="4195"/>
    <x v="2078"/>
    <x v="652"/>
    <d v="2016-06-22T00:00:00"/>
    <s v="Standard Class"/>
    <x v="696"/>
    <s v="Bruce Geld"/>
    <x v="0"/>
    <s v="United States"/>
    <s v="San Diego"/>
    <x v="1"/>
    <n v="92105"/>
    <x v="1"/>
    <x v="1062"/>
    <x v="1"/>
    <x v="6"/>
    <x v="1051"/>
    <x v="3136"/>
    <x v="1"/>
    <x v="1"/>
  </r>
  <r>
    <n v="4196"/>
    <x v="2079"/>
    <x v="143"/>
    <d v="2017-04-14T00:00:00"/>
    <s v="Standard Class"/>
    <x v="242"/>
    <s v="Clytie Kelty"/>
    <x v="0"/>
    <s v="United States"/>
    <s v="Los Angeles"/>
    <x v="1"/>
    <n v="90032"/>
    <x v="1"/>
    <x v="627"/>
    <x v="0"/>
    <x v="5"/>
    <x v="627"/>
    <x v="3137"/>
    <x v="3"/>
    <x v="0"/>
  </r>
  <r>
    <n v="4197"/>
    <x v="2080"/>
    <x v="24"/>
    <d v="2016-04-23T00:00:00"/>
    <s v="Second Class"/>
    <x v="288"/>
    <s v="Roland Fjeld"/>
    <x v="0"/>
    <s v="United States"/>
    <s v="New York City"/>
    <x v="15"/>
    <n v="10024"/>
    <x v="3"/>
    <x v="676"/>
    <x v="1"/>
    <x v="2"/>
    <x v="676"/>
    <x v="2468"/>
    <x v="3"/>
    <x v="1"/>
  </r>
  <r>
    <n v="4198"/>
    <x v="2081"/>
    <x v="275"/>
    <d v="2017-12-08T00:00:00"/>
    <s v="Standard Class"/>
    <x v="170"/>
    <s v="Caroline Jumper"/>
    <x v="0"/>
    <s v="United States"/>
    <s v="Philadelphia"/>
    <x v="9"/>
    <n v="19134"/>
    <x v="3"/>
    <x v="532"/>
    <x v="1"/>
    <x v="9"/>
    <x v="532"/>
    <x v="3138"/>
    <x v="4"/>
    <x v="0"/>
  </r>
  <r>
    <n v="4199"/>
    <x v="2081"/>
    <x v="275"/>
    <d v="2017-12-08T00:00:00"/>
    <s v="Standard Class"/>
    <x v="170"/>
    <s v="Caroline Jumper"/>
    <x v="0"/>
    <s v="United States"/>
    <s v="Philadelphia"/>
    <x v="9"/>
    <n v="19134"/>
    <x v="3"/>
    <x v="280"/>
    <x v="1"/>
    <x v="8"/>
    <x v="280"/>
    <x v="3139"/>
    <x v="4"/>
    <x v="0"/>
  </r>
  <r>
    <n v="4200"/>
    <x v="2082"/>
    <x v="895"/>
    <d v="2016-12-10T00:00:00"/>
    <s v="Same Day"/>
    <x v="15"/>
    <s v="Matt Abelman"/>
    <x v="2"/>
    <s v="United States"/>
    <s v="New York City"/>
    <x v="15"/>
    <n v="10024"/>
    <x v="3"/>
    <x v="676"/>
    <x v="1"/>
    <x v="2"/>
    <x v="676"/>
    <x v="2026"/>
    <x v="4"/>
    <x v="1"/>
  </r>
  <r>
    <n v="4201"/>
    <x v="2082"/>
    <x v="895"/>
    <d v="2016-12-10T00:00:00"/>
    <s v="Same Day"/>
    <x v="15"/>
    <s v="Matt Abelman"/>
    <x v="2"/>
    <s v="United States"/>
    <s v="New York City"/>
    <x v="15"/>
    <n v="10024"/>
    <x v="3"/>
    <x v="615"/>
    <x v="2"/>
    <x v="16"/>
    <x v="615"/>
    <x v="3140"/>
    <x v="4"/>
    <x v="1"/>
  </r>
  <r>
    <n v="4202"/>
    <x v="2082"/>
    <x v="895"/>
    <d v="2016-12-10T00:00:00"/>
    <s v="Same Day"/>
    <x v="15"/>
    <s v="Matt Abelman"/>
    <x v="2"/>
    <s v="United States"/>
    <s v="New York City"/>
    <x v="15"/>
    <n v="10024"/>
    <x v="3"/>
    <x v="320"/>
    <x v="1"/>
    <x v="10"/>
    <x v="320"/>
    <x v="517"/>
    <x v="4"/>
    <x v="1"/>
  </r>
  <r>
    <n v="4203"/>
    <x v="2082"/>
    <x v="895"/>
    <d v="2016-12-10T00:00:00"/>
    <s v="Same Day"/>
    <x v="15"/>
    <s v="Matt Abelman"/>
    <x v="2"/>
    <s v="United States"/>
    <s v="New York City"/>
    <x v="15"/>
    <n v="10024"/>
    <x v="3"/>
    <x v="145"/>
    <x v="1"/>
    <x v="10"/>
    <x v="146"/>
    <x v="2337"/>
    <x v="4"/>
    <x v="1"/>
  </r>
  <r>
    <n v="4204"/>
    <x v="2083"/>
    <x v="656"/>
    <d v="2015-11-02T00:00:00"/>
    <s v="Second Class"/>
    <x v="562"/>
    <s v="Anne McFarland"/>
    <x v="0"/>
    <s v="United States"/>
    <s v="Cranston"/>
    <x v="34"/>
    <n v="2920"/>
    <x v="3"/>
    <x v="32"/>
    <x v="1"/>
    <x v="6"/>
    <x v="32"/>
    <x v="3141"/>
    <x v="2"/>
    <x v="2"/>
  </r>
  <r>
    <n v="4205"/>
    <x v="2083"/>
    <x v="656"/>
    <d v="2015-11-02T00:00:00"/>
    <s v="Second Class"/>
    <x v="562"/>
    <s v="Anne McFarland"/>
    <x v="0"/>
    <s v="United States"/>
    <s v="Cranston"/>
    <x v="34"/>
    <n v="2920"/>
    <x v="3"/>
    <x v="727"/>
    <x v="1"/>
    <x v="10"/>
    <x v="726"/>
    <x v="1007"/>
    <x v="2"/>
    <x v="2"/>
  </r>
  <r>
    <n v="4206"/>
    <x v="2083"/>
    <x v="656"/>
    <d v="2015-11-02T00:00:00"/>
    <s v="Second Class"/>
    <x v="562"/>
    <s v="Anne McFarland"/>
    <x v="0"/>
    <s v="United States"/>
    <s v="Cranston"/>
    <x v="34"/>
    <n v="2920"/>
    <x v="3"/>
    <x v="1256"/>
    <x v="0"/>
    <x v="5"/>
    <x v="1240"/>
    <x v="1787"/>
    <x v="2"/>
    <x v="2"/>
  </r>
  <r>
    <n v="4207"/>
    <x v="2083"/>
    <x v="656"/>
    <d v="2015-11-02T00:00:00"/>
    <s v="Second Class"/>
    <x v="562"/>
    <s v="Anne McFarland"/>
    <x v="0"/>
    <s v="United States"/>
    <s v="Cranston"/>
    <x v="34"/>
    <n v="2920"/>
    <x v="3"/>
    <x v="822"/>
    <x v="1"/>
    <x v="8"/>
    <x v="818"/>
    <x v="3142"/>
    <x v="2"/>
    <x v="2"/>
  </r>
  <r>
    <n v="4208"/>
    <x v="2083"/>
    <x v="656"/>
    <d v="2015-11-02T00:00:00"/>
    <s v="Second Class"/>
    <x v="562"/>
    <s v="Anne McFarland"/>
    <x v="0"/>
    <s v="United States"/>
    <s v="Cranston"/>
    <x v="34"/>
    <n v="2920"/>
    <x v="3"/>
    <x v="325"/>
    <x v="0"/>
    <x v="5"/>
    <x v="325"/>
    <x v="3143"/>
    <x v="2"/>
    <x v="2"/>
  </r>
  <r>
    <n v="4209"/>
    <x v="2083"/>
    <x v="656"/>
    <d v="2015-11-02T00:00:00"/>
    <s v="Second Class"/>
    <x v="562"/>
    <s v="Anne McFarland"/>
    <x v="0"/>
    <s v="United States"/>
    <s v="Cranston"/>
    <x v="34"/>
    <n v="2920"/>
    <x v="3"/>
    <x v="1476"/>
    <x v="0"/>
    <x v="1"/>
    <x v="1463"/>
    <x v="3144"/>
    <x v="2"/>
    <x v="2"/>
  </r>
  <r>
    <n v="4210"/>
    <x v="2083"/>
    <x v="656"/>
    <d v="2015-11-02T00:00:00"/>
    <s v="Second Class"/>
    <x v="562"/>
    <s v="Anne McFarland"/>
    <x v="0"/>
    <s v="United States"/>
    <s v="Cranston"/>
    <x v="34"/>
    <n v="2920"/>
    <x v="3"/>
    <x v="1258"/>
    <x v="0"/>
    <x v="3"/>
    <x v="1242"/>
    <x v="3145"/>
    <x v="2"/>
    <x v="2"/>
  </r>
  <r>
    <n v="4211"/>
    <x v="2084"/>
    <x v="34"/>
    <d v="2018-12-14T00:00:00"/>
    <s v="Standard Class"/>
    <x v="738"/>
    <s v="Angele Hood"/>
    <x v="0"/>
    <s v="United States"/>
    <s v="Chicago"/>
    <x v="10"/>
    <n v="60623"/>
    <x v="2"/>
    <x v="112"/>
    <x v="1"/>
    <x v="10"/>
    <x v="112"/>
    <x v="2913"/>
    <x v="4"/>
    <x v="3"/>
  </r>
  <r>
    <n v="4212"/>
    <x v="2085"/>
    <x v="952"/>
    <d v="2015-05-09T00:00:00"/>
    <s v="Second Class"/>
    <x v="724"/>
    <s v="Peter Fuller"/>
    <x v="0"/>
    <s v="United States"/>
    <s v="Richmond"/>
    <x v="0"/>
    <n v="40475"/>
    <x v="0"/>
    <x v="1407"/>
    <x v="1"/>
    <x v="10"/>
    <x v="1394"/>
    <x v="2276"/>
    <x v="5"/>
    <x v="2"/>
  </r>
  <r>
    <n v="4213"/>
    <x v="2085"/>
    <x v="952"/>
    <d v="2015-05-09T00:00:00"/>
    <s v="Second Class"/>
    <x v="724"/>
    <s v="Peter Fuller"/>
    <x v="0"/>
    <s v="United States"/>
    <s v="Richmond"/>
    <x v="0"/>
    <n v="40475"/>
    <x v="0"/>
    <x v="279"/>
    <x v="1"/>
    <x v="6"/>
    <x v="279"/>
    <x v="2578"/>
    <x v="5"/>
    <x v="2"/>
  </r>
  <r>
    <n v="4214"/>
    <x v="2085"/>
    <x v="952"/>
    <d v="2015-05-09T00:00:00"/>
    <s v="Second Class"/>
    <x v="724"/>
    <s v="Peter Fuller"/>
    <x v="0"/>
    <s v="United States"/>
    <s v="Richmond"/>
    <x v="0"/>
    <n v="40475"/>
    <x v="0"/>
    <x v="1635"/>
    <x v="1"/>
    <x v="10"/>
    <x v="1625"/>
    <x v="332"/>
    <x v="5"/>
    <x v="2"/>
  </r>
  <r>
    <n v="4215"/>
    <x v="2086"/>
    <x v="758"/>
    <d v="2017-03-08T00:00:00"/>
    <s v="Standard Class"/>
    <x v="502"/>
    <s v="Rick Duston"/>
    <x v="0"/>
    <s v="United States"/>
    <s v="Mishawaka"/>
    <x v="14"/>
    <n v="46544"/>
    <x v="2"/>
    <x v="1636"/>
    <x v="1"/>
    <x v="8"/>
    <x v="1626"/>
    <x v="3146"/>
    <x v="10"/>
    <x v="0"/>
  </r>
  <r>
    <n v="4216"/>
    <x v="2087"/>
    <x v="953"/>
    <d v="2015-12-04T00:00:00"/>
    <s v="Standard Class"/>
    <x v="145"/>
    <s v="Jeremy Lonsdale"/>
    <x v="0"/>
    <s v="United States"/>
    <s v="Mount Vernon"/>
    <x v="15"/>
    <n v="10550"/>
    <x v="3"/>
    <x v="1637"/>
    <x v="1"/>
    <x v="12"/>
    <x v="1627"/>
    <x v="3147"/>
    <x v="0"/>
    <x v="2"/>
  </r>
  <r>
    <n v="4217"/>
    <x v="2088"/>
    <x v="954"/>
    <d v="2016-02-22T00:00:00"/>
    <s v="Standard Class"/>
    <x v="448"/>
    <s v="Ann Blume"/>
    <x v="1"/>
    <s v="United States"/>
    <s v="Los Angeles"/>
    <x v="1"/>
    <n v="90004"/>
    <x v="1"/>
    <x v="641"/>
    <x v="1"/>
    <x v="2"/>
    <x v="641"/>
    <x v="354"/>
    <x v="11"/>
    <x v="1"/>
  </r>
  <r>
    <n v="4218"/>
    <x v="2089"/>
    <x v="719"/>
    <d v="2018-04-03T00:00:00"/>
    <s v="First Class"/>
    <x v="714"/>
    <s v="Nick Crebassa"/>
    <x v="1"/>
    <s v="United States"/>
    <s v="San Francisco"/>
    <x v="1"/>
    <n v="94110"/>
    <x v="1"/>
    <x v="1638"/>
    <x v="0"/>
    <x v="0"/>
    <x v="1628"/>
    <x v="3148"/>
    <x v="3"/>
    <x v="3"/>
  </r>
  <r>
    <n v="4219"/>
    <x v="2089"/>
    <x v="719"/>
    <d v="2018-04-03T00:00:00"/>
    <s v="First Class"/>
    <x v="714"/>
    <s v="Nick Crebassa"/>
    <x v="1"/>
    <s v="United States"/>
    <s v="San Francisco"/>
    <x v="1"/>
    <n v="94110"/>
    <x v="1"/>
    <x v="1497"/>
    <x v="2"/>
    <x v="15"/>
    <x v="1485"/>
    <x v="3149"/>
    <x v="3"/>
    <x v="3"/>
  </r>
  <r>
    <n v="4220"/>
    <x v="2090"/>
    <x v="532"/>
    <d v="2018-06-13T00:00:00"/>
    <s v="Second Class"/>
    <x v="483"/>
    <s v="Tom Boeckenhauer"/>
    <x v="0"/>
    <s v="United States"/>
    <s v="Seattle"/>
    <x v="4"/>
    <n v="98103"/>
    <x v="1"/>
    <x v="274"/>
    <x v="1"/>
    <x v="10"/>
    <x v="274"/>
    <x v="2428"/>
    <x v="1"/>
    <x v="3"/>
  </r>
  <r>
    <n v="4221"/>
    <x v="2090"/>
    <x v="532"/>
    <d v="2018-06-13T00:00:00"/>
    <s v="Second Class"/>
    <x v="483"/>
    <s v="Tom Boeckenhauer"/>
    <x v="0"/>
    <s v="United States"/>
    <s v="Seattle"/>
    <x v="4"/>
    <n v="98103"/>
    <x v="1"/>
    <x v="733"/>
    <x v="1"/>
    <x v="8"/>
    <x v="732"/>
    <x v="2146"/>
    <x v="1"/>
    <x v="3"/>
  </r>
  <r>
    <n v="4222"/>
    <x v="2090"/>
    <x v="532"/>
    <d v="2018-06-13T00:00:00"/>
    <s v="Second Class"/>
    <x v="483"/>
    <s v="Tom Boeckenhauer"/>
    <x v="0"/>
    <s v="United States"/>
    <s v="Seattle"/>
    <x v="4"/>
    <n v="98103"/>
    <x v="1"/>
    <x v="1639"/>
    <x v="2"/>
    <x v="15"/>
    <x v="1629"/>
    <x v="3150"/>
    <x v="1"/>
    <x v="3"/>
  </r>
  <r>
    <n v="4223"/>
    <x v="2090"/>
    <x v="532"/>
    <d v="2018-06-13T00:00:00"/>
    <s v="Second Class"/>
    <x v="483"/>
    <s v="Tom Boeckenhauer"/>
    <x v="0"/>
    <s v="United States"/>
    <s v="Seattle"/>
    <x v="4"/>
    <n v="98103"/>
    <x v="1"/>
    <x v="232"/>
    <x v="1"/>
    <x v="4"/>
    <x v="233"/>
    <x v="3151"/>
    <x v="1"/>
    <x v="3"/>
  </r>
  <r>
    <n v="4224"/>
    <x v="2090"/>
    <x v="532"/>
    <d v="2018-06-13T00:00:00"/>
    <s v="Second Class"/>
    <x v="483"/>
    <s v="Tom Boeckenhauer"/>
    <x v="0"/>
    <s v="United States"/>
    <s v="Seattle"/>
    <x v="4"/>
    <n v="98103"/>
    <x v="1"/>
    <x v="672"/>
    <x v="0"/>
    <x v="0"/>
    <x v="672"/>
    <x v="3152"/>
    <x v="1"/>
    <x v="3"/>
  </r>
  <r>
    <n v="4225"/>
    <x v="2091"/>
    <x v="955"/>
    <d v="2017-10-03T00:00:00"/>
    <s v="First Class"/>
    <x v="695"/>
    <s v="Sarah Jordon"/>
    <x v="0"/>
    <s v="United States"/>
    <s v="Quincy"/>
    <x v="10"/>
    <n v="62301"/>
    <x v="2"/>
    <x v="185"/>
    <x v="1"/>
    <x v="8"/>
    <x v="186"/>
    <x v="3153"/>
    <x v="8"/>
    <x v="0"/>
  </r>
  <r>
    <n v="4226"/>
    <x v="2092"/>
    <x v="736"/>
    <d v="2015-12-17T00:00:00"/>
    <s v="Standard Class"/>
    <x v="225"/>
    <s v="Ellis Ballard"/>
    <x v="1"/>
    <s v="United States"/>
    <s v="Chicago"/>
    <x v="10"/>
    <n v="60623"/>
    <x v="2"/>
    <x v="1640"/>
    <x v="0"/>
    <x v="5"/>
    <x v="1630"/>
    <x v="3154"/>
    <x v="4"/>
    <x v="2"/>
  </r>
  <r>
    <n v="4227"/>
    <x v="2093"/>
    <x v="343"/>
    <d v="2018-11-16T00:00:00"/>
    <s v="Standard Class"/>
    <x v="576"/>
    <s v="William Brown"/>
    <x v="0"/>
    <s v="United States"/>
    <s v="Urbandale"/>
    <x v="23"/>
    <n v="50322"/>
    <x v="2"/>
    <x v="271"/>
    <x v="1"/>
    <x v="13"/>
    <x v="271"/>
    <x v="1931"/>
    <x v="0"/>
    <x v="3"/>
  </r>
  <r>
    <n v="4228"/>
    <x v="2094"/>
    <x v="956"/>
    <d v="2016-01-10T00:00:00"/>
    <s v="Standard Class"/>
    <x v="256"/>
    <s v="Steven Roelle"/>
    <x v="2"/>
    <s v="United States"/>
    <s v="Seattle"/>
    <x v="4"/>
    <n v="98103"/>
    <x v="1"/>
    <x v="389"/>
    <x v="0"/>
    <x v="1"/>
    <x v="390"/>
    <x v="3155"/>
    <x v="9"/>
    <x v="1"/>
  </r>
  <r>
    <n v="4229"/>
    <x v="2095"/>
    <x v="830"/>
    <d v="2017-03-26T00:00:00"/>
    <s v="First Class"/>
    <x v="500"/>
    <s v="Vivek Grady"/>
    <x v="1"/>
    <s v="United States"/>
    <s v="Richmond"/>
    <x v="14"/>
    <n v="47374"/>
    <x v="2"/>
    <x v="1134"/>
    <x v="1"/>
    <x v="10"/>
    <x v="1122"/>
    <x v="3156"/>
    <x v="10"/>
    <x v="0"/>
  </r>
  <r>
    <n v="4230"/>
    <x v="2096"/>
    <x v="957"/>
    <d v="2018-07-10T00:00:00"/>
    <s v="Standard Class"/>
    <x v="322"/>
    <s v="Linda Southworth"/>
    <x v="1"/>
    <s v="United States"/>
    <s v="Dallas"/>
    <x v="5"/>
    <n v="75220"/>
    <x v="2"/>
    <x v="737"/>
    <x v="0"/>
    <x v="5"/>
    <x v="736"/>
    <x v="3157"/>
    <x v="7"/>
    <x v="3"/>
  </r>
  <r>
    <n v="4231"/>
    <x v="2096"/>
    <x v="957"/>
    <d v="2018-07-10T00:00:00"/>
    <s v="Standard Class"/>
    <x v="322"/>
    <s v="Linda Southworth"/>
    <x v="1"/>
    <s v="United States"/>
    <s v="Dallas"/>
    <x v="5"/>
    <n v="75220"/>
    <x v="2"/>
    <x v="858"/>
    <x v="1"/>
    <x v="8"/>
    <x v="852"/>
    <x v="3158"/>
    <x v="7"/>
    <x v="3"/>
  </r>
  <r>
    <n v="4232"/>
    <x v="2096"/>
    <x v="957"/>
    <d v="2018-07-10T00:00:00"/>
    <s v="Standard Class"/>
    <x v="322"/>
    <s v="Linda Southworth"/>
    <x v="1"/>
    <s v="United States"/>
    <s v="Dallas"/>
    <x v="5"/>
    <n v="75220"/>
    <x v="2"/>
    <x v="1641"/>
    <x v="1"/>
    <x v="10"/>
    <x v="1631"/>
    <x v="12"/>
    <x v="7"/>
    <x v="3"/>
  </r>
  <r>
    <n v="4233"/>
    <x v="2096"/>
    <x v="957"/>
    <d v="2018-07-10T00:00:00"/>
    <s v="Standard Class"/>
    <x v="322"/>
    <s v="Linda Southworth"/>
    <x v="1"/>
    <s v="United States"/>
    <s v="Dallas"/>
    <x v="5"/>
    <n v="75220"/>
    <x v="2"/>
    <x v="727"/>
    <x v="1"/>
    <x v="10"/>
    <x v="1552"/>
    <x v="276"/>
    <x v="7"/>
    <x v="3"/>
  </r>
  <r>
    <n v="4234"/>
    <x v="2096"/>
    <x v="957"/>
    <d v="2018-07-10T00:00:00"/>
    <s v="Standard Class"/>
    <x v="322"/>
    <s v="Linda Southworth"/>
    <x v="1"/>
    <s v="United States"/>
    <s v="Dallas"/>
    <x v="5"/>
    <n v="75220"/>
    <x v="2"/>
    <x v="351"/>
    <x v="1"/>
    <x v="8"/>
    <x v="351"/>
    <x v="3159"/>
    <x v="7"/>
    <x v="3"/>
  </r>
  <r>
    <n v="4235"/>
    <x v="2097"/>
    <x v="158"/>
    <d v="2015-09-24T00:00:00"/>
    <s v="First Class"/>
    <x v="15"/>
    <s v="Matt Abelman"/>
    <x v="2"/>
    <s v="United States"/>
    <s v="Philadelphia"/>
    <x v="9"/>
    <n v="19143"/>
    <x v="3"/>
    <x v="204"/>
    <x v="1"/>
    <x v="10"/>
    <x v="205"/>
    <x v="1366"/>
    <x v="8"/>
    <x v="2"/>
  </r>
  <r>
    <n v="4236"/>
    <x v="2097"/>
    <x v="158"/>
    <d v="2015-09-24T00:00:00"/>
    <s v="First Class"/>
    <x v="15"/>
    <s v="Matt Abelman"/>
    <x v="2"/>
    <s v="United States"/>
    <s v="Philadelphia"/>
    <x v="9"/>
    <n v="19143"/>
    <x v="3"/>
    <x v="865"/>
    <x v="1"/>
    <x v="2"/>
    <x v="859"/>
    <x v="3160"/>
    <x v="8"/>
    <x v="2"/>
  </r>
  <r>
    <n v="4237"/>
    <x v="2098"/>
    <x v="310"/>
    <d v="2017-07-27T00:00:00"/>
    <s v="Standard Class"/>
    <x v="739"/>
    <s v="Neil Französisch"/>
    <x v="2"/>
    <s v="United States"/>
    <s v="Rockford"/>
    <x v="10"/>
    <n v="61107"/>
    <x v="2"/>
    <x v="1395"/>
    <x v="1"/>
    <x v="8"/>
    <x v="1382"/>
    <x v="3161"/>
    <x v="7"/>
    <x v="0"/>
  </r>
  <r>
    <n v="4238"/>
    <x v="2099"/>
    <x v="635"/>
    <d v="2018-09-03T00:00:00"/>
    <s v="Second Class"/>
    <x v="550"/>
    <s v="Michael Dominguez"/>
    <x v="1"/>
    <s v="United States"/>
    <s v="Philadelphia"/>
    <x v="9"/>
    <n v="19134"/>
    <x v="3"/>
    <x v="1642"/>
    <x v="1"/>
    <x v="6"/>
    <x v="1632"/>
    <x v="2541"/>
    <x v="6"/>
    <x v="3"/>
  </r>
  <r>
    <n v="4239"/>
    <x v="2100"/>
    <x v="606"/>
    <d v="2018-03-28T00:00:00"/>
    <s v="First Class"/>
    <x v="595"/>
    <s v="Maria Zettner"/>
    <x v="2"/>
    <s v="United States"/>
    <s v="Seattle"/>
    <x v="4"/>
    <n v="98105"/>
    <x v="1"/>
    <x v="1643"/>
    <x v="1"/>
    <x v="6"/>
    <x v="1633"/>
    <x v="3162"/>
    <x v="10"/>
    <x v="3"/>
  </r>
  <r>
    <n v="4240"/>
    <x v="2101"/>
    <x v="614"/>
    <d v="2019-01-04T00:00:00"/>
    <s v="Standard Class"/>
    <x v="33"/>
    <s v="Ken Brennan"/>
    <x v="1"/>
    <s v="United States"/>
    <s v="Grand Rapids"/>
    <x v="12"/>
    <n v="49505"/>
    <x v="2"/>
    <x v="921"/>
    <x v="1"/>
    <x v="10"/>
    <x v="913"/>
    <x v="1423"/>
    <x v="4"/>
    <x v="3"/>
  </r>
  <r>
    <n v="4241"/>
    <x v="2102"/>
    <x v="59"/>
    <d v="2015-09-26T00:00:00"/>
    <s v="Standard Class"/>
    <x v="671"/>
    <s v="Michelle Arnett"/>
    <x v="2"/>
    <s v="United States"/>
    <s v="Los Angeles"/>
    <x v="1"/>
    <n v="90004"/>
    <x v="1"/>
    <x v="1644"/>
    <x v="1"/>
    <x v="9"/>
    <x v="360"/>
    <x v="2836"/>
    <x v="8"/>
    <x v="2"/>
  </r>
  <r>
    <n v="4242"/>
    <x v="2102"/>
    <x v="59"/>
    <d v="2015-09-26T00:00:00"/>
    <s v="Standard Class"/>
    <x v="671"/>
    <s v="Michelle Arnett"/>
    <x v="2"/>
    <s v="United States"/>
    <s v="Los Angeles"/>
    <x v="1"/>
    <n v="90004"/>
    <x v="1"/>
    <x v="674"/>
    <x v="1"/>
    <x v="8"/>
    <x v="674"/>
    <x v="3163"/>
    <x v="8"/>
    <x v="2"/>
  </r>
  <r>
    <n v="4243"/>
    <x v="2103"/>
    <x v="958"/>
    <d v="2017-04-05T00:00:00"/>
    <s v="First Class"/>
    <x v="467"/>
    <s v="Maria Etezadi"/>
    <x v="2"/>
    <s v="United States"/>
    <s v="Springfield"/>
    <x v="17"/>
    <n v="22153"/>
    <x v="0"/>
    <x v="140"/>
    <x v="2"/>
    <x v="7"/>
    <x v="141"/>
    <x v="145"/>
    <x v="3"/>
    <x v="0"/>
  </r>
  <r>
    <n v="4244"/>
    <x v="2103"/>
    <x v="958"/>
    <d v="2017-04-05T00:00:00"/>
    <s v="First Class"/>
    <x v="467"/>
    <s v="Maria Etezadi"/>
    <x v="2"/>
    <s v="United States"/>
    <s v="Springfield"/>
    <x v="17"/>
    <n v="22153"/>
    <x v="0"/>
    <x v="1286"/>
    <x v="1"/>
    <x v="10"/>
    <x v="1272"/>
    <x v="3164"/>
    <x v="3"/>
    <x v="0"/>
  </r>
  <r>
    <n v="4245"/>
    <x v="2104"/>
    <x v="959"/>
    <d v="2015-03-30T00:00:00"/>
    <s v="Standard Class"/>
    <x v="63"/>
    <s v="Jonathan Doherty"/>
    <x v="1"/>
    <s v="United States"/>
    <s v="Los Angeles"/>
    <x v="1"/>
    <n v="90036"/>
    <x v="1"/>
    <x v="176"/>
    <x v="2"/>
    <x v="11"/>
    <x v="177"/>
    <x v="2722"/>
    <x v="10"/>
    <x v="2"/>
  </r>
  <r>
    <n v="4246"/>
    <x v="2105"/>
    <x v="354"/>
    <d v="2018-12-04T00:00:00"/>
    <s v="Standard Class"/>
    <x v="60"/>
    <s v="Lindsay Shagiari"/>
    <x v="2"/>
    <s v="United States"/>
    <s v="Baltimore"/>
    <x v="39"/>
    <n v="21215"/>
    <x v="3"/>
    <x v="1199"/>
    <x v="1"/>
    <x v="6"/>
    <x v="1184"/>
    <x v="3165"/>
    <x v="0"/>
    <x v="3"/>
  </r>
  <r>
    <n v="4247"/>
    <x v="2105"/>
    <x v="354"/>
    <d v="2018-12-04T00:00:00"/>
    <s v="Standard Class"/>
    <x v="60"/>
    <s v="Lindsay Shagiari"/>
    <x v="2"/>
    <s v="United States"/>
    <s v="Baltimore"/>
    <x v="39"/>
    <n v="21215"/>
    <x v="3"/>
    <x v="220"/>
    <x v="0"/>
    <x v="5"/>
    <x v="221"/>
    <x v="603"/>
    <x v="0"/>
    <x v="3"/>
  </r>
  <r>
    <n v="4248"/>
    <x v="2105"/>
    <x v="354"/>
    <d v="2018-12-04T00:00:00"/>
    <s v="Standard Class"/>
    <x v="60"/>
    <s v="Lindsay Shagiari"/>
    <x v="2"/>
    <s v="United States"/>
    <s v="Baltimore"/>
    <x v="39"/>
    <n v="21215"/>
    <x v="3"/>
    <x v="1006"/>
    <x v="0"/>
    <x v="5"/>
    <x v="998"/>
    <x v="3166"/>
    <x v="0"/>
    <x v="3"/>
  </r>
  <r>
    <n v="4249"/>
    <x v="2106"/>
    <x v="49"/>
    <d v="2017-12-05T00:00:00"/>
    <s v="Second Class"/>
    <x v="81"/>
    <s v="Shirley Jackson"/>
    <x v="0"/>
    <s v="United States"/>
    <s v="Fairfield"/>
    <x v="29"/>
    <n v="6824"/>
    <x v="3"/>
    <x v="908"/>
    <x v="1"/>
    <x v="8"/>
    <x v="900"/>
    <x v="3167"/>
    <x v="4"/>
    <x v="0"/>
  </r>
  <r>
    <n v="4250"/>
    <x v="2106"/>
    <x v="49"/>
    <d v="2017-12-05T00:00:00"/>
    <s v="Second Class"/>
    <x v="81"/>
    <s v="Shirley Jackson"/>
    <x v="0"/>
    <s v="United States"/>
    <s v="Fairfield"/>
    <x v="29"/>
    <n v="6824"/>
    <x v="3"/>
    <x v="499"/>
    <x v="0"/>
    <x v="1"/>
    <x v="499"/>
    <x v="3168"/>
    <x v="4"/>
    <x v="0"/>
  </r>
  <r>
    <n v="4251"/>
    <x v="2107"/>
    <x v="111"/>
    <d v="2015-09-19T00:00:00"/>
    <s v="Same Day"/>
    <x v="740"/>
    <s v="Bill Shonely"/>
    <x v="1"/>
    <s v="United States"/>
    <s v="New York City"/>
    <x v="15"/>
    <n v="10011"/>
    <x v="3"/>
    <x v="1153"/>
    <x v="0"/>
    <x v="1"/>
    <x v="1141"/>
    <x v="3169"/>
    <x v="8"/>
    <x v="2"/>
  </r>
  <r>
    <n v="4252"/>
    <x v="2108"/>
    <x v="924"/>
    <d v="2016-10-23T00:00:00"/>
    <s v="Same Day"/>
    <x v="267"/>
    <s v="Ralph Arnett"/>
    <x v="0"/>
    <s v="United States"/>
    <s v="Lakeland"/>
    <x v="2"/>
    <n v="33801"/>
    <x v="0"/>
    <x v="1136"/>
    <x v="2"/>
    <x v="7"/>
    <x v="1124"/>
    <x v="3170"/>
    <x v="2"/>
    <x v="1"/>
  </r>
  <r>
    <n v="4253"/>
    <x v="2108"/>
    <x v="924"/>
    <d v="2016-10-23T00:00:00"/>
    <s v="Same Day"/>
    <x v="267"/>
    <s v="Ralph Arnett"/>
    <x v="0"/>
    <s v="United States"/>
    <s v="Lakeland"/>
    <x v="2"/>
    <n v="33801"/>
    <x v="0"/>
    <x v="158"/>
    <x v="1"/>
    <x v="6"/>
    <x v="159"/>
    <x v="1414"/>
    <x v="2"/>
    <x v="1"/>
  </r>
  <r>
    <n v="4254"/>
    <x v="2108"/>
    <x v="924"/>
    <d v="2016-10-23T00:00:00"/>
    <s v="Same Day"/>
    <x v="267"/>
    <s v="Ralph Arnett"/>
    <x v="0"/>
    <s v="United States"/>
    <s v="Lakeland"/>
    <x v="2"/>
    <n v="33801"/>
    <x v="0"/>
    <x v="1179"/>
    <x v="2"/>
    <x v="7"/>
    <x v="1165"/>
    <x v="3171"/>
    <x v="2"/>
    <x v="1"/>
  </r>
  <r>
    <n v="4255"/>
    <x v="2109"/>
    <x v="119"/>
    <d v="2018-10-16T00:00:00"/>
    <s v="First Class"/>
    <x v="59"/>
    <s v="Troy Staebel"/>
    <x v="0"/>
    <s v="United States"/>
    <s v="Freeport"/>
    <x v="10"/>
    <n v="61032"/>
    <x v="2"/>
    <x v="813"/>
    <x v="1"/>
    <x v="10"/>
    <x v="33"/>
    <x v="922"/>
    <x v="2"/>
    <x v="3"/>
  </r>
  <r>
    <n v="4256"/>
    <x v="2109"/>
    <x v="119"/>
    <d v="2018-10-16T00:00:00"/>
    <s v="First Class"/>
    <x v="59"/>
    <s v="Troy Staebel"/>
    <x v="0"/>
    <s v="United States"/>
    <s v="Freeport"/>
    <x v="10"/>
    <n v="61032"/>
    <x v="2"/>
    <x v="261"/>
    <x v="1"/>
    <x v="8"/>
    <x v="261"/>
    <x v="3172"/>
    <x v="2"/>
    <x v="3"/>
  </r>
  <r>
    <n v="4257"/>
    <x v="2109"/>
    <x v="119"/>
    <d v="2018-10-16T00:00:00"/>
    <s v="First Class"/>
    <x v="59"/>
    <s v="Troy Staebel"/>
    <x v="0"/>
    <s v="United States"/>
    <s v="Freeport"/>
    <x v="10"/>
    <n v="61032"/>
    <x v="2"/>
    <x v="698"/>
    <x v="0"/>
    <x v="5"/>
    <x v="698"/>
    <x v="3173"/>
    <x v="2"/>
    <x v="3"/>
  </r>
  <r>
    <n v="4258"/>
    <x v="2110"/>
    <x v="406"/>
    <d v="2016-09-09T00:00:00"/>
    <s v="Standard Class"/>
    <x v="10"/>
    <s v="Ken Black"/>
    <x v="1"/>
    <s v="United States"/>
    <s v="Medford"/>
    <x v="21"/>
    <n v="97504"/>
    <x v="1"/>
    <x v="1526"/>
    <x v="1"/>
    <x v="8"/>
    <x v="1513"/>
    <x v="3116"/>
    <x v="8"/>
    <x v="1"/>
  </r>
  <r>
    <n v="4259"/>
    <x v="2111"/>
    <x v="560"/>
    <d v="2017-03-16T00:00:00"/>
    <s v="First Class"/>
    <x v="152"/>
    <s v="Muhammed MacIntyre"/>
    <x v="1"/>
    <s v="United States"/>
    <s v="Seattle"/>
    <x v="4"/>
    <n v="98103"/>
    <x v="1"/>
    <x v="812"/>
    <x v="0"/>
    <x v="1"/>
    <x v="809"/>
    <x v="3174"/>
    <x v="10"/>
    <x v="0"/>
  </r>
  <r>
    <n v="4260"/>
    <x v="2112"/>
    <x v="960"/>
    <d v="2018-11-02T00:00:00"/>
    <s v="Second Class"/>
    <x v="628"/>
    <s v="Lori Olson"/>
    <x v="1"/>
    <s v="United States"/>
    <s v="New York City"/>
    <x v="15"/>
    <n v="10035"/>
    <x v="3"/>
    <x v="244"/>
    <x v="1"/>
    <x v="12"/>
    <x v="245"/>
    <x v="3175"/>
    <x v="2"/>
    <x v="3"/>
  </r>
  <r>
    <n v="4261"/>
    <x v="2113"/>
    <x v="453"/>
    <d v="2018-10-19T00:00:00"/>
    <s v="Second Class"/>
    <x v="602"/>
    <s v="Ricardo Sperren"/>
    <x v="1"/>
    <s v="United States"/>
    <s v="Fairfield"/>
    <x v="29"/>
    <n v="6824"/>
    <x v="3"/>
    <x v="709"/>
    <x v="1"/>
    <x v="2"/>
    <x v="708"/>
    <x v="1192"/>
    <x v="2"/>
    <x v="3"/>
  </r>
  <r>
    <n v="4262"/>
    <x v="2114"/>
    <x v="783"/>
    <d v="2018-08-11T00:00:00"/>
    <s v="Standard Class"/>
    <x v="693"/>
    <s v="Cindy Chapman"/>
    <x v="0"/>
    <s v="United States"/>
    <s v="Moorhead"/>
    <x v="11"/>
    <n v="56560"/>
    <x v="2"/>
    <x v="1097"/>
    <x v="2"/>
    <x v="11"/>
    <x v="1087"/>
    <x v="1458"/>
    <x v="6"/>
    <x v="3"/>
  </r>
  <r>
    <n v="4263"/>
    <x v="2115"/>
    <x v="296"/>
    <d v="2018-09-25T00:00:00"/>
    <s v="Standard Class"/>
    <x v="409"/>
    <s v="Kean Thornton"/>
    <x v="0"/>
    <s v="United States"/>
    <s v="Columbus"/>
    <x v="32"/>
    <n v="31907"/>
    <x v="0"/>
    <x v="1429"/>
    <x v="1"/>
    <x v="9"/>
    <x v="1417"/>
    <x v="3176"/>
    <x v="8"/>
    <x v="3"/>
  </r>
  <r>
    <n v="4264"/>
    <x v="2116"/>
    <x v="132"/>
    <d v="2018-11-08T00:00:00"/>
    <s v="Standard Class"/>
    <x v="661"/>
    <s v="Darrin Martin"/>
    <x v="0"/>
    <s v="United States"/>
    <s v="Philadelphia"/>
    <x v="9"/>
    <n v="19143"/>
    <x v="3"/>
    <x v="1645"/>
    <x v="1"/>
    <x v="8"/>
    <x v="1634"/>
    <x v="3177"/>
    <x v="0"/>
    <x v="3"/>
  </r>
  <r>
    <n v="4265"/>
    <x v="2117"/>
    <x v="732"/>
    <d v="2017-11-09T00:00:00"/>
    <s v="Standard Class"/>
    <x v="212"/>
    <s v="Emily Phan"/>
    <x v="0"/>
    <s v="United States"/>
    <s v="Houston"/>
    <x v="5"/>
    <n v="77036"/>
    <x v="2"/>
    <x v="584"/>
    <x v="0"/>
    <x v="3"/>
    <x v="584"/>
    <x v="3178"/>
    <x v="0"/>
    <x v="0"/>
  </r>
  <r>
    <n v="4266"/>
    <x v="2117"/>
    <x v="732"/>
    <d v="2017-11-09T00:00:00"/>
    <s v="Standard Class"/>
    <x v="212"/>
    <s v="Emily Phan"/>
    <x v="0"/>
    <s v="United States"/>
    <s v="Houston"/>
    <x v="5"/>
    <n v="77036"/>
    <x v="2"/>
    <x v="990"/>
    <x v="1"/>
    <x v="8"/>
    <x v="305"/>
    <x v="2940"/>
    <x v="0"/>
    <x v="0"/>
  </r>
  <r>
    <n v="4267"/>
    <x v="2117"/>
    <x v="732"/>
    <d v="2017-11-09T00:00:00"/>
    <s v="Standard Class"/>
    <x v="212"/>
    <s v="Emily Phan"/>
    <x v="0"/>
    <s v="United States"/>
    <s v="Houston"/>
    <x v="5"/>
    <n v="77036"/>
    <x v="2"/>
    <x v="1333"/>
    <x v="0"/>
    <x v="0"/>
    <x v="1318"/>
    <x v="1984"/>
    <x v="0"/>
    <x v="0"/>
  </r>
  <r>
    <n v="4268"/>
    <x v="2117"/>
    <x v="732"/>
    <d v="2017-11-09T00:00:00"/>
    <s v="Standard Class"/>
    <x v="212"/>
    <s v="Emily Phan"/>
    <x v="0"/>
    <s v="United States"/>
    <s v="Houston"/>
    <x v="5"/>
    <n v="77036"/>
    <x v="2"/>
    <x v="542"/>
    <x v="1"/>
    <x v="8"/>
    <x v="542"/>
    <x v="3179"/>
    <x v="0"/>
    <x v="0"/>
  </r>
  <r>
    <n v="4269"/>
    <x v="2117"/>
    <x v="732"/>
    <d v="2017-11-09T00:00:00"/>
    <s v="Standard Class"/>
    <x v="212"/>
    <s v="Emily Phan"/>
    <x v="0"/>
    <s v="United States"/>
    <s v="Houston"/>
    <x v="5"/>
    <n v="77036"/>
    <x v="2"/>
    <x v="1482"/>
    <x v="2"/>
    <x v="11"/>
    <x v="1469"/>
    <x v="1363"/>
    <x v="0"/>
    <x v="0"/>
  </r>
  <r>
    <n v="4270"/>
    <x v="2118"/>
    <x v="643"/>
    <d v="2018-06-29T00:00:00"/>
    <s v="Second Class"/>
    <x v="562"/>
    <s v="Anne McFarland"/>
    <x v="0"/>
    <s v="United States"/>
    <s v="Seattle"/>
    <x v="4"/>
    <n v="98115"/>
    <x v="1"/>
    <x v="562"/>
    <x v="0"/>
    <x v="3"/>
    <x v="561"/>
    <x v="3180"/>
    <x v="1"/>
    <x v="3"/>
  </r>
  <r>
    <n v="4271"/>
    <x v="2119"/>
    <x v="650"/>
    <d v="2016-11-30T00:00:00"/>
    <s v="Standard Class"/>
    <x v="741"/>
    <s v="Stefanie Holloman"/>
    <x v="1"/>
    <s v="United States"/>
    <s v="Jackson"/>
    <x v="18"/>
    <n v="38301"/>
    <x v="0"/>
    <x v="1640"/>
    <x v="0"/>
    <x v="5"/>
    <x v="1630"/>
    <x v="3181"/>
    <x v="0"/>
    <x v="1"/>
  </r>
  <r>
    <n v="4272"/>
    <x v="2120"/>
    <x v="390"/>
    <d v="2017-11-27T00:00:00"/>
    <s v="Second Class"/>
    <x v="156"/>
    <s v="Laura Armstrong"/>
    <x v="1"/>
    <s v="United States"/>
    <s v="Baltimore"/>
    <x v="39"/>
    <n v="21215"/>
    <x v="3"/>
    <x v="689"/>
    <x v="0"/>
    <x v="5"/>
    <x v="689"/>
    <x v="3182"/>
    <x v="0"/>
    <x v="0"/>
  </r>
  <r>
    <n v="4273"/>
    <x v="2121"/>
    <x v="246"/>
    <d v="2018-07-21T00:00:00"/>
    <s v="Same Day"/>
    <x v="227"/>
    <s v="Sarah Foster"/>
    <x v="0"/>
    <s v="United States"/>
    <s v="Murray"/>
    <x v="7"/>
    <n v="84107"/>
    <x v="1"/>
    <x v="1557"/>
    <x v="2"/>
    <x v="7"/>
    <x v="1546"/>
    <x v="329"/>
    <x v="7"/>
    <x v="3"/>
  </r>
  <r>
    <n v="4274"/>
    <x v="2121"/>
    <x v="246"/>
    <d v="2018-07-21T00:00:00"/>
    <s v="Same Day"/>
    <x v="227"/>
    <s v="Sarah Foster"/>
    <x v="0"/>
    <s v="United States"/>
    <s v="Murray"/>
    <x v="7"/>
    <n v="84107"/>
    <x v="1"/>
    <x v="1062"/>
    <x v="1"/>
    <x v="6"/>
    <x v="1051"/>
    <x v="2416"/>
    <x v="7"/>
    <x v="3"/>
  </r>
  <r>
    <n v="4275"/>
    <x v="2122"/>
    <x v="924"/>
    <d v="2016-10-28T00:00:00"/>
    <s v="Standard Class"/>
    <x v="122"/>
    <s v="Andrew Gjertsen"/>
    <x v="1"/>
    <s v="United States"/>
    <s v="Seattle"/>
    <x v="4"/>
    <n v="98105"/>
    <x v="1"/>
    <x v="307"/>
    <x v="1"/>
    <x v="8"/>
    <x v="307"/>
    <x v="3183"/>
    <x v="2"/>
    <x v="1"/>
  </r>
  <r>
    <n v="4276"/>
    <x v="2123"/>
    <x v="584"/>
    <d v="2016-07-13T00:00:00"/>
    <s v="Standard Class"/>
    <x v="634"/>
    <s v="Kean Nguyen"/>
    <x v="1"/>
    <s v="United States"/>
    <s v="Dallas"/>
    <x v="5"/>
    <n v="75220"/>
    <x v="2"/>
    <x v="166"/>
    <x v="1"/>
    <x v="9"/>
    <x v="167"/>
    <x v="3184"/>
    <x v="7"/>
    <x v="1"/>
  </r>
  <r>
    <n v="4277"/>
    <x v="2124"/>
    <x v="238"/>
    <d v="2018-08-22T00:00:00"/>
    <s v="Standard Class"/>
    <x v="376"/>
    <s v="Nicole Fjeld"/>
    <x v="2"/>
    <s v="United States"/>
    <s v="Seattle"/>
    <x v="4"/>
    <n v="98105"/>
    <x v="1"/>
    <x v="765"/>
    <x v="1"/>
    <x v="4"/>
    <x v="764"/>
    <x v="2105"/>
    <x v="6"/>
    <x v="3"/>
  </r>
  <r>
    <n v="4278"/>
    <x v="2125"/>
    <x v="947"/>
    <d v="2017-04-20T00:00:00"/>
    <s v="Standard Class"/>
    <x v="740"/>
    <s v="Bill Shonely"/>
    <x v="1"/>
    <s v="United States"/>
    <s v="Lakewood"/>
    <x v="30"/>
    <n v="8701"/>
    <x v="3"/>
    <x v="1646"/>
    <x v="2"/>
    <x v="15"/>
    <x v="1635"/>
    <x v="3185"/>
    <x v="3"/>
    <x v="0"/>
  </r>
  <r>
    <n v="4279"/>
    <x v="2125"/>
    <x v="947"/>
    <d v="2017-04-20T00:00:00"/>
    <s v="Standard Class"/>
    <x v="740"/>
    <s v="Bill Shonely"/>
    <x v="1"/>
    <s v="United States"/>
    <s v="Lakewood"/>
    <x v="30"/>
    <n v="8701"/>
    <x v="3"/>
    <x v="1467"/>
    <x v="0"/>
    <x v="5"/>
    <x v="1454"/>
    <x v="739"/>
    <x v="3"/>
    <x v="0"/>
  </r>
  <r>
    <n v="4280"/>
    <x v="2125"/>
    <x v="947"/>
    <d v="2017-04-20T00:00:00"/>
    <s v="Standard Class"/>
    <x v="740"/>
    <s v="Bill Shonely"/>
    <x v="1"/>
    <s v="United States"/>
    <s v="Lakewood"/>
    <x v="30"/>
    <n v="8701"/>
    <x v="3"/>
    <x v="881"/>
    <x v="1"/>
    <x v="8"/>
    <x v="875"/>
    <x v="3186"/>
    <x v="3"/>
    <x v="0"/>
  </r>
  <r>
    <n v="4281"/>
    <x v="2126"/>
    <x v="687"/>
    <d v="2015-11-18T00:00:00"/>
    <s v="Standard Class"/>
    <x v="84"/>
    <s v="Robert Marley"/>
    <x v="2"/>
    <s v="United States"/>
    <s v="New York City"/>
    <x v="15"/>
    <n v="10011"/>
    <x v="3"/>
    <x v="252"/>
    <x v="1"/>
    <x v="10"/>
    <x v="253"/>
    <x v="710"/>
    <x v="0"/>
    <x v="2"/>
  </r>
  <r>
    <n v="4282"/>
    <x v="2126"/>
    <x v="687"/>
    <d v="2015-11-18T00:00:00"/>
    <s v="Standard Class"/>
    <x v="84"/>
    <s v="Robert Marley"/>
    <x v="2"/>
    <s v="United States"/>
    <s v="New York City"/>
    <x v="15"/>
    <n v="10011"/>
    <x v="3"/>
    <x v="1464"/>
    <x v="0"/>
    <x v="1"/>
    <x v="1450"/>
    <x v="3187"/>
    <x v="0"/>
    <x v="2"/>
  </r>
  <r>
    <n v="4283"/>
    <x v="2127"/>
    <x v="414"/>
    <d v="2015-12-23T00:00:00"/>
    <s v="First Class"/>
    <x v="455"/>
    <s v="Adrian Barton"/>
    <x v="0"/>
    <s v="United States"/>
    <s v="Indianapolis"/>
    <x v="14"/>
    <n v="46203"/>
    <x v="2"/>
    <x v="1647"/>
    <x v="1"/>
    <x v="2"/>
    <x v="1636"/>
    <x v="1163"/>
    <x v="4"/>
    <x v="2"/>
  </r>
  <r>
    <n v="4284"/>
    <x v="2127"/>
    <x v="414"/>
    <d v="2015-12-23T00:00:00"/>
    <s v="First Class"/>
    <x v="455"/>
    <s v="Adrian Barton"/>
    <x v="0"/>
    <s v="United States"/>
    <s v="Indianapolis"/>
    <x v="14"/>
    <n v="46203"/>
    <x v="2"/>
    <x v="1498"/>
    <x v="1"/>
    <x v="8"/>
    <x v="1486"/>
    <x v="3188"/>
    <x v="4"/>
    <x v="2"/>
  </r>
  <r>
    <n v="4285"/>
    <x v="2128"/>
    <x v="82"/>
    <d v="2016-11-26T00:00:00"/>
    <s v="Second Class"/>
    <x v="662"/>
    <s v="Carol Adams"/>
    <x v="1"/>
    <s v="United States"/>
    <s v="Port Arthur"/>
    <x v="5"/>
    <n v="77642"/>
    <x v="2"/>
    <x v="1103"/>
    <x v="0"/>
    <x v="0"/>
    <x v="1092"/>
    <x v="3189"/>
    <x v="0"/>
    <x v="1"/>
  </r>
  <r>
    <n v="4286"/>
    <x v="2128"/>
    <x v="82"/>
    <d v="2016-11-26T00:00:00"/>
    <s v="Second Class"/>
    <x v="662"/>
    <s v="Carol Adams"/>
    <x v="1"/>
    <s v="United States"/>
    <s v="Port Arthur"/>
    <x v="5"/>
    <n v="77642"/>
    <x v="2"/>
    <x v="2"/>
    <x v="1"/>
    <x v="2"/>
    <x v="2"/>
    <x v="3190"/>
    <x v="0"/>
    <x v="1"/>
  </r>
  <r>
    <n v="4287"/>
    <x v="2128"/>
    <x v="82"/>
    <d v="2016-11-26T00:00:00"/>
    <s v="Second Class"/>
    <x v="662"/>
    <s v="Carol Adams"/>
    <x v="1"/>
    <s v="United States"/>
    <s v="Port Arthur"/>
    <x v="5"/>
    <n v="77642"/>
    <x v="2"/>
    <x v="1572"/>
    <x v="2"/>
    <x v="16"/>
    <x v="1563"/>
    <x v="2838"/>
    <x v="0"/>
    <x v="1"/>
  </r>
  <r>
    <n v="4288"/>
    <x v="2129"/>
    <x v="116"/>
    <d v="2019-01-03T00:00:00"/>
    <s v="Standard Class"/>
    <x v="382"/>
    <s v="Erica Hernandez"/>
    <x v="2"/>
    <s v="United States"/>
    <s v="Nashville"/>
    <x v="18"/>
    <n v="37211"/>
    <x v="0"/>
    <x v="459"/>
    <x v="1"/>
    <x v="4"/>
    <x v="460"/>
    <x v="1445"/>
    <x v="4"/>
    <x v="3"/>
  </r>
  <r>
    <n v="4289"/>
    <x v="2130"/>
    <x v="961"/>
    <d v="2016-05-21T00:00:00"/>
    <s v="Standard Class"/>
    <x v="21"/>
    <s v="Odella Nelson"/>
    <x v="1"/>
    <s v="United States"/>
    <s v="Houston"/>
    <x v="5"/>
    <n v="77095"/>
    <x v="2"/>
    <x v="1197"/>
    <x v="1"/>
    <x v="8"/>
    <x v="1182"/>
    <x v="1781"/>
    <x v="5"/>
    <x v="1"/>
  </r>
  <r>
    <n v="4290"/>
    <x v="2130"/>
    <x v="961"/>
    <d v="2016-05-21T00:00:00"/>
    <s v="Standard Class"/>
    <x v="21"/>
    <s v="Odella Nelson"/>
    <x v="1"/>
    <s v="United States"/>
    <s v="Houston"/>
    <x v="5"/>
    <n v="77095"/>
    <x v="2"/>
    <x v="707"/>
    <x v="1"/>
    <x v="10"/>
    <x v="706"/>
    <x v="3191"/>
    <x v="5"/>
    <x v="1"/>
  </r>
  <r>
    <n v="4291"/>
    <x v="2131"/>
    <x v="34"/>
    <d v="2018-12-13T00:00:00"/>
    <s v="Second Class"/>
    <x v="401"/>
    <s v="Alyssa Tate"/>
    <x v="2"/>
    <s v="United States"/>
    <s v="Los Angeles"/>
    <x v="1"/>
    <n v="90004"/>
    <x v="1"/>
    <x v="311"/>
    <x v="1"/>
    <x v="6"/>
    <x v="311"/>
    <x v="946"/>
    <x v="4"/>
    <x v="3"/>
  </r>
  <r>
    <n v="4292"/>
    <x v="2131"/>
    <x v="34"/>
    <d v="2018-12-13T00:00:00"/>
    <s v="Second Class"/>
    <x v="401"/>
    <s v="Alyssa Tate"/>
    <x v="2"/>
    <s v="United States"/>
    <s v="Los Angeles"/>
    <x v="1"/>
    <n v="90004"/>
    <x v="1"/>
    <x v="209"/>
    <x v="0"/>
    <x v="3"/>
    <x v="210"/>
    <x v="3192"/>
    <x v="4"/>
    <x v="3"/>
  </r>
  <r>
    <n v="4293"/>
    <x v="2131"/>
    <x v="34"/>
    <d v="2018-12-13T00:00:00"/>
    <s v="Second Class"/>
    <x v="401"/>
    <s v="Alyssa Tate"/>
    <x v="2"/>
    <s v="United States"/>
    <s v="Los Angeles"/>
    <x v="1"/>
    <n v="90004"/>
    <x v="1"/>
    <x v="1141"/>
    <x v="1"/>
    <x v="9"/>
    <x v="1129"/>
    <x v="3193"/>
    <x v="4"/>
    <x v="3"/>
  </r>
  <r>
    <n v="4294"/>
    <x v="2132"/>
    <x v="434"/>
    <d v="2018-03-16T00:00:00"/>
    <s v="Standard Class"/>
    <x v="12"/>
    <s v="Emily Burns"/>
    <x v="0"/>
    <s v="United States"/>
    <s v="Philadelphia"/>
    <x v="9"/>
    <n v="19140"/>
    <x v="3"/>
    <x v="173"/>
    <x v="2"/>
    <x v="7"/>
    <x v="174"/>
    <x v="3194"/>
    <x v="10"/>
    <x v="3"/>
  </r>
  <r>
    <n v="4295"/>
    <x v="2133"/>
    <x v="760"/>
    <d v="2018-10-27T00:00:00"/>
    <s v="Standard Class"/>
    <x v="694"/>
    <s v="David Wiener"/>
    <x v="1"/>
    <s v="United States"/>
    <s v="Redmond"/>
    <x v="21"/>
    <n v="97756"/>
    <x v="1"/>
    <x v="223"/>
    <x v="0"/>
    <x v="3"/>
    <x v="224"/>
    <x v="237"/>
    <x v="2"/>
    <x v="3"/>
  </r>
  <r>
    <n v="4296"/>
    <x v="2134"/>
    <x v="445"/>
    <d v="2018-07-10T00:00:00"/>
    <s v="Standard Class"/>
    <x v="93"/>
    <s v="Maria Bertelson"/>
    <x v="0"/>
    <s v="United States"/>
    <s v="Citrus Heights"/>
    <x v="1"/>
    <n v="95610"/>
    <x v="1"/>
    <x v="1618"/>
    <x v="0"/>
    <x v="5"/>
    <x v="1609"/>
    <x v="3195"/>
    <x v="7"/>
    <x v="3"/>
  </r>
  <r>
    <n v="4297"/>
    <x v="2135"/>
    <x v="507"/>
    <d v="2018-09-10T00:00:00"/>
    <s v="Standard Class"/>
    <x v="260"/>
    <s v="Tiffany House"/>
    <x v="1"/>
    <s v="United States"/>
    <s v="Los Angeles"/>
    <x v="1"/>
    <n v="90032"/>
    <x v="1"/>
    <x v="1033"/>
    <x v="1"/>
    <x v="4"/>
    <x v="1024"/>
    <x v="3196"/>
    <x v="8"/>
    <x v="3"/>
  </r>
  <r>
    <n v="4298"/>
    <x v="2136"/>
    <x v="962"/>
    <d v="2018-08-26T00:00:00"/>
    <s v="Second Class"/>
    <x v="138"/>
    <s v="Patrick O'Brill"/>
    <x v="0"/>
    <s v="United States"/>
    <s v="Tallahassee"/>
    <x v="2"/>
    <n v="32303"/>
    <x v="0"/>
    <x v="1461"/>
    <x v="2"/>
    <x v="7"/>
    <x v="1447"/>
    <x v="3197"/>
    <x v="6"/>
    <x v="3"/>
  </r>
  <r>
    <n v="4299"/>
    <x v="2136"/>
    <x v="962"/>
    <d v="2018-08-26T00:00:00"/>
    <s v="Second Class"/>
    <x v="138"/>
    <s v="Patrick O'Brill"/>
    <x v="0"/>
    <s v="United States"/>
    <s v="Tallahassee"/>
    <x v="2"/>
    <n v="32303"/>
    <x v="0"/>
    <x v="1174"/>
    <x v="1"/>
    <x v="10"/>
    <x v="1160"/>
    <x v="1967"/>
    <x v="6"/>
    <x v="3"/>
  </r>
  <r>
    <n v="4300"/>
    <x v="2136"/>
    <x v="962"/>
    <d v="2018-08-26T00:00:00"/>
    <s v="Second Class"/>
    <x v="138"/>
    <s v="Patrick O'Brill"/>
    <x v="0"/>
    <s v="United States"/>
    <s v="Tallahassee"/>
    <x v="2"/>
    <n v="32303"/>
    <x v="0"/>
    <x v="731"/>
    <x v="1"/>
    <x v="9"/>
    <x v="730"/>
    <x v="3198"/>
    <x v="6"/>
    <x v="3"/>
  </r>
  <r>
    <n v="4301"/>
    <x v="2136"/>
    <x v="962"/>
    <d v="2018-08-26T00:00:00"/>
    <s v="Second Class"/>
    <x v="138"/>
    <s v="Patrick O'Brill"/>
    <x v="0"/>
    <s v="United States"/>
    <s v="Tallahassee"/>
    <x v="2"/>
    <n v="32303"/>
    <x v="0"/>
    <x v="852"/>
    <x v="0"/>
    <x v="5"/>
    <x v="845"/>
    <x v="3199"/>
    <x v="6"/>
    <x v="3"/>
  </r>
  <r>
    <n v="4302"/>
    <x v="2136"/>
    <x v="962"/>
    <d v="2018-08-26T00:00:00"/>
    <s v="Second Class"/>
    <x v="138"/>
    <s v="Patrick O'Brill"/>
    <x v="0"/>
    <s v="United States"/>
    <s v="Tallahassee"/>
    <x v="2"/>
    <n v="32303"/>
    <x v="0"/>
    <x v="834"/>
    <x v="1"/>
    <x v="10"/>
    <x v="829"/>
    <x v="521"/>
    <x v="6"/>
    <x v="3"/>
  </r>
  <r>
    <n v="4303"/>
    <x v="2137"/>
    <x v="963"/>
    <d v="2015-08-25T00:00:00"/>
    <s v="Second Class"/>
    <x v="368"/>
    <s v="Deanra Eno"/>
    <x v="2"/>
    <s v="United States"/>
    <s v="Lakewood"/>
    <x v="24"/>
    <n v="44107"/>
    <x v="3"/>
    <x v="282"/>
    <x v="1"/>
    <x v="6"/>
    <x v="282"/>
    <x v="2893"/>
    <x v="6"/>
    <x v="2"/>
  </r>
  <r>
    <n v="4304"/>
    <x v="2138"/>
    <x v="964"/>
    <d v="2017-10-04T00:00:00"/>
    <s v="Same Day"/>
    <x v="373"/>
    <s v="Mary O'Rourke"/>
    <x v="0"/>
    <s v="United States"/>
    <s v="The Colony"/>
    <x v="5"/>
    <n v="75056"/>
    <x v="2"/>
    <x v="761"/>
    <x v="1"/>
    <x v="12"/>
    <x v="760"/>
    <x v="3200"/>
    <x v="2"/>
    <x v="0"/>
  </r>
  <r>
    <n v="4305"/>
    <x v="2139"/>
    <x v="965"/>
    <d v="2015-10-30T00:00:00"/>
    <s v="Second Class"/>
    <x v="738"/>
    <s v="Angele Hood"/>
    <x v="0"/>
    <s v="United States"/>
    <s v="Seattle"/>
    <x v="4"/>
    <n v="98105"/>
    <x v="1"/>
    <x v="468"/>
    <x v="0"/>
    <x v="5"/>
    <x v="469"/>
    <x v="3201"/>
    <x v="2"/>
    <x v="2"/>
  </r>
  <r>
    <n v="4306"/>
    <x v="2139"/>
    <x v="965"/>
    <d v="2015-10-30T00:00:00"/>
    <s v="Second Class"/>
    <x v="738"/>
    <s v="Angele Hood"/>
    <x v="0"/>
    <s v="United States"/>
    <s v="Seattle"/>
    <x v="4"/>
    <n v="98105"/>
    <x v="1"/>
    <x v="1485"/>
    <x v="2"/>
    <x v="7"/>
    <x v="1472"/>
    <x v="3202"/>
    <x v="2"/>
    <x v="2"/>
  </r>
  <r>
    <n v="4307"/>
    <x v="2140"/>
    <x v="931"/>
    <d v="2017-06-28T00:00:00"/>
    <s v="Same Day"/>
    <x v="294"/>
    <s v="Chris Selesnick"/>
    <x v="1"/>
    <s v="United States"/>
    <s v="Los Angeles"/>
    <x v="1"/>
    <n v="90032"/>
    <x v="1"/>
    <x v="507"/>
    <x v="1"/>
    <x v="8"/>
    <x v="507"/>
    <x v="3203"/>
    <x v="1"/>
    <x v="0"/>
  </r>
  <r>
    <n v="4308"/>
    <x v="2140"/>
    <x v="931"/>
    <d v="2017-06-28T00:00:00"/>
    <s v="Same Day"/>
    <x v="294"/>
    <s v="Chris Selesnick"/>
    <x v="1"/>
    <s v="United States"/>
    <s v="Los Angeles"/>
    <x v="1"/>
    <n v="90032"/>
    <x v="1"/>
    <x v="301"/>
    <x v="1"/>
    <x v="8"/>
    <x v="301"/>
    <x v="2939"/>
    <x v="1"/>
    <x v="0"/>
  </r>
  <r>
    <n v="4309"/>
    <x v="2141"/>
    <x v="130"/>
    <d v="2015-11-11T00:00:00"/>
    <s v="Standard Class"/>
    <x v="576"/>
    <s v="William Brown"/>
    <x v="0"/>
    <s v="United States"/>
    <s v="Los Angeles"/>
    <x v="1"/>
    <n v="90045"/>
    <x v="1"/>
    <x v="1270"/>
    <x v="2"/>
    <x v="7"/>
    <x v="1255"/>
    <x v="3204"/>
    <x v="0"/>
    <x v="2"/>
  </r>
  <r>
    <n v="4310"/>
    <x v="2141"/>
    <x v="130"/>
    <d v="2015-11-11T00:00:00"/>
    <s v="Standard Class"/>
    <x v="576"/>
    <s v="William Brown"/>
    <x v="0"/>
    <s v="United States"/>
    <s v="Los Angeles"/>
    <x v="1"/>
    <n v="90045"/>
    <x v="1"/>
    <x v="363"/>
    <x v="0"/>
    <x v="3"/>
    <x v="363"/>
    <x v="3205"/>
    <x v="0"/>
    <x v="2"/>
  </r>
  <r>
    <n v="4311"/>
    <x v="2141"/>
    <x v="130"/>
    <d v="2015-11-11T00:00:00"/>
    <s v="Standard Class"/>
    <x v="576"/>
    <s v="William Brown"/>
    <x v="0"/>
    <s v="United States"/>
    <s v="Los Angeles"/>
    <x v="1"/>
    <n v="90045"/>
    <x v="1"/>
    <x v="624"/>
    <x v="1"/>
    <x v="8"/>
    <x v="624"/>
    <x v="1441"/>
    <x v="0"/>
    <x v="2"/>
  </r>
  <r>
    <n v="4312"/>
    <x v="2141"/>
    <x v="130"/>
    <d v="2015-11-11T00:00:00"/>
    <s v="Standard Class"/>
    <x v="576"/>
    <s v="William Brown"/>
    <x v="0"/>
    <s v="United States"/>
    <s v="Los Angeles"/>
    <x v="1"/>
    <n v="90045"/>
    <x v="1"/>
    <x v="1396"/>
    <x v="1"/>
    <x v="10"/>
    <x v="1383"/>
    <x v="537"/>
    <x v="0"/>
    <x v="2"/>
  </r>
  <r>
    <n v="4313"/>
    <x v="2141"/>
    <x v="130"/>
    <d v="2015-11-11T00:00:00"/>
    <s v="Standard Class"/>
    <x v="576"/>
    <s v="William Brown"/>
    <x v="0"/>
    <s v="United States"/>
    <s v="Los Angeles"/>
    <x v="1"/>
    <n v="90045"/>
    <x v="1"/>
    <x v="1648"/>
    <x v="2"/>
    <x v="15"/>
    <x v="1637"/>
    <x v="3206"/>
    <x v="0"/>
    <x v="2"/>
  </r>
  <r>
    <n v="4314"/>
    <x v="2142"/>
    <x v="78"/>
    <d v="2015-09-12T00:00:00"/>
    <s v="Standard Class"/>
    <x v="407"/>
    <s v="Stefania Perrino"/>
    <x v="1"/>
    <s v="United States"/>
    <s v="Long Beach"/>
    <x v="15"/>
    <n v="11561"/>
    <x v="3"/>
    <x v="1612"/>
    <x v="1"/>
    <x v="9"/>
    <x v="1603"/>
    <x v="3207"/>
    <x v="8"/>
    <x v="2"/>
  </r>
  <r>
    <n v="4315"/>
    <x v="2143"/>
    <x v="608"/>
    <d v="2016-07-01T00:00:00"/>
    <s v="Standard Class"/>
    <x v="269"/>
    <s v="Alan Barnes"/>
    <x v="0"/>
    <s v="United States"/>
    <s v="Los Angeles"/>
    <x v="1"/>
    <n v="90045"/>
    <x v="1"/>
    <x v="1554"/>
    <x v="1"/>
    <x v="6"/>
    <x v="772"/>
    <x v="3208"/>
    <x v="1"/>
    <x v="1"/>
  </r>
  <r>
    <n v="4316"/>
    <x v="2143"/>
    <x v="608"/>
    <d v="2016-07-01T00:00:00"/>
    <s v="Standard Class"/>
    <x v="269"/>
    <s v="Alan Barnes"/>
    <x v="0"/>
    <s v="United States"/>
    <s v="Los Angeles"/>
    <x v="1"/>
    <n v="90045"/>
    <x v="1"/>
    <x v="805"/>
    <x v="1"/>
    <x v="8"/>
    <x v="803"/>
    <x v="1279"/>
    <x v="1"/>
    <x v="1"/>
  </r>
  <r>
    <n v="4317"/>
    <x v="2143"/>
    <x v="608"/>
    <d v="2016-07-01T00:00:00"/>
    <s v="Standard Class"/>
    <x v="269"/>
    <s v="Alan Barnes"/>
    <x v="0"/>
    <s v="United States"/>
    <s v="Los Angeles"/>
    <x v="1"/>
    <n v="90045"/>
    <x v="1"/>
    <x v="537"/>
    <x v="1"/>
    <x v="4"/>
    <x v="537"/>
    <x v="3209"/>
    <x v="1"/>
    <x v="1"/>
  </r>
  <r>
    <n v="4318"/>
    <x v="2144"/>
    <x v="353"/>
    <d v="2016-08-02T00:00:00"/>
    <s v="Standard Class"/>
    <x v="66"/>
    <s v="Helen Andreada"/>
    <x v="0"/>
    <s v="United States"/>
    <s v="San Francisco"/>
    <x v="1"/>
    <n v="94110"/>
    <x v="1"/>
    <x v="556"/>
    <x v="1"/>
    <x v="12"/>
    <x v="555"/>
    <x v="3210"/>
    <x v="7"/>
    <x v="1"/>
  </r>
  <r>
    <n v="4319"/>
    <x v="2145"/>
    <x v="226"/>
    <d v="2018-12-11T00:00:00"/>
    <s v="Standard Class"/>
    <x v="290"/>
    <s v="Debra Catini"/>
    <x v="0"/>
    <s v="United States"/>
    <s v="Richmond"/>
    <x v="17"/>
    <n v="23223"/>
    <x v="0"/>
    <x v="1649"/>
    <x v="0"/>
    <x v="5"/>
    <x v="1638"/>
    <x v="3211"/>
    <x v="4"/>
    <x v="3"/>
  </r>
  <r>
    <n v="4320"/>
    <x v="2146"/>
    <x v="282"/>
    <d v="2016-01-03T00:00:00"/>
    <s v="Second Class"/>
    <x v="461"/>
    <s v="Shui Tom"/>
    <x v="0"/>
    <s v="United States"/>
    <s v="Albuquerque"/>
    <x v="27"/>
    <n v="87105"/>
    <x v="1"/>
    <x v="1136"/>
    <x v="2"/>
    <x v="7"/>
    <x v="1124"/>
    <x v="112"/>
    <x v="4"/>
    <x v="2"/>
  </r>
  <r>
    <n v="4321"/>
    <x v="2146"/>
    <x v="282"/>
    <d v="2016-01-03T00:00:00"/>
    <s v="Second Class"/>
    <x v="461"/>
    <s v="Shui Tom"/>
    <x v="0"/>
    <s v="United States"/>
    <s v="Albuquerque"/>
    <x v="27"/>
    <n v="87105"/>
    <x v="1"/>
    <x v="1291"/>
    <x v="1"/>
    <x v="4"/>
    <x v="1277"/>
    <x v="3212"/>
    <x v="4"/>
    <x v="2"/>
  </r>
  <r>
    <n v="4322"/>
    <x v="2147"/>
    <x v="966"/>
    <d v="2016-02-19T00:00:00"/>
    <s v="Standard Class"/>
    <x v="41"/>
    <s v="Karl Braun"/>
    <x v="0"/>
    <s v="United States"/>
    <s v="Akron"/>
    <x v="24"/>
    <n v="44312"/>
    <x v="3"/>
    <x v="444"/>
    <x v="1"/>
    <x v="8"/>
    <x v="444"/>
    <x v="475"/>
    <x v="11"/>
    <x v="1"/>
  </r>
  <r>
    <n v="4323"/>
    <x v="2147"/>
    <x v="966"/>
    <d v="2016-02-19T00:00:00"/>
    <s v="Standard Class"/>
    <x v="41"/>
    <s v="Karl Braun"/>
    <x v="0"/>
    <s v="United States"/>
    <s v="Akron"/>
    <x v="24"/>
    <n v="44312"/>
    <x v="3"/>
    <x v="1400"/>
    <x v="2"/>
    <x v="7"/>
    <x v="1387"/>
    <x v="3213"/>
    <x v="11"/>
    <x v="1"/>
  </r>
  <r>
    <n v="4324"/>
    <x v="2147"/>
    <x v="966"/>
    <d v="2016-02-19T00:00:00"/>
    <s v="Standard Class"/>
    <x v="41"/>
    <s v="Karl Braun"/>
    <x v="0"/>
    <s v="United States"/>
    <s v="Akron"/>
    <x v="24"/>
    <n v="44312"/>
    <x v="3"/>
    <x v="315"/>
    <x v="1"/>
    <x v="8"/>
    <x v="315"/>
    <x v="2594"/>
    <x v="11"/>
    <x v="1"/>
  </r>
  <r>
    <n v="4325"/>
    <x v="2147"/>
    <x v="966"/>
    <d v="2016-02-19T00:00:00"/>
    <s v="Standard Class"/>
    <x v="41"/>
    <s v="Karl Braun"/>
    <x v="0"/>
    <s v="United States"/>
    <s v="Akron"/>
    <x v="24"/>
    <n v="44312"/>
    <x v="3"/>
    <x v="879"/>
    <x v="1"/>
    <x v="6"/>
    <x v="873"/>
    <x v="642"/>
    <x v="11"/>
    <x v="1"/>
  </r>
  <r>
    <n v="4326"/>
    <x v="2147"/>
    <x v="966"/>
    <d v="2016-02-19T00:00:00"/>
    <s v="Standard Class"/>
    <x v="41"/>
    <s v="Karl Braun"/>
    <x v="0"/>
    <s v="United States"/>
    <s v="Akron"/>
    <x v="24"/>
    <n v="44312"/>
    <x v="3"/>
    <x v="1048"/>
    <x v="2"/>
    <x v="11"/>
    <x v="1037"/>
    <x v="973"/>
    <x v="11"/>
    <x v="1"/>
  </r>
  <r>
    <n v="4327"/>
    <x v="2148"/>
    <x v="967"/>
    <d v="2017-01-27T00:00:00"/>
    <s v="First Class"/>
    <x v="422"/>
    <s v="Todd Boyes"/>
    <x v="1"/>
    <s v="United States"/>
    <s v="Plainfield"/>
    <x v="30"/>
    <n v="7060"/>
    <x v="3"/>
    <x v="1320"/>
    <x v="1"/>
    <x v="6"/>
    <x v="1306"/>
    <x v="3214"/>
    <x v="9"/>
    <x v="0"/>
  </r>
  <r>
    <n v="4328"/>
    <x v="2148"/>
    <x v="967"/>
    <d v="2017-01-27T00:00:00"/>
    <s v="First Class"/>
    <x v="422"/>
    <s v="Todd Boyes"/>
    <x v="1"/>
    <s v="United States"/>
    <s v="Plainfield"/>
    <x v="30"/>
    <n v="7060"/>
    <x v="3"/>
    <x v="1552"/>
    <x v="1"/>
    <x v="10"/>
    <x v="1540"/>
    <x v="3215"/>
    <x v="9"/>
    <x v="0"/>
  </r>
  <r>
    <n v="4329"/>
    <x v="2149"/>
    <x v="719"/>
    <d v="2018-04-07T00:00:00"/>
    <s v="Standard Class"/>
    <x v="547"/>
    <s v="John Castell"/>
    <x v="0"/>
    <s v="United States"/>
    <s v="New York City"/>
    <x v="15"/>
    <n v="10011"/>
    <x v="3"/>
    <x v="1446"/>
    <x v="1"/>
    <x v="10"/>
    <x v="1433"/>
    <x v="3216"/>
    <x v="3"/>
    <x v="3"/>
  </r>
  <r>
    <n v="4330"/>
    <x v="2150"/>
    <x v="621"/>
    <d v="2018-10-09T00:00:00"/>
    <s v="Standard Class"/>
    <x v="138"/>
    <s v="Patrick O'Brill"/>
    <x v="0"/>
    <s v="United States"/>
    <s v="Hialeah"/>
    <x v="2"/>
    <n v="33012"/>
    <x v="0"/>
    <x v="1650"/>
    <x v="1"/>
    <x v="10"/>
    <x v="1639"/>
    <x v="12"/>
    <x v="2"/>
    <x v="3"/>
  </r>
  <r>
    <n v="4331"/>
    <x v="2150"/>
    <x v="621"/>
    <d v="2018-10-09T00:00:00"/>
    <s v="Standard Class"/>
    <x v="138"/>
    <s v="Patrick O'Brill"/>
    <x v="0"/>
    <s v="United States"/>
    <s v="Hialeah"/>
    <x v="2"/>
    <n v="33012"/>
    <x v="0"/>
    <x v="566"/>
    <x v="1"/>
    <x v="9"/>
    <x v="566"/>
    <x v="1411"/>
    <x v="2"/>
    <x v="3"/>
  </r>
  <r>
    <n v="4332"/>
    <x v="2151"/>
    <x v="853"/>
    <d v="2018-09-06T00:00:00"/>
    <s v="Standard Class"/>
    <x v="286"/>
    <s v="Sung Shariari"/>
    <x v="0"/>
    <s v="United States"/>
    <s v="Redmond"/>
    <x v="4"/>
    <n v="98052"/>
    <x v="1"/>
    <x v="84"/>
    <x v="2"/>
    <x v="11"/>
    <x v="84"/>
    <x v="86"/>
    <x v="8"/>
    <x v="3"/>
  </r>
  <r>
    <n v="4333"/>
    <x v="2151"/>
    <x v="853"/>
    <d v="2018-09-06T00:00:00"/>
    <s v="Standard Class"/>
    <x v="286"/>
    <s v="Sung Shariari"/>
    <x v="0"/>
    <s v="United States"/>
    <s v="Redmond"/>
    <x v="4"/>
    <n v="98052"/>
    <x v="1"/>
    <x v="1547"/>
    <x v="1"/>
    <x v="8"/>
    <x v="1535"/>
    <x v="988"/>
    <x v="8"/>
    <x v="3"/>
  </r>
  <r>
    <n v="4334"/>
    <x v="2152"/>
    <x v="379"/>
    <d v="2016-12-27T00:00:00"/>
    <s v="Standard Class"/>
    <x v="742"/>
    <s v="Roger Demir"/>
    <x v="0"/>
    <s v="United States"/>
    <s v="Daytona Beach"/>
    <x v="2"/>
    <n v="32114"/>
    <x v="0"/>
    <x v="1651"/>
    <x v="2"/>
    <x v="11"/>
    <x v="1640"/>
    <x v="3217"/>
    <x v="4"/>
    <x v="1"/>
  </r>
  <r>
    <n v="4335"/>
    <x v="2152"/>
    <x v="379"/>
    <d v="2016-12-27T00:00:00"/>
    <s v="Standard Class"/>
    <x v="742"/>
    <s v="Roger Demir"/>
    <x v="0"/>
    <s v="United States"/>
    <s v="Daytona Beach"/>
    <x v="2"/>
    <n v="32114"/>
    <x v="0"/>
    <x v="830"/>
    <x v="1"/>
    <x v="12"/>
    <x v="825"/>
    <x v="3218"/>
    <x v="4"/>
    <x v="1"/>
  </r>
  <r>
    <n v="4336"/>
    <x v="2153"/>
    <x v="139"/>
    <d v="2016-12-24T00:00:00"/>
    <s v="Standard Class"/>
    <x v="47"/>
    <s v="Gary Zandusky"/>
    <x v="0"/>
    <s v="United States"/>
    <s v="Bullhead City"/>
    <x v="16"/>
    <n v="86442"/>
    <x v="1"/>
    <x v="1652"/>
    <x v="1"/>
    <x v="12"/>
    <x v="1641"/>
    <x v="1054"/>
    <x v="4"/>
    <x v="1"/>
  </r>
  <r>
    <n v="4337"/>
    <x v="2153"/>
    <x v="139"/>
    <d v="2016-12-24T00:00:00"/>
    <s v="Standard Class"/>
    <x v="47"/>
    <s v="Gary Zandusky"/>
    <x v="0"/>
    <s v="United States"/>
    <s v="Bullhead City"/>
    <x v="16"/>
    <n v="86442"/>
    <x v="1"/>
    <x v="1104"/>
    <x v="0"/>
    <x v="5"/>
    <x v="1093"/>
    <x v="322"/>
    <x v="4"/>
    <x v="1"/>
  </r>
  <r>
    <n v="4338"/>
    <x v="2154"/>
    <x v="154"/>
    <d v="2016-12-01T00:00:00"/>
    <s v="Standard Class"/>
    <x v="17"/>
    <s v="Steve Nguyen"/>
    <x v="2"/>
    <s v="United States"/>
    <s v="Los Angeles"/>
    <x v="1"/>
    <n v="90049"/>
    <x v="1"/>
    <x v="357"/>
    <x v="2"/>
    <x v="11"/>
    <x v="357"/>
    <x v="3219"/>
    <x v="0"/>
    <x v="1"/>
  </r>
  <r>
    <n v="4339"/>
    <x v="2154"/>
    <x v="154"/>
    <d v="2016-12-01T00:00:00"/>
    <s v="Standard Class"/>
    <x v="17"/>
    <s v="Steve Nguyen"/>
    <x v="2"/>
    <s v="United States"/>
    <s v="Los Angeles"/>
    <x v="1"/>
    <n v="90049"/>
    <x v="1"/>
    <x v="67"/>
    <x v="1"/>
    <x v="10"/>
    <x v="67"/>
    <x v="3220"/>
    <x v="0"/>
    <x v="1"/>
  </r>
  <r>
    <n v="4340"/>
    <x v="2155"/>
    <x v="151"/>
    <d v="2018-09-01T00:00:00"/>
    <s v="Standard Class"/>
    <x v="729"/>
    <s v="Dana Kaydos"/>
    <x v="0"/>
    <s v="United States"/>
    <s v="Franklin"/>
    <x v="18"/>
    <n v="37064"/>
    <x v="0"/>
    <x v="974"/>
    <x v="1"/>
    <x v="10"/>
    <x v="968"/>
    <x v="1170"/>
    <x v="6"/>
    <x v="3"/>
  </r>
  <r>
    <n v="4341"/>
    <x v="2156"/>
    <x v="579"/>
    <d v="2015-03-22T00:00:00"/>
    <s v="Same Day"/>
    <x v="718"/>
    <s v="Vivian Mathis"/>
    <x v="0"/>
    <s v="United States"/>
    <s v="Portage"/>
    <x v="14"/>
    <n v="46368"/>
    <x v="2"/>
    <x v="359"/>
    <x v="1"/>
    <x v="6"/>
    <x v="359"/>
    <x v="1347"/>
    <x v="10"/>
    <x v="2"/>
  </r>
  <r>
    <n v="4342"/>
    <x v="2157"/>
    <x v="94"/>
    <d v="2018-12-21T00:00:00"/>
    <s v="Standard Class"/>
    <x v="673"/>
    <s v="Giulietta Baptist"/>
    <x v="0"/>
    <s v="United States"/>
    <s v="Arlington"/>
    <x v="17"/>
    <n v="22204"/>
    <x v="0"/>
    <x v="245"/>
    <x v="1"/>
    <x v="4"/>
    <x v="246"/>
    <x v="2521"/>
    <x v="4"/>
    <x v="3"/>
  </r>
  <r>
    <n v="4343"/>
    <x v="2158"/>
    <x v="498"/>
    <d v="2018-03-22T00:00:00"/>
    <s v="First Class"/>
    <x v="444"/>
    <s v="Natalie DeCherney"/>
    <x v="0"/>
    <s v="United States"/>
    <s v="San Francisco"/>
    <x v="1"/>
    <n v="94110"/>
    <x v="1"/>
    <x v="925"/>
    <x v="1"/>
    <x v="8"/>
    <x v="917"/>
    <x v="2911"/>
    <x v="10"/>
    <x v="3"/>
  </r>
  <r>
    <n v="4344"/>
    <x v="2158"/>
    <x v="498"/>
    <d v="2018-03-22T00:00:00"/>
    <s v="First Class"/>
    <x v="444"/>
    <s v="Natalie DeCherney"/>
    <x v="0"/>
    <s v="United States"/>
    <s v="San Francisco"/>
    <x v="1"/>
    <n v="94110"/>
    <x v="1"/>
    <x v="1075"/>
    <x v="2"/>
    <x v="7"/>
    <x v="1065"/>
    <x v="3221"/>
    <x v="10"/>
    <x v="3"/>
  </r>
  <r>
    <n v="4345"/>
    <x v="2158"/>
    <x v="498"/>
    <d v="2018-03-22T00:00:00"/>
    <s v="First Class"/>
    <x v="444"/>
    <s v="Natalie DeCherney"/>
    <x v="0"/>
    <s v="United States"/>
    <s v="San Francisco"/>
    <x v="1"/>
    <n v="94110"/>
    <x v="1"/>
    <x v="100"/>
    <x v="2"/>
    <x v="11"/>
    <x v="100"/>
    <x v="3222"/>
    <x v="10"/>
    <x v="3"/>
  </r>
  <r>
    <n v="4346"/>
    <x v="2158"/>
    <x v="498"/>
    <d v="2018-03-22T00:00:00"/>
    <s v="First Class"/>
    <x v="444"/>
    <s v="Natalie DeCherney"/>
    <x v="0"/>
    <s v="United States"/>
    <s v="San Francisco"/>
    <x v="1"/>
    <n v="94110"/>
    <x v="1"/>
    <x v="1135"/>
    <x v="2"/>
    <x v="11"/>
    <x v="1123"/>
    <x v="1743"/>
    <x v="10"/>
    <x v="3"/>
  </r>
  <r>
    <n v="4347"/>
    <x v="2159"/>
    <x v="31"/>
    <d v="2017-09-25T00:00:00"/>
    <s v="Standard Class"/>
    <x v="570"/>
    <s v="Magdelene Morse"/>
    <x v="0"/>
    <s v="United States"/>
    <s v="New Rochelle"/>
    <x v="15"/>
    <n v="10801"/>
    <x v="3"/>
    <x v="654"/>
    <x v="0"/>
    <x v="1"/>
    <x v="654"/>
    <x v="3223"/>
    <x v="8"/>
    <x v="0"/>
  </r>
  <r>
    <n v="4348"/>
    <x v="2159"/>
    <x v="31"/>
    <d v="2017-09-25T00:00:00"/>
    <s v="Standard Class"/>
    <x v="570"/>
    <s v="Magdelene Morse"/>
    <x v="0"/>
    <s v="United States"/>
    <s v="New Rochelle"/>
    <x v="15"/>
    <n v="10801"/>
    <x v="3"/>
    <x v="1653"/>
    <x v="0"/>
    <x v="5"/>
    <x v="1642"/>
    <x v="3224"/>
    <x v="8"/>
    <x v="0"/>
  </r>
  <r>
    <n v="4349"/>
    <x v="2160"/>
    <x v="221"/>
    <d v="2018-11-29T00:00:00"/>
    <s v="Second Class"/>
    <x v="597"/>
    <s v="Mark Van Huff"/>
    <x v="0"/>
    <s v="United States"/>
    <s v="Mesa"/>
    <x v="16"/>
    <n v="85204"/>
    <x v="1"/>
    <x v="655"/>
    <x v="1"/>
    <x v="8"/>
    <x v="655"/>
    <x v="318"/>
    <x v="0"/>
    <x v="3"/>
  </r>
  <r>
    <n v="4350"/>
    <x v="2160"/>
    <x v="221"/>
    <d v="2018-11-29T00:00:00"/>
    <s v="Second Class"/>
    <x v="597"/>
    <s v="Mark Van Huff"/>
    <x v="0"/>
    <s v="United States"/>
    <s v="Mesa"/>
    <x v="16"/>
    <n v="85204"/>
    <x v="1"/>
    <x v="391"/>
    <x v="1"/>
    <x v="4"/>
    <x v="392"/>
    <x v="3225"/>
    <x v="0"/>
    <x v="3"/>
  </r>
  <r>
    <n v="4351"/>
    <x v="2161"/>
    <x v="645"/>
    <d v="2018-04-15T00:00:00"/>
    <s v="Standard Class"/>
    <x v="691"/>
    <s v="Jack Lebron"/>
    <x v="0"/>
    <s v="United States"/>
    <s v="Lancaster"/>
    <x v="24"/>
    <n v="43130"/>
    <x v="3"/>
    <x v="470"/>
    <x v="1"/>
    <x v="4"/>
    <x v="471"/>
    <x v="506"/>
    <x v="3"/>
    <x v="3"/>
  </r>
  <r>
    <n v="4352"/>
    <x v="2161"/>
    <x v="645"/>
    <d v="2018-04-15T00:00:00"/>
    <s v="Standard Class"/>
    <x v="691"/>
    <s v="Jack Lebron"/>
    <x v="0"/>
    <s v="United States"/>
    <s v="Lancaster"/>
    <x v="24"/>
    <n v="43130"/>
    <x v="3"/>
    <x v="658"/>
    <x v="2"/>
    <x v="11"/>
    <x v="658"/>
    <x v="3226"/>
    <x v="3"/>
    <x v="3"/>
  </r>
  <r>
    <n v="4353"/>
    <x v="2162"/>
    <x v="389"/>
    <d v="2018-12-12T00:00:00"/>
    <s v="Second Class"/>
    <x v="743"/>
    <s v="Alex Grayson"/>
    <x v="0"/>
    <s v="United States"/>
    <s v="Stockton"/>
    <x v="1"/>
    <n v="95207"/>
    <x v="1"/>
    <x v="1620"/>
    <x v="2"/>
    <x v="7"/>
    <x v="1611"/>
    <x v="3044"/>
    <x v="4"/>
    <x v="3"/>
  </r>
  <r>
    <n v="4354"/>
    <x v="2162"/>
    <x v="389"/>
    <d v="2018-12-12T00:00:00"/>
    <s v="Second Class"/>
    <x v="743"/>
    <s v="Alex Grayson"/>
    <x v="0"/>
    <s v="United States"/>
    <s v="Stockton"/>
    <x v="1"/>
    <n v="95207"/>
    <x v="1"/>
    <x v="510"/>
    <x v="1"/>
    <x v="10"/>
    <x v="510"/>
    <x v="91"/>
    <x v="4"/>
    <x v="3"/>
  </r>
  <r>
    <n v="4355"/>
    <x v="2163"/>
    <x v="221"/>
    <d v="2018-11-26T00:00:00"/>
    <s v="Second Class"/>
    <x v="550"/>
    <s v="Michael Dominguez"/>
    <x v="1"/>
    <s v="United States"/>
    <s v="Asheville"/>
    <x v="3"/>
    <n v="28806"/>
    <x v="0"/>
    <x v="741"/>
    <x v="1"/>
    <x v="8"/>
    <x v="739"/>
    <x v="2927"/>
    <x v="0"/>
    <x v="3"/>
  </r>
  <r>
    <n v="4356"/>
    <x v="2164"/>
    <x v="784"/>
    <d v="2016-12-07T00:00:00"/>
    <s v="Second Class"/>
    <x v="197"/>
    <s v="Rose O'Brian"/>
    <x v="0"/>
    <s v="United States"/>
    <s v="Clarksville"/>
    <x v="18"/>
    <n v="37042"/>
    <x v="0"/>
    <x v="692"/>
    <x v="1"/>
    <x v="8"/>
    <x v="692"/>
    <x v="3227"/>
    <x v="4"/>
    <x v="1"/>
  </r>
  <r>
    <n v="4357"/>
    <x v="2164"/>
    <x v="784"/>
    <d v="2016-12-07T00:00:00"/>
    <s v="Second Class"/>
    <x v="197"/>
    <s v="Rose O'Brian"/>
    <x v="0"/>
    <s v="United States"/>
    <s v="Clarksville"/>
    <x v="18"/>
    <n v="37042"/>
    <x v="0"/>
    <x v="684"/>
    <x v="1"/>
    <x v="6"/>
    <x v="684"/>
    <x v="3228"/>
    <x v="4"/>
    <x v="1"/>
  </r>
  <r>
    <n v="4358"/>
    <x v="2165"/>
    <x v="157"/>
    <d v="2018-12-11T00:00:00"/>
    <s v="Same Day"/>
    <x v="625"/>
    <s v="Ralph Ritter"/>
    <x v="0"/>
    <s v="United States"/>
    <s v="Aurora"/>
    <x v="10"/>
    <n v="60505"/>
    <x v="2"/>
    <x v="289"/>
    <x v="1"/>
    <x v="10"/>
    <x v="289"/>
    <x v="559"/>
    <x v="4"/>
    <x v="3"/>
  </r>
  <r>
    <n v="4359"/>
    <x v="2165"/>
    <x v="157"/>
    <d v="2018-12-11T00:00:00"/>
    <s v="Same Day"/>
    <x v="625"/>
    <s v="Ralph Ritter"/>
    <x v="0"/>
    <s v="United States"/>
    <s v="Aurora"/>
    <x v="10"/>
    <n v="60505"/>
    <x v="2"/>
    <x v="622"/>
    <x v="0"/>
    <x v="5"/>
    <x v="622"/>
    <x v="3229"/>
    <x v="4"/>
    <x v="3"/>
  </r>
  <r>
    <n v="4360"/>
    <x v="2165"/>
    <x v="157"/>
    <d v="2018-12-11T00:00:00"/>
    <s v="Same Day"/>
    <x v="625"/>
    <s v="Ralph Ritter"/>
    <x v="0"/>
    <s v="United States"/>
    <s v="Aurora"/>
    <x v="10"/>
    <n v="60505"/>
    <x v="2"/>
    <x v="873"/>
    <x v="0"/>
    <x v="1"/>
    <x v="867"/>
    <x v="3230"/>
    <x v="4"/>
    <x v="3"/>
  </r>
  <r>
    <n v="4361"/>
    <x v="2166"/>
    <x v="206"/>
    <d v="2017-05-23T00:00:00"/>
    <s v="First Class"/>
    <x v="291"/>
    <s v="Christine Phan"/>
    <x v="1"/>
    <s v="United States"/>
    <s v="Warwick"/>
    <x v="34"/>
    <n v="2886"/>
    <x v="3"/>
    <x v="1654"/>
    <x v="1"/>
    <x v="10"/>
    <x v="33"/>
    <x v="1359"/>
    <x v="5"/>
    <x v="0"/>
  </r>
  <r>
    <n v="4362"/>
    <x v="2167"/>
    <x v="922"/>
    <d v="2018-02-21T00:00:00"/>
    <s v="Second Class"/>
    <x v="328"/>
    <s v="Lauren Leatherbury"/>
    <x v="0"/>
    <s v="United States"/>
    <s v="Lafayette"/>
    <x v="28"/>
    <n v="70506"/>
    <x v="0"/>
    <x v="119"/>
    <x v="2"/>
    <x v="7"/>
    <x v="119"/>
    <x v="2421"/>
    <x v="11"/>
    <x v="3"/>
  </r>
  <r>
    <n v="4363"/>
    <x v="2168"/>
    <x v="968"/>
    <d v="2018-05-22T00:00:00"/>
    <s v="Second Class"/>
    <x v="396"/>
    <s v="Nat Carroll"/>
    <x v="0"/>
    <s v="United States"/>
    <s v="Fargo"/>
    <x v="46"/>
    <n v="58103"/>
    <x v="2"/>
    <x v="399"/>
    <x v="1"/>
    <x v="6"/>
    <x v="400"/>
    <x v="3231"/>
    <x v="5"/>
    <x v="3"/>
  </r>
  <r>
    <n v="4364"/>
    <x v="2168"/>
    <x v="968"/>
    <d v="2018-05-22T00:00:00"/>
    <s v="Second Class"/>
    <x v="396"/>
    <s v="Nat Carroll"/>
    <x v="0"/>
    <s v="United States"/>
    <s v="Fargo"/>
    <x v="46"/>
    <n v="58103"/>
    <x v="2"/>
    <x v="313"/>
    <x v="1"/>
    <x v="6"/>
    <x v="313"/>
    <x v="233"/>
    <x v="5"/>
    <x v="3"/>
  </r>
  <r>
    <n v="4365"/>
    <x v="2168"/>
    <x v="968"/>
    <d v="2018-05-22T00:00:00"/>
    <s v="Second Class"/>
    <x v="396"/>
    <s v="Nat Carroll"/>
    <x v="0"/>
    <s v="United States"/>
    <s v="Fargo"/>
    <x v="46"/>
    <n v="58103"/>
    <x v="2"/>
    <x v="718"/>
    <x v="1"/>
    <x v="4"/>
    <x v="717"/>
    <x v="3232"/>
    <x v="5"/>
    <x v="3"/>
  </r>
  <r>
    <n v="4366"/>
    <x v="2168"/>
    <x v="968"/>
    <d v="2018-05-22T00:00:00"/>
    <s v="Second Class"/>
    <x v="396"/>
    <s v="Nat Carroll"/>
    <x v="0"/>
    <s v="United States"/>
    <s v="Fargo"/>
    <x v="46"/>
    <n v="58103"/>
    <x v="2"/>
    <x v="1099"/>
    <x v="1"/>
    <x v="13"/>
    <x v="128"/>
    <x v="3233"/>
    <x v="5"/>
    <x v="3"/>
  </r>
  <r>
    <n v="4367"/>
    <x v="2168"/>
    <x v="968"/>
    <d v="2018-05-22T00:00:00"/>
    <s v="Second Class"/>
    <x v="396"/>
    <s v="Nat Carroll"/>
    <x v="0"/>
    <s v="United States"/>
    <s v="Fargo"/>
    <x v="46"/>
    <n v="58103"/>
    <x v="2"/>
    <x v="1539"/>
    <x v="1"/>
    <x v="6"/>
    <x v="1527"/>
    <x v="3234"/>
    <x v="5"/>
    <x v="3"/>
  </r>
  <r>
    <n v="4368"/>
    <x v="2169"/>
    <x v="220"/>
    <d v="2018-09-13T00:00:00"/>
    <s v="Second Class"/>
    <x v="66"/>
    <s v="Helen Andreada"/>
    <x v="0"/>
    <s v="United States"/>
    <s v="Chicago"/>
    <x v="10"/>
    <n v="60623"/>
    <x v="2"/>
    <x v="1321"/>
    <x v="1"/>
    <x v="13"/>
    <x v="1307"/>
    <x v="3235"/>
    <x v="8"/>
    <x v="3"/>
  </r>
  <r>
    <n v="4369"/>
    <x v="2169"/>
    <x v="220"/>
    <d v="2018-09-13T00:00:00"/>
    <s v="Second Class"/>
    <x v="66"/>
    <s v="Helen Andreada"/>
    <x v="0"/>
    <s v="United States"/>
    <s v="Chicago"/>
    <x v="10"/>
    <n v="60623"/>
    <x v="2"/>
    <x v="630"/>
    <x v="1"/>
    <x v="10"/>
    <x v="630"/>
    <x v="3236"/>
    <x v="8"/>
    <x v="3"/>
  </r>
  <r>
    <n v="4370"/>
    <x v="2170"/>
    <x v="732"/>
    <d v="2017-11-10T00:00:00"/>
    <s v="Standard Class"/>
    <x v="671"/>
    <s v="Michelle Arnett"/>
    <x v="2"/>
    <s v="United States"/>
    <s v="Lawrence"/>
    <x v="14"/>
    <n v="46226"/>
    <x v="2"/>
    <x v="542"/>
    <x v="1"/>
    <x v="8"/>
    <x v="542"/>
    <x v="1716"/>
    <x v="0"/>
    <x v="0"/>
  </r>
  <r>
    <n v="4371"/>
    <x v="2170"/>
    <x v="732"/>
    <d v="2017-11-10T00:00:00"/>
    <s v="Standard Class"/>
    <x v="671"/>
    <s v="Michelle Arnett"/>
    <x v="2"/>
    <s v="United States"/>
    <s v="Lawrence"/>
    <x v="14"/>
    <n v="46226"/>
    <x v="2"/>
    <x v="1571"/>
    <x v="1"/>
    <x v="6"/>
    <x v="1562"/>
    <x v="1977"/>
    <x v="0"/>
    <x v="0"/>
  </r>
  <r>
    <n v="4372"/>
    <x v="2170"/>
    <x v="732"/>
    <d v="2017-11-10T00:00:00"/>
    <s v="Standard Class"/>
    <x v="671"/>
    <s v="Michelle Arnett"/>
    <x v="2"/>
    <s v="United States"/>
    <s v="Lawrence"/>
    <x v="14"/>
    <n v="46226"/>
    <x v="2"/>
    <x v="1655"/>
    <x v="1"/>
    <x v="2"/>
    <x v="1643"/>
    <x v="2616"/>
    <x v="0"/>
    <x v="0"/>
  </r>
  <r>
    <n v="4373"/>
    <x v="2171"/>
    <x v="283"/>
    <d v="2018-07-25T00:00:00"/>
    <s v="Second Class"/>
    <x v="23"/>
    <s v="Lena Hernandez"/>
    <x v="0"/>
    <s v="United States"/>
    <s v="Elkhart"/>
    <x v="14"/>
    <n v="46514"/>
    <x v="2"/>
    <x v="241"/>
    <x v="1"/>
    <x v="6"/>
    <x v="242"/>
    <x v="2582"/>
    <x v="7"/>
    <x v="3"/>
  </r>
  <r>
    <n v="4374"/>
    <x v="2171"/>
    <x v="283"/>
    <d v="2018-07-25T00:00:00"/>
    <s v="Second Class"/>
    <x v="23"/>
    <s v="Lena Hernandez"/>
    <x v="0"/>
    <s v="United States"/>
    <s v="Elkhart"/>
    <x v="14"/>
    <n v="46514"/>
    <x v="2"/>
    <x v="1365"/>
    <x v="2"/>
    <x v="11"/>
    <x v="1548"/>
    <x v="3237"/>
    <x v="7"/>
    <x v="3"/>
  </r>
  <r>
    <n v="4375"/>
    <x v="2172"/>
    <x v="741"/>
    <d v="2017-11-24T00:00:00"/>
    <s v="Standard Class"/>
    <x v="115"/>
    <s v="Sean Braxton"/>
    <x v="1"/>
    <s v="United States"/>
    <s v="Kent"/>
    <x v="24"/>
    <n v="44240"/>
    <x v="3"/>
    <x v="1656"/>
    <x v="1"/>
    <x v="9"/>
    <x v="1644"/>
    <x v="3238"/>
    <x v="0"/>
    <x v="0"/>
  </r>
  <r>
    <n v="4376"/>
    <x v="2173"/>
    <x v="573"/>
    <d v="2015-04-30T00:00:00"/>
    <s v="Standard Class"/>
    <x v="457"/>
    <s v="Beth Thompson"/>
    <x v="2"/>
    <s v="United States"/>
    <s v="San Gabriel"/>
    <x v="1"/>
    <n v="91776"/>
    <x v="1"/>
    <x v="71"/>
    <x v="0"/>
    <x v="5"/>
    <x v="71"/>
    <x v="3239"/>
    <x v="3"/>
    <x v="2"/>
  </r>
  <r>
    <n v="4377"/>
    <x v="2173"/>
    <x v="573"/>
    <d v="2015-04-30T00:00:00"/>
    <s v="Standard Class"/>
    <x v="457"/>
    <s v="Beth Thompson"/>
    <x v="2"/>
    <s v="United States"/>
    <s v="San Gabriel"/>
    <x v="1"/>
    <n v="91776"/>
    <x v="1"/>
    <x v="1284"/>
    <x v="1"/>
    <x v="9"/>
    <x v="1269"/>
    <x v="3240"/>
    <x v="3"/>
    <x v="2"/>
  </r>
  <r>
    <n v="4378"/>
    <x v="2173"/>
    <x v="573"/>
    <d v="2015-04-30T00:00:00"/>
    <s v="Standard Class"/>
    <x v="457"/>
    <s v="Beth Thompson"/>
    <x v="2"/>
    <s v="United States"/>
    <s v="San Gabriel"/>
    <x v="1"/>
    <n v="91776"/>
    <x v="1"/>
    <x v="873"/>
    <x v="0"/>
    <x v="1"/>
    <x v="867"/>
    <x v="3241"/>
    <x v="3"/>
    <x v="2"/>
  </r>
  <r>
    <n v="4379"/>
    <x v="2174"/>
    <x v="672"/>
    <d v="2016-12-02T00:00:00"/>
    <s v="Second Class"/>
    <x v="28"/>
    <s v="Paul Stevenson"/>
    <x v="2"/>
    <s v="United States"/>
    <s v="Henderson"/>
    <x v="0"/>
    <n v="42420"/>
    <x v="0"/>
    <x v="755"/>
    <x v="1"/>
    <x v="12"/>
    <x v="753"/>
    <x v="1897"/>
    <x v="0"/>
    <x v="1"/>
  </r>
  <r>
    <n v="4380"/>
    <x v="2174"/>
    <x v="672"/>
    <d v="2016-12-02T00:00:00"/>
    <s v="Second Class"/>
    <x v="28"/>
    <s v="Paul Stevenson"/>
    <x v="2"/>
    <s v="United States"/>
    <s v="Henderson"/>
    <x v="0"/>
    <n v="42420"/>
    <x v="0"/>
    <x v="842"/>
    <x v="1"/>
    <x v="12"/>
    <x v="836"/>
    <x v="3242"/>
    <x v="0"/>
    <x v="1"/>
  </r>
  <r>
    <n v="4381"/>
    <x v="2175"/>
    <x v="969"/>
    <d v="2016-10-30T00:00:00"/>
    <s v="Standard Class"/>
    <x v="577"/>
    <s v="Trudy Brown"/>
    <x v="0"/>
    <s v="United States"/>
    <s v="San Francisco"/>
    <x v="1"/>
    <n v="94110"/>
    <x v="1"/>
    <x v="626"/>
    <x v="1"/>
    <x v="6"/>
    <x v="626"/>
    <x v="774"/>
    <x v="2"/>
    <x v="1"/>
  </r>
  <r>
    <n v="4382"/>
    <x v="2175"/>
    <x v="969"/>
    <d v="2016-10-30T00:00:00"/>
    <s v="Standard Class"/>
    <x v="577"/>
    <s v="Trudy Brown"/>
    <x v="0"/>
    <s v="United States"/>
    <s v="San Francisco"/>
    <x v="1"/>
    <n v="94110"/>
    <x v="1"/>
    <x v="438"/>
    <x v="0"/>
    <x v="3"/>
    <x v="438"/>
    <x v="3243"/>
    <x v="2"/>
    <x v="1"/>
  </r>
  <r>
    <n v="4383"/>
    <x v="2176"/>
    <x v="603"/>
    <d v="2016-07-27T00:00:00"/>
    <s v="Standard Class"/>
    <x v="154"/>
    <s v="Russell Applegate"/>
    <x v="0"/>
    <s v="United States"/>
    <s v="Highland Park"/>
    <x v="10"/>
    <n v="60035"/>
    <x v="2"/>
    <x v="614"/>
    <x v="1"/>
    <x v="8"/>
    <x v="614"/>
    <x v="704"/>
    <x v="7"/>
    <x v="1"/>
  </r>
  <r>
    <n v="4384"/>
    <x v="2176"/>
    <x v="603"/>
    <d v="2016-07-27T00:00:00"/>
    <s v="Standard Class"/>
    <x v="154"/>
    <s v="Russell Applegate"/>
    <x v="0"/>
    <s v="United States"/>
    <s v="Highland Park"/>
    <x v="10"/>
    <n v="60035"/>
    <x v="2"/>
    <x v="1657"/>
    <x v="0"/>
    <x v="0"/>
    <x v="1645"/>
    <x v="3244"/>
    <x v="7"/>
    <x v="1"/>
  </r>
  <r>
    <n v="4385"/>
    <x v="2176"/>
    <x v="603"/>
    <d v="2016-07-27T00:00:00"/>
    <s v="Standard Class"/>
    <x v="154"/>
    <s v="Russell Applegate"/>
    <x v="0"/>
    <s v="United States"/>
    <s v="Highland Park"/>
    <x v="10"/>
    <n v="60035"/>
    <x v="2"/>
    <x v="664"/>
    <x v="2"/>
    <x v="7"/>
    <x v="664"/>
    <x v="2045"/>
    <x v="7"/>
    <x v="1"/>
  </r>
  <r>
    <n v="4386"/>
    <x v="2176"/>
    <x v="603"/>
    <d v="2016-07-27T00:00:00"/>
    <s v="Standard Class"/>
    <x v="154"/>
    <s v="Russell Applegate"/>
    <x v="0"/>
    <s v="United States"/>
    <s v="Highland Park"/>
    <x v="10"/>
    <n v="60035"/>
    <x v="2"/>
    <x v="37"/>
    <x v="0"/>
    <x v="0"/>
    <x v="37"/>
    <x v="3245"/>
    <x v="7"/>
    <x v="1"/>
  </r>
  <r>
    <n v="4387"/>
    <x v="2177"/>
    <x v="189"/>
    <d v="2017-11-02T00:00:00"/>
    <s v="Standard Class"/>
    <x v="162"/>
    <s v="Bart Pistole"/>
    <x v="1"/>
    <s v="United States"/>
    <s v="San Francisco"/>
    <x v="1"/>
    <n v="94122"/>
    <x v="1"/>
    <x v="1644"/>
    <x v="1"/>
    <x v="9"/>
    <x v="360"/>
    <x v="2836"/>
    <x v="2"/>
    <x v="0"/>
  </r>
  <r>
    <n v="4388"/>
    <x v="2177"/>
    <x v="189"/>
    <d v="2017-11-02T00:00:00"/>
    <s v="Standard Class"/>
    <x v="162"/>
    <s v="Bart Pistole"/>
    <x v="1"/>
    <s v="United States"/>
    <s v="San Francisco"/>
    <x v="1"/>
    <n v="94122"/>
    <x v="1"/>
    <x v="1124"/>
    <x v="1"/>
    <x v="8"/>
    <x v="1112"/>
    <x v="3066"/>
    <x v="2"/>
    <x v="0"/>
  </r>
  <r>
    <n v="4389"/>
    <x v="2178"/>
    <x v="225"/>
    <d v="2018-11-22T00:00:00"/>
    <s v="First Class"/>
    <x v="303"/>
    <s v="Carlos Daly"/>
    <x v="0"/>
    <s v="United States"/>
    <s v="New York City"/>
    <x v="15"/>
    <n v="10035"/>
    <x v="3"/>
    <x v="652"/>
    <x v="1"/>
    <x v="10"/>
    <x v="652"/>
    <x v="1160"/>
    <x v="0"/>
    <x v="3"/>
  </r>
  <r>
    <n v="4390"/>
    <x v="2178"/>
    <x v="225"/>
    <d v="2018-11-22T00:00:00"/>
    <s v="First Class"/>
    <x v="303"/>
    <s v="Carlos Daly"/>
    <x v="0"/>
    <s v="United States"/>
    <s v="New York City"/>
    <x v="15"/>
    <n v="10035"/>
    <x v="3"/>
    <x v="1121"/>
    <x v="0"/>
    <x v="0"/>
    <x v="1109"/>
    <x v="3246"/>
    <x v="0"/>
    <x v="3"/>
  </r>
  <r>
    <n v="4391"/>
    <x v="2178"/>
    <x v="225"/>
    <d v="2018-11-22T00:00:00"/>
    <s v="First Class"/>
    <x v="303"/>
    <s v="Carlos Daly"/>
    <x v="0"/>
    <s v="United States"/>
    <s v="New York City"/>
    <x v="15"/>
    <n v="10035"/>
    <x v="3"/>
    <x v="1461"/>
    <x v="2"/>
    <x v="7"/>
    <x v="1447"/>
    <x v="3247"/>
    <x v="0"/>
    <x v="3"/>
  </r>
  <r>
    <n v="4392"/>
    <x v="2178"/>
    <x v="225"/>
    <d v="2018-11-22T00:00:00"/>
    <s v="First Class"/>
    <x v="303"/>
    <s v="Carlos Daly"/>
    <x v="0"/>
    <s v="United States"/>
    <s v="New York City"/>
    <x v="15"/>
    <n v="10035"/>
    <x v="3"/>
    <x v="1243"/>
    <x v="1"/>
    <x v="6"/>
    <x v="1226"/>
    <x v="3248"/>
    <x v="0"/>
    <x v="3"/>
  </r>
  <r>
    <n v="4393"/>
    <x v="2179"/>
    <x v="162"/>
    <d v="2017-09-12T00:00:00"/>
    <s v="Standard Class"/>
    <x v="10"/>
    <s v="Ken Black"/>
    <x v="1"/>
    <s v="United States"/>
    <s v="Dallas"/>
    <x v="5"/>
    <n v="75081"/>
    <x v="2"/>
    <x v="399"/>
    <x v="1"/>
    <x v="6"/>
    <x v="400"/>
    <x v="464"/>
    <x v="8"/>
    <x v="0"/>
  </r>
  <r>
    <n v="4394"/>
    <x v="2179"/>
    <x v="162"/>
    <d v="2017-09-12T00:00:00"/>
    <s v="Standard Class"/>
    <x v="10"/>
    <s v="Ken Black"/>
    <x v="1"/>
    <s v="United States"/>
    <s v="Dallas"/>
    <x v="5"/>
    <n v="75081"/>
    <x v="2"/>
    <x v="1250"/>
    <x v="2"/>
    <x v="7"/>
    <x v="1234"/>
    <x v="3249"/>
    <x v="8"/>
    <x v="0"/>
  </r>
  <r>
    <n v="4395"/>
    <x v="2180"/>
    <x v="836"/>
    <d v="2015-07-20T00:00:00"/>
    <s v="Same Day"/>
    <x v="573"/>
    <s v="Scot Wooten"/>
    <x v="0"/>
    <s v="United States"/>
    <s v="Springfield"/>
    <x v="24"/>
    <n v="45503"/>
    <x v="3"/>
    <x v="571"/>
    <x v="1"/>
    <x v="4"/>
    <x v="571"/>
    <x v="3250"/>
    <x v="7"/>
    <x v="2"/>
  </r>
  <r>
    <n v="4396"/>
    <x v="2180"/>
    <x v="836"/>
    <d v="2015-07-20T00:00:00"/>
    <s v="Same Day"/>
    <x v="573"/>
    <s v="Scot Wooten"/>
    <x v="0"/>
    <s v="United States"/>
    <s v="Springfield"/>
    <x v="24"/>
    <n v="45503"/>
    <x v="3"/>
    <x v="999"/>
    <x v="1"/>
    <x v="8"/>
    <x v="991"/>
    <x v="3251"/>
    <x v="7"/>
    <x v="2"/>
  </r>
  <r>
    <n v="4397"/>
    <x v="2181"/>
    <x v="625"/>
    <d v="2017-11-19T00:00:00"/>
    <s v="Standard Class"/>
    <x v="706"/>
    <s v="Anna Häberlin"/>
    <x v="1"/>
    <s v="United States"/>
    <s v="San Diego"/>
    <x v="1"/>
    <n v="92024"/>
    <x v="1"/>
    <x v="944"/>
    <x v="2"/>
    <x v="7"/>
    <x v="937"/>
    <x v="3252"/>
    <x v="0"/>
    <x v="0"/>
  </r>
  <r>
    <n v="4398"/>
    <x v="2182"/>
    <x v="970"/>
    <d v="2015-07-11T00:00:00"/>
    <s v="Standard Class"/>
    <x v="252"/>
    <s v="John Lee"/>
    <x v="0"/>
    <s v="United States"/>
    <s v="Philadelphia"/>
    <x v="9"/>
    <n v="19120"/>
    <x v="3"/>
    <x v="812"/>
    <x v="0"/>
    <x v="1"/>
    <x v="809"/>
    <x v="3253"/>
    <x v="7"/>
    <x v="2"/>
  </r>
  <r>
    <n v="4399"/>
    <x v="2182"/>
    <x v="970"/>
    <d v="2015-07-11T00:00:00"/>
    <s v="Standard Class"/>
    <x v="252"/>
    <s v="John Lee"/>
    <x v="0"/>
    <s v="United States"/>
    <s v="Philadelphia"/>
    <x v="9"/>
    <n v="19120"/>
    <x v="3"/>
    <x v="484"/>
    <x v="0"/>
    <x v="5"/>
    <x v="484"/>
    <x v="3254"/>
    <x v="7"/>
    <x v="2"/>
  </r>
  <r>
    <n v="4400"/>
    <x v="2183"/>
    <x v="716"/>
    <d v="2017-03-17T00:00:00"/>
    <s v="Same Day"/>
    <x v="47"/>
    <s v="Gary Zandusky"/>
    <x v="0"/>
    <s v="United States"/>
    <s v="Columbia"/>
    <x v="39"/>
    <n v="21044"/>
    <x v="3"/>
    <x v="889"/>
    <x v="1"/>
    <x v="12"/>
    <x v="882"/>
    <x v="3255"/>
    <x v="10"/>
    <x v="0"/>
  </r>
  <r>
    <n v="4401"/>
    <x v="2183"/>
    <x v="716"/>
    <d v="2017-03-17T00:00:00"/>
    <s v="Same Day"/>
    <x v="47"/>
    <s v="Gary Zandusky"/>
    <x v="0"/>
    <s v="United States"/>
    <s v="Columbia"/>
    <x v="39"/>
    <n v="21044"/>
    <x v="3"/>
    <x v="227"/>
    <x v="1"/>
    <x v="9"/>
    <x v="228"/>
    <x v="3256"/>
    <x v="10"/>
    <x v="0"/>
  </r>
  <r>
    <n v="4402"/>
    <x v="2183"/>
    <x v="716"/>
    <d v="2017-03-17T00:00:00"/>
    <s v="Same Day"/>
    <x v="47"/>
    <s v="Gary Zandusky"/>
    <x v="0"/>
    <s v="United States"/>
    <s v="Columbia"/>
    <x v="39"/>
    <n v="21044"/>
    <x v="3"/>
    <x v="622"/>
    <x v="0"/>
    <x v="5"/>
    <x v="622"/>
    <x v="3257"/>
    <x v="10"/>
    <x v="0"/>
  </r>
  <r>
    <n v="4403"/>
    <x v="2184"/>
    <x v="482"/>
    <d v="2017-12-27T00:00:00"/>
    <s v="First Class"/>
    <x v="116"/>
    <s v="Roy Collins"/>
    <x v="0"/>
    <s v="United States"/>
    <s v="Colorado Springs"/>
    <x v="22"/>
    <n v="80906"/>
    <x v="1"/>
    <x v="1658"/>
    <x v="1"/>
    <x v="6"/>
    <x v="1646"/>
    <x v="3258"/>
    <x v="4"/>
    <x v="0"/>
  </r>
  <r>
    <n v="4404"/>
    <x v="2185"/>
    <x v="814"/>
    <d v="2015-09-04T00:00:00"/>
    <s v="First Class"/>
    <x v="52"/>
    <s v="Clay Ludtke"/>
    <x v="0"/>
    <s v="United States"/>
    <s v="New York City"/>
    <x v="15"/>
    <n v="10009"/>
    <x v="3"/>
    <x v="1658"/>
    <x v="1"/>
    <x v="6"/>
    <x v="1646"/>
    <x v="3259"/>
    <x v="8"/>
    <x v="2"/>
  </r>
  <r>
    <n v="4405"/>
    <x v="2186"/>
    <x v="761"/>
    <d v="2016-07-10T00:00:00"/>
    <s v="Standard Class"/>
    <x v="596"/>
    <s v="Mitch Webber"/>
    <x v="0"/>
    <s v="United States"/>
    <s v="Philadelphia"/>
    <x v="9"/>
    <n v="19140"/>
    <x v="3"/>
    <x v="174"/>
    <x v="2"/>
    <x v="11"/>
    <x v="175"/>
    <x v="3260"/>
    <x v="7"/>
    <x v="1"/>
  </r>
  <r>
    <n v="4406"/>
    <x v="2186"/>
    <x v="761"/>
    <d v="2016-07-10T00:00:00"/>
    <s v="Standard Class"/>
    <x v="596"/>
    <s v="Mitch Webber"/>
    <x v="0"/>
    <s v="United States"/>
    <s v="Philadelphia"/>
    <x v="9"/>
    <n v="19140"/>
    <x v="3"/>
    <x v="720"/>
    <x v="1"/>
    <x v="4"/>
    <x v="719"/>
    <x v="2316"/>
    <x v="7"/>
    <x v="1"/>
  </r>
  <r>
    <n v="4407"/>
    <x v="2187"/>
    <x v="73"/>
    <d v="2017-11-25T00:00:00"/>
    <s v="Standard Class"/>
    <x v="541"/>
    <s v="Barbara Fisher"/>
    <x v="1"/>
    <s v="United States"/>
    <s v="Columbus"/>
    <x v="14"/>
    <n v="47201"/>
    <x v="2"/>
    <x v="702"/>
    <x v="1"/>
    <x v="10"/>
    <x v="702"/>
    <x v="3261"/>
    <x v="0"/>
    <x v="0"/>
  </r>
  <r>
    <n v="4408"/>
    <x v="2187"/>
    <x v="73"/>
    <d v="2017-11-25T00:00:00"/>
    <s v="Standard Class"/>
    <x v="541"/>
    <s v="Barbara Fisher"/>
    <x v="1"/>
    <s v="United States"/>
    <s v="Columbus"/>
    <x v="14"/>
    <n v="47201"/>
    <x v="2"/>
    <x v="976"/>
    <x v="1"/>
    <x v="10"/>
    <x v="970"/>
    <x v="1806"/>
    <x v="0"/>
    <x v="0"/>
  </r>
  <r>
    <n v="4409"/>
    <x v="2187"/>
    <x v="73"/>
    <d v="2017-11-25T00:00:00"/>
    <s v="Standard Class"/>
    <x v="541"/>
    <s v="Barbara Fisher"/>
    <x v="1"/>
    <s v="United States"/>
    <s v="Columbus"/>
    <x v="14"/>
    <n v="47201"/>
    <x v="2"/>
    <x v="185"/>
    <x v="1"/>
    <x v="8"/>
    <x v="186"/>
    <x v="3262"/>
    <x v="0"/>
    <x v="0"/>
  </r>
  <r>
    <n v="4410"/>
    <x v="2188"/>
    <x v="457"/>
    <d v="2015-05-11T00:00:00"/>
    <s v="Standard Class"/>
    <x v="17"/>
    <s v="Steve Nguyen"/>
    <x v="2"/>
    <s v="United States"/>
    <s v="Los Angeles"/>
    <x v="1"/>
    <n v="90004"/>
    <x v="1"/>
    <x v="865"/>
    <x v="1"/>
    <x v="2"/>
    <x v="859"/>
    <x v="396"/>
    <x v="5"/>
    <x v="2"/>
  </r>
  <r>
    <n v="4411"/>
    <x v="2188"/>
    <x v="457"/>
    <d v="2015-05-11T00:00:00"/>
    <s v="Standard Class"/>
    <x v="17"/>
    <s v="Steve Nguyen"/>
    <x v="2"/>
    <s v="United States"/>
    <s v="Los Angeles"/>
    <x v="1"/>
    <n v="90004"/>
    <x v="1"/>
    <x v="646"/>
    <x v="1"/>
    <x v="6"/>
    <x v="646"/>
    <x v="1533"/>
    <x v="5"/>
    <x v="2"/>
  </r>
  <r>
    <n v="4412"/>
    <x v="2189"/>
    <x v="261"/>
    <d v="2015-06-24T00:00:00"/>
    <s v="First Class"/>
    <x v="509"/>
    <s v="Toby Braunhardt"/>
    <x v="0"/>
    <s v="United States"/>
    <s v="New York City"/>
    <x v="15"/>
    <n v="10024"/>
    <x v="3"/>
    <x v="1254"/>
    <x v="1"/>
    <x v="10"/>
    <x v="1238"/>
    <x v="1783"/>
    <x v="1"/>
    <x v="2"/>
  </r>
  <r>
    <n v="4413"/>
    <x v="2189"/>
    <x v="261"/>
    <d v="2015-06-24T00:00:00"/>
    <s v="First Class"/>
    <x v="509"/>
    <s v="Toby Braunhardt"/>
    <x v="0"/>
    <s v="United States"/>
    <s v="New York City"/>
    <x v="15"/>
    <n v="10024"/>
    <x v="3"/>
    <x v="517"/>
    <x v="2"/>
    <x v="7"/>
    <x v="517"/>
    <x v="896"/>
    <x v="1"/>
    <x v="2"/>
  </r>
  <r>
    <n v="4414"/>
    <x v="2189"/>
    <x v="261"/>
    <d v="2015-06-24T00:00:00"/>
    <s v="First Class"/>
    <x v="509"/>
    <s v="Toby Braunhardt"/>
    <x v="0"/>
    <s v="United States"/>
    <s v="New York City"/>
    <x v="15"/>
    <n v="10024"/>
    <x v="3"/>
    <x v="941"/>
    <x v="1"/>
    <x v="9"/>
    <x v="934"/>
    <x v="3263"/>
    <x v="1"/>
    <x v="2"/>
  </r>
  <r>
    <n v="4415"/>
    <x v="2190"/>
    <x v="971"/>
    <d v="2018-08-23T00:00:00"/>
    <s v="Standard Class"/>
    <x v="80"/>
    <s v="Jennifer Braxton"/>
    <x v="1"/>
    <s v="United States"/>
    <s v="Lawrence"/>
    <x v="31"/>
    <n v="1841"/>
    <x v="3"/>
    <x v="760"/>
    <x v="1"/>
    <x v="8"/>
    <x v="758"/>
    <x v="3264"/>
    <x v="6"/>
    <x v="3"/>
  </r>
  <r>
    <n v="4416"/>
    <x v="2191"/>
    <x v="503"/>
    <d v="2015-12-06T00:00:00"/>
    <s v="Standard Class"/>
    <x v="117"/>
    <s v="Alan Hwang"/>
    <x v="0"/>
    <s v="United States"/>
    <s v="San Francisco"/>
    <x v="1"/>
    <n v="94122"/>
    <x v="1"/>
    <x v="907"/>
    <x v="2"/>
    <x v="7"/>
    <x v="899"/>
    <x v="1169"/>
    <x v="0"/>
    <x v="2"/>
  </r>
  <r>
    <n v="4417"/>
    <x v="2191"/>
    <x v="503"/>
    <d v="2015-12-06T00:00:00"/>
    <s v="Standard Class"/>
    <x v="117"/>
    <s v="Alan Hwang"/>
    <x v="0"/>
    <s v="United States"/>
    <s v="San Francisco"/>
    <x v="1"/>
    <n v="94122"/>
    <x v="1"/>
    <x v="829"/>
    <x v="1"/>
    <x v="13"/>
    <x v="128"/>
    <x v="3265"/>
    <x v="0"/>
    <x v="2"/>
  </r>
  <r>
    <n v="4418"/>
    <x v="2192"/>
    <x v="359"/>
    <d v="2018-04-12T00:00:00"/>
    <s v="Second Class"/>
    <x v="107"/>
    <s v="Ken Lonsdale"/>
    <x v="0"/>
    <s v="United States"/>
    <s v="Detroit"/>
    <x v="12"/>
    <n v="48205"/>
    <x v="2"/>
    <x v="979"/>
    <x v="1"/>
    <x v="8"/>
    <x v="972"/>
    <x v="3266"/>
    <x v="3"/>
    <x v="3"/>
  </r>
  <r>
    <n v="4419"/>
    <x v="2193"/>
    <x v="414"/>
    <d v="2015-12-27T00:00:00"/>
    <s v="Standard Class"/>
    <x v="708"/>
    <s v="Mark Hamilton"/>
    <x v="0"/>
    <s v="United States"/>
    <s v="Hamilton"/>
    <x v="24"/>
    <n v="45011"/>
    <x v="3"/>
    <x v="124"/>
    <x v="0"/>
    <x v="5"/>
    <x v="125"/>
    <x v="3267"/>
    <x v="4"/>
    <x v="2"/>
  </r>
  <r>
    <n v="4420"/>
    <x v="2194"/>
    <x v="506"/>
    <d v="2015-12-24T00:00:00"/>
    <s v="Standard Class"/>
    <x v="685"/>
    <s v="Erin Creighton"/>
    <x v="0"/>
    <s v="United States"/>
    <s v="Columbus"/>
    <x v="24"/>
    <n v="43229"/>
    <x v="3"/>
    <x v="1203"/>
    <x v="1"/>
    <x v="8"/>
    <x v="1188"/>
    <x v="3268"/>
    <x v="4"/>
    <x v="2"/>
  </r>
  <r>
    <n v="4421"/>
    <x v="2195"/>
    <x v="972"/>
    <d v="2016-11-21T00:00:00"/>
    <s v="Second Class"/>
    <x v="348"/>
    <s v="Greg Hansen"/>
    <x v="0"/>
    <s v="United States"/>
    <s v="Chicago"/>
    <x v="10"/>
    <n v="60610"/>
    <x v="2"/>
    <x v="682"/>
    <x v="1"/>
    <x v="14"/>
    <x v="682"/>
    <x v="3269"/>
    <x v="0"/>
    <x v="1"/>
  </r>
  <r>
    <n v="4422"/>
    <x v="2196"/>
    <x v="530"/>
    <d v="2015-03-09T00:00:00"/>
    <s v="Standard Class"/>
    <x v="183"/>
    <s v="Sanjit Chand"/>
    <x v="0"/>
    <s v="United States"/>
    <s v="Margate"/>
    <x v="2"/>
    <n v="33063"/>
    <x v="0"/>
    <x v="313"/>
    <x v="1"/>
    <x v="6"/>
    <x v="313"/>
    <x v="12"/>
    <x v="10"/>
    <x v="2"/>
  </r>
  <r>
    <n v="4423"/>
    <x v="2197"/>
    <x v="796"/>
    <d v="2018-05-19T00:00:00"/>
    <s v="First Class"/>
    <x v="422"/>
    <s v="Todd Boyes"/>
    <x v="1"/>
    <s v="United States"/>
    <s v="Sandy Springs"/>
    <x v="32"/>
    <n v="30328"/>
    <x v="0"/>
    <x v="22"/>
    <x v="1"/>
    <x v="9"/>
    <x v="22"/>
    <x v="3270"/>
    <x v="5"/>
    <x v="3"/>
  </r>
  <r>
    <n v="4424"/>
    <x v="2197"/>
    <x v="796"/>
    <d v="2018-05-19T00:00:00"/>
    <s v="First Class"/>
    <x v="422"/>
    <s v="Todd Boyes"/>
    <x v="1"/>
    <s v="United States"/>
    <s v="Sandy Springs"/>
    <x v="32"/>
    <n v="30328"/>
    <x v="0"/>
    <x v="1659"/>
    <x v="0"/>
    <x v="0"/>
    <x v="1647"/>
    <x v="3271"/>
    <x v="5"/>
    <x v="3"/>
  </r>
  <r>
    <n v="4425"/>
    <x v="2197"/>
    <x v="796"/>
    <d v="2018-05-19T00:00:00"/>
    <s v="First Class"/>
    <x v="422"/>
    <s v="Todd Boyes"/>
    <x v="1"/>
    <s v="United States"/>
    <s v="Sandy Springs"/>
    <x v="32"/>
    <n v="30328"/>
    <x v="0"/>
    <x v="1091"/>
    <x v="2"/>
    <x v="7"/>
    <x v="1081"/>
    <x v="3272"/>
    <x v="5"/>
    <x v="3"/>
  </r>
  <r>
    <n v="4426"/>
    <x v="2197"/>
    <x v="796"/>
    <d v="2018-05-19T00:00:00"/>
    <s v="First Class"/>
    <x v="422"/>
    <s v="Todd Boyes"/>
    <x v="1"/>
    <s v="United States"/>
    <s v="Sandy Springs"/>
    <x v="32"/>
    <n v="30328"/>
    <x v="0"/>
    <x v="412"/>
    <x v="1"/>
    <x v="8"/>
    <x v="412"/>
    <x v="3273"/>
    <x v="5"/>
    <x v="3"/>
  </r>
  <r>
    <n v="4427"/>
    <x v="2197"/>
    <x v="796"/>
    <d v="2018-05-19T00:00:00"/>
    <s v="First Class"/>
    <x v="422"/>
    <s v="Todd Boyes"/>
    <x v="1"/>
    <s v="United States"/>
    <s v="Sandy Springs"/>
    <x v="32"/>
    <n v="30328"/>
    <x v="0"/>
    <x v="1480"/>
    <x v="2"/>
    <x v="7"/>
    <x v="1467"/>
    <x v="389"/>
    <x v="5"/>
    <x v="3"/>
  </r>
  <r>
    <n v="4428"/>
    <x v="2198"/>
    <x v="585"/>
    <d v="2018-09-28T00:00:00"/>
    <s v="Standard Class"/>
    <x v="694"/>
    <s v="David Wiener"/>
    <x v="1"/>
    <s v="United States"/>
    <s v="Albuquerque"/>
    <x v="27"/>
    <n v="87105"/>
    <x v="1"/>
    <x v="187"/>
    <x v="1"/>
    <x v="10"/>
    <x v="188"/>
    <x v="3274"/>
    <x v="8"/>
    <x v="3"/>
  </r>
  <r>
    <n v="4429"/>
    <x v="2199"/>
    <x v="708"/>
    <d v="2018-03-27T00:00:00"/>
    <s v="Standard Class"/>
    <x v="52"/>
    <s v="Clay Ludtke"/>
    <x v="0"/>
    <s v="United States"/>
    <s v="Tulsa"/>
    <x v="26"/>
    <n v="74133"/>
    <x v="2"/>
    <x v="1496"/>
    <x v="0"/>
    <x v="1"/>
    <x v="1484"/>
    <x v="3275"/>
    <x v="10"/>
    <x v="3"/>
  </r>
  <r>
    <n v="4430"/>
    <x v="2200"/>
    <x v="32"/>
    <d v="2018-09-14T00:00:00"/>
    <s v="Same Day"/>
    <x v="299"/>
    <s v="Liz Thompson"/>
    <x v="0"/>
    <s v="United States"/>
    <s v="Orange"/>
    <x v="30"/>
    <n v="7050"/>
    <x v="3"/>
    <x v="1559"/>
    <x v="1"/>
    <x v="6"/>
    <x v="1549"/>
    <x v="418"/>
    <x v="8"/>
    <x v="3"/>
  </r>
  <r>
    <n v="4431"/>
    <x v="2201"/>
    <x v="54"/>
    <d v="2017-11-08T00:00:00"/>
    <s v="Second Class"/>
    <x v="275"/>
    <s v="Arthur Prichep"/>
    <x v="0"/>
    <s v="United States"/>
    <s v="Henderson"/>
    <x v="0"/>
    <n v="42420"/>
    <x v="0"/>
    <x v="659"/>
    <x v="1"/>
    <x v="13"/>
    <x v="659"/>
    <x v="3276"/>
    <x v="0"/>
    <x v="0"/>
  </r>
  <r>
    <n v="4432"/>
    <x v="2201"/>
    <x v="54"/>
    <d v="2017-11-08T00:00:00"/>
    <s v="Second Class"/>
    <x v="275"/>
    <s v="Arthur Prichep"/>
    <x v="0"/>
    <s v="United States"/>
    <s v="Henderson"/>
    <x v="0"/>
    <n v="42420"/>
    <x v="0"/>
    <x v="1596"/>
    <x v="1"/>
    <x v="6"/>
    <x v="1588"/>
    <x v="3277"/>
    <x v="0"/>
    <x v="0"/>
  </r>
  <r>
    <n v="4433"/>
    <x v="2201"/>
    <x v="54"/>
    <d v="2017-11-08T00:00:00"/>
    <s v="Second Class"/>
    <x v="275"/>
    <s v="Arthur Prichep"/>
    <x v="0"/>
    <s v="United States"/>
    <s v="Henderson"/>
    <x v="0"/>
    <n v="42420"/>
    <x v="0"/>
    <x v="763"/>
    <x v="0"/>
    <x v="5"/>
    <x v="762"/>
    <x v="899"/>
    <x v="0"/>
    <x v="0"/>
  </r>
  <r>
    <n v="4434"/>
    <x v="2201"/>
    <x v="54"/>
    <d v="2017-11-08T00:00:00"/>
    <s v="Second Class"/>
    <x v="275"/>
    <s v="Arthur Prichep"/>
    <x v="0"/>
    <s v="United States"/>
    <s v="Henderson"/>
    <x v="0"/>
    <n v="42420"/>
    <x v="0"/>
    <x v="1452"/>
    <x v="1"/>
    <x v="6"/>
    <x v="1438"/>
    <x v="3278"/>
    <x v="0"/>
    <x v="0"/>
  </r>
  <r>
    <n v="4435"/>
    <x v="2201"/>
    <x v="54"/>
    <d v="2017-11-08T00:00:00"/>
    <s v="Second Class"/>
    <x v="275"/>
    <s v="Arthur Prichep"/>
    <x v="0"/>
    <s v="United States"/>
    <s v="Henderson"/>
    <x v="0"/>
    <n v="42420"/>
    <x v="0"/>
    <x v="1660"/>
    <x v="0"/>
    <x v="3"/>
    <x v="1648"/>
    <x v="3279"/>
    <x v="0"/>
    <x v="0"/>
  </r>
  <r>
    <n v="4436"/>
    <x v="2202"/>
    <x v="973"/>
    <d v="2017-05-08T00:00:00"/>
    <s v="Standard Class"/>
    <x v="558"/>
    <s v="Christy Brittain"/>
    <x v="0"/>
    <s v="United States"/>
    <s v="Chicago"/>
    <x v="10"/>
    <n v="60653"/>
    <x v="2"/>
    <x v="634"/>
    <x v="1"/>
    <x v="8"/>
    <x v="634"/>
    <x v="3280"/>
    <x v="5"/>
    <x v="0"/>
  </r>
  <r>
    <n v="4437"/>
    <x v="2202"/>
    <x v="973"/>
    <d v="2017-05-08T00:00:00"/>
    <s v="Standard Class"/>
    <x v="558"/>
    <s v="Christy Brittain"/>
    <x v="0"/>
    <s v="United States"/>
    <s v="Chicago"/>
    <x v="10"/>
    <n v="60653"/>
    <x v="2"/>
    <x v="1661"/>
    <x v="1"/>
    <x v="6"/>
    <x v="1649"/>
    <x v="3281"/>
    <x v="5"/>
    <x v="0"/>
  </r>
  <r>
    <n v="4438"/>
    <x v="2202"/>
    <x v="973"/>
    <d v="2017-05-08T00:00:00"/>
    <s v="Standard Class"/>
    <x v="558"/>
    <s v="Christy Brittain"/>
    <x v="0"/>
    <s v="United States"/>
    <s v="Chicago"/>
    <x v="10"/>
    <n v="60653"/>
    <x v="2"/>
    <x v="1324"/>
    <x v="1"/>
    <x v="9"/>
    <x v="1311"/>
    <x v="3282"/>
    <x v="5"/>
    <x v="0"/>
  </r>
  <r>
    <n v="4439"/>
    <x v="2203"/>
    <x v="797"/>
    <d v="2018-01-02T00:00:00"/>
    <s v="Standard Class"/>
    <x v="363"/>
    <s v="Meg Tillman"/>
    <x v="0"/>
    <s v="United States"/>
    <s v="Port Arthur"/>
    <x v="5"/>
    <n v="77642"/>
    <x v="2"/>
    <x v="1193"/>
    <x v="1"/>
    <x v="10"/>
    <x v="1178"/>
    <x v="559"/>
    <x v="4"/>
    <x v="0"/>
  </r>
  <r>
    <n v="4440"/>
    <x v="2203"/>
    <x v="797"/>
    <d v="2018-01-02T00:00:00"/>
    <s v="Standard Class"/>
    <x v="363"/>
    <s v="Meg Tillman"/>
    <x v="0"/>
    <s v="United States"/>
    <s v="Port Arthur"/>
    <x v="5"/>
    <n v="77642"/>
    <x v="2"/>
    <x v="956"/>
    <x v="1"/>
    <x v="10"/>
    <x v="949"/>
    <x v="208"/>
    <x v="4"/>
    <x v="0"/>
  </r>
  <r>
    <n v="4441"/>
    <x v="2204"/>
    <x v="405"/>
    <d v="2017-07-26T00:00:00"/>
    <s v="Standard Class"/>
    <x v="589"/>
    <s v="Dennis Kane"/>
    <x v="0"/>
    <s v="United States"/>
    <s v="Westland"/>
    <x v="12"/>
    <n v="48185"/>
    <x v="2"/>
    <x v="989"/>
    <x v="2"/>
    <x v="11"/>
    <x v="982"/>
    <x v="3283"/>
    <x v="7"/>
    <x v="0"/>
  </r>
  <r>
    <n v="4442"/>
    <x v="2204"/>
    <x v="405"/>
    <d v="2017-07-26T00:00:00"/>
    <s v="Standard Class"/>
    <x v="589"/>
    <s v="Dennis Kane"/>
    <x v="0"/>
    <s v="United States"/>
    <s v="Westland"/>
    <x v="12"/>
    <n v="48185"/>
    <x v="2"/>
    <x v="1662"/>
    <x v="1"/>
    <x v="4"/>
    <x v="1650"/>
    <x v="3284"/>
    <x v="7"/>
    <x v="0"/>
  </r>
  <r>
    <n v="4443"/>
    <x v="2204"/>
    <x v="405"/>
    <d v="2017-07-26T00:00:00"/>
    <s v="Standard Class"/>
    <x v="589"/>
    <s v="Dennis Kane"/>
    <x v="0"/>
    <s v="United States"/>
    <s v="Westland"/>
    <x v="12"/>
    <n v="48185"/>
    <x v="2"/>
    <x v="1663"/>
    <x v="1"/>
    <x v="6"/>
    <x v="1651"/>
    <x v="2580"/>
    <x v="7"/>
    <x v="0"/>
  </r>
  <r>
    <n v="4444"/>
    <x v="2204"/>
    <x v="405"/>
    <d v="2017-07-26T00:00:00"/>
    <s v="Standard Class"/>
    <x v="589"/>
    <s v="Dennis Kane"/>
    <x v="0"/>
    <s v="United States"/>
    <s v="Westland"/>
    <x v="12"/>
    <n v="48185"/>
    <x v="2"/>
    <x v="1009"/>
    <x v="1"/>
    <x v="10"/>
    <x v="1001"/>
    <x v="56"/>
    <x v="7"/>
    <x v="0"/>
  </r>
  <r>
    <n v="4445"/>
    <x v="2205"/>
    <x v="912"/>
    <d v="2015-11-21T00:00:00"/>
    <s v="Standard Class"/>
    <x v="256"/>
    <s v="Steven Roelle"/>
    <x v="2"/>
    <s v="United States"/>
    <s v="Bloomington"/>
    <x v="14"/>
    <n v="47401"/>
    <x v="2"/>
    <x v="1358"/>
    <x v="1"/>
    <x v="12"/>
    <x v="1344"/>
    <x v="2506"/>
    <x v="0"/>
    <x v="2"/>
  </r>
  <r>
    <n v="4446"/>
    <x v="2205"/>
    <x v="912"/>
    <d v="2015-11-21T00:00:00"/>
    <s v="Standard Class"/>
    <x v="256"/>
    <s v="Steven Roelle"/>
    <x v="2"/>
    <s v="United States"/>
    <s v="Bloomington"/>
    <x v="14"/>
    <n v="47401"/>
    <x v="2"/>
    <x v="1436"/>
    <x v="1"/>
    <x v="10"/>
    <x v="1424"/>
    <x v="2458"/>
    <x v="0"/>
    <x v="2"/>
  </r>
  <r>
    <n v="4447"/>
    <x v="2205"/>
    <x v="912"/>
    <d v="2015-11-21T00:00:00"/>
    <s v="Standard Class"/>
    <x v="256"/>
    <s v="Steven Roelle"/>
    <x v="2"/>
    <s v="United States"/>
    <s v="Bloomington"/>
    <x v="14"/>
    <n v="47401"/>
    <x v="2"/>
    <x v="24"/>
    <x v="1"/>
    <x v="8"/>
    <x v="24"/>
    <x v="2021"/>
    <x v="0"/>
    <x v="2"/>
  </r>
  <r>
    <n v="4448"/>
    <x v="2205"/>
    <x v="912"/>
    <d v="2015-11-21T00:00:00"/>
    <s v="Standard Class"/>
    <x v="256"/>
    <s v="Steven Roelle"/>
    <x v="2"/>
    <s v="United States"/>
    <s v="Bloomington"/>
    <x v="14"/>
    <n v="47401"/>
    <x v="2"/>
    <x v="298"/>
    <x v="1"/>
    <x v="4"/>
    <x v="298"/>
    <x v="3285"/>
    <x v="0"/>
    <x v="2"/>
  </r>
  <r>
    <n v="4449"/>
    <x v="2206"/>
    <x v="974"/>
    <d v="2016-06-23T00:00:00"/>
    <s v="Standard Class"/>
    <x v="109"/>
    <s v="Logan Haushalter"/>
    <x v="0"/>
    <s v="United States"/>
    <s v="Los Angeles"/>
    <x v="1"/>
    <n v="90032"/>
    <x v="1"/>
    <x v="545"/>
    <x v="0"/>
    <x v="5"/>
    <x v="545"/>
    <x v="2345"/>
    <x v="1"/>
    <x v="1"/>
  </r>
  <r>
    <n v="4450"/>
    <x v="2206"/>
    <x v="974"/>
    <d v="2016-06-23T00:00:00"/>
    <s v="Standard Class"/>
    <x v="109"/>
    <s v="Logan Haushalter"/>
    <x v="0"/>
    <s v="United States"/>
    <s v="Los Angeles"/>
    <x v="1"/>
    <n v="90032"/>
    <x v="1"/>
    <x v="1114"/>
    <x v="1"/>
    <x v="10"/>
    <x v="1103"/>
    <x v="90"/>
    <x v="1"/>
    <x v="1"/>
  </r>
  <r>
    <n v="4451"/>
    <x v="2206"/>
    <x v="974"/>
    <d v="2016-06-23T00:00:00"/>
    <s v="Standard Class"/>
    <x v="109"/>
    <s v="Logan Haushalter"/>
    <x v="0"/>
    <s v="United States"/>
    <s v="Los Angeles"/>
    <x v="1"/>
    <n v="90032"/>
    <x v="1"/>
    <x v="633"/>
    <x v="1"/>
    <x v="12"/>
    <x v="633"/>
    <x v="731"/>
    <x v="1"/>
    <x v="1"/>
  </r>
  <r>
    <n v="4452"/>
    <x v="2207"/>
    <x v="975"/>
    <d v="2017-07-06T00:00:00"/>
    <s v="First Class"/>
    <x v="731"/>
    <s v="Anna Andreadi"/>
    <x v="0"/>
    <s v="United States"/>
    <s v="San Francisco"/>
    <x v="1"/>
    <n v="94109"/>
    <x v="1"/>
    <x v="534"/>
    <x v="0"/>
    <x v="5"/>
    <x v="534"/>
    <x v="3286"/>
    <x v="7"/>
    <x v="0"/>
  </r>
  <r>
    <n v="4453"/>
    <x v="2207"/>
    <x v="975"/>
    <d v="2017-07-06T00:00:00"/>
    <s v="First Class"/>
    <x v="731"/>
    <s v="Anna Andreadi"/>
    <x v="0"/>
    <s v="United States"/>
    <s v="San Francisco"/>
    <x v="1"/>
    <n v="94109"/>
    <x v="1"/>
    <x v="1664"/>
    <x v="1"/>
    <x v="12"/>
    <x v="1652"/>
    <x v="3287"/>
    <x v="7"/>
    <x v="0"/>
  </r>
  <r>
    <n v="4454"/>
    <x v="2207"/>
    <x v="975"/>
    <d v="2017-07-06T00:00:00"/>
    <s v="First Class"/>
    <x v="731"/>
    <s v="Anna Andreadi"/>
    <x v="0"/>
    <s v="United States"/>
    <s v="San Francisco"/>
    <x v="1"/>
    <n v="94109"/>
    <x v="1"/>
    <x v="789"/>
    <x v="0"/>
    <x v="0"/>
    <x v="787"/>
    <x v="3288"/>
    <x v="7"/>
    <x v="0"/>
  </r>
  <r>
    <n v="4455"/>
    <x v="2207"/>
    <x v="975"/>
    <d v="2017-07-06T00:00:00"/>
    <s v="First Class"/>
    <x v="731"/>
    <s v="Anna Andreadi"/>
    <x v="0"/>
    <s v="United States"/>
    <s v="San Francisco"/>
    <x v="1"/>
    <n v="94109"/>
    <x v="1"/>
    <x v="700"/>
    <x v="1"/>
    <x v="4"/>
    <x v="700"/>
    <x v="3289"/>
    <x v="7"/>
    <x v="0"/>
  </r>
  <r>
    <n v="4456"/>
    <x v="2208"/>
    <x v="37"/>
    <d v="2016-09-08T00:00:00"/>
    <s v="Standard Class"/>
    <x v="357"/>
    <s v="Ann Steele"/>
    <x v="2"/>
    <s v="United States"/>
    <s v="San Francisco"/>
    <x v="1"/>
    <n v="94110"/>
    <x v="1"/>
    <x v="394"/>
    <x v="0"/>
    <x v="1"/>
    <x v="395"/>
    <x v="431"/>
    <x v="8"/>
    <x v="1"/>
  </r>
  <r>
    <n v="4457"/>
    <x v="2208"/>
    <x v="37"/>
    <d v="2016-09-08T00:00:00"/>
    <s v="Standard Class"/>
    <x v="357"/>
    <s v="Ann Steele"/>
    <x v="2"/>
    <s v="United States"/>
    <s v="San Francisco"/>
    <x v="1"/>
    <n v="94110"/>
    <x v="1"/>
    <x v="122"/>
    <x v="1"/>
    <x v="8"/>
    <x v="122"/>
    <x v="2850"/>
    <x v="8"/>
    <x v="1"/>
  </r>
  <r>
    <n v="4458"/>
    <x v="2209"/>
    <x v="783"/>
    <d v="2018-08-12T00:00:00"/>
    <s v="Standard Class"/>
    <x v="430"/>
    <s v="Matt Collins"/>
    <x v="0"/>
    <s v="United States"/>
    <s v="San Jose"/>
    <x v="1"/>
    <n v="95123"/>
    <x v="1"/>
    <x v="1184"/>
    <x v="1"/>
    <x v="10"/>
    <x v="1170"/>
    <x v="1644"/>
    <x v="6"/>
    <x v="3"/>
  </r>
  <r>
    <n v="4459"/>
    <x v="2210"/>
    <x v="677"/>
    <d v="2018-03-20T00:00:00"/>
    <s v="Standard Class"/>
    <x v="339"/>
    <s v="Sanjit Engle"/>
    <x v="0"/>
    <s v="United States"/>
    <s v="Denver"/>
    <x v="22"/>
    <n v="80219"/>
    <x v="1"/>
    <x v="465"/>
    <x v="1"/>
    <x v="14"/>
    <x v="466"/>
    <x v="3290"/>
    <x v="10"/>
    <x v="3"/>
  </r>
  <r>
    <n v="4460"/>
    <x v="2211"/>
    <x v="394"/>
    <d v="2018-10-01T00:00:00"/>
    <s v="First Class"/>
    <x v="284"/>
    <s v="Darrin Sayre"/>
    <x v="2"/>
    <s v="United States"/>
    <s v="Aurora"/>
    <x v="22"/>
    <n v="80013"/>
    <x v="1"/>
    <x v="514"/>
    <x v="0"/>
    <x v="5"/>
    <x v="514"/>
    <x v="3291"/>
    <x v="8"/>
    <x v="3"/>
  </r>
  <r>
    <n v="4461"/>
    <x v="2211"/>
    <x v="394"/>
    <d v="2018-10-01T00:00:00"/>
    <s v="First Class"/>
    <x v="284"/>
    <s v="Darrin Sayre"/>
    <x v="2"/>
    <s v="United States"/>
    <s v="Aurora"/>
    <x v="22"/>
    <n v="80013"/>
    <x v="1"/>
    <x v="196"/>
    <x v="1"/>
    <x v="4"/>
    <x v="197"/>
    <x v="2706"/>
    <x v="8"/>
    <x v="3"/>
  </r>
  <r>
    <n v="4462"/>
    <x v="2211"/>
    <x v="394"/>
    <d v="2018-10-01T00:00:00"/>
    <s v="First Class"/>
    <x v="284"/>
    <s v="Darrin Sayre"/>
    <x v="2"/>
    <s v="United States"/>
    <s v="Aurora"/>
    <x v="22"/>
    <n v="80013"/>
    <x v="1"/>
    <x v="151"/>
    <x v="2"/>
    <x v="11"/>
    <x v="152"/>
    <x v="157"/>
    <x v="8"/>
    <x v="3"/>
  </r>
  <r>
    <n v="4463"/>
    <x v="2211"/>
    <x v="394"/>
    <d v="2018-10-01T00:00:00"/>
    <s v="First Class"/>
    <x v="284"/>
    <s v="Darrin Sayre"/>
    <x v="2"/>
    <s v="United States"/>
    <s v="Aurora"/>
    <x v="22"/>
    <n v="80013"/>
    <x v="1"/>
    <x v="1242"/>
    <x v="1"/>
    <x v="8"/>
    <x v="1225"/>
    <x v="1963"/>
    <x v="8"/>
    <x v="3"/>
  </r>
  <r>
    <n v="4464"/>
    <x v="2211"/>
    <x v="394"/>
    <d v="2018-10-01T00:00:00"/>
    <s v="First Class"/>
    <x v="284"/>
    <s v="Darrin Sayre"/>
    <x v="2"/>
    <s v="United States"/>
    <s v="Aurora"/>
    <x v="22"/>
    <n v="80013"/>
    <x v="1"/>
    <x v="1665"/>
    <x v="1"/>
    <x v="10"/>
    <x v="1653"/>
    <x v="642"/>
    <x v="8"/>
    <x v="3"/>
  </r>
  <r>
    <n v="4465"/>
    <x v="2211"/>
    <x v="394"/>
    <d v="2018-10-01T00:00:00"/>
    <s v="First Class"/>
    <x v="284"/>
    <s v="Darrin Sayre"/>
    <x v="2"/>
    <s v="United States"/>
    <s v="Aurora"/>
    <x v="22"/>
    <n v="80013"/>
    <x v="1"/>
    <x v="164"/>
    <x v="1"/>
    <x v="9"/>
    <x v="165"/>
    <x v="3292"/>
    <x v="8"/>
    <x v="3"/>
  </r>
  <r>
    <n v="4466"/>
    <x v="2212"/>
    <x v="976"/>
    <d v="2016-08-11T00:00:00"/>
    <s v="Standard Class"/>
    <x v="374"/>
    <s v="Noel Staavos"/>
    <x v="1"/>
    <s v="United States"/>
    <s v="Boise"/>
    <x v="45"/>
    <n v="83704"/>
    <x v="1"/>
    <x v="925"/>
    <x v="1"/>
    <x v="8"/>
    <x v="917"/>
    <x v="106"/>
    <x v="6"/>
    <x v="1"/>
  </r>
  <r>
    <n v="4467"/>
    <x v="2213"/>
    <x v="221"/>
    <d v="2018-12-01T00:00:00"/>
    <s v="Standard Class"/>
    <x v="567"/>
    <s v="Kelly Andreada"/>
    <x v="0"/>
    <s v="United States"/>
    <s v="New York City"/>
    <x v="15"/>
    <n v="10035"/>
    <x v="3"/>
    <x v="853"/>
    <x v="1"/>
    <x v="6"/>
    <x v="846"/>
    <x v="3293"/>
    <x v="0"/>
    <x v="3"/>
  </r>
  <r>
    <n v="4468"/>
    <x v="2213"/>
    <x v="221"/>
    <d v="2018-12-01T00:00:00"/>
    <s v="Standard Class"/>
    <x v="567"/>
    <s v="Kelly Andreada"/>
    <x v="0"/>
    <s v="United States"/>
    <s v="New York City"/>
    <x v="15"/>
    <n v="10035"/>
    <x v="3"/>
    <x v="970"/>
    <x v="1"/>
    <x v="12"/>
    <x v="964"/>
    <x v="1229"/>
    <x v="0"/>
    <x v="3"/>
  </r>
  <r>
    <n v="4469"/>
    <x v="2213"/>
    <x v="221"/>
    <d v="2018-12-01T00:00:00"/>
    <s v="Standard Class"/>
    <x v="567"/>
    <s v="Kelly Andreada"/>
    <x v="0"/>
    <s v="United States"/>
    <s v="New York City"/>
    <x v="15"/>
    <n v="10035"/>
    <x v="3"/>
    <x v="1333"/>
    <x v="0"/>
    <x v="0"/>
    <x v="1318"/>
    <x v="243"/>
    <x v="0"/>
    <x v="3"/>
  </r>
  <r>
    <n v="4470"/>
    <x v="2213"/>
    <x v="221"/>
    <d v="2018-12-01T00:00:00"/>
    <s v="Standard Class"/>
    <x v="567"/>
    <s v="Kelly Andreada"/>
    <x v="0"/>
    <s v="United States"/>
    <s v="New York City"/>
    <x v="15"/>
    <n v="10035"/>
    <x v="3"/>
    <x v="1193"/>
    <x v="1"/>
    <x v="10"/>
    <x v="1178"/>
    <x v="91"/>
    <x v="0"/>
    <x v="3"/>
  </r>
  <r>
    <n v="4471"/>
    <x v="2214"/>
    <x v="540"/>
    <d v="2018-05-12T00:00:00"/>
    <s v="Standard Class"/>
    <x v="137"/>
    <s v="Don Jones"/>
    <x v="1"/>
    <s v="United States"/>
    <s v="Philadelphia"/>
    <x v="9"/>
    <n v="19140"/>
    <x v="3"/>
    <x v="1534"/>
    <x v="0"/>
    <x v="1"/>
    <x v="1522"/>
    <x v="3294"/>
    <x v="5"/>
    <x v="3"/>
  </r>
  <r>
    <n v="4472"/>
    <x v="2215"/>
    <x v="365"/>
    <d v="2018-09-29T00:00:00"/>
    <s v="Same Day"/>
    <x v="67"/>
    <s v="Maureen Gastineau"/>
    <x v="2"/>
    <s v="United States"/>
    <s v="Mentor"/>
    <x v="24"/>
    <n v="44060"/>
    <x v="3"/>
    <x v="1209"/>
    <x v="0"/>
    <x v="1"/>
    <x v="1194"/>
    <x v="1330"/>
    <x v="8"/>
    <x v="3"/>
  </r>
  <r>
    <n v="4473"/>
    <x v="2215"/>
    <x v="365"/>
    <d v="2018-09-29T00:00:00"/>
    <s v="Same Day"/>
    <x v="67"/>
    <s v="Maureen Gastineau"/>
    <x v="2"/>
    <s v="United States"/>
    <s v="Mentor"/>
    <x v="24"/>
    <n v="44060"/>
    <x v="3"/>
    <x v="409"/>
    <x v="2"/>
    <x v="11"/>
    <x v="409"/>
    <x v="1946"/>
    <x v="8"/>
    <x v="3"/>
  </r>
  <r>
    <n v="4474"/>
    <x v="2215"/>
    <x v="365"/>
    <d v="2018-09-29T00:00:00"/>
    <s v="Same Day"/>
    <x v="67"/>
    <s v="Maureen Gastineau"/>
    <x v="2"/>
    <s v="United States"/>
    <s v="Mentor"/>
    <x v="24"/>
    <n v="44060"/>
    <x v="3"/>
    <x v="1666"/>
    <x v="0"/>
    <x v="3"/>
    <x v="1654"/>
    <x v="2408"/>
    <x v="8"/>
    <x v="3"/>
  </r>
  <r>
    <n v="4475"/>
    <x v="2215"/>
    <x v="365"/>
    <d v="2018-09-29T00:00:00"/>
    <s v="Same Day"/>
    <x v="67"/>
    <s v="Maureen Gastineau"/>
    <x v="2"/>
    <s v="United States"/>
    <s v="Mentor"/>
    <x v="24"/>
    <n v="44060"/>
    <x v="3"/>
    <x v="1290"/>
    <x v="1"/>
    <x v="10"/>
    <x v="1276"/>
    <x v="12"/>
    <x v="8"/>
    <x v="3"/>
  </r>
  <r>
    <n v="4476"/>
    <x v="2215"/>
    <x v="365"/>
    <d v="2018-09-29T00:00:00"/>
    <s v="Same Day"/>
    <x v="67"/>
    <s v="Maureen Gastineau"/>
    <x v="2"/>
    <s v="United States"/>
    <s v="Mentor"/>
    <x v="24"/>
    <n v="44060"/>
    <x v="3"/>
    <x v="1494"/>
    <x v="0"/>
    <x v="5"/>
    <x v="1482"/>
    <x v="3295"/>
    <x v="8"/>
    <x v="3"/>
  </r>
  <r>
    <n v="4477"/>
    <x v="2215"/>
    <x v="365"/>
    <d v="2018-09-29T00:00:00"/>
    <s v="Same Day"/>
    <x v="67"/>
    <s v="Maureen Gastineau"/>
    <x v="2"/>
    <s v="United States"/>
    <s v="Mentor"/>
    <x v="24"/>
    <n v="44060"/>
    <x v="3"/>
    <x v="1610"/>
    <x v="1"/>
    <x v="10"/>
    <x v="1601"/>
    <x v="578"/>
    <x v="8"/>
    <x v="3"/>
  </r>
  <r>
    <n v="4478"/>
    <x v="2216"/>
    <x v="760"/>
    <d v="2018-10-22T00:00:00"/>
    <s v="Same Day"/>
    <x v="379"/>
    <s v="Brian DeCherney"/>
    <x v="0"/>
    <s v="United States"/>
    <s v="Lawton"/>
    <x v="26"/>
    <n v="73505"/>
    <x v="2"/>
    <x v="1667"/>
    <x v="1"/>
    <x v="4"/>
    <x v="1655"/>
    <x v="3296"/>
    <x v="2"/>
    <x v="3"/>
  </r>
  <r>
    <n v="4479"/>
    <x v="2216"/>
    <x v="760"/>
    <d v="2018-10-22T00:00:00"/>
    <s v="Same Day"/>
    <x v="379"/>
    <s v="Brian DeCherney"/>
    <x v="0"/>
    <s v="United States"/>
    <s v="Lawton"/>
    <x v="26"/>
    <n v="73505"/>
    <x v="2"/>
    <x v="209"/>
    <x v="0"/>
    <x v="3"/>
    <x v="210"/>
    <x v="3297"/>
    <x v="2"/>
    <x v="3"/>
  </r>
  <r>
    <n v="4480"/>
    <x v="2217"/>
    <x v="977"/>
    <d v="2015-03-28T00:00:00"/>
    <s v="Standard Class"/>
    <x v="303"/>
    <s v="Carlos Daly"/>
    <x v="0"/>
    <s v="United States"/>
    <s v="New York City"/>
    <x v="15"/>
    <n v="10024"/>
    <x v="3"/>
    <x v="1668"/>
    <x v="1"/>
    <x v="10"/>
    <x v="1656"/>
    <x v="1663"/>
    <x v="10"/>
    <x v="2"/>
  </r>
  <r>
    <n v="4481"/>
    <x v="2218"/>
    <x v="54"/>
    <d v="2017-11-08T00:00:00"/>
    <s v="Standard Class"/>
    <x v="190"/>
    <s v="Xylona Preis"/>
    <x v="0"/>
    <s v="United States"/>
    <s v="Los Angeles"/>
    <x v="1"/>
    <n v="90049"/>
    <x v="1"/>
    <x v="845"/>
    <x v="1"/>
    <x v="13"/>
    <x v="839"/>
    <x v="53"/>
    <x v="0"/>
    <x v="0"/>
  </r>
  <r>
    <n v="4482"/>
    <x v="2218"/>
    <x v="54"/>
    <d v="2017-11-08T00:00:00"/>
    <s v="Standard Class"/>
    <x v="190"/>
    <s v="Xylona Preis"/>
    <x v="0"/>
    <s v="United States"/>
    <s v="Los Angeles"/>
    <x v="1"/>
    <n v="90049"/>
    <x v="1"/>
    <x v="1656"/>
    <x v="1"/>
    <x v="9"/>
    <x v="1644"/>
    <x v="3298"/>
    <x v="0"/>
    <x v="0"/>
  </r>
  <r>
    <n v="4483"/>
    <x v="2218"/>
    <x v="54"/>
    <d v="2017-11-08T00:00:00"/>
    <s v="Standard Class"/>
    <x v="190"/>
    <s v="Xylona Preis"/>
    <x v="0"/>
    <s v="United States"/>
    <s v="Los Angeles"/>
    <x v="1"/>
    <n v="90049"/>
    <x v="1"/>
    <x v="109"/>
    <x v="1"/>
    <x v="8"/>
    <x v="109"/>
    <x v="2185"/>
    <x v="0"/>
    <x v="0"/>
  </r>
  <r>
    <n v="4484"/>
    <x v="2218"/>
    <x v="54"/>
    <d v="2017-11-08T00:00:00"/>
    <s v="Standard Class"/>
    <x v="190"/>
    <s v="Xylona Preis"/>
    <x v="0"/>
    <s v="United States"/>
    <s v="Los Angeles"/>
    <x v="1"/>
    <n v="90049"/>
    <x v="1"/>
    <x v="1669"/>
    <x v="1"/>
    <x v="10"/>
    <x v="1657"/>
    <x v="2207"/>
    <x v="0"/>
    <x v="0"/>
  </r>
  <r>
    <n v="4485"/>
    <x v="2218"/>
    <x v="54"/>
    <d v="2017-11-08T00:00:00"/>
    <s v="Standard Class"/>
    <x v="190"/>
    <s v="Xylona Preis"/>
    <x v="0"/>
    <s v="United States"/>
    <s v="Los Angeles"/>
    <x v="1"/>
    <n v="90049"/>
    <x v="1"/>
    <x v="699"/>
    <x v="1"/>
    <x v="8"/>
    <x v="699"/>
    <x v="3299"/>
    <x v="0"/>
    <x v="0"/>
  </r>
  <r>
    <n v="4486"/>
    <x v="2218"/>
    <x v="54"/>
    <d v="2017-11-08T00:00:00"/>
    <s v="Standard Class"/>
    <x v="190"/>
    <s v="Xylona Preis"/>
    <x v="0"/>
    <s v="United States"/>
    <s v="Los Angeles"/>
    <x v="1"/>
    <n v="90049"/>
    <x v="1"/>
    <x v="1231"/>
    <x v="1"/>
    <x v="10"/>
    <x v="1270"/>
    <x v="537"/>
    <x v="0"/>
    <x v="0"/>
  </r>
  <r>
    <n v="4487"/>
    <x v="2218"/>
    <x v="54"/>
    <d v="2017-11-08T00:00:00"/>
    <s v="Standard Class"/>
    <x v="190"/>
    <s v="Xylona Preis"/>
    <x v="0"/>
    <s v="United States"/>
    <s v="Los Angeles"/>
    <x v="1"/>
    <n v="90049"/>
    <x v="1"/>
    <x v="1078"/>
    <x v="1"/>
    <x v="10"/>
    <x v="1068"/>
    <x v="1806"/>
    <x v="0"/>
    <x v="0"/>
  </r>
  <r>
    <n v="4488"/>
    <x v="2219"/>
    <x v="577"/>
    <d v="2016-09-11T00:00:00"/>
    <s v="Standard Class"/>
    <x v="402"/>
    <s v="Cathy Armstrong"/>
    <x v="2"/>
    <s v="United States"/>
    <s v="Houston"/>
    <x v="5"/>
    <n v="77036"/>
    <x v="2"/>
    <x v="1526"/>
    <x v="1"/>
    <x v="8"/>
    <x v="1513"/>
    <x v="3300"/>
    <x v="8"/>
    <x v="1"/>
  </r>
  <r>
    <n v="4489"/>
    <x v="2219"/>
    <x v="577"/>
    <d v="2016-09-11T00:00:00"/>
    <s v="Standard Class"/>
    <x v="402"/>
    <s v="Cathy Armstrong"/>
    <x v="2"/>
    <s v="United States"/>
    <s v="Houston"/>
    <x v="5"/>
    <n v="77036"/>
    <x v="2"/>
    <x v="1511"/>
    <x v="1"/>
    <x v="14"/>
    <x v="1498"/>
    <x v="3301"/>
    <x v="8"/>
    <x v="1"/>
  </r>
  <r>
    <n v="4490"/>
    <x v="2219"/>
    <x v="577"/>
    <d v="2016-09-11T00:00:00"/>
    <s v="Standard Class"/>
    <x v="402"/>
    <s v="Cathy Armstrong"/>
    <x v="2"/>
    <s v="United States"/>
    <s v="Houston"/>
    <x v="5"/>
    <n v="77036"/>
    <x v="2"/>
    <x v="985"/>
    <x v="1"/>
    <x v="8"/>
    <x v="978"/>
    <x v="3302"/>
    <x v="8"/>
    <x v="1"/>
  </r>
  <r>
    <n v="4491"/>
    <x v="2220"/>
    <x v="718"/>
    <d v="2018-08-21T00:00:00"/>
    <s v="Standard Class"/>
    <x v="49"/>
    <s v="Janet Martin"/>
    <x v="0"/>
    <s v="United States"/>
    <s v="Los Angeles"/>
    <x v="1"/>
    <n v="90032"/>
    <x v="1"/>
    <x v="616"/>
    <x v="0"/>
    <x v="3"/>
    <x v="616"/>
    <x v="3303"/>
    <x v="6"/>
    <x v="3"/>
  </r>
  <r>
    <n v="4492"/>
    <x v="2221"/>
    <x v="588"/>
    <d v="2015-12-03T00:00:00"/>
    <s v="Second Class"/>
    <x v="300"/>
    <s v="Joe Kamberova"/>
    <x v="0"/>
    <s v="United States"/>
    <s v="Columbus"/>
    <x v="24"/>
    <n v="43229"/>
    <x v="3"/>
    <x v="1572"/>
    <x v="2"/>
    <x v="16"/>
    <x v="1563"/>
    <x v="3304"/>
    <x v="4"/>
    <x v="2"/>
  </r>
  <r>
    <n v="4493"/>
    <x v="2221"/>
    <x v="588"/>
    <d v="2015-12-03T00:00:00"/>
    <s v="Second Class"/>
    <x v="300"/>
    <s v="Joe Kamberova"/>
    <x v="0"/>
    <s v="United States"/>
    <s v="Columbus"/>
    <x v="24"/>
    <n v="43229"/>
    <x v="3"/>
    <x v="534"/>
    <x v="0"/>
    <x v="5"/>
    <x v="534"/>
    <x v="3305"/>
    <x v="4"/>
    <x v="2"/>
  </r>
  <r>
    <n v="4494"/>
    <x v="2221"/>
    <x v="588"/>
    <d v="2015-12-03T00:00:00"/>
    <s v="Second Class"/>
    <x v="300"/>
    <s v="Joe Kamberova"/>
    <x v="0"/>
    <s v="United States"/>
    <s v="Columbus"/>
    <x v="24"/>
    <n v="43229"/>
    <x v="3"/>
    <x v="1193"/>
    <x v="1"/>
    <x v="10"/>
    <x v="1178"/>
    <x v="1566"/>
    <x v="4"/>
    <x v="2"/>
  </r>
  <r>
    <n v="4495"/>
    <x v="2221"/>
    <x v="588"/>
    <d v="2015-12-03T00:00:00"/>
    <s v="Second Class"/>
    <x v="300"/>
    <s v="Joe Kamberova"/>
    <x v="0"/>
    <s v="United States"/>
    <s v="Columbus"/>
    <x v="24"/>
    <n v="43229"/>
    <x v="3"/>
    <x v="377"/>
    <x v="0"/>
    <x v="1"/>
    <x v="378"/>
    <x v="3306"/>
    <x v="4"/>
    <x v="2"/>
  </r>
  <r>
    <n v="4496"/>
    <x v="2222"/>
    <x v="978"/>
    <d v="2018-06-23T00:00:00"/>
    <s v="Standard Class"/>
    <x v="113"/>
    <s v="Craig Carreira"/>
    <x v="0"/>
    <s v="United States"/>
    <s v="Los Angeles"/>
    <x v="1"/>
    <n v="90032"/>
    <x v="1"/>
    <x v="574"/>
    <x v="0"/>
    <x v="0"/>
    <x v="574"/>
    <x v="3307"/>
    <x v="1"/>
    <x v="3"/>
  </r>
  <r>
    <n v="4497"/>
    <x v="2222"/>
    <x v="978"/>
    <d v="2018-06-23T00:00:00"/>
    <s v="Standard Class"/>
    <x v="113"/>
    <s v="Craig Carreira"/>
    <x v="0"/>
    <s v="United States"/>
    <s v="Los Angeles"/>
    <x v="1"/>
    <n v="90032"/>
    <x v="1"/>
    <x v="329"/>
    <x v="1"/>
    <x v="10"/>
    <x v="329"/>
    <x v="783"/>
    <x v="1"/>
    <x v="3"/>
  </r>
  <r>
    <n v="4498"/>
    <x v="2223"/>
    <x v="574"/>
    <d v="2018-12-09T00:00:00"/>
    <s v="Standard Class"/>
    <x v="543"/>
    <s v="Giulietta Weimer"/>
    <x v="0"/>
    <s v="United States"/>
    <s v="Philadelphia"/>
    <x v="9"/>
    <n v="19140"/>
    <x v="3"/>
    <x v="115"/>
    <x v="1"/>
    <x v="8"/>
    <x v="115"/>
    <x v="3308"/>
    <x v="4"/>
    <x v="3"/>
  </r>
  <r>
    <n v="4499"/>
    <x v="2224"/>
    <x v="871"/>
    <d v="2015-11-26T00:00:00"/>
    <s v="Standard Class"/>
    <x v="744"/>
    <s v="Georgia Rosenberg"/>
    <x v="1"/>
    <s v="United States"/>
    <s v="San Francisco"/>
    <x v="1"/>
    <n v="94110"/>
    <x v="1"/>
    <x v="1165"/>
    <x v="1"/>
    <x v="10"/>
    <x v="1152"/>
    <x v="91"/>
    <x v="0"/>
    <x v="2"/>
  </r>
  <r>
    <n v="4500"/>
    <x v="2225"/>
    <x v="342"/>
    <d v="2017-04-16T00:00:00"/>
    <s v="Standard Class"/>
    <x v="524"/>
    <s v="Filia McAdams"/>
    <x v="1"/>
    <s v="United States"/>
    <s v="Bakersfield"/>
    <x v="1"/>
    <n v="93309"/>
    <x v="1"/>
    <x v="1290"/>
    <x v="1"/>
    <x v="10"/>
    <x v="1276"/>
    <x v="91"/>
    <x v="3"/>
    <x v="0"/>
  </r>
  <r>
    <n v="4501"/>
    <x v="2225"/>
    <x v="342"/>
    <d v="2017-04-16T00:00:00"/>
    <s v="Standard Class"/>
    <x v="524"/>
    <s v="Filia McAdams"/>
    <x v="1"/>
    <s v="United States"/>
    <s v="Bakersfield"/>
    <x v="1"/>
    <n v="93309"/>
    <x v="1"/>
    <x v="1458"/>
    <x v="1"/>
    <x v="8"/>
    <x v="1444"/>
    <x v="347"/>
    <x v="3"/>
    <x v="0"/>
  </r>
  <r>
    <n v="4502"/>
    <x v="2226"/>
    <x v="479"/>
    <d v="2015-07-04T00:00:00"/>
    <s v="Standard Class"/>
    <x v="99"/>
    <s v="Michael Stewart"/>
    <x v="1"/>
    <s v="United States"/>
    <s v="Houston"/>
    <x v="5"/>
    <n v="77095"/>
    <x v="2"/>
    <x v="510"/>
    <x v="1"/>
    <x v="10"/>
    <x v="510"/>
    <x v="233"/>
    <x v="1"/>
    <x v="2"/>
  </r>
  <r>
    <n v="4503"/>
    <x v="2226"/>
    <x v="479"/>
    <d v="2015-07-04T00:00:00"/>
    <s v="Standard Class"/>
    <x v="99"/>
    <s v="Michael Stewart"/>
    <x v="1"/>
    <s v="United States"/>
    <s v="Houston"/>
    <x v="5"/>
    <n v="77095"/>
    <x v="2"/>
    <x v="462"/>
    <x v="1"/>
    <x v="13"/>
    <x v="128"/>
    <x v="3309"/>
    <x v="1"/>
    <x v="2"/>
  </r>
  <r>
    <n v="4504"/>
    <x v="2227"/>
    <x v="163"/>
    <d v="2015-12-29T00:00:00"/>
    <s v="Standard Class"/>
    <x v="408"/>
    <s v="Ben Ferrer"/>
    <x v="2"/>
    <s v="United States"/>
    <s v="Los Angeles"/>
    <x v="1"/>
    <n v="90045"/>
    <x v="1"/>
    <x v="1670"/>
    <x v="2"/>
    <x v="7"/>
    <x v="1658"/>
    <x v="3310"/>
    <x v="4"/>
    <x v="2"/>
  </r>
  <r>
    <n v="4505"/>
    <x v="2227"/>
    <x v="163"/>
    <d v="2015-12-29T00:00:00"/>
    <s v="Standard Class"/>
    <x v="408"/>
    <s v="Ben Ferrer"/>
    <x v="2"/>
    <s v="United States"/>
    <s v="Los Angeles"/>
    <x v="1"/>
    <n v="90045"/>
    <x v="1"/>
    <x v="1107"/>
    <x v="1"/>
    <x v="9"/>
    <x v="1096"/>
    <x v="2694"/>
    <x v="4"/>
    <x v="2"/>
  </r>
  <r>
    <n v="4506"/>
    <x v="2227"/>
    <x v="163"/>
    <d v="2015-12-29T00:00:00"/>
    <s v="Standard Class"/>
    <x v="408"/>
    <s v="Ben Ferrer"/>
    <x v="2"/>
    <s v="United States"/>
    <s v="Los Angeles"/>
    <x v="1"/>
    <n v="90045"/>
    <x v="1"/>
    <x v="341"/>
    <x v="2"/>
    <x v="11"/>
    <x v="341"/>
    <x v="3311"/>
    <x v="4"/>
    <x v="2"/>
  </r>
  <r>
    <n v="4507"/>
    <x v="2227"/>
    <x v="163"/>
    <d v="2015-12-29T00:00:00"/>
    <s v="Standard Class"/>
    <x v="408"/>
    <s v="Ben Ferrer"/>
    <x v="2"/>
    <s v="United States"/>
    <s v="Los Angeles"/>
    <x v="1"/>
    <n v="90045"/>
    <x v="1"/>
    <x v="638"/>
    <x v="2"/>
    <x v="7"/>
    <x v="638"/>
    <x v="3312"/>
    <x v="4"/>
    <x v="2"/>
  </r>
  <r>
    <n v="4508"/>
    <x v="2227"/>
    <x v="163"/>
    <d v="2015-12-29T00:00:00"/>
    <s v="Standard Class"/>
    <x v="408"/>
    <s v="Ben Ferrer"/>
    <x v="2"/>
    <s v="United States"/>
    <s v="Los Angeles"/>
    <x v="1"/>
    <n v="90045"/>
    <x v="1"/>
    <x v="1512"/>
    <x v="1"/>
    <x v="4"/>
    <x v="1499"/>
    <x v="2373"/>
    <x v="4"/>
    <x v="2"/>
  </r>
  <r>
    <n v="4509"/>
    <x v="2227"/>
    <x v="163"/>
    <d v="2015-12-29T00:00:00"/>
    <s v="Standard Class"/>
    <x v="408"/>
    <s v="Ben Ferrer"/>
    <x v="2"/>
    <s v="United States"/>
    <s v="Los Angeles"/>
    <x v="1"/>
    <n v="90045"/>
    <x v="1"/>
    <x v="928"/>
    <x v="0"/>
    <x v="5"/>
    <x v="921"/>
    <x v="1157"/>
    <x v="4"/>
    <x v="2"/>
  </r>
  <r>
    <n v="4510"/>
    <x v="2228"/>
    <x v="979"/>
    <d v="2018-05-29T00:00:00"/>
    <s v="Standard Class"/>
    <x v="745"/>
    <s v="Vivek Sundaresam"/>
    <x v="0"/>
    <s v="United States"/>
    <s v="Los Angeles"/>
    <x v="1"/>
    <n v="90036"/>
    <x v="1"/>
    <x v="719"/>
    <x v="0"/>
    <x v="3"/>
    <x v="718"/>
    <x v="2422"/>
    <x v="5"/>
    <x v="3"/>
  </r>
  <r>
    <n v="4511"/>
    <x v="2229"/>
    <x v="338"/>
    <d v="2017-11-14T00:00:00"/>
    <s v="Standard Class"/>
    <x v="366"/>
    <s v="Kalyca Meade"/>
    <x v="1"/>
    <s v="United States"/>
    <s v="Springfield"/>
    <x v="25"/>
    <n v="65807"/>
    <x v="2"/>
    <x v="1608"/>
    <x v="0"/>
    <x v="5"/>
    <x v="1599"/>
    <x v="3313"/>
    <x v="0"/>
    <x v="0"/>
  </r>
  <r>
    <n v="4512"/>
    <x v="2229"/>
    <x v="338"/>
    <d v="2017-11-14T00:00:00"/>
    <s v="Standard Class"/>
    <x v="366"/>
    <s v="Kalyca Meade"/>
    <x v="1"/>
    <s v="United States"/>
    <s v="Springfield"/>
    <x v="25"/>
    <n v="65807"/>
    <x v="2"/>
    <x v="800"/>
    <x v="1"/>
    <x v="8"/>
    <x v="798"/>
    <x v="3314"/>
    <x v="0"/>
    <x v="0"/>
  </r>
  <r>
    <n v="4513"/>
    <x v="2230"/>
    <x v="824"/>
    <d v="2017-10-03T00:00:00"/>
    <s v="First Class"/>
    <x v="431"/>
    <s v="Liz Preis"/>
    <x v="0"/>
    <s v="United States"/>
    <s v="Phoenix"/>
    <x v="16"/>
    <n v="85023"/>
    <x v="1"/>
    <x v="471"/>
    <x v="1"/>
    <x v="8"/>
    <x v="472"/>
    <x v="3315"/>
    <x v="2"/>
    <x v="0"/>
  </r>
  <r>
    <n v="4514"/>
    <x v="2231"/>
    <x v="47"/>
    <d v="2017-09-08T00:00:00"/>
    <s v="First Class"/>
    <x v="696"/>
    <s v="Bruce Geld"/>
    <x v="0"/>
    <s v="United States"/>
    <s v="Houston"/>
    <x v="5"/>
    <n v="77070"/>
    <x v="2"/>
    <x v="146"/>
    <x v="1"/>
    <x v="4"/>
    <x v="147"/>
    <x v="3316"/>
    <x v="8"/>
    <x v="0"/>
  </r>
  <r>
    <n v="4515"/>
    <x v="2232"/>
    <x v="189"/>
    <d v="2017-11-01T00:00:00"/>
    <s v="Second Class"/>
    <x v="572"/>
    <s v="Ben Wallace"/>
    <x v="0"/>
    <s v="United States"/>
    <s v="Hampton"/>
    <x v="17"/>
    <n v="23666"/>
    <x v="0"/>
    <x v="1003"/>
    <x v="0"/>
    <x v="1"/>
    <x v="995"/>
    <x v="3317"/>
    <x v="2"/>
    <x v="0"/>
  </r>
  <r>
    <n v="4516"/>
    <x v="2233"/>
    <x v="760"/>
    <d v="2018-10-26T00:00:00"/>
    <s v="Standard Class"/>
    <x v="28"/>
    <s v="Paul Stevenson"/>
    <x v="2"/>
    <s v="United States"/>
    <s v="Tulsa"/>
    <x v="26"/>
    <n v="74133"/>
    <x v="2"/>
    <x v="1583"/>
    <x v="1"/>
    <x v="6"/>
    <x v="1574"/>
    <x v="2900"/>
    <x v="2"/>
    <x v="3"/>
  </r>
  <r>
    <n v="4517"/>
    <x v="2234"/>
    <x v="306"/>
    <d v="2017-09-20T00:00:00"/>
    <s v="Standard Class"/>
    <x v="262"/>
    <s v="Rob Beeghly"/>
    <x v="0"/>
    <s v="United States"/>
    <s v="Seattle"/>
    <x v="4"/>
    <n v="98105"/>
    <x v="1"/>
    <x v="1671"/>
    <x v="1"/>
    <x v="10"/>
    <x v="1659"/>
    <x v="1567"/>
    <x v="8"/>
    <x v="0"/>
  </r>
  <r>
    <n v="4518"/>
    <x v="2234"/>
    <x v="306"/>
    <d v="2017-09-20T00:00:00"/>
    <s v="Standard Class"/>
    <x v="262"/>
    <s v="Rob Beeghly"/>
    <x v="0"/>
    <s v="United States"/>
    <s v="Seattle"/>
    <x v="4"/>
    <n v="98105"/>
    <x v="1"/>
    <x v="530"/>
    <x v="1"/>
    <x v="8"/>
    <x v="530"/>
    <x v="3318"/>
    <x v="8"/>
    <x v="0"/>
  </r>
  <r>
    <n v="4519"/>
    <x v="2235"/>
    <x v="477"/>
    <d v="2017-10-01T00:00:00"/>
    <s v="Standard Class"/>
    <x v="493"/>
    <s v="Julia West"/>
    <x v="0"/>
    <s v="United States"/>
    <s v="San Francisco"/>
    <x v="1"/>
    <n v="94109"/>
    <x v="1"/>
    <x v="154"/>
    <x v="1"/>
    <x v="6"/>
    <x v="155"/>
    <x v="3319"/>
    <x v="8"/>
    <x v="0"/>
  </r>
  <r>
    <n v="4520"/>
    <x v="2236"/>
    <x v="193"/>
    <d v="2018-06-14T00:00:00"/>
    <s v="Standard Class"/>
    <x v="540"/>
    <s v="Neil Ducich"/>
    <x v="1"/>
    <s v="United States"/>
    <s v="Jacksonville"/>
    <x v="2"/>
    <n v="32216"/>
    <x v="0"/>
    <x v="1672"/>
    <x v="1"/>
    <x v="4"/>
    <x v="1660"/>
    <x v="3320"/>
    <x v="1"/>
    <x v="3"/>
  </r>
  <r>
    <n v="4521"/>
    <x v="2237"/>
    <x v="980"/>
    <d v="2015-02-26T00:00:00"/>
    <s v="Standard Class"/>
    <x v="18"/>
    <s v="Linda Cazamias"/>
    <x v="1"/>
    <s v="United States"/>
    <s v="Richmond"/>
    <x v="14"/>
    <n v="47374"/>
    <x v="2"/>
    <x v="1196"/>
    <x v="2"/>
    <x v="11"/>
    <x v="1181"/>
    <x v="1030"/>
    <x v="11"/>
    <x v="2"/>
  </r>
  <r>
    <n v="4522"/>
    <x v="2237"/>
    <x v="980"/>
    <d v="2015-02-26T00:00:00"/>
    <s v="Standard Class"/>
    <x v="18"/>
    <s v="Linda Cazamias"/>
    <x v="1"/>
    <s v="United States"/>
    <s v="Richmond"/>
    <x v="14"/>
    <n v="47374"/>
    <x v="2"/>
    <x v="534"/>
    <x v="0"/>
    <x v="5"/>
    <x v="534"/>
    <x v="2308"/>
    <x v="11"/>
    <x v="2"/>
  </r>
  <r>
    <n v="4523"/>
    <x v="2238"/>
    <x v="297"/>
    <d v="2018-02-25T00:00:00"/>
    <s v="Second Class"/>
    <x v="162"/>
    <s v="Bart Pistole"/>
    <x v="1"/>
    <s v="United States"/>
    <s v="Louisville"/>
    <x v="22"/>
    <n v="80027"/>
    <x v="1"/>
    <x v="1328"/>
    <x v="1"/>
    <x v="13"/>
    <x v="128"/>
    <x v="3321"/>
    <x v="11"/>
    <x v="3"/>
  </r>
  <r>
    <n v="4524"/>
    <x v="2239"/>
    <x v="981"/>
    <d v="2015-11-06T00:00:00"/>
    <s v="Standard Class"/>
    <x v="742"/>
    <s v="Roger Demir"/>
    <x v="0"/>
    <s v="United States"/>
    <s v="New York City"/>
    <x v="15"/>
    <n v="10024"/>
    <x v="3"/>
    <x v="639"/>
    <x v="1"/>
    <x v="2"/>
    <x v="639"/>
    <x v="1950"/>
    <x v="0"/>
    <x v="2"/>
  </r>
  <r>
    <n v="4525"/>
    <x v="2239"/>
    <x v="981"/>
    <d v="2015-11-06T00:00:00"/>
    <s v="Standard Class"/>
    <x v="742"/>
    <s v="Roger Demir"/>
    <x v="0"/>
    <s v="United States"/>
    <s v="New York City"/>
    <x v="15"/>
    <n v="10024"/>
    <x v="3"/>
    <x v="943"/>
    <x v="0"/>
    <x v="5"/>
    <x v="936"/>
    <x v="3322"/>
    <x v="0"/>
    <x v="2"/>
  </r>
  <r>
    <n v="4526"/>
    <x v="2240"/>
    <x v="729"/>
    <d v="2018-07-23T00:00:00"/>
    <s v="Standard Class"/>
    <x v="336"/>
    <s v="Bill Eplett"/>
    <x v="2"/>
    <s v="United States"/>
    <s v="Rome"/>
    <x v="15"/>
    <n v="13440"/>
    <x v="3"/>
    <x v="149"/>
    <x v="2"/>
    <x v="7"/>
    <x v="150"/>
    <x v="3323"/>
    <x v="7"/>
    <x v="3"/>
  </r>
  <r>
    <n v="4527"/>
    <x v="2240"/>
    <x v="729"/>
    <d v="2018-07-23T00:00:00"/>
    <s v="Standard Class"/>
    <x v="336"/>
    <s v="Bill Eplett"/>
    <x v="2"/>
    <s v="United States"/>
    <s v="Rome"/>
    <x v="15"/>
    <n v="13440"/>
    <x v="3"/>
    <x v="1673"/>
    <x v="1"/>
    <x v="10"/>
    <x v="1661"/>
    <x v="3324"/>
    <x v="7"/>
    <x v="3"/>
  </r>
  <r>
    <n v="4528"/>
    <x v="2240"/>
    <x v="729"/>
    <d v="2018-07-23T00:00:00"/>
    <s v="Standard Class"/>
    <x v="336"/>
    <s v="Bill Eplett"/>
    <x v="2"/>
    <s v="United States"/>
    <s v="Rome"/>
    <x v="15"/>
    <n v="13440"/>
    <x v="3"/>
    <x v="28"/>
    <x v="0"/>
    <x v="5"/>
    <x v="1310"/>
    <x v="3325"/>
    <x v="7"/>
    <x v="3"/>
  </r>
  <r>
    <n v="4529"/>
    <x v="2241"/>
    <x v="565"/>
    <d v="2018-09-10T00:00:00"/>
    <s v="Second Class"/>
    <x v="276"/>
    <s v="Roland Schwarz"/>
    <x v="1"/>
    <s v="United States"/>
    <s v="Marion"/>
    <x v="24"/>
    <n v="43302"/>
    <x v="3"/>
    <x v="1312"/>
    <x v="2"/>
    <x v="11"/>
    <x v="1298"/>
    <x v="3326"/>
    <x v="8"/>
    <x v="3"/>
  </r>
  <r>
    <n v="4530"/>
    <x v="2242"/>
    <x v="696"/>
    <d v="2017-11-18T00:00:00"/>
    <s v="Standard Class"/>
    <x v="110"/>
    <s v="Kelly Collister"/>
    <x v="0"/>
    <s v="United States"/>
    <s v="Houston"/>
    <x v="5"/>
    <n v="77041"/>
    <x v="2"/>
    <x v="1212"/>
    <x v="1"/>
    <x v="8"/>
    <x v="1197"/>
    <x v="3327"/>
    <x v="0"/>
    <x v="0"/>
  </r>
  <r>
    <n v="4531"/>
    <x v="2243"/>
    <x v="696"/>
    <d v="2017-11-17T00:00:00"/>
    <s v="First Class"/>
    <x v="93"/>
    <s v="Maria Bertelson"/>
    <x v="0"/>
    <s v="United States"/>
    <s v="New York City"/>
    <x v="15"/>
    <n v="10009"/>
    <x v="3"/>
    <x v="629"/>
    <x v="0"/>
    <x v="1"/>
    <x v="629"/>
    <x v="1247"/>
    <x v="0"/>
    <x v="0"/>
  </r>
  <r>
    <n v="4532"/>
    <x v="2243"/>
    <x v="696"/>
    <d v="2017-11-17T00:00:00"/>
    <s v="First Class"/>
    <x v="93"/>
    <s v="Maria Bertelson"/>
    <x v="0"/>
    <s v="United States"/>
    <s v="New York City"/>
    <x v="15"/>
    <n v="10009"/>
    <x v="3"/>
    <x v="146"/>
    <x v="1"/>
    <x v="4"/>
    <x v="147"/>
    <x v="3328"/>
    <x v="0"/>
    <x v="0"/>
  </r>
  <r>
    <n v="4533"/>
    <x v="2244"/>
    <x v="982"/>
    <d v="2015-10-10T00:00:00"/>
    <s v="Same Day"/>
    <x v="184"/>
    <s v="Tanja Norvell"/>
    <x v="2"/>
    <s v="United States"/>
    <s v="Manteca"/>
    <x v="1"/>
    <n v="95336"/>
    <x v="1"/>
    <x v="23"/>
    <x v="0"/>
    <x v="1"/>
    <x v="23"/>
    <x v="1888"/>
    <x v="2"/>
    <x v="2"/>
  </r>
  <r>
    <n v="4534"/>
    <x v="2244"/>
    <x v="982"/>
    <d v="2015-10-10T00:00:00"/>
    <s v="Same Day"/>
    <x v="184"/>
    <s v="Tanja Norvell"/>
    <x v="2"/>
    <s v="United States"/>
    <s v="Manteca"/>
    <x v="1"/>
    <n v="95336"/>
    <x v="1"/>
    <x v="588"/>
    <x v="1"/>
    <x v="12"/>
    <x v="588"/>
    <x v="764"/>
    <x v="2"/>
    <x v="2"/>
  </r>
  <r>
    <n v="4535"/>
    <x v="2245"/>
    <x v="531"/>
    <d v="2016-03-26T00:00:00"/>
    <s v="Standard Class"/>
    <x v="305"/>
    <s v="Mike Caudle"/>
    <x v="1"/>
    <s v="United States"/>
    <s v="Los Angeles"/>
    <x v="1"/>
    <n v="90004"/>
    <x v="1"/>
    <x v="358"/>
    <x v="1"/>
    <x v="10"/>
    <x v="358"/>
    <x v="489"/>
    <x v="10"/>
    <x v="1"/>
  </r>
  <r>
    <n v="4536"/>
    <x v="2246"/>
    <x v="141"/>
    <d v="2018-07-12T00:00:00"/>
    <s v="Standard Class"/>
    <x v="665"/>
    <s v="Vicky Freymann"/>
    <x v="2"/>
    <s v="United States"/>
    <s v="Seattle"/>
    <x v="4"/>
    <n v="98115"/>
    <x v="1"/>
    <x v="1226"/>
    <x v="0"/>
    <x v="5"/>
    <x v="1210"/>
    <x v="3329"/>
    <x v="7"/>
    <x v="3"/>
  </r>
  <r>
    <n v="4537"/>
    <x v="2246"/>
    <x v="141"/>
    <d v="2018-07-12T00:00:00"/>
    <s v="Standard Class"/>
    <x v="665"/>
    <s v="Vicky Freymann"/>
    <x v="2"/>
    <s v="United States"/>
    <s v="Seattle"/>
    <x v="4"/>
    <n v="98115"/>
    <x v="1"/>
    <x v="379"/>
    <x v="1"/>
    <x v="8"/>
    <x v="380"/>
    <x v="1779"/>
    <x v="7"/>
    <x v="3"/>
  </r>
  <r>
    <n v="4538"/>
    <x v="2246"/>
    <x v="141"/>
    <d v="2018-07-12T00:00:00"/>
    <s v="Standard Class"/>
    <x v="665"/>
    <s v="Vicky Freymann"/>
    <x v="2"/>
    <s v="United States"/>
    <s v="Seattle"/>
    <x v="4"/>
    <n v="98115"/>
    <x v="1"/>
    <x v="487"/>
    <x v="1"/>
    <x v="6"/>
    <x v="487"/>
    <x v="2556"/>
    <x v="7"/>
    <x v="3"/>
  </r>
  <r>
    <n v="4539"/>
    <x v="2246"/>
    <x v="141"/>
    <d v="2018-07-12T00:00:00"/>
    <s v="Standard Class"/>
    <x v="665"/>
    <s v="Vicky Freymann"/>
    <x v="2"/>
    <s v="United States"/>
    <s v="Seattle"/>
    <x v="4"/>
    <n v="98115"/>
    <x v="1"/>
    <x v="346"/>
    <x v="1"/>
    <x v="6"/>
    <x v="346"/>
    <x v="1317"/>
    <x v="7"/>
    <x v="3"/>
  </r>
  <r>
    <n v="4540"/>
    <x v="2247"/>
    <x v="914"/>
    <d v="2016-03-02T00:00:00"/>
    <s v="Standard Class"/>
    <x v="20"/>
    <s v="Erin Smith"/>
    <x v="1"/>
    <s v="United States"/>
    <s v="Providence"/>
    <x v="34"/>
    <n v="2908"/>
    <x v="3"/>
    <x v="509"/>
    <x v="2"/>
    <x v="7"/>
    <x v="509"/>
    <x v="2746"/>
    <x v="11"/>
    <x v="1"/>
  </r>
  <r>
    <n v="4541"/>
    <x v="2247"/>
    <x v="914"/>
    <d v="2016-03-02T00:00:00"/>
    <s v="Standard Class"/>
    <x v="20"/>
    <s v="Erin Smith"/>
    <x v="1"/>
    <s v="United States"/>
    <s v="Providence"/>
    <x v="34"/>
    <n v="2908"/>
    <x v="3"/>
    <x v="1529"/>
    <x v="0"/>
    <x v="3"/>
    <x v="1516"/>
    <x v="3330"/>
    <x v="11"/>
    <x v="1"/>
  </r>
  <r>
    <n v="4542"/>
    <x v="2248"/>
    <x v="114"/>
    <d v="2018-06-21T00:00:00"/>
    <s v="Standard Class"/>
    <x v="149"/>
    <s v="Michael Kennedy"/>
    <x v="1"/>
    <s v="United States"/>
    <s v="Chicago"/>
    <x v="10"/>
    <n v="60653"/>
    <x v="2"/>
    <x v="15"/>
    <x v="1"/>
    <x v="8"/>
    <x v="15"/>
    <x v="3331"/>
    <x v="1"/>
    <x v="3"/>
  </r>
  <r>
    <n v="4543"/>
    <x v="2249"/>
    <x v="983"/>
    <d v="2018-03-31T00:00:00"/>
    <s v="First Class"/>
    <x v="746"/>
    <s v="Tony Molinari"/>
    <x v="0"/>
    <s v="United States"/>
    <s v="Oklahoma City"/>
    <x v="26"/>
    <n v="73120"/>
    <x v="2"/>
    <x v="1674"/>
    <x v="1"/>
    <x v="12"/>
    <x v="1662"/>
    <x v="3332"/>
    <x v="10"/>
    <x v="3"/>
  </r>
  <r>
    <n v="4544"/>
    <x v="2250"/>
    <x v="984"/>
    <d v="2016-07-17T00:00:00"/>
    <s v="Second Class"/>
    <x v="210"/>
    <s v="Rob Lucas"/>
    <x v="0"/>
    <s v="United States"/>
    <s v="Chicago"/>
    <x v="10"/>
    <n v="60610"/>
    <x v="2"/>
    <x v="212"/>
    <x v="0"/>
    <x v="1"/>
    <x v="213"/>
    <x v="1600"/>
    <x v="7"/>
    <x v="1"/>
  </r>
  <r>
    <n v="4545"/>
    <x v="2250"/>
    <x v="984"/>
    <d v="2016-07-17T00:00:00"/>
    <s v="Second Class"/>
    <x v="210"/>
    <s v="Rob Lucas"/>
    <x v="0"/>
    <s v="United States"/>
    <s v="Chicago"/>
    <x v="10"/>
    <n v="60610"/>
    <x v="2"/>
    <x v="918"/>
    <x v="2"/>
    <x v="7"/>
    <x v="910"/>
    <x v="1467"/>
    <x v="7"/>
    <x v="1"/>
  </r>
  <r>
    <n v="4546"/>
    <x v="2250"/>
    <x v="984"/>
    <d v="2016-07-17T00:00:00"/>
    <s v="Second Class"/>
    <x v="210"/>
    <s v="Rob Lucas"/>
    <x v="0"/>
    <s v="United States"/>
    <s v="Chicago"/>
    <x v="10"/>
    <n v="60610"/>
    <x v="2"/>
    <x v="1485"/>
    <x v="2"/>
    <x v="7"/>
    <x v="1472"/>
    <x v="3333"/>
    <x v="7"/>
    <x v="1"/>
  </r>
  <r>
    <n v="4547"/>
    <x v="2250"/>
    <x v="984"/>
    <d v="2016-07-17T00:00:00"/>
    <s v="Second Class"/>
    <x v="210"/>
    <s v="Rob Lucas"/>
    <x v="0"/>
    <s v="United States"/>
    <s v="Chicago"/>
    <x v="10"/>
    <n v="60610"/>
    <x v="2"/>
    <x v="308"/>
    <x v="1"/>
    <x v="8"/>
    <x v="308"/>
    <x v="3334"/>
    <x v="7"/>
    <x v="1"/>
  </r>
  <r>
    <n v="4548"/>
    <x v="2250"/>
    <x v="984"/>
    <d v="2016-07-17T00:00:00"/>
    <s v="Second Class"/>
    <x v="210"/>
    <s v="Rob Lucas"/>
    <x v="0"/>
    <s v="United States"/>
    <s v="Chicago"/>
    <x v="10"/>
    <n v="60610"/>
    <x v="2"/>
    <x v="649"/>
    <x v="1"/>
    <x v="6"/>
    <x v="649"/>
    <x v="2721"/>
    <x v="7"/>
    <x v="1"/>
  </r>
  <r>
    <n v="4549"/>
    <x v="2250"/>
    <x v="984"/>
    <d v="2016-07-17T00:00:00"/>
    <s v="Second Class"/>
    <x v="210"/>
    <s v="Rob Lucas"/>
    <x v="0"/>
    <s v="United States"/>
    <s v="Chicago"/>
    <x v="10"/>
    <n v="60610"/>
    <x v="2"/>
    <x v="275"/>
    <x v="0"/>
    <x v="5"/>
    <x v="275"/>
    <x v="3335"/>
    <x v="7"/>
    <x v="1"/>
  </r>
  <r>
    <n v="4550"/>
    <x v="2250"/>
    <x v="984"/>
    <d v="2016-07-17T00:00:00"/>
    <s v="Second Class"/>
    <x v="210"/>
    <s v="Rob Lucas"/>
    <x v="0"/>
    <s v="United States"/>
    <s v="Chicago"/>
    <x v="10"/>
    <n v="60610"/>
    <x v="2"/>
    <x v="517"/>
    <x v="2"/>
    <x v="7"/>
    <x v="517"/>
    <x v="3336"/>
    <x v="7"/>
    <x v="1"/>
  </r>
  <r>
    <n v="4551"/>
    <x v="2251"/>
    <x v="504"/>
    <d v="2018-05-02T00:00:00"/>
    <s v="First Class"/>
    <x v="392"/>
    <s v="Neoma Murray"/>
    <x v="0"/>
    <s v="United States"/>
    <s v="Manchester"/>
    <x v="29"/>
    <n v="6040"/>
    <x v="3"/>
    <x v="1675"/>
    <x v="1"/>
    <x v="2"/>
    <x v="1663"/>
    <x v="1755"/>
    <x v="3"/>
    <x v="3"/>
  </r>
  <r>
    <n v="4552"/>
    <x v="2252"/>
    <x v="985"/>
    <d v="2015-07-17T00:00:00"/>
    <s v="Standard Class"/>
    <x v="136"/>
    <s v="Grace Kelly"/>
    <x v="1"/>
    <s v="United States"/>
    <s v="Los Angeles"/>
    <x v="1"/>
    <n v="90049"/>
    <x v="1"/>
    <x v="1213"/>
    <x v="0"/>
    <x v="3"/>
    <x v="1198"/>
    <x v="3337"/>
    <x v="7"/>
    <x v="2"/>
  </r>
  <r>
    <n v="4553"/>
    <x v="2253"/>
    <x v="422"/>
    <d v="2016-01-02T00:00:00"/>
    <s v="Standard Class"/>
    <x v="223"/>
    <s v="Jeremy Farry"/>
    <x v="0"/>
    <s v="United States"/>
    <s v="San Francisco"/>
    <x v="1"/>
    <n v="94122"/>
    <x v="1"/>
    <x v="370"/>
    <x v="0"/>
    <x v="1"/>
    <x v="371"/>
    <x v="2145"/>
    <x v="4"/>
    <x v="2"/>
  </r>
  <r>
    <n v="4554"/>
    <x v="2253"/>
    <x v="422"/>
    <d v="2016-01-02T00:00:00"/>
    <s v="Standard Class"/>
    <x v="223"/>
    <s v="Jeremy Farry"/>
    <x v="0"/>
    <s v="United States"/>
    <s v="San Francisco"/>
    <x v="1"/>
    <n v="94122"/>
    <x v="1"/>
    <x v="630"/>
    <x v="1"/>
    <x v="10"/>
    <x v="630"/>
    <x v="1371"/>
    <x v="4"/>
    <x v="2"/>
  </r>
  <r>
    <n v="4555"/>
    <x v="2254"/>
    <x v="535"/>
    <d v="2017-03-01T00:00:00"/>
    <s v="Second Class"/>
    <x v="518"/>
    <s v="Eric Barreto"/>
    <x v="0"/>
    <s v="United States"/>
    <s v="La Crosse"/>
    <x v="6"/>
    <n v="54601"/>
    <x v="2"/>
    <x v="92"/>
    <x v="1"/>
    <x v="8"/>
    <x v="92"/>
    <x v="3338"/>
    <x v="11"/>
    <x v="0"/>
  </r>
  <r>
    <n v="4556"/>
    <x v="2255"/>
    <x v="391"/>
    <d v="2016-03-26T00:00:00"/>
    <s v="First Class"/>
    <x v="495"/>
    <s v="Sheri Gordon"/>
    <x v="0"/>
    <s v="United States"/>
    <s v="Florence"/>
    <x v="20"/>
    <n v="29501"/>
    <x v="0"/>
    <x v="550"/>
    <x v="1"/>
    <x v="13"/>
    <x v="128"/>
    <x v="610"/>
    <x v="10"/>
    <x v="1"/>
  </r>
  <r>
    <n v="4557"/>
    <x v="2255"/>
    <x v="391"/>
    <d v="2016-03-26T00:00:00"/>
    <s v="First Class"/>
    <x v="495"/>
    <s v="Sheri Gordon"/>
    <x v="0"/>
    <s v="United States"/>
    <s v="Florence"/>
    <x v="20"/>
    <n v="29501"/>
    <x v="0"/>
    <x v="700"/>
    <x v="1"/>
    <x v="4"/>
    <x v="700"/>
    <x v="3289"/>
    <x v="10"/>
    <x v="1"/>
  </r>
  <r>
    <n v="4558"/>
    <x v="2256"/>
    <x v="208"/>
    <d v="2018-10-28T00:00:00"/>
    <s v="Standard Class"/>
    <x v="444"/>
    <s v="Natalie DeCherney"/>
    <x v="0"/>
    <s v="United States"/>
    <s v="Glendale"/>
    <x v="16"/>
    <n v="85301"/>
    <x v="1"/>
    <x v="697"/>
    <x v="1"/>
    <x v="8"/>
    <x v="697"/>
    <x v="3339"/>
    <x v="2"/>
    <x v="3"/>
  </r>
  <r>
    <n v="4559"/>
    <x v="2257"/>
    <x v="520"/>
    <d v="2016-01-05T00:00:00"/>
    <s v="Standard Class"/>
    <x v="698"/>
    <s v="Candace McMahon"/>
    <x v="1"/>
    <s v="United States"/>
    <s v="El Paso"/>
    <x v="5"/>
    <n v="79907"/>
    <x v="2"/>
    <x v="1503"/>
    <x v="1"/>
    <x v="12"/>
    <x v="153"/>
    <x v="1967"/>
    <x v="4"/>
    <x v="2"/>
  </r>
  <r>
    <n v="4560"/>
    <x v="2258"/>
    <x v="952"/>
    <d v="2015-05-08T00:00:00"/>
    <s v="First Class"/>
    <x v="12"/>
    <s v="Emily Burns"/>
    <x v="0"/>
    <s v="United States"/>
    <s v="San Antonio"/>
    <x v="5"/>
    <n v="78207"/>
    <x v="2"/>
    <x v="64"/>
    <x v="0"/>
    <x v="1"/>
    <x v="64"/>
    <x v="3340"/>
    <x v="5"/>
    <x v="2"/>
  </r>
  <r>
    <n v="4561"/>
    <x v="2259"/>
    <x v="784"/>
    <d v="2016-12-09T00:00:00"/>
    <s v="Second Class"/>
    <x v="447"/>
    <s v="Harry Marie"/>
    <x v="1"/>
    <s v="United States"/>
    <s v="Los Angeles"/>
    <x v="1"/>
    <n v="90049"/>
    <x v="1"/>
    <x v="231"/>
    <x v="1"/>
    <x v="12"/>
    <x v="232"/>
    <x v="3341"/>
    <x v="4"/>
    <x v="1"/>
  </r>
  <r>
    <n v="4562"/>
    <x v="2259"/>
    <x v="784"/>
    <d v="2016-12-09T00:00:00"/>
    <s v="Second Class"/>
    <x v="447"/>
    <s v="Harry Marie"/>
    <x v="1"/>
    <s v="United States"/>
    <s v="Los Angeles"/>
    <x v="1"/>
    <n v="90049"/>
    <x v="1"/>
    <x v="1676"/>
    <x v="2"/>
    <x v="7"/>
    <x v="1664"/>
    <x v="3342"/>
    <x v="4"/>
    <x v="1"/>
  </r>
  <r>
    <n v="4563"/>
    <x v="2259"/>
    <x v="784"/>
    <d v="2016-12-09T00:00:00"/>
    <s v="Second Class"/>
    <x v="447"/>
    <s v="Harry Marie"/>
    <x v="1"/>
    <s v="United States"/>
    <s v="Los Angeles"/>
    <x v="1"/>
    <n v="90049"/>
    <x v="1"/>
    <x v="1677"/>
    <x v="0"/>
    <x v="5"/>
    <x v="1665"/>
    <x v="3343"/>
    <x v="4"/>
    <x v="1"/>
  </r>
  <r>
    <n v="4564"/>
    <x v="2260"/>
    <x v="986"/>
    <d v="2018-09-30T00:00:00"/>
    <s v="Standard Class"/>
    <x v="319"/>
    <s v="Sanjit Jacobs"/>
    <x v="2"/>
    <s v="United States"/>
    <s v="Miramar"/>
    <x v="2"/>
    <n v="33023"/>
    <x v="0"/>
    <x v="1585"/>
    <x v="0"/>
    <x v="1"/>
    <x v="1576"/>
    <x v="3344"/>
    <x v="8"/>
    <x v="3"/>
  </r>
  <r>
    <n v="4565"/>
    <x v="2261"/>
    <x v="337"/>
    <d v="2015-12-14T00:00:00"/>
    <s v="Standard Class"/>
    <x v="678"/>
    <s v="Dario Medina"/>
    <x v="1"/>
    <s v="United States"/>
    <s v="Mesa"/>
    <x v="16"/>
    <n v="85204"/>
    <x v="1"/>
    <x v="1018"/>
    <x v="1"/>
    <x v="4"/>
    <x v="1009"/>
    <x v="989"/>
    <x v="4"/>
    <x v="2"/>
  </r>
  <r>
    <n v="4566"/>
    <x v="2262"/>
    <x v="734"/>
    <d v="2018-12-10T00:00:00"/>
    <s v="Standard Class"/>
    <x v="430"/>
    <s v="Matt Collins"/>
    <x v="0"/>
    <s v="United States"/>
    <s v="Fayetteville"/>
    <x v="3"/>
    <n v="28314"/>
    <x v="0"/>
    <x v="551"/>
    <x v="1"/>
    <x v="9"/>
    <x v="550"/>
    <x v="954"/>
    <x v="4"/>
    <x v="3"/>
  </r>
  <r>
    <n v="4567"/>
    <x v="2262"/>
    <x v="734"/>
    <d v="2018-12-10T00:00:00"/>
    <s v="Standard Class"/>
    <x v="430"/>
    <s v="Matt Collins"/>
    <x v="0"/>
    <s v="United States"/>
    <s v="Fayetteville"/>
    <x v="3"/>
    <n v="28314"/>
    <x v="0"/>
    <x v="1399"/>
    <x v="1"/>
    <x v="8"/>
    <x v="1386"/>
    <x v="3345"/>
    <x v="4"/>
    <x v="3"/>
  </r>
  <r>
    <n v="4568"/>
    <x v="2262"/>
    <x v="734"/>
    <d v="2018-12-10T00:00:00"/>
    <s v="Standard Class"/>
    <x v="430"/>
    <s v="Matt Collins"/>
    <x v="0"/>
    <s v="United States"/>
    <s v="Fayetteville"/>
    <x v="3"/>
    <n v="28314"/>
    <x v="0"/>
    <x v="827"/>
    <x v="1"/>
    <x v="10"/>
    <x v="823"/>
    <x v="667"/>
    <x v="4"/>
    <x v="3"/>
  </r>
  <r>
    <n v="4569"/>
    <x v="2263"/>
    <x v="627"/>
    <d v="2016-11-13T00:00:00"/>
    <s v="Standard Class"/>
    <x v="551"/>
    <s v="Duane Benoit"/>
    <x v="0"/>
    <s v="United States"/>
    <s v="Houston"/>
    <x v="5"/>
    <n v="77095"/>
    <x v="2"/>
    <x v="44"/>
    <x v="1"/>
    <x v="8"/>
    <x v="44"/>
    <x v="3173"/>
    <x v="0"/>
    <x v="1"/>
  </r>
  <r>
    <n v="4570"/>
    <x v="2264"/>
    <x v="987"/>
    <d v="2015-04-21T00:00:00"/>
    <s v="Second Class"/>
    <x v="376"/>
    <s v="Nicole Fjeld"/>
    <x v="2"/>
    <s v="United States"/>
    <s v="San Jose"/>
    <x v="1"/>
    <n v="95123"/>
    <x v="1"/>
    <x v="216"/>
    <x v="0"/>
    <x v="5"/>
    <x v="1579"/>
    <x v="2922"/>
    <x v="3"/>
    <x v="2"/>
  </r>
  <r>
    <n v="4571"/>
    <x v="2265"/>
    <x v="442"/>
    <d v="2016-05-27T00:00:00"/>
    <s v="Second Class"/>
    <x v="134"/>
    <s v="Nathan Mautz"/>
    <x v="2"/>
    <s v="United States"/>
    <s v="Wichita"/>
    <x v="41"/>
    <n v="67212"/>
    <x v="2"/>
    <x v="1658"/>
    <x v="1"/>
    <x v="6"/>
    <x v="1646"/>
    <x v="3259"/>
    <x v="5"/>
    <x v="1"/>
  </r>
  <r>
    <n v="4572"/>
    <x v="2265"/>
    <x v="442"/>
    <d v="2016-05-27T00:00:00"/>
    <s v="Second Class"/>
    <x v="134"/>
    <s v="Nathan Mautz"/>
    <x v="2"/>
    <s v="United States"/>
    <s v="Wichita"/>
    <x v="41"/>
    <n v="67212"/>
    <x v="2"/>
    <x v="1242"/>
    <x v="1"/>
    <x v="8"/>
    <x v="1225"/>
    <x v="3346"/>
    <x v="5"/>
    <x v="1"/>
  </r>
  <r>
    <n v="4573"/>
    <x v="2266"/>
    <x v="729"/>
    <d v="2018-07-21T00:00:00"/>
    <s v="Standard Class"/>
    <x v="437"/>
    <s v="Alejandro Ballentine"/>
    <x v="2"/>
    <s v="United States"/>
    <s v="Los Angeles"/>
    <x v="1"/>
    <n v="90036"/>
    <x v="1"/>
    <x v="851"/>
    <x v="2"/>
    <x v="16"/>
    <x v="844"/>
    <x v="1973"/>
    <x v="7"/>
    <x v="3"/>
  </r>
  <r>
    <n v="4574"/>
    <x v="2267"/>
    <x v="939"/>
    <d v="2017-12-18T00:00:00"/>
    <s v="Standard Class"/>
    <x v="377"/>
    <s v="Matthew Grinstein"/>
    <x v="2"/>
    <s v="United States"/>
    <s v="Jackson"/>
    <x v="12"/>
    <n v="49201"/>
    <x v="2"/>
    <x v="539"/>
    <x v="2"/>
    <x v="7"/>
    <x v="539"/>
    <x v="2782"/>
    <x v="4"/>
    <x v="0"/>
  </r>
  <r>
    <n v="4575"/>
    <x v="2267"/>
    <x v="939"/>
    <d v="2017-12-18T00:00:00"/>
    <s v="Standard Class"/>
    <x v="377"/>
    <s v="Matthew Grinstein"/>
    <x v="2"/>
    <s v="United States"/>
    <s v="Jackson"/>
    <x v="12"/>
    <n v="49201"/>
    <x v="2"/>
    <x v="904"/>
    <x v="0"/>
    <x v="5"/>
    <x v="896"/>
    <x v="3347"/>
    <x v="4"/>
    <x v="0"/>
  </r>
  <r>
    <n v="4576"/>
    <x v="2267"/>
    <x v="939"/>
    <d v="2017-12-18T00:00:00"/>
    <s v="Standard Class"/>
    <x v="377"/>
    <s v="Matthew Grinstein"/>
    <x v="2"/>
    <s v="United States"/>
    <s v="Jackson"/>
    <x v="12"/>
    <n v="49201"/>
    <x v="2"/>
    <x v="324"/>
    <x v="1"/>
    <x v="6"/>
    <x v="324"/>
    <x v="2213"/>
    <x v="4"/>
    <x v="0"/>
  </r>
  <r>
    <n v="4577"/>
    <x v="2267"/>
    <x v="939"/>
    <d v="2017-12-18T00:00:00"/>
    <s v="Standard Class"/>
    <x v="377"/>
    <s v="Matthew Grinstein"/>
    <x v="2"/>
    <s v="United States"/>
    <s v="Jackson"/>
    <x v="12"/>
    <n v="49201"/>
    <x v="2"/>
    <x v="1678"/>
    <x v="1"/>
    <x v="4"/>
    <x v="1666"/>
    <x v="3348"/>
    <x v="4"/>
    <x v="0"/>
  </r>
  <r>
    <n v="4578"/>
    <x v="2268"/>
    <x v="909"/>
    <d v="2015-04-16T00:00:00"/>
    <s v="Standard Class"/>
    <x v="339"/>
    <s v="Sanjit Engle"/>
    <x v="0"/>
    <s v="United States"/>
    <s v="Lewiston"/>
    <x v="45"/>
    <n v="83501"/>
    <x v="1"/>
    <x v="1224"/>
    <x v="1"/>
    <x v="8"/>
    <x v="1208"/>
    <x v="2057"/>
    <x v="3"/>
    <x v="2"/>
  </r>
  <r>
    <n v="4579"/>
    <x v="2269"/>
    <x v="988"/>
    <d v="2016-06-15T00:00:00"/>
    <s v="Standard Class"/>
    <x v="326"/>
    <s v="Anthony Garverick"/>
    <x v="2"/>
    <s v="United States"/>
    <s v="Hampton"/>
    <x v="17"/>
    <n v="23666"/>
    <x v="0"/>
    <x v="443"/>
    <x v="1"/>
    <x v="8"/>
    <x v="443"/>
    <x v="3349"/>
    <x v="1"/>
    <x v="1"/>
  </r>
  <r>
    <n v="4580"/>
    <x v="2270"/>
    <x v="923"/>
    <d v="2015-08-02T00:00:00"/>
    <s v="Standard Class"/>
    <x v="442"/>
    <s v="Aaron Smayling"/>
    <x v="1"/>
    <s v="United States"/>
    <s v="New York City"/>
    <x v="15"/>
    <n v="10035"/>
    <x v="3"/>
    <x v="1679"/>
    <x v="1"/>
    <x v="10"/>
    <x v="1667"/>
    <x v="3350"/>
    <x v="7"/>
    <x v="2"/>
  </r>
  <r>
    <n v="4581"/>
    <x v="2271"/>
    <x v="374"/>
    <d v="2016-08-06T00:00:00"/>
    <s v="Standard Class"/>
    <x v="153"/>
    <s v="Allen Rosenblatt"/>
    <x v="1"/>
    <s v="United States"/>
    <s v="Hattiesburg"/>
    <x v="35"/>
    <n v="39401"/>
    <x v="0"/>
    <x v="240"/>
    <x v="2"/>
    <x v="11"/>
    <x v="241"/>
    <x v="3351"/>
    <x v="7"/>
    <x v="1"/>
  </r>
  <r>
    <n v="4582"/>
    <x v="2272"/>
    <x v="251"/>
    <d v="2017-09-22T00:00:00"/>
    <s v="First Class"/>
    <x v="399"/>
    <s v="Anne Pryor"/>
    <x v="2"/>
    <s v="United States"/>
    <s v="Philadelphia"/>
    <x v="9"/>
    <n v="19140"/>
    <x v="3"/>
    <x v="1680"/>
    <x v="0"/>
    <x v="5"/>
    <x v="1668"/>
    <x v="3352"/>
    <x v="8"/>
    <x v="0"/>
  </r>
  <r>
    <n v="4583"/>
    <x v="2273"/>
    <x v="224"/>
    <d v="2017-06-12T00:00:00"/>
    <s v="First Class"/>
    <x v="677"/>
    <s v="Joy Bell-"/>
    <x v="0"/>
    <s v="United States"/>
    <s v="Philadelphia"/>
    <x v="9"/>
    <n v="19140"/>
    <x v="3"/>
    <x v="1647"/>
    <x v="1"/>
    <x v="2"/>
    <x v="1636"/>
    <x v="3353"/>
    <x v="1"/>
    <x v="0"/>
  </r>
  <r>
    <n v="4584"/>
    <x v="2274"/>
    <x v="370"/>
    <d v="2017-08-28T00:00:00"/>
    <s v="Second Class"/>
    <x v="747"/>
    <s v="Tom Stivers"/>
    <x v="1"/>
    <s v="United States"/>
    <s v="Los Angeles"/>
    <x v="1"/>
    <n v="90045"/>
    <x v="1"/>
    <x v="105"/>
    <x v="1"/>
    <x v="6"/>
    <x v="105"/>
    <x v="338"/>
    <x v="6"/>
    <x v="0"/>
  </r>
  <r>
    <n v="4585"/>
    <x v="2275"/>
    <x v="808"/>
    <d v="2018-11-04T00:00:00"/>
    <s v="Second Class"/>
    <x v="644"/>
    <s v="Nancy Lomonaco"/>
    <x v="2"/>
    <s v="United States"/>
    <s v="Danville"/>
    <x v="1"/>
    <n v="94526"/>
    <x v="1"/>
    <x v="466"/>
    <x v="1"/>
    <x v="12"/>
    <x v="467"/>
    <x v="3354"/>
    <x v="0"/>
    <x v="3"/>
  </r>
  <r>
    <n v="4586"/>
    <x v="2275"/>
    <x v="808"/>
    <d v="2018-11-04T00:00:00"/>
    <s v="Second Class"/>
    <x v="644"/>
    <s v="Nancy Lomonaco"/>
    <x v="2"/>
    <s v="United States"/>
    <s v="Danville"/>
    <x v="1"/>
    <n v="94526"/>
    <x v="1"/>
    <x v="1273"/>
    <x v="1"/>
    <x v="6"/>
    <x v="1258"/>
    <x v="3355"/>
    <x v="0"/>
    <x v="3"/>
  </r>
  <r>
    <n v="4587"/>
    <x v="2275"/>
    <x v="808"/>
    <d v="2018-11-04T00:00:00"/>
    <s v="Second Class"/>
    <x v="644"/>
    <s v="Nancy Lomonaco"/>
    <x v="2"/>
    <s v="United States"/>
    <s v="Danville"/>
    <x v="1"/>
    <n v="94526"/>
    <x v="1"/>
    <x v="1681"/>
    <x v="1"/>
    <x v="8"/>
    <x v="1669"/>
    <x v="3356"/>
    <x v="0"/>
    <x v="3"/>
  </r>
  <r>
    <n v="4588"/>
    <x v="2275"/>
    <x v="808"/>
    <d v="2018-11-04T00:00:00"/>
    <s v="Second Class"/>
    <x v="644"/>
    <s v="Nancy Lomonaco"/>
    <x v="2"/>
    <s v="United States"/>
    <s v="Danville"/>
    <x v="1"/>
    <n v="94526"/>
    <x v="1"/>
    <x v="802"/>
    <x v="1"/>
    <x v="13"/>
    <x v="800"/>
    <x v="2228"/>
    <x v="0"/>
    <x v="3"/>
  </r>
  <r>
    <n v="4589"/>
    <x v="2275"/>
    <x v="808"/>
    <d v="2018-11-04T00:00:00"/>
    <s v="Second Class"/>
    <x v="644"/>
    <s v="Nancy Lomonaco"/>
    <x v="2"/>
    <s v="United States"/>
    <s v="Danville"/>
    <x v="1"/>
    <n v="94526"/>
    <x v="1"/>
    <x v="1682"/>
    <x v="0"/>
    <x v="5"/>
    <x v="1670"/>
    <x v="3357"/>
    <x v="0"/>
    <x v="3"/>
  </r>
  <r>
    <n v="4590"/>
    <x v="2275"/>
    <x v="808"/>
    <d v="2018-11-04T00:00:00"/>
    <s v="Second Class"/>
    <x v="644"/>
    <s v="Nancy Lomonaco"/>
    <x v="2"/>
    <s v="United States"/>
    <s v="Danville"/>
    <x v="1"/>
    <n v="94526"/>
    <x v="1"/>
    <x v="557"/>
    <x v="1"/>
    <x v="4"/>
    <x v="556"/>
    <x v="3358"/>
    <x v="0"/>
    <x v="3"/>
  </r>
  <r>
    <n v="4591"/>
    <x v="2276"/>
    <x v="482"/>
    <d v="2017-12-31T00:00:00"/>
    <s v="Standard Class"/>
    <x v="305"/>
    <s v="Mike Caudle"/>
    <x v="1"/>
    <s v="United States"/>
    <s v="Los Angeles"/>
    <x v="1"/>
    <n v="90004"/>
    <x v="1"/>
    <x v="1280"/>
    <x v="1"/>
    <x v="14"/>
    <x v="1265"/>
    <x v="2720"/>
    <x v="4"/>
    <x v="0"/>
  </r>
  <r>
    <n v="4592"/>
    <x v="2276"/>
    <x v="482"/>
    <d v="2017-12-31T00:00:00"/>
    <s v="Standard Class"/>
    <x v="305"/>
    <s v="Mike Caudle"/>
    <x v="1"/>
    <s v="United States"/>
    <s v="Los Angeles"/>
    <x v="1"/>
    <n v="90004"/>
    <x v="1"/>
    <x v="7"/>
    <x v="2"/>
    <x v="7"/>
    <x v="7"/>
    <x v="3081"/>
    <x v="4"/>
    <x v="0"/>
  </r>
  <r>
    <n v="4593"/>
    <x v="2276"/>
    <x v="482"/>
    <d v="2017-12-31T00:00:00"/>
    <s v="Standard Class"/>
    <x v="305"/>
    <s v="Mike Caudle"/>
    <x v="1"/>
    <s v="United States"/>
    <s v="Los Angeles"/>
    <x v="1"/>
    <n v="90004"/>
    <x v="1"/>
    <x v="1534"/>
    <x v="0"/>
    <x v="1"/>
    <x v="1522"/>
    <x v="1741"/>
    <x v="4"/>
    <x v="0"/>
  </r>
  <r>
    <n v="4594"/>
    <x v="2276"/>
    <x v="482"/>
    <d v="2017-12-31T00:00:00"/>
    <s v="Standard Class"/>
    <x v="305"/>
    <s v="Mike Caudle"/>
    <x v="1"/>
    <s v="United States"/>
    <s v="Los Angeles"/>
    <x v="1"/>
    <n v="90004"/>
    <x v="1"/>
    <x v="1683"/>
    <x v="1"/>
    <x v="9"/>
    <x v="1671"/>
    <x v="2263"/>
    <x v="4"/>
    <x v="0"/>
  </r>
  <r>
    <n v="4595"/>
    <x v="2276"/>
    <x v="482"/>
    <d v="2017-12-31T00:00:00"/>
    <s v="Standard Class"/>
    <x v="305"/>
    <s v="Mike Caudle"/>
    <x v="1"/>
    <s v="United States"/>
    <s v="Los Angeles"/>
    <x v="1"/>
    <n v="90004"/>
    <x v="1"/>
    <x v="215"/>
    <x v="0"/>
    <x v="3"/>
    <x v="216"/>
    <x v="3359"/>
    <x v="4"/>
    <x v="0"/>
  </r>
  <r>
    <n v="4596"/>
    <x v="2276"/>
    <x v="482"/>
    <d v="2017-12-31T00:00:00"/>
    <s v="Standard Class"/>
    <x v="305"/>
    <s v="Mike Caudle"/>
    <x v="1"/>
    <s v="United States"/>
    <s v="Los Angeles"/>
    <x v="1"/>
    <n v="90004"/>
    <x v="1"/>
    <x v="646"/>
    <x v="1"/>
    <x v="6"/>
    <x v="646"/>
    <x v="3360"/>
    <x v="4"/>
    <x v="0"/>
  </r>
  <r>
    <n v="4597"/>
    <x v="2277"/>
    <x v="5"/>
    <d v="2017-12-10T00:00:00"/>
    <s v="Second Class"/>
    <x v="679"/>
    <s v="Tony Chapman"/>
    <x v="2"/>
    <s v="United States"/>
    <s v="Washington"/>
    <x v="40"/>
    <n v="20016"/>
    <x v="3"/>
    <x v="753"/>
    <x v="1"/>
    <x v="6"/>
    <x v="751"/>
    <x v="3361"/>
    <x v="4"/>
    <x v="0"/>
  </r>
  <r>
    <n v="4598"/>
    <x v="2278"/>
    <x v="735"/>
    <d v="2018-09-01T00:00:00"/>
    <s v="Standard Class"/>
    <x v="377"/>
    <s v="Matthew Grinstein"/>
    <x v="2"/>
    <s v="United States"/>
    <s v="Milwaukee"/>
    <x v="6"/>
    <n v="53209"/>
    <x v="2"/>
    <x v="515"/>
    <x v="1"/>
    <x v="14"/>
    <x v="515"/>
    <x v="3362"/>
    <x v="6"/>
    <x v="3"/>
  </r>
  <r>
    <n v="4599"/>
    <x v="2278"/>
    <x v="735"/>
    <d v="2018-09-01T00:00:00"/>
    <s v="Standard Class"/>
    <x v="377"/>
    <s v="Matthew Grinstein"/>
    <x v="2"/>
    <s v="United States"/>
    <s v="Milwaukee"/>
    <x v="6"/>
    <n v="53209"/>
    <x v="2"/>
    <x v="1549"/>
    <x v="1"/>
    <x v="9"/>
    <x v="1537"/>
    <x v="3363"/>
    <x v="6"/>
    <x v="3"/>
  </r>
  <r>
    <n v="4600"/>
    <x v="2279"/>
    <x v="747"/>
    <d v="2016-07-20T00:00:00"/>
    <s v="Standard Class"/>
    <x v="450"/>
    <s v="Michael Granlund"/>
    <x v="2"/>
    <s v="United States"/>
    <s v="Baltimore"/>
    <x v="39"/>
    <n v="21215"/>
    <x v="3"/>
    <x v="531"/>
    <x v="0"/>
    <x v="1"/>
    <x v="531"/>
    <x v="3364"/>
    <x v="7"/>
    <x v="1"/>
  </r>
  <r>
    <n v="4601"/>
    <x v="2279"/>
    <x v="747"/>
    <d v="2016-07-20T00:00:00"/>
    <s v="Standard Class"/>
    <x v="450"/>
    <s v="Michael Granlund"/>
    <x v="2"/>
    <s v="United States"/>
    <s v="Baltimore"/>
    <x v="39"/>
    <n v="21215"/>
    <x v="3"/>
    <x v="373"/>
    <x v="1"/>
    <x v="12"/>
    <x v="374"/>
    <x v="3365"/>
    <x v="7"/>
    <x v="1"/>
  </r>
  <r>
    <n v="4602"/>
    <x v="2279"/>
    <x v="747"/>
    <d v="2016-07-20T00:00:00"/>
    <s v="Standard Class"/>
    <x v="450"/>
    <s v="Michael Granlund"/>
    <x v="2"/>
    <s v="United States"/>
    <s v="Baltimore"/>
    <x v="39"/>
    <n v="21215"/>
    <x v="3"/>
    <x v="1579"/>
    <x v="1"/>
    <x v="13"/>
    <x v="1570"/>
    <x v="132"/>
    <x v="7"/>
    <x v="1"/>
  </r>
  <r>
    <n v="4603"/>
    <x v="2280"/>
    <x v="989"/>
    <d v="2016-05-29T00:00:00"/>
    <s v="Second Class"/>
    <x v="408"/>
    <s v="Ben Ferrer"/>
    <x v="2"/>
    <s v="United States"/>
    <s v="Jacksonville"/>
    <x v="3"/>
    <n v="28540"/>
    <x v="0"/>
    <x v="1274"/>
    <x v="1"/>
    <x v="10"/>
    <x v="1259"/>
    <x v="3366"/>
    <x v="5"/>
    <x v="1"/>
  </r>
  <r>
    <n v="4604"/>
    <x v="2280"/>
    <x v="989"/>
    <d v="2016-05-29T00:00:00"/>
    <s v="Second Class"/>
    <x v="408"/>
    <s v="Ben Ferrer"/>
    <x v="2"/>
    <s v="United States"/>
    <s v="Jacksonville"/>
    <x v="3"/>
    <n v="28540"/>
    <x v="0"/>
    <x v="1684"/>
    <x v="1"/>
    <x v="10"/>
    <x v="1672"/>
    <x v="3367"/>
    <x v="5"/>
    <x v="1"/>
  </r>
  <r>
    <n v="4605"/>
    <x v="2280"/>
    <x v="989"/>
    <d v="2016-05-29T00:00:00"/>
    <s v="Second Class"/>
    <x v="408"/>
    <s v="Ben Ferrer"/>
    <x v="2"/>
    <s v="United States"/>
    <s v="Jacksonville"/>
    <x v="3"/>
    <n v="28540"/>
    <x v="0"/>
    <x v="661"/>
    <x v="1"/>
    <x v="12"/>
    <x v="661"/>
    <x v="2059"/>
    <x v="5"/>
    <x v="1"/>
  </r>
  <r>
    <n v="4606"/>
    <x v="2280"/>
    <x v="989"/>
    <d v="2016-05-29T00:00:00"/>
    <s v="Second Class"/>
    <x v="408"/>
    <s v="Ben Ferrer"/>
    <x v="2"/>
    <s v="United States"/>
    <s v="Jacksonville"/>
    <x v="3"/>
    <n v="28540"/>
    <x v="0"/>
    <x v="246"/>
    <x v="2"/>
    <x v="11"/>
    <x v="247"/>
    <x v="3368"/>
    <x v="5"/>
    <x v="1"/>
  </r>
  <r>
    <n v="4607"/>
    <x v="2281"/>
    <x v="71"/>
    <d v="2016-06-02T00:00:00"/>
    <s v="Standard Class"/>
    <x v="474"/>
    <s v="Maxwell Schwartz"/>
    <x v="0"/>
    <s v="United States"/>
    <s v="Rochester"/>
    <x v="15"/>
    <n v="14609"/>
    <x v="3"/>
    <x v="40"/>
    <x v="2"/>
    <x v="7"/>
    <x v="40"/>
    <x v="3369"/>
    <x v="5"/>
    <x v="1"/>
  </r>
  <r>
    <n v="4608"/>
    <x v="2281"/>
    <x v="71"/>
    <d v="2016-06-02T00:00:00"/>
    <s v="Standard Class"/>
    <x v="474"/>
    <s v="Maxwell Schwartz"/>
    <x v="0"/>
    <s v="United States"/>
    <s v="Rochester"/>
    <x v="15"/>
    <n v="14609"/>
    <x v="3"/>
    <x v="518"/>
    <x v="1"/>
    <x v="4"/>
    <x v="518"/>
    <x v="3370"/>
    <x v="5"/>
    <x v="1"/>
  </r>
  <r>
    <n v="4609"/>
    <x v="2281"/>
    <x v="71"/>
    <d v="2016-06-02T00:00:00"/>
    <s v="Standard Class"/>
    <x v="474"/>
    <s v="Maxwell Schwartz"/>
    <x v="0"/>
    <s v="United States"/>
    <s v="Rochester"/>
    <x v="15"/>
    <n v="14609"/>
    <x v="3"/>
    <x v="536"/>
    <x v="1"/>
    <x v="8"/>
    <x v="536"/>
    <x v="855"/>
    <x v="5"/>
    <x v="1"/>
  </r>
  <r>
    <n v="4610"/>
    <x v="2281"/>
    <x v="71"/>
    <d v="2016-06-02T00:00:00"/>
    <s v="Standard Class"/>
    <x v="474"/>
    <s v="Maxwell Schwartz"/>
    <x v="0"/>
    <s v="United States"/>
    <s v="Rochester"/>
    <x v="15"/>
    <n v="14609"/>
    <x v="3"/>
    <x v="1330"/>
    <x v="1"/>
    <x v="10"/>
    <x v="1315"/>
    <x v="1544"/>
    <x v="5"/>
    <x v="1"/>
  </r>
  <r>
    <n v="4611"/>
    <x v="2282"/>
    <x v="45"/>
    <d v="2018-11-14T00:00:00"/>
    <s v="Standard Class"/>
    <x v="32"/>
    <s v="Joel Eaton"/>
    <x v="0"/>
    <s v="United States"/>
    <s v="Oceanside"/>
    <x v="1"/>
    <n v="92054"/>
    <x v="1"/>
    <x v="325"/>
    <x v="0"/>
    <x v="5"/>
    <x v="325"/>
    <x v="346"/>
    <x v="0"/>
    <x v="3"/>
  </r>
  <r>
    <n v="4612"/>
    <x v="2283"/>
    <x v="990"/>
    <d v="2017-01-26T00:00:00"/>
    <s v="Second Class"/>
    <x v="428"/>
    <s v="Henry Goldwyn"/>
    <x v="1"/>
    <s v="United States"/>
    <s v="Gulfport"/>
    <x v="35"/>
    <n v="39503"/>
    <x v="0"/>
    <x v="460"/>
    <x v="1"/>
    <x v="8"/>
    <x v="461"/>
    <x v="3371"/>
    <x v="9"/>
    <x v="0"/>
  </r>
  <r>
    <n v="4613"/>
    <x v="2284"/>
    <x v="413"/>
    <d v="2018-01-06T00:00:00"/>
    <s v="Standard Class"/>
    <x v="212"/>
    <s v="Emily Phan"/>
    <x v="0"/>
    <s v="United States"/>
    <s v="Jacksonville"/>
    <x v="2"/>
    <n v="32216"/>
    <x v="0"/>
    <x v="397"/>
    <x v="1"/>
    <x v="6"/>
    <x v="398"/>
    <x v="1634"/>
    <x v="4"/>
    <x v="0"/>
  </r>
  <r>
    <n v="4614"/>
    <x v="2284"/>
    <x v="413"/>
    <d v="2018-01-06T00:00:00"/>
    <s v="Standard Class"/>
    <x v="212"/>
    <s v="Emily Phan"/>
    <x v="0"/>
    <s v="United States"/>
    <s v="Jacksonville"/>
    <x v="2"/>
    <n v="32216"/>
    <x v="0"/>
    <x v="707"/>
    <x v="1"/>
    <x v="10"/>
    <x v="706"/>
    <x v="3372"/>
    <x v="4"/>
    <x v="0"/>
  </r>
  <r>
    <n v="4615"/>
    <x v="2285"/>
    <x v="64"/>
    <d v="2017-09-10T00:00:00"/>
    <s v="Standard Class"/>
    <x v="689"/>
    <s v="Gary Hansen"/>
    <x v="2"/>
    <s v="United States"/>
    <s v="Houston"/>
    <x v="5"/>
    <n v="77070"/>
    <x v="2"/>
    <x v="549"/>
    <x v="1"/>
    <x v="9"/>
    <x v="549"/>
    <x v="3373"/>
    <x v="8"/>
    <x v="0"/>
  </r>
  <r>
    <n v="4616"/>
    <x v="2285"/>
    <x v="64"/>
    <d v="2017-09-10T00:00:00"/>
    <s v="Standard Class"/>
    <x v="689"/>
    <s v="Gary Hansen"/>
    <x v="2"/>
    <s v="United States"/>
    <s v="Houston"/>
    <x v="5"/>
    <n v="77070"/>
    <x v="2"/>
    <x v="1432"/>
    <x v="1"/>
    <x v="13"/>
    <x v="1420"/>
    <x v="2634"/>
    <x v="8"/>
    <x v="0"/>
  </r>
  <r>
    <n v="4617"/>
    <x v="2286"/>
    <x v="406"/>
    <d v="2016-09-07T00:00:00"/>
    <s v="Second Class"/>
    <x v="103"/>
    <s v="David Smith"/>
    <x v="1"/>
    <s v="United States"/>
    <s v="Houston"/>
    <x v="5"/>
    <n v="77095"/>
    <x v="2"/>
    <x v="201"/>
    <x v="2"/>
    <x v="11"/>
    <x v="202"/>
    <x v="3374"/>
    <x v="8"/>
    <x v="1"/>
  </r>
  <r>
    <n v="4618"/>
    <x v="2287"/>
    <x v="481"/>
    <d v="2016-09-26T00:00:00"/>
    <s v="Standard Class"/>
    <x v="274"/>
    <s v="Tracy Hopkins"/>
    <x v="2"/>
    <s v="United States"/>
    <s v="Everett"/>
    <x v="31"/>
    <n v="2149"/>
    <x v="3"/>
    <x v="1538"/>
    <x v="2"/>
    <x v="7"/>
    <x v="1526"/>
    <x v="3375"/>
    <x v="8"/>
    <x v="1"/>
  </r>
  <r>
    <n v="4619"/>
    <x v="2287"/>
    <x v="481"/>
    <d v="2016-09-26T00:00:00"/>
    <s v="Standard Class"/>
    <x v="274"/>
    <s v="Tracy Hopkins"/>
    <x v="2"/>
    <s v="United States"/>
    <s v="Everett"/>
    <x v="31"/>
    <n v="2149"/>
    <x v="3"/>
    <x v="323"/>
    <x v="0"/>
    <x v="1"/>
    <x v="323"/>
    <x v="3036"/>
    <x v="8"/>
    <x v="1"/>
  </r>
  <r>
    <n v="4620"/>
    <x v="2288"/>
    <x v="165"/>
    <d v="2018-12-25T00:00:00"/>
    <s v="First Class"/>
    <x v="84"/>
    <s v="Robert Marley"/>
    <x v="2"/>
    <s v="United States"/>
    <s v="Los Angeles"/>
    <x v="1"/>
    <n v="90049"/>
    <x v="1"/>
    <x v="306"/>
    <x v="2"/>
    <x v="16"/>
    <x v="306"/>
    <x v="3376"/>
    <x v="4"/>
    <x v="3"/>
  </r>
  <r>
    <n v="4621"/>
    <x v="2288"/>
    <x v="165"/>
    <d v="2018-12-25T00:00:00"/>
    <s v="First Class"/>
    <x v="84"/>
    <s v="Robert Marley"/>
    <x v="2"/>
    <s v="United States"/>
    <s v="Los Angeles"/>
    <x v="1"/>
    <n v="90049"/>
    <x v="1"/>
    <x v="443"/>
    <x v="1"/>
    <x v="8"/>
    <x v="443"/>
    <x v="3377"/>
    <x v="4"/>
    <x v="3"/>
  </r>
  <r>
    <n v="4622"/>
    <x v="2289"/>
    <x v="348"/>
    <d v="2016-10-08T00:00:00"/>
    <s v="Second Class"/>
    <x v="245"/>
    <s v="Sylvia Foulston"/>
    <x v="1"/>
    <s v="United States"/>
    <s v="Wilmington"/>
    <x v="13"/>
    <n v="19805"/>
    <x v="3"/>
    <x v="177"/>
    <x v="1"/>
    <x v="4"/>
    <x v="178"/>
    <x v="3378"/>
    <x v="2"/>
    <x v="1"/>
  </r>
  <r>
    <n v="4623"/>
    <x v="2290"/>
    <x v="428"/>
    <d v="2018-09-14T00:00:00"/>
    <s v="Standard Class"/>
    <x v="2"/>
    <s v="Sean O'Donnell"/>
    <x v="0"/>
    <s v="United States"/>
    <s v="Columbia"/>
    <x v="18"/>
    <n v="38401"/>
    <x v="0"/>
    <x v="327"/>
    <x v="1"/>
    <x v="14"/>
    <x v="327"/>
    <x v="3379"/>
    <x v="8"/>
    <x v="3"/>
  </r>
  <r>
    <n v="4624"/>
    <x v="2290"/>
    <x v="428"/>
    <d v="2018-09-14T00:00:00"/>
    <s v="Standard Class"/>
    <x v="2"/>
    <s v="Sean O'Donnell"/>
    <x v="0"/>
    <s v="United States"/>
    <s v="Columbia"/>
    <x v="18"/>
    <n v="38401"/>
    <x v="0"/>
    <x v="447"/>
    <x v="1"/>
    <x v="10"/>
    <x v="1228"/>
    <x v="3380"/>
    <x v="8"/>
    <x v="3"/>
  </r>
  <r>
    <n v="4625"/>
    <x v="2290"/>
    <x v="428"/>
    <d v="2018-09-14T00:00:00"/>
    <s v="Standard Class"/>
    <x v="2"/>
    <s v="Sean O'Donnell"/>
    <x v="0"/>
    <s v="United States"/>
    <s v="Columbia"/>
    <x v="18"/>
    <n v="38401"/>
    <x v="0"/>
    <x v="765"/>
    <x v="1"/>
    <x v="4"/>
    <x v="764"/>
    <x v="3381"/>
    <x v="8"/>
    <x v="3"/>
  </r>
  <r>
    <n v="4626"/>
    <x v="2290"/>
    <x v="428"/>
    <d v="2018-09-14T00:00:00"/>
    <s v="Standard Class"/>
    <x v="2"/>
    <s v="Sean O'Donnell"/>
    <x v="0"/>
    <s v="United States"/>
    <s v="Columbia"/>
    <x v="18"/>
    <n v="38401"/>
    <x v="0"/>
    <x v="325"/>
    <x v="0"/>
    <x v="5"/>
    <x v="325"/>
    <x v="2127"/>
    <x v="8"/>
    <x v="3"/>
  </r>
  <r>
    <n v="4627"/>
    <x v="2291"/>
    <x v="373"/>
    <d v="2017-11-18T00:00:00"/>
    <s v="Standard Class"/>
    <x v="316"/>
    <s v="Cyma Kinney"/>
    <x v="1"/>
    <s v="United States"/>
    <s v="New York City"/>
    <x v="15"/>
    <n v="10011"/>
    <x v="3"/>
    <x v="170"/>
    <x v="1"/>
    <x v="4"/>
    <x v="171"/>
    <x v="3378"/>
    <x v="0"/>
    <x v="0"/>
  </r>
  <r>
    <n v="4628"/>
    <x v="2291"/>
    <x v="373"/>
    <d v="2017-11-18T00:00:00"/>
    <s v="Standard Class"/>
    <x v="316"/>
    <s v="Cyma Kinney"/>
    <x v="1"/>
    <s v="United States"/>
    <s v="New York City"/>
    <x v="15"/>
    <n v="10011"/>
    <x v="3"/>
    <x v="253"/>
    <x v="1"/>
    <x v="4"/>
    <x v="254"/>
    <x v="3382"/>
    <x v="0"/>
    <x v="0"/>
  </r>
  <r>
    <n v="4629"/>
    <x v="2291"/>
    <x v="373"/>
    <d v="2017-11-18T00:00:00"/>
    <s v="Standard Class"/>
    <x v="316"/>
    <s v="Cyma Kinney"/>
    <x v="1"/>
    <s v="United States"/>
    <s v="New York City"/>
    <x v="15"/>
    <n v="10011"/>
    <x v="3"/>
    <x v="1473"/>
    <x v="1"/>
    <x v="6"/>
    <x v="1460"/>
    <x v="3383"/>
    <x v="0"/>
    <x v="0"/>
  </r>
  <r>
    <n v="4630"/>
    <x v="2291"/>
    <x v="373"/>
    <d v="2017-11-18T00:00:00"/>
    <s v="Standard Class"/>
    <x v="316"/>
    <s v="Cyma Kinney"/>
    <x v="1"/>
    <s v="United States"/>
    <s v="New York City"/>
    <x v="15"/>
    <n v="10011"/>
    <x v="3"/>
    <x v="762"/>
    <x v="1"/>
    <x v="4"/>
    <x v="761"/>
    <x v="898"/>
    <x v="0"/>
    <x v="0"/>
  </r>
  <r>
    <n v="4631"/>
    <x v="2292"/>
    <x v="52"/>
    <d v="2016-10-15T00:00:00"/>
    <s v="Same Day"/>
    <x v="315"/>
    <s v="Guy Armstrong"/>
    <x v="0"/>
    <s v="United States"/>
    <s v="Mount Pleasant"/>
    <x v="12"/>
    <n v="48858"/>
    <x v="2"/>
    <x v="1685"/>
    <x v="0"/>
    <x v="5"/>
    <x v="1673"/>
    <x v="1790"/>
    <x v="2"/>
    <x v="1"/>
  </r>
  <r>
    <n v="4632"/>
    <x v="2293"/>
    <x v="646"/>
    <d v="2018-08-08T00:00:00"/>
    <s v="Second Class"/>
    <x v="232"/>
    <s v="Bruce Degenhardt"/>
    <x v="0"/>
    <s v="United States"/>
    <s v="San Francisco"/>
    <x v="1"/>
    <n v="94122"/>
    <x v="1"/>
    <x v="488"/>
    <x v="1"/>
    <x v="2"/>
    <x v="488"/>
    <x v="2616"/>
    <x v="6"/>
    <x v="3"/>
  </r>
  <r>
    <n v="4633"/>
    <x v="2293"/>
    <x v="646"/>
    <d v="2018-08-08T00:00:00"/>
    <s v="Second Class"/>
    <x v="232"/>
    <s v="Bruce Degenhardt"/>
    <x v="0"/>
    <s v="United States"/>
    <s v="San Francisco"/>
    <x v="1"/>
    <n v="94122"/>
    <x v="1"/>
    <x v="479"/>
    <x v="0"/>
    <x v="5"/>
    <x v="480"/>
    <x v="3384"/>
    <x v="6"/>
    <x v="3"/>
  </r>
  <r>
    <n v="4634"/>
    <x v="2294"/>
    <x v="291"/>
    <d v="2016-08-26T00:00:00"/>
    <s v="Standard Class"/>
    <x v="103"/>
    <s v="David Smith"/>
    <x v="1"/>
    <s v="United States"/>
    <s v="San Francisco"/>
    <x v="1"/>
    <n v="94122"/>
    <x v="1"/>
    <x v="1686"/>
    <x v="0"/>
    <x v="0"/>
    <x v="1674"/>
    <x v="3385"/>
    <x v="6"/>
    <x v="1"/>
  </r>
  <r>
    <n v="4635"/>
    <x v="2294"/>
    <x v="291"/>
    <d v="2016-08-26T00:00:00"/>
    <s v="Standard Class"/>
    <x v="103"/>
    <s v="David Smith"/>
    <x v="1"/>
    <s v="United States"/>
    <s v="San Francisco"/>
    <x v="1"/>
    <n v="94122"/>
    <x v="1"/>
    <x v="459"/>
    <x v="1"/>
    <x v="4"/>
    <x v="460"/>
    <x v="1225"/>
    <x v="6"/>
    <x v="1"/>
  </r>
  <r>
    <n v="4636"/>
    <x v="2295"/>
    <x v="846"/>
    <d v="2018-03-17T00:00:00"/>
    <s v="Standard Class"/>
    <x v="510"/>
    <s v="Bill Stewart"/>
    <x v="1"/>
    <s v="United States"/>
    <s v="San Francisco"/>
    <x v="1"/>
    <n v="94122"/>
    <x v="1"/>
    <x v="459"/>
    <x v="1"/>
    <x v="4"/>
    <x v="460"/>
    <x v="420"/>
    <x v="10"/>
    <x v="3"/>
  </r>
  <r>
    <n v="4637"/>
    <x v="2296"/>
    <x v="842"/>
    <d v="2018-04-29T00:00:00"/>
    <s v="First Class"/>
    <x v="275"/>
    <s v="Arthur Prichep"/>
    <x v="0"/>
    <s v="United States"/>
    <s v="Los Angeles"/>
    <x v="1"/>
    <n v="90045"/>
    <x v="1"/>
    <x v="290"/>
    <x v="1"/>
    <x v="6"/>
    <x v="290"/>
    <x v="1832"/>
    <x v="3"/>
    <x v="3"/>
  </r>
  <r>
    <n v="4638"/>
    <x v="2296"/>
    <x v="842"/>
    <d v="2018-04-29T00:00:00"/>
    <s v="First Class"/>
    <x v="275"/>
    <s v="Arthur Prichep"/>
    <x v="0"/>
    <s v="United States"/>
    <s v="Los Angeles"/>
    <x v="1"/>
    <n v="90045"/>
    <x v="1"/>
    <x v="105"/>
    <x v="1"/>
    <x v="6"/>
    <x v="105"/>
    <x v="708"/>
    <x v="3"/>
    <x v="3"/>
  </r>
  <r>
    <n v="4639"/>
    <x v="2296"/>
    <x v="842"/>
    <d v="2018-04-29T00:00:00"/>
    <s v="First Class"/>
    <x v="275"/>
    <s v="Arthur Prichep"/>
    <x v="0"/>
    <s v="United States"/>
    <s v="Los Angeles"/>
    <x v="1"/>
    <n v="90045"/>
    <x v="1"/>
    <x v="1559"/>
    <x v="1"/>
    <x v="6"/>
    <x v="1549"/>
    <x v="2812"/>
    <x v="3"/>
    <x v="3"/>
  </r>
  <r>
    <n v="4640"/>
    <x v="2297"/>
    <x v="108"/>
    <d v="2017-09-16T00:00:00"/>
    <s v="Standard Class"/>
    <x v="535"/>
    <s v="Jill Fjeld"/>
    <x v="0"/>
    <s v="United States"/>
    <s v="Newport News"/>
    <x v="17"/>
    <n v="23602"/>
    <x v="0"/>
    <x v="1687"/>
    <x v="2"/>
    <x v="16"/>
    <x v="1675"/>
    <x v="3386"/>
    <x v="8"/>
    <x v="0"/>
  </r>
  <r>
    <n v="4641"/>
    <x v="2297"/>
    <x v="108"/>
    <d v="2017-09-16T00:00:00"/>
    <s v="Standard Class"/>
    <x v="535"/>
    <s v="Jill Fjeld"/>
    <x v="0"/>
    <s v="United States"/>
    <s v="Newport News"/>
    <x v="17"/>
    <n v="23602"/>
    <x v="0"/>
    <x v="1475"/>
    <x v="1"/>
    <x v="12"/>
    <x v="1462"/>
    <x v="3387"/>
    <x v="8"/>
    <x v="0"/>
  </r>
  <r>
    <n v="4642"/>
    <x v="2298"/>
    <x v="760"/>
    <d v="2018-10-24T00:00:00"/>
    <s v="Second Class"/>
    <x v="456"/>
    <s v="Helen Abelman"/>
    <x v="0"/>
    <s v="United States"/>
    <s v="Fort Collins"/>
    <x v="22"/>
    <n v="80525"/>
    <x v="1"/>
    <x v="446"/>
    <x v="1"/>
    <x v="8"/>
    <x v="446"/>
    <x v="754"/>
    <x v="2"/>
    <x v="3"/>
  </r>
  <r>
    <n v="4643"/>
    <x v="2298"/>
    <x v="760"/>
    <d v="2018-10-24T00:00:00"/>
    <s v="Second Class"/>
    <x v="456"/>
    <s v="Helen Abelman"/>
    <x v="0"/>
    <s v="United States"/>
    <s v="Fort Collins"/>
    <x v="22"/>
    <n v="80525"/>
    <x v="1"/>
    <x v="1688"/>
    <x v="0"/>
    <x v="1"/>
    <x v="1676"/>
    <x v="1077"/>
    <x v="2"/>
    <x v="3"/>
  </r>
  <r>
    <n v="4644"/>
    <x v="2299"/>
    <x v="991"/>
    <d v="2016-08-06T00:00:00"/>
    <s v="Standard Class"/>
    <x v="476"/>
    <s v="Corey-Lock"/>
    <x v="0"/>
    <s v="United States"/>
    <s v="Seattle"/>
    <x v="4"/>
    <n v="98105"/>
    <x v="1"/>
    <x v="1406"/>
    <x v="1"/>
    <x v="8"/>
    <x v="1393"/>
    <x v="2850"/>
    <x v="6"/>
    <x v="1"/>
  </r>
  <r>
    <n v="4645"/>
    <x v="2299"/>
    <x v="991"/>
    <d v="2016-08-06T00:00:00"/>
    <s v="Standard Class"/>
    <x v="476"/>
    <s v="Corey-Lock"/>
    <x v="0"/>
    <s v="United States"/>
    <s v="Seattle"/>
    <x v="4"/>
    <n v="98105"/>
    <x v="1"/>
    <x v="1491"/>
    <x v="2"/>
    <x v="15"/>
    <x v="1478"/>
    <x v="2666"/>
    <x v="6"/>
    <x v="1"/>
  </r>
  <r>
    <n v="4646"/>
    <x v="2300"/>
    <x v="399"/>
    <d v="2017-08-16T00:00:00"/>
    <s v="Standard Class"/>
    <x v="604"/>
    <s v="Becky Castell"/>
    <x v="2"/>
    <s v="United States"/>
    <s v="New York City"/>
    <x v="15"/>
    <n v="10011"/>
    <x v="3"/>
    <x v="405"/>
    <x v="0"/>
    <x v="1"/>
    <x v="406"/>
    <x v="3388"/>
    <x v="6"/>
    <x v="0"/>
  </r>
  <r>
    <n v="4647"/>
    <x v="2301"/>
    <x v="992"/>
    <d v="2015-06-05T00:00:00"/>
    <s v="Standard Class"/>
    <x v="225"/>
    <s v="Ellis Ballard"/>
    <x v="1"/>
    <s v="United States"/>
    <s v="Richmond"/>
    <x v="17"/>
    <n v="23223"/>
    <x v="0"/>
    <x v="702"/>
    <x v="1"/>
    <x v="10"/>
    <x v="702"/>
    <x v="3389"/>
    <x v="5"/>
    <x v="2"/>
  </r>
  <r>
    <n v="4648"/>
    <x v="2302"/>
    <x v="993"/>
    <d v="2017-05-01T00:00:00"/>
    <s v="Standard Class"/>
    <x v="748"/>
    <s v="Dennis Bolton"/>
    <x v="2"/>
    <s v="United States"/>
    <s v="New York City"/>
    <x v="15"/>
    <n v="10009"/>
    <x v="3"/>
    <x v="1578"/>
    <x v="0"/>
    <x v="1"/>
    <x v="1569"/>
    <x v="3390"/>
    <x v="3"/>
    <x v="0"/>
  </r>
  <r>
    <n v="4649"/>
    <x v="2303"/>
    <x v="304"/>
    <d v="2018-05-19T00:00:00"/>
    <s v="Standard Class"/>
    <x v="10"/>
    <s v="Ken Black"/>
    <x v="1"/>
    <s v="United States"/>
    <s v="Seattle"/>
    <x v="4"/>
    <n v="98103"/>
    <x v="1"/>
    <x v="1689"/>
    <x v="1"/>
    <x v="10"/>
    <x v="1677"/>
    <x v="3391"/>
    <x v="5"/>
    <x v="3"/>
  </r>
  <r>
    <n v="4650"/>
    <x v="2303"/>
    <x v="304"/>
    <d v="2018-05-19T00:00:00"/>
    <s v="Standard Class"/>
    <x v="10"/>
    <s v="Ken Black"/>
    <x v="1"/>
    <s v="United States"/>
    <s v="Seattle"/>
    <x v="4"/>
    <n v="98103"/>
    <x v="1"/>
    <x v="505"/>
    <x v="1"/>
    <x v="14"/>
    <x v="505"/>
    <x v="3392"/>
    <x v="5"/>
    <x v="3"/>
  </r>
  <r>
    <n v="4651"/>
    <x v="2304"/>
    <x v="798"/>
    <d v="2018-04-12T00:00:00"/>
    <s v="Standard Class"/>
    <x v="571"/>
    <s v="Adrian Hane"/>
    <x v="2"/>
    <s v="United States"/>
    <s v="San Francisco"/>
    <x v="1"/>
    <n v="94110"/>
    <x v="1"/>
    <x v="1184"/>
    <x v="1"/>
    <x v="10"/>
    <x v="1170"/>
    <x v="1644"/>
    <x v="3"/>
    <x v="3"/>
  </r>
  <r>
    <n v="4652"/>
    <x v="2304"/>
    <x v="798"/>
    <d v="2018-04-12T00:00:00"/>
    <s v="Standard Class"/>
    <x v="571"/>
    <s v="Adrian Hane"/>
    <x v="2"/>
    <s v="United States"/>
    <s v="San Francisco"/>
    <x v="1"/>
    <n v="94110"/>
    <x v="1"/>
    <x v="1438"/>
    <x v="1"/>
    <x v="10"/>
    <x v="1426"/>
    <x v="3393"/>
    <x v="3"/>
    <x v="3"/>
  </r>
  <r>
    <n v="4653"/>
    <x v="2305"/>
    <x v="922"/>
    <d v="2018-02-23T00:00:00"/>
    <s v="Standard Class"/>
    <x v="689"/>
    <s v="Gary Hansen"/>
    <x v="2"/>
    <s v="United States"/>
    <s v="Perth Amboy"/>
    <x v="30"/>
    <n v="8861"/>
    <x v="3"/>
    <x v="1017"/>
    <x v="1"/>
    <x v="10"/>
    <x v="1008"/>
    <x v="2660"/>
    <x v="11"/>
    <x v="3"/>
  </r>
  <r>
    <n v="4654"/>
    <x v="2305"/>
    <x v="922"/>
    <d v="2018-02-23T00:00:00"/>
    <s v="Standard Class"/>
    <x v="689"/>
    <s v="Gary Hansen"/>
    <x v="2"/>
    <s v="United States"/>
    <s v="Perth Amboy"/>
    <x v="30"/>
    <n v="8861"/>
    <x v="3"/>
    <x v="1291"/>
    <x v="1"/>
    <x v="4"/>
    <x v="1277"/>
    <x v="3394"/>
    <x v="11"/>
    <x v="3"/>
  </r>
  <r>
    <n v="4655"/>
    <x v="2306"/>
    <x v="92"/>
    <d v="2018-06-26T00:00:00"/>
    <s v="Second Class"/>
    <x v="409"/>
    <s v="Kean Thornton"/>
    <x v="0"/>
    <s v="United States"/>
    <s v="San Francisco"/>
    <x v="1"/>
    <n v="94110"/>
    <x v="1"/>
    <x v="1579"/>
    <x v="1"/>
    <x v="13"/>
    <x v="1570"/>
    <x v="704"/>
    <x v="1"/>
    <x v="3"/>
  </r>
  <r>
    <n v="4656"/>
    <x v="2307"/>
    <x v="952"/>
    <d v="2015-05-10T00:00:00"/>
    <s v="Standard Class"/>
    <x v="542"/>
    <s v="Katharine Harms"/>
    <x v="1"/>
    <s v="United States"/>
    <s v="Freeport"/>
    <x v="10"/>
    <n v="61032"/>
    <x v="2"/>
    <x v="86"/>
    <x v="1"/>
    <x v="4"/>
    <x v="86"/>
    <x v="3395"/>
    <x v="5"/>
    <x v="2"/>
  </r>
  <r>
    <n v="4657"/>
    <x v="2308"/>
    <x v="910"/>
    <d v="2016-05-07T00:00:00"/>
    <s v="Standard Class"/>
    <x v="647"/>
    <s v="Stewart Visinsky"/>
    <x v="0"/>
    <s v="United States"/>
    <s v="Philadelphia"/>
    <x v="9"/>
    <n v="19140"/>
    <x v="3"/>
    <x v="726"/>
    <x v="1"/>
    <x v="6"/>
    <x v="725"/>
    <x v="3396"/>
    <x v="5"/>
    <x v="1"/>
  </r>
  <r>
    <n v="4658"/>
    <x v="2308"/>
    <x v="910"/>
    <d v="2016-05-07T00:00:00"/>
    <s v="Standard Class"/>
    <x v="647"/>
    <s v="Stewart Visinsky"/>
    <x v="0"/>
    <s v="United States"/>
    <s v="Philadelphia"/>
    <x v="9"/>
    <n v="19140"/>
    <x v="3"/>
    <x v="667"/>
    <x v="1"/>
    <x v="9"/>
    <x v="667"/>
    <x v="769"/>
    <x v="5"/>
    <x v="1"/>
  </r>
  <r>
    <n v="4659"/>
    <x v="2308"/>
    <x v="910"/>
    <d v="2016-05-07T00:00:00"/>
    <s v="Standard Class"/>
    <x v="647"/>
    <s v="Stewart Visinsky"/>
    <x v="0"/>
    <s v="United States"/>
    <s v="Philadelphia"/>
    <x v="9"/>
    <n v="19140"/>
    <x v="3"/>
    <x v="388"/>
    <x v="1"/>
    <x v="10"/>
    <x v="389"/>
    <x v="885"/>
    <x v="5"/>
    <x v="1"/>
  </r>
  <r>
    <n v="4660"/>
    <x v="2308"/>
    <x v="910"/>
    <d v="2016-05-07T00:00:00"/>
    <s v="Standard Class"/>
    <x v="647"/>
    <s v="Stewart Visinsky"/>
    <x v="0"/>
    <s v="United States"/>
    <s v="Philadelphia"/>
    <x v="9"/>
    <n v="19140"/>
    <x v="3"/>
    <x v="189"/>
    <x v="1"/>
    <x v="9"/>
    <x v="190"/>
    <x v="3397"/>
    <x v="5"/>
    <x v="1"/>
  </r>
  <r>
    <n v="4661"/>
    <x v="2308"/>
    <x v="910"/>
    <d v="2016-05-07T00:00:00"/>
    <s v="Standard Class"/>
    <x v="647"/>
    <s v="Stewart Visinsky"/>
    <x v="0"/>
    <s v="United States"/>
    <s v="Philadelphia"/>
    <x v="9"/>
    <n v="19140"/>
    <x v="3"/>
    <x v="1690"/>
    <x v="2"/>
    <x v="11"/>
    <x v="1678"/>
    <x v="288"/>
    <x v="5"/>
    <x v="1"/>
  </r>
  <r>
    <n v="4662"/>
    <x v="2308"/>
    <x v="910"/>
    <d v="2016-05-07T00:00:00"/>
    <s v="Standard Class"/>
    <x v="647"/>
    <s v="Stewart Visinsky"/>
    <x v="0"/>
    <s v="United States"/>
    <s v="Philadelphia"/>
    <x v="9"/>
    <n v="19140"/>
    <x v="3"/>
    <x v="228"/>
    <x v="0"/>
    <x v="1"/>
    <x v="229"/>
    <x v="2749"/>
    <x v="5"/>
    <x v="1"/>
  </r>
  <r>
    <n v="4663"/>
    <x v="2308"/>
    <x v="910"/>
    <d v="2016-05-07T00:00:00"/>
    <s v="Standard Class"/>
    <x v="647"/>
    <s v="Stewart Visinsky"/>
    <x v="0"/>
    <s v="United States"/>
    <s v="Philadelphia"/>
    <x v="9"/>
    <n v="19140"/>
    <x v="3"/>
    <x v="911"/>
    <x v="1"/>
    <x v="4"/>
    <x v="903"/>
    <x v="3398"/>
    <x v="5"/>
    <x v="1"/>
  </r>
  <r>
    <n v="4664"/>
    <x v="2309"/>
    <x v="31"/>
    <d v="2017-09-22T00:00:00"/>
    <s v="Standard Class"/>
    <x v="138"/>
    <s v="Patrick O'Brill"/>
    <x v="0"/>
    <s v="United States"/>
    <s v="Jacksonville"/>
    <x v="2"/>
    <n v="32216"/>
    <x v="0"/>
    <x v="547"/>
    <x v="1"/>
    <x v="2"/>
    <x v="547"/>
    <x v="3399"/>
    <x v="8"/>
    <x v="0"/>
  </r>
  <r>
    <n v="4665"/>
    <x v="2310"/>
    <x v="897"/>
    <d v="2017-09-26T00:00:00"/>
    <s v="Standard Class"/>
    <x v="549"/>
    <s v="Amy Cox"/>
    <x v="0"/>
    <s v="United States"/>
    <s v="Pembroke Pines"/>
    <x v="2"/>
    <n v="33024"/>
    <x v="0"/>
    <x v="757"/>
    <x v="1"/>
    <x v="8"/>
    <x v="755"/>
    <x v="3400"/>
    <x v="8"/>
    <x v="0"/>
  </r>
  <r>
    <n v="4666"/>
    <x v="2310"/>
    <x v="897"/>
    <d v="2017-09-26T00:00:00"/>
    <s v="Standard Class"/>
    <x v="549"/>
    <s v="Amy Cox"/>
    <x v="0"/>
    <s v="United States"/>
    <s v="Pembroke Pines"/>
    <x v="2"/>
    <n v="33024"/>
    <x v="0"/>
    <x v="322"/>
    <x v="1"/>
    <x v="2"/>
    <x v="322"/>
    <x v="3319"/>
    <x v="8"/>
    <x v="0"/>
  </r>
  <r>
    <n v="4667"/>
    <x v="2311"/>
    <x v="994"/>
    <d v="2017-01-17T00:00:00"/>
    <s v="Standard Class"/>
    <x v="10"/>
    <s v="Ken Black"/>
    <x v="1"/>
    <s v="United States"/>
    <s v="Seattle"/>
    <x v="4"/>
    <n v="98115"/>
    <x v="1"/>
    <x v="891"/>
    <x v="0"/>
    <x v="5"/>
    <x v="884"/>
    <x v="705"/>
    <x v="9"/>
    <x v="0"/>
  </r>
  <r>
    <n v="4668"/>
    <x v="2311"/>
    <x v="994"/>
    <d v="2017-01-17T00:00:00"/>
    <s v="Standard Class"/>
    <x v="10"/>
    <s v="Ken Black"/>
    <x v="1"/>
    <s v="United States"/>
    <s v="Seattle"/>
    <x v="4"/>
    <n v="98115"/>
    <x v="1"/>
    <x v="343"/>
    <x v="2"/>
    <x v="11"/>
    <x v="343"/>
    <x v="3401"/>
    <x v="9"/>
    <x v="0"/>
  </r>
  <r>
    <n v="4669"/>
    <x v="2312"/>
    <x v="636"/>
    <d v="2018-05-11T00:00:00"/>
    <s v="Standard Class"/>
    <x v="587"/>
    <s v="Dorothy Badders"/>
    <x v="1"/>
    <s v="United States"/>
    <s v="Fort Worth"/>
    <x v="5"/>
    <n v="76106"/>
    <x v="2"/>
    <x v="555"/>
    <x v="1"/>
    <x v="8"/>
    <x v="554"/>
    <x v="3402"/>
    <x v="5"/>
    <x v="3"/>
  </r>
  <r>
    <n v="4670"/>
    <x v="2312"/>
    <x v="636"/>
    <d v="2018-05-11T00:00:00"/>
    <s v="Standard Class"/>
    <x v="587"/>
    <s v="Dorothy Badders"/>
    <x v="1"/>
    <s v="United States"/>
    <s v="Fort Worth"/>
    <x v="5"/>
    <n v="76106"/>
    <x v="2"/>
    <x v="419"/>
    <x v="0"/>
    <x v="0"/>
    <x v="419"/>
    <x v="3403"/>
    <x v="5"/>
    <x v="3"/>
  </r>
  <r>
    <n v="4671"/>
    <x v="2312"/>
    <x v="636"/>
    <d v="2018-05-11T00:00:00"/>
    <s v="Standard Class"/>
    <x v="587"/>
    <s v="Dorothy Badders"/>
    <x v="1"/>
    <s v="United States"/>
    <s v="Fort Worth"/>
    <x v="5"/>
    <n v="76106"/>
    <x v="2"/>
    <x v="1662"/>
    <x v="1"/>
    <x v="4"/>
    <x v="1650"/>
    <x v="3404"/>
    <x v="5"/>
    <x v="3"/>
  </r>
  <r>
    <n v="4672"/>
    <x v="2313"/>
    <x v="995"/>
    <d v="2017-08-06T00:00:00"/>
    <s v="Standard Class"/>
    <x v="107"/>
    <s v="Ken Lonsdale"/>
    <x v="0"/>
    <s v="United States"/>
    <s v="Detroit"/>
    <x v="12"/>
    <n v="48205"/>
    <x v="2"/>
    <x v="1152"/>
    <x v="1"/>
    <x v="9"/>
    <x v="1140"/>
    <x v="3405"/>
    <x v="7"/>
    <x v="0"/>
  </r>
  <r>
    <n v="4673"/>
    <x v="2313"/>
    <x v="995"/>
    <d v="2017-08-06T00:00:00"/>
    <s v="Standard Class"/>
    <x v="107"/>
    <s v="Ken Lonsdale"/>
    <x v="0"/>
    <s v="United States"/>
    <s v="Detroit"/>
    <x v="12"/>
    <n v="48205"/>
    <x v="2"/>
    <x v="559"/>
    <x v="2"/>
    <x v="7"/>
    <x v="558"/>
    <x v="3406"/>
    <x v="7"/>
    <x v="0"/>
  </r>
  <r>
    <n v="4674"/>
    <x v="2313"/>
    <x v="995"/>
    <d v="2017-08-06T00:00:00"/>
    <s v="Standard Class"/>
    <x v="107"/>
    <s v="Ken Lonsdale"/>
    <x v="0"/>
    <s v="United States"/>
    <s v="Detroit"/>
    <x v="12"/>
    <n v="48205"/>
    <x v="2"/>
    <x v="1270"/>
    <x v="2"/>
    <x v="7"/>
    <x v="1255"/>
    <x v="3407"/>
    <x v="7"/>
    <x v="0"/>
  </r>
  <r>
    <n v="4675"/>
    <x v="2313"/>
    <x v="995"/>
    <d v="2017-08-06T00:00:00"/>
    <s v="Standard Class"/>
    <x v="107"/>
    <s v="Ken Lonsdale"/>
    <x v="0"/>
    <s v="United States"/>
    <s v="Detroit"/>
    <x v="12"/>
    <n v="48205"/>
    <x v="2"/>
    <x v="269"/>
    <x v="0"/>
    <x v="5"/>
    <x v="269"/>
    <x v="1042"/>
    <x v="7"/>
    <x v="0"/>
  </r>
  <r>
    <n v="4676"/>
    <x v="2314"/>
    <x v="996"/>
    <d v="2018-03-29T00:00:00"/>
    <s v="Second Class"/>
    <x v="8"/>
    <s v="Alejandro Grove"/>
    <x v="0"/>
    <s v="United States"/>
    <s v="Philadelphia"/>
    <x v="9"/>
    <n v="19120"/>
    <x v="3"/>
    <x v="1441"/>
    <x v="0"/>
    <x v="5"/>
    <x v="1429"/>
    <x v="1632"/>
    <x v="10"/>
    <x v="3"/>
  </r>
  <r>
    <n v="4677"/>
    <x v="2315"/>
    <x v="619"/>
    <d v="2015-03-19T00:00:00"/>
    <s v="Standard Class"/>
    <x v="639"/>
    <s v="Jason Fortune-"/>
    <x v="0"/>
    <s v="United States"/>
    <s v="Logan"/>
    <x v="7"/>
    <n v="84321"/>
    <x v="1"/>
    <x v="1339"/>
    <x v="1"/>
    <x v="8"/>
    <x v="1324"/>
    <x v="3408"/>
    <x v="10"/>
    <x v="2"/>
  </r>
  <r>
    <n v="4678"/>
    <x v="2315"/>
    <x v="619"/>
    <d v="2015-03-19T00:00:00"/>
    <s v="Standard Class"/>
    <x v="639"/>
    <s v="Jason Fortune-"/>
    <x v="0"/>
    <s v="United States"/>
    <s v="Logan"/>
    <x v="7"/>
    <n v="84321"/>
    <x v="1"/>
    <x v="459"/>
    <x v="1"/>
    <x v="4"/>
    <x v="460"/>
    <x v="1225"/>
    <x v="10"/>
    <x v="2"/>
  </r>
  <r>
    <n v="4679"/>
    <x v="2315"/>
    <x v="619"/>
    <d v="2015-03-19T00:00:00"/>
    <s v="Standard Class"/>
    <x v="639"/>
    <s v="Jason Fortune-"/>
    <x v="0"/>
    <s v="United States"/>
    <s v="Logan"/>
    <x v="7"/>
    <n v="84321"/>
    <x v="1"/>
    <x v="1691"/>
    <x v="2"/>
    <x v="11"/>
    <x v="1679"/>
    <x v="137"/>
    <x v="10"/>
    <x v="2"/>
  </r>
  <r>
    <n v="4680"/>
    <x v="2315"/>
    <x v="619"/>
    <d v="2015-03-19T00:00:00"/>
    <s v="Standard Class"/>
    <x v="639"/>
    <s v="Jason Fortune-"/>
    <x v="0"/>
    <s v="United States"/>
    <s v="Logan"/>
    <x v="7"/>
    <n v="84321"/>
    <x v="1"/>
    <x v="683"/>
    <x v="1"/>
    <x v="4"/>
    <x v="683"/>
    <x v="788"/>
    <x v="10"/>
    <x v="2"/>
  </r>
  <r>
    <n v="4681"/>
    <x v="2315"/>
    <x v="619"/>
    <d v="2015-03-19T00:00:00"/>
    <s v="Standard Class"/>
    <x v="639"/>
    <s v="Jason Fortune-"/>
    <x v="0"/>
    <s v="United States"/>
    <s v="Logan"/>
    <x v="7"/>
    <n v="84321"/>
    <x v="1"/>
    <x v="1561"/>
    <x v="1"/>
    <x v="8"/>
    <x v="1551"/>
    <x v="3409"/>
    <x v="10"/>
    <x v="2"/>
  </r>
  <r>
    <n v="4682"/>
    <x v="2316"/>
    <x v="216"/>
    <d v="2017-07-18T00:00:00"/>
    <s v="Second Class"/>
    <x v="681"/>
    <s v="Richard Eichhorn"/>
    <x v="0"/>
    <s v="United States"/>
    <s v="Auburn"/>
    <x v="15"/>
    <n v="13021"/>
    <x v="3"/>
    <x v="1321"/>
    <x v="1"/>
    <x v="13"/>
    <x v="1307"/>
    <x v="3410"/>
    <x v="7"/>
    <x v="0"/>
  </r>
  <r>
    <n v="4683"/>
    <x v="2317"/>
    <x v="49"/>
    <d v="2017-12-01T00:00:00"/>
    <s v="Same Day"/>
    <x v="160"/>
    <s v="Mike Vittorini"/>
    <x v="0"/>
    <s v="United States"/>
    <s v="Raleigh"/>
    <x v="3"/>
    <n v="27604"/>
    <x v="0"/>
    <x v="1211"/>
    <x v="2"/>
    <x v="7"/>
    <x v="1196"/>
    <x v="3411"/>
    <x v="4"/>
    <x v="0"/>
  </r>
  <r>
    <n v="4684"/>
    <x v="2318"/>
    <x v="48"/>
    <d v="2017-09-03T00:00:00"/>
    <s v="Standard Class"/>
    <x v="334"/>
    <s v="George Bell"/>
    <x v="1"/>
    <s v="United States"/>
    <s v="Philadelphia"/>
    <x v="9"/>
    <n v="19120"/>
    <x v="3"/>
    <x v="1529"/>
    <x v="0"/>
    <x v="3"/>
    <x v="1516"/>
    <x v="3412"/>
    <x v="6"/>
    <x v="0"/>
  </r>
  <r>
    <n v="4685"/>
    <x v="2318"/>
    <x v="48"/>
    <d v="2017-09-03T00:00:00"/>
    <s v="Standard Class"/>
    <x v="334"/>
    <s v="George Bell"/>
    <x v="1"/>
    <s v="United States"/>
    <s v="Philadelphia"/>
    <x v="9"/>
    <n v="19120"/>
    <x v="3"/>
    <x v="1632"/>
    <x v="0"/>
    <x v="0"/>
    <x v="1622"/>
    <x v="3413"/>
    <x v="6"/>
    <x v="0"/>
  </r>
  <r>
    <n v="4686"/>
    <x v="2318"/>
    <x v="48"/>
    <d v="2017-09-03T00:00:00"/>
    <s v="Standard Class"/>
    <x v="334"/>
    <s v="George Bell"/>
    <x v="1"/>
    <s v="United States"/>
    <s v="Philadelphia"/>
    <x v="9"/>
    <n v="19120"/>
    <x v="3"/>
    <x v="699"/>
    <x v="1"/>
    <x v="8"/>
    <x v="699"/>
    <x v="3414"/>
    <x v="6"/>
    <x v="0"/>
  </r>
  <r>
    <n v="4687"/>
    <x v="2318"/>
    <x v="48"/>
    <d v="2017-09-03T00:00:00"/>
    <s v="Standard Class"/>
    <x v="334"/>
    <s v="George Bell"/>
    <x v="1"/>
    <s v="United States"/>
    <s v="Philadelphia"/>
    <x v="9"/>
    <n v="19120"/>
    <x v="3"/>
    <x v="969"/>
    <x v="1"/>
    <x v="13"/>
    <x v="962"/>
    <x v="1785"/>
    <x v="6"/>
    <x v="0"/>
  </r>
  <r>
    <n v="4688"/>
    <x v="2319"/>
    <x v="890"/>
    <d v="2017-06-30T00:00:00"/>
    <s v="Standard Class"/>
    <x v="332"/>
    <s v="Hunter Lopez"/>
    <x v="0"/>
    <s v="United States"/>
    <s v="Richmond"/>
    <x v="14"/>
    <n v="47374"/>
    <x v="2"/>
    <x v="1692"/>
    <x v="2"/>
    <x v="7"/>
    <x v="1680"/>
    <x v="3415"/>
    <x v="1"/>
    <x v="0"/>
  </r>
  <r>
    <n v="4689"/>
    <x v="2320"/>
    <x v="983"/>
    <d v="2018-04-03T00:00:00"/>
    <s v="Standard Class"/>
    <x v="669"/>
    <s v="Becky Pak"/>
    <x v="0"/>
    <s v="United States"/>
    <s v="Lancaster"/>
    <x v="9"/>
    <n v="17602"/>
    <x v="3"/>
    <x v="31"/>
    <x v="1"/>
    <x v="8"/>
    <x v="31"/>
    <x v="3416"/>
    <x v="10"/>
    <x v="3"/>
  </r>
  <r>
    <n v="4690"/>
    <x v="2321"/>
    <x v="414"/>
    <d v="2015-12-22T00:00:00"/>
    <s v="First Class"/>
    <x v="564"/>
    <s v="Carol Triggs"/>
    <x v="0"/>
    <s v="United States"/>
    <s v="Tucson"/>
    <x v="16"/>
    <n v="85705"/>
    <x v="1"/>
    <x v="1416"/>
    <x v="0"/>
    <x v="5"/>
    <x v="1403"/>
    <x v="3417"/>
    <x v="4"/>
    <x v="2"/>
  </r>
  <r>
    <n v="4691"/>
    <x v="2321"/>
    <x v="414"/>
    <d v="2015-12-22T00:00:00"/>
    <s v="First Class"/>
    <x v="564"/>
    <s v="Carol Triggs"/>
    <x v="0"/>
    <s v="United States"/>
    <s v="Tucson"/>
    <x v="16"/>
    <n v="85705"/>
    <x v="1"/>
    <x v="246"/>
    <x v="2"/>
    <x v="11"/>
    <x v="247"/>
    <x v="973"/>
    <x v="4"/>
    <x v="2"/>
  </r>
  <r>
    <n v="4692"/>
    <x v="2321"/>
    <x v="414"/>
    <d v="2015-12-22T00:00:00"/>
    <s v="First Class"/>
    <x v="564"/>
    <s v="Carol Triggs"/>
    <x v="0"/>
    <s v="United States"/>
    <s v="Tucson"/>
    <x v="16"/>
    <n v="85705"/>
    <x v="1"/>
    <x v="211"/>
    <x v="0"/>
    <x v="1"/>
    <x v="212"/>
    <x v="2463"/>
    <x v="4"/>
    <x v="2"/>
  </r>
  <r>
    <n v="4693"/>
    <x v="2321"/>
    <x v="414"/>
    <d v="2015-12-22T00:00:00"/>
    <s v="First Class"/>
    <x v="564"/>
    <s v="Carol Triggs"/>
    <x v="0"/>
    <s v="United States"/>
    <s v="Tucson"/>
    <x v="16"/>
    <n v="85705"/>
    <x v="1"/>
    <x v="447"/>
    <x v="1"/>
    <x v="10"/>
    <x v="1228"/>
    <x v="1765"/>
    <x v="4"/>
    <x v="2"/>
  </r>
  <r>
    <n v="4694"/>
    <x v="2321"/>
    <x v="414"/>
    <d v="2015-12-22T00:00:00"/>
    <s v="First Class"/>
    <x v="564"/>
    <s v="Carol Triggs"/>
    <x v="0"/>
    <s v="United States"/>
    <s v="Tucson"/>
    <x v="16"/>
    <n v="85705"/>
    <x v="1"/>
    <x v="1436"/>
    <x v="1"/>
    <x v="10"/>
    <x v="1424"/>
    <x v="578"/>
    <x v="4"/>
    <x v="2"/>
  </r>
  <r>
    <n v="4695"/>
    <x v="2322"/>
    <x v="997"/>
    <d v="2016-12-17T00:00:00"/>
    <s v="Same Day"/>
    <x v="252"/>
    <s v="John Lee"/>
    <x v="0"/>
    <s v="United States"/>
    <s v="Detroit"/>
    <x v="12"/>
    <n v="48205"/>
    <x v="2"/>
    <x v="777"/>
    <x v="1"/>
    <x v="8"/>
    <x v="776"/>
    <x v="3418"/>
    <x v="4"/>
    <x v="1"/>
  </r>
  <r>
    <n v="4696"/>
    <x v="2322"/>
    <x v="997"/>
    <d v="2016-12-17T00:00:00"/>
    <s v="Same Day"/>
    <x v="252"/>
    <s v="John Lee"/>
    <x v="0"/>
    <s v="United States"/>
    <s v="Detroit"/>
    <x v="12"/>
    <n v="48205"/>
    <x v="2"/>
    <x v="931"/>
    <x v="0"/>
    <x v="1"/>
    <x v="924"/>
    <x v="3271"/>
    <x v="4"/>
    <x v="1"/>
  </r>
  <r>
    <n v="4697"/>
    <x v="2322"/>
    <x v="997"/>
    <d v="2016-12-17T00:00:00"/>
    <s v="Same Day"/>
    <x v="252"/>
    <s v="John Lee"/>
    <x v="0"/>
    <s v="United States"/>
    <s v="Detroit"/>
    <x v="12"/>
    <n v="48205"/>
    <x v="2"/>
    <x v="1459"/>
    <x v="0"/>
    <x v="1"/>
    <x v="1445"/>
    <x v="3419"/>
    <x v="4"/>
    <x v="1"/>
  </r>
  <r>
    <n v="4698"/>
    <x v="2322"/>
    <x v="997"/>
    <d v="2016-12-17T00:00:00"/>
    <s v="Same Day"/>
    <x v="252"/>
    <s v="John Lee"/>
    <x v="0"/>
    <s v="United States"/>
    <s v="Detroit"/>
    <x v="12"/>
    <n v="48205"/>
    <x v="2"/>
    <x v="163"/>
    <x v="0"/>
    <x v="1"/>
    <x v="164"/>
    <x v="3420"/>
    <x v="4"/>
    <x v="1"/>
  </r>
  <r>
    <n v="4699"/>
    <x v="2322"/>
    <x v="997"/>
    <d v="2016-12-17T00:00:00"/>
    <s v="Same Day"/>
    <x v="252"/>
    <s v="John Lee"/>
    <x v="0"/>
    <s v="United States"/>
    <s v="Detroit"/>
    <x v="12"/>
    <n v="48205"/>
    <x v="2"/>
    <x v="1454"/>
    <x v="0"/>
    <x v="5"/>
    <x v="1440"/>
    <x v="3421"/>
    <x v="4"/>
    <x v="1"/>
  </r>
  <r>
    <n v="4700"/>
    <x v="2323"/>
    <x v="943"/>
    <d v="2018-05-17T00:00:00"/>
    <s v="Standard Class"/>
    <x v="451"/>
    <s v="Julie Kriz"/>
    <x v="2"/>
    <s v="United States"/>
    <s v="Austin"/>
    <x v="5"/>
    <n v="78745"/>
    <x v="2"/>
    <x v="1609"/>
    <x v="1"/>
    <x v="6"/>
    <x v="1600"/>
    <x v="791"/>
    <x v="5"/>
    <x v="3"/>
  </r>
  <r>
    <n v="4701"/>
    <x v="2323"/>
    <x v="943"/>
    <d v="2018-05-17T00:00:00"/>
    <s v="Standard Class"/>
    <x v="451"/>
    <s v="Julie Kriz"/>
    <x v="2"/>
    <s v="United States"/>
    <s v="Austin"/>
    <x v="5"/>
    <n v="78745"/>
    <x v="2"/>
    <x v="243"/>
    <x v="1"/>
    <x v="4"/>
    <x v="244"/>
    <x v="3422"/>
    <x v="5"/>
    <x v="3"/>
  </r>
  <r>
    <n v="4702"/>
    <x v="2323"/>
    <x v="943"/>
    <d v="2018-05-17T00:00:00"/>
    <s v="Standard Class"/>
    <x v="451"/>
    <s v="Julie Kriz"/>
    <x v="2"/>
    <s v="United States"/>
    <s v="Austin"/>
    <x v="5"/>
    <n v="78745"/>
    <x v="2"/>
    <x v="630"/>
    <x v="1"/>
    <x v="10"/>
    <x v="630"/>
    <x v="1297"/>
    <x v="5"/>
    <x v="3"/>
  </r>
  <r>
    <n v="4703"/>
    <x v="2323"/>
    <x v="943"/>
    <d v="2018-05-17T00:00:00"/>
    <s v="Standard Class"/>
    <x v="451"/>
    <s v="Julie Kriz"/>
    <x v="2"/>
    <s v="United States"/>
    <s v="Austin"/>
    <x v="5"/>
    <n v="78745"/>
    <x v="2"/>
    <x v="296"/>
    <x v="0"/>
    <x v="5"/>
    <x v="296"/>
    <x v="3423"/>
    <x v="5"/>
    <x v="3"/>
  </r>
  <r>
    <n v="4704"/>
    <x v="2324"/>
    <x v="890"/>
    <d v="2017-06-28T00:00:00"/>
    <s v="Standard Class"/>
    <x v="704"/>
    <s v="Dave Hallsten"/>
    <x v="1"/>
    <s v="United States"/>
    <s v="Houston"/>
    <x v="5"/>
    <n v="77095"/>
    <x v="2"/>
    <x v="1112"/>
    <x v="1"/>
    <x v="9"/>
    <x v="1101"/>
    <x v="3424"/>
    <x v="1"/>
    <x v="0"/>
  </r>
  <r>
    <n v="4705"/>
    <x v="2325"/>
    <x v="624"/>
    <d v="2017-05-18T00:00:00"/>
    <s v="First Class"/>
    <x v="151"/>
    <s v="Arthur Gainer"/>
    <x v="0"/>
    <s v="United States"/>
    <s v="Waterbury"/>
    <x v="29"/>
    <n v="6708"/>
    <x v="3"/>
    <x v="660"/>
    <x v="1"/>
    <x v="14"/>
    <x v="660"/>
    <x v="3425"/>
    <x v="5"/>
    <x v="0"/>
  </r>
  <r>
    <n v="4706"/>
    <x v="2325"/>
    <x v="624"/>
    <d v="2017-05-18T00:00:00"/>
    <s v="First Class"/>
    <x v="151"/>
    <s v="Arthur Gainer"/>
    <x v="0"/>
    <s v="United States"/>
    <s v="Waterbury"/>
    <x v="29"/>
    <n v="6708"/>
    <x v="3"/>
    <x v="148"/>
    <x v="1"/>
    <x v="2"/>
    <x v="149"/>
    <x v="2"/>
    <x v="5"/>
    <x v="0"/>
  </r>
  <r>
    <n v="4707"/>
    <x v="2325"/>
    <x v="624"/>
    <d v="2017-05-18T00:00:00"/>
    <s v="First Class"/>
    <x v="151"/>
    <s v="Arthur Gainer"/>
    <x v="0"/>
    <s v="United States"/>
    <s v="Waterbury"/>
    <x v="29"/>
    <n v="6708"/>
    <x v="3"/>
    <x v="784"/>
    <x v="0"/>
    <x v="5"/>
    <x v="783"/>
    <x v="3426"/>
    <x v="5"/>
    <x v="0"/>
  </r>
  <r>
    <n v="4708"/>
    <x v="2326"/>
    <x v="222"/>
    <d v="2018-06-30T00:00:00"/>
    <s v="First Class"/>
    <x v="576"/>
    <s v="William Brown"/>
    <x v="0"/>
    <s v="United States"/>
    <s v="Los Angeles"/>
    <x v="1"/>
    <n v="90049"/>
    <x v="1"/>
    <x v="1188"/>
    <x v="1"/>
    <x v="8"/>
    <x v="1174"/>
    <x v="1630"/>
    <x v="1"/>
    <x v="3"/>
  </r>
  <r>
    <n v="4709"/>
    <x v="2326"/>
    <x v="222"/>
    <d v="2018-06-30T00:00:00"/>
    <s v="First Class"/>
    <x v="576"/>
    <s v="William Brown"/>
    <x v="0"/>
    <s v="United States"/>
    <s v="Los Angeles"/>
    <x v="1"/>
    <n v="90049"/>
    <x v="1"/>
    <x v="123"/>
    <x v="1"/>
    <x v="4"/>
    <x v="123"/>
    <x v="3427"/>
    <x v="1"/>
    <x v="3"/>
  </r>
  <r>
    <n v="4710"/>
    <x v="2326"/>
    <x v="222"/>
    <d v="2018-06-30T00:00:00"/>
    <s v="First Class"/>
    <x v="576"/>
    <s v="William Brown"/>
    <x v="0"/>
    <s v="United States"/>
    <s v="Los Angeles"/>
    <x v="1"/>
    <n v="90049"/>
    <x v="1"/>
    <x v="809"/>
    <x v="1"/>
    <x v="6"/>
    <x v="807"/>
    <x v="2582"/>
    <x v="1"/>
    <x v="3"/>
  </r>
  <r>
    <n v="4711"/>
    <x v="2326"/>
    <x v="222"/>
    <d v="2018-06-30T00:00:00"/>
    <s v="First Class"/>
    <x v="576"/>
    <s v="William Brown"/>
    <x v="0"/>
    <s v="United States"/>
    <s v="Los Angeles"/>
    <x v="1"/>
    <n v="90049"/>
    <x v="1"/>
    <x v="1196"/>
    <x v="2"/>
    <x v="11"/>
    <x v="1181"/>
    <x v="1030"/>
    <x v="1"/>
    <x v="3"/>
  </r>
  <r>
    <n v="4712"/>
    <x v="2327"/>
    <x v="691"/>
    <d v="2015-03-31T00:00:00"/>
    <s v="Same Day"/>
    <x v="123"/>
    <s v="Jas O'Carroll"/>
    <x v="0"/>
    <s v="United States"/>
    <s v="Philadelphia"/>
    <x v="9"/>
    <n v="19120"/>
    <x v="3"/>
    <x v="798"/>
    <x v="1"/>
    <x v="8"/>
    <x v="796"/>
    <x v="3428"/>
    <x v="10"/>
    <x v="2"/>
  </r>
  <r>
    <n v="4713"/>
    <x v="2328"/>
    <x v="757"/>
    <d v="2015-12-21T00:00:00"/>
    <s v="Standard Class"/>
    <x v="719"/>
    <s v="Ed Jacobs"/>
    <x v="0"/>
    <s v="United States"/>
    <s v="Huntsville"/>
    <x v="5"/>
    <n v="77340"/>
    <x v="2"/>
    <x v="815"/>
    <x v="1"/>
    <x v="10"/>
    <x v="811"/>
    <x v="1566"/>
    <x v="4"/>
    <x v="2"/>
  </r>
  <r>
    <n v="4714"/>
    <x v="2328"/>
    <x v="757"/>
    <d v="2015-12-21T00:00:00"/>
    <s v="Standard Class"/>
    <x v="719"/>
    <s v="Ed Jacobs"/>
    <x v="0"/>
    <s v="United States"/>
    <s v="Huntsville"/>
    <x v="5"/>
    <n v="77340"/>
    <x v="2"/>
    <x v="1454"/>
    <x v="0"/>
    <x v="5"/>
    <x v="1440"/>
    <x v="3429"/>
    <x v="4"/>
    <x v="2"/>
  </r>
  <r>
    <n v="4715"/>
    <x v="2329"/>
    <x v="796"/>
    <d v="2018-05-20T00:00:00"/>
    <s v="First Class"/>
    <x v="455"/>
    <s v="Adrian Barton"/>
    <x v="0"/>
    <s v="United States"/>
    <s v="Portland"/>
    <x v="21"/>
    <n v="97206"/>
    <x v="1"/>
    <x v="883"/>
    <x v="2"/>
    <x v="7"/>
    <x v="1480"/>
    <x v="3430"/>
    <x v="5"/>
    <x v="3"/>
  </r>
  <r>
    <n v="4716"/>
    <x v="2330"/>
    <x v="793"/>
    <d v="2016-05-16T00:00:00"/>
    <s v="Standard Class"/>
    <x v="398"/>
    <s v="Larry Tron"/>
    <x v="0"/>
    <s v="United States"/>
    <s v="Louisville"/>
    <x v="22"/>
    <n v="80027"/>
    <x v="1"/>
    <x v="1066"/>
    <x v="2"/>
    <x v="7"/>
    <x v="1055"/>
    <x v="1212"/>
    <x v="5"/>
    <x v="1"/>
  </r>
  <r>
    <n v="4717"/>
    <x v="2331"/>
    <x v="734"/>
    <d v="2018-12-07T00:00:00"/>
    <s v="Second Class"/>
    <x v="475"/>
    <s v="Corinna Mitchell"/>
    <x v="2"/>
    <s v="United States"/>
    <s v="Seattle"/>
    <x v="4"/>
    <n v="98115"/>
    <x v="1"/>
    <x v="971"/>
    <x v="0"/>
    <x v="3"/>
    <x v="965"/>
    <x v="3431"/>
    <x v="4"/>
    <x v="3"/>
  </r>
  <r>
    <n v="4718"/>
    <x v="2332"/>
    <x v="295"/>
    <d v="2016-12-17T00:00:00"/>
    <s v="Standard Class"/>
    <x v="75"/>
    <s v="Eric Murdock"/>
    <x v="0"/>
    <s v="United States"/>
    <s v="Baltimore"/>
    <x v="39"/>
    <n v="21215"/>
    <x v="3"/>
    <x v="448"/>
    <x v="1"/>
    <x v="6"/>
    <x v="448"/>
    <x v="3432"/>
    <x v="4"/>
    <x v="1"/>
  </r>
  <r>
    <n v="4719"/>
    <x v="2333"/>
    <x v="998"/>
    <d v="2016-10-11T00:00:00"/>
    <s v="First Class"/>
    <x v="249"/>
    <s v="Denny Joy"/>
    <x v="1"/>
    <s v="United States"/>
    <s v="San Francisco"/>
    <x v="1"/>
    <n v="94109"/>
    <x v="1"/>
    <x v="511"/>
    <x v="1"/>
    <x v="10"/>
    <x v="511"/>
    <x v="1544"/>
    <x v="2"/>
    <x v="1"/>
  </r>
  <r>
    <n v="4720"/>
    <x v="2334"/>
    <x v="24"/>
    <d v="2016-04-20T00:00:00"/>
    <s v="Second Class"/>
    <x v="368"/>
    <s v="Deanra Eno"/>
    <x v="2"/>
    <s v="United States"/>
    <s v="Los Angeles"/>
    <x v="1"/>
    <n v="90004"/>
    <x v="1"/>
    <x v="273"/>
    <x v="1"/>
    <x v="4"/>
    <x v="273"/>
    <x v="3433"/>
    <x v="3"/>
    <x v="1"/>
  </r>
  <r>
    <n v="4721"/>
    <x v="2334"/>
    <x v="24"/>
    <d v="2016-04-20T00:00:00"/>
    <s v="Second Class"/>
    <x v="368"/>
    <s v="Deanra Eno"/>
    <x v="2"/>
    <s v="United States"/>
    <s v="Los Angeles"/>
    <x v="1"/>
    <n v="90004"/>
    <x v="1"/>
    <x v="1693"/>
    <x v="1"/>
    <x v="10"/>
    <x v="1681"/>
    <x v="1156"/>
    <x v="3"/>
    <x v="1"/>
  </r>
  <r>
    <n v="4722"/>
    <x v="2335"/>
    <x v="159"/>
    <d v="2015-06-11T00:00:00"/>
    <s v="Second Class"/>
    <x v="749"/>
    <s v="Nick Radford"/>
    <x v="0"/>
    <s v="United States"/>
    <s v="Aurora"/>
    <x v="10"/>
    <n v="60505"/>
    <x v="2"/>
    <x v="363"/>
    <x v="0"/>
    <x v="3"/>
    <x v="363"/>
    <x v="3434"/>
    <x v="1"/>
    <x v="2"/>
  </r>
  <r>
    <n v="4723"/>
    <x v="2336"/>
    <x v="853"/>
    <d v="2018-09-07T00:00:00"/>
    <s v="Standard Class"/>
    <x v="278"/>
    <s v="Christine Kargatis"/>
    <x v="2"/>
    <s v="United States"/>
    <s v="Seattle"/>
    <x v="4"/>
    <n v="98103"/>
    <x v="1"/>
    <x v="773"/>
    <x v="1"/>
    <x v="6"/>
    <x v="772"/>
    <x v="3435"/>
    <x v="8"/>
    <x v="3"/>
  </r>
  <r>
    <n v="4724"/>
    <x v="2337"/>
    <x v="730"/>
    <d v="2017-05-22T00:00:00"/>
    <s v="Same Day"/>
    <x v="223"/>
    <s v="Jeremy Farry"/>
    <x v="0"/>
    <s v="United States"/>
    <s v="Athens"/>
    <x v="32"/>
    <n v="30605"/>
    <x v="0"/>
    <x v="522"/>
    <x v="1"/>
    <x v="2"/>
    <x v="522"/>
    <x v="1646"/>
    <x v="5"/>
    <x v="0"/>
  </r>
  <r>
    <n v="4725"/>
    <x v="2338"/>
    <x v="583"/>
    <d v="2017-11-15T00:00:00"/>
    <s v="Standard Class"/>
    <x v="697"/>
    <s v="Laurel Beltran"/>
    <x v="2"/>
    <s v="United States"/>
    <s v="Apopka"/>
    <x v="2"/>
    <n v="32712"/>
    <x v="0"/>
    <x v="91"/>
    <x v="1"/>
    <x v="8"/>
    <x v="91"/>
    <x v="3436"/>
    <x v="0"/>
    <x v="0"/>
  </r>
  <r>
    <n v="4726"/>
    <x v="2338"/>
    <x v="583"/>
    <d v="2017-11-15T00:00:00"/>
    <s v="Standard Class"/>
    <x v="697"/>
    <s v="Laurel Beltran"/>
    <x v="2"/>
    <s v="United States"/>
    <s v="Apopka"/>
    <x v="2"/>
    <n v="32712"/>
    <x v="0"/>
    <x v="137"/>
    <x v="1"/>
    <x v="9"/>
    <x v="138"/>
    <x v="3437"/>
    <x v="0"/>
    <x v="0"/>
  </r>
  <r>
    <n v="4727"/>
    <x v="2339"/>
    <x v="641"/>
    <d v="2015-11-29T00:00:00"/>
    <s v="Second Class"/>
    <x v="486"/>
    <s v="Mike Pelletier"/>
    <x v="2"/>
    <s v="United States"/>
    <s v="New York City"/>
    <x v="15"/>
    <n v="10009"/>
    <x v="3"/>
    <x v="1362"/>
    <x v="1"/>
    <x v="4"/>
    <x v="1348"/>
    <x v="2068"/>
    <x v="0"/>
    <x v="2"/>
  </r>
  <r>
    <n v="4728"/>
    <x v="2339"/>
    <x v="641"/>
    <d v="2015-11-29T00:00:00"/>
    <s v="Second Class"/>
    <x v="486"/>
    <s v="Mike Pelletier"/>
    <x v="2"/>
    <s v="United States"/>
    <s v="New York City"/>
    <x v="15"/>
    <n v="10009"/>
    <x v="3"/>
    <x v="1121"/>
    <x v="0"/>
    <x v="0"/>
    <x v="1109"/>
    <x v="3438"/>
    <x v="0"/>
    <x v="2"/>
  </r>
  <r>
    <n v="4729"/>
    <x v="2340"/>
    <x v="845"/>
    <d v="2015-11-12T00:00:00"/>
    <s v="Standard Class"/>
    <x v="23"/>
    <s v="Lena Hernandez"/>
    <x v="0"/>
    <s v="United States"/>
    <s v="San Francisco"/>
    <x v="1"/>
    <n v="94110"/>
    <x v="1"/>
    <x v="715"/>
    <x v="1"/>
    <x v="8"/>
    <x v="714"/>
    <x v="3439"/>
    <x v="0"/>
    <x v="2"/>
  </r>
  <r>
    <n v="4730"/>
    <x v="2341"/>
    <x v="427"/>
    <d v="2017-07-23T00:00:00"/>
    <s v="Second Class"/>
    <x v="603"/>
    <s v="Susan Vittorini"/>
    <x v="0"/>
    <s v="United States"/>
    <s v="Dallas"/>
    <x v="5"/>
    <n v="75217"/>
    <x v="2"/>
    <x v="1694"/>
    <x v="2"/>
    <x v="11"/>
    <x v="1682"/>
    <x v="3440"/>
    <x v="7"/>
    <x v="0"/>
  </r>
  <r>
    <n v="4731"/>
    <x v="2342"/>
    <x v="368"/>
    <d v="2016-03-31T00:00:00"/>
    <s v="Second Class"/>
    <x v="579"/>
    <s v="Richard Bierner"/>
    <x v="0"/>
    <s v="United States"/>
    <s v="San Diego"/>
    <x v="1"/>
    <n v="92105"/>
    <x v="1"/>
    <x v="129"/>
    <x v="1"/>
    <x v="10"/>
    <x v="130"/>
    <x v="3441"/>
    <x v="10"/>
    <x v="1"/>
  </r>
  <r>
    <n v="4732"/>
    <x v="2342"/>
    <x v="368"/>
    <d v="2016-03-31T00:00:00"/>
    <s v="Second Class"/>
    <x v="579"/>
    <s v="Richard Bierner"/>
    <x v="0"/>
    <s v="United States"/>
    <s v="San Diego"/>
    <x v="1"/>
    <n v="92105"/>
    <x v="1"/>
    <x v="1128"/>
    <x v="1"/>
    <x v="10"/>
    <x v="1116"/>
    <x v="3442"/>
    <x v="10"/>
    <x v="1"/>
  </r>
  <r>
    <n v="4733"/>
    <x v="2342"/>
    <x v="368"/>
    <d v="2016-03-31T00:00:00"/>
    <s v="Second Class"/>
    <x v="579"/>
    <s v="Richard Bierner"/>
    <x v="0"/>
    <s v="United States"/>
    <s v="San Diego"/>
    <x v="1"/>
    <n v="92105"/>
    <x v="1"/>
    <x v="936"/>
    <x v="2"/>
    <x v="11"/>
    <x v="929"/>
    <x v="3443"/>
    <x v="10"/>
    <x v="1"/>
  </r>
  <r>
    <n v="4734"/>
    <x v="2342"/>
    <x v="368"/>
    <d v="2016-03-31T00:00:00"/>
    <s v="Second Class"/>
    <x v="579"/>
    <s v="Richard Bierner"/>
    <x v="0"/>
    <s v="United States"/>
    <s v="San Diego"/>
    <x v="1"/>
    <n v="92105"/>
    <x v="1"/>
    <x v="1494"/>
    <x v="0"/>
    <x v="5"/>
    <x v="1482"/>
    <x v="544"/>
    <x v="10"/>
    <x v="1"/>
  </r>
  <r>
    <n v="4735"/>
    <x v="2343"/>
    <x v="281"/>
    <d v="2017-04-12T00:00:00"/>
    <s v="Standard Class"/>
    <x v="114"/>
    <s v="Dorris liebe"/>
    <x v="1"/>
    <s v="United States"/>
    <s v="New York City"/>
    <x v="15"/>
    <n v="10035"/>
    <x v="3"/>
    <x v="1"/>
    <x v="0"/>
    <x v="1"/>
    <x v="1"/>
    <x v="3444"/>
    <x v="3"/>
    <x v="0"/>
  </r>
  <r>
    <n v="4736"/>
    <x v="2344"/>
    <x v="385"/>
    <d v="2016-06-19T00:00:00"/>
    <s v="Standard Class"/>
    <x v="390"/>
    <s v="Penelope Sewall"/>
    <x v="2"/>
    <s v="United States"/>
    <s v="Lewiston"/>
    <x v="43"/>
    <n v="4240"/>
    <x v="3"/>
    <x v="925"/>
    <x v="1"/>
    <x v="8"/>
    <x v="917"/>
    <x v="338"/>
    <x v="1"/>
    <x v="1"/>
  </r>
  <r>
    <n v="4737"/>
    <x v="2344"/>
    <x v="385"/>
    <d v="2016-06-19T00:00:00"/>
    <s v="Standard Class"/>
    <x v="390"/>
    <s v="Penelope Sewall"/>
    <x v="2"/>
    <s v="United States"/>
    <s v="Lewiston"/>
    <x v="43"/>
    <n v="4240"/>
    <x v="3"/>
    <x v="528"/>
    <x v="1"/>
    <x v="8"/>
    <x v="528"/>
    <x v="3445"/>
    <x v="1"/>
    <x v="1"/>
  </r>
  <r>
    <n v="4738"/>
    <x v="2344"/>
    <x v="385"/>
    <d v="2016-06-19T00:00:00"/>
    <s v="Standard Class"/>
    <x v="390"/>
    <s v="Penelope Sewall"/>
    <x v="2"/>
    <s v="United States"/>
    <s v="Lewiston"/>
    <x v="43"/>
    <n v="4240"/>
    <x v="3"/>
    <x v="151"/>
    <x v="2"/>
    <x v="11"/>
    <x v="152"/>
    <x v="3446"/>
    <x v="1"/>
    <x v="1"/>
  </r>
  <r>
    <n v="4739"/>
    <x v="2345"/>
    <x v="954"/>
    <d v="2016-02-24T00:00:00"/>
    <s v="Standard Class"/>
    <x v="150"/>
    <s v="Guy Thornton"/>
    <x v="0"/>
    <s v="United States"/>
    <s v="Long Beach"/>
    <x v="1"/>
    <n v="90805"/>
    <x v="1"/>
    <x v="580"/>
    <x v="1"/>
    <x v="2"/>
    <x v="580"/>
    <x v="3447"/>
    <x v="11"/>
    <x v="1"/>
  </r>
  <r>
    <n v="4740"/>
    <x v="2345"/>
    <x v="954"/>
    <d v="2016-02-24T00:00:00"/>
    <s v="Standard Class"/>
    <x v="150"/>
    <s v="Guy Thornton"/>
    <x v="0"/>
    <s v="United States"/>
    <s v="Long Beach"/>
    <x v="1"/>
    <n v="90805"/>
    <x v="1"/>
    <x v="972"/>
    <x v="0"/>
    <x v="3"/>
    <x v="966"/>
    <x v="3448"/>
    <x v="11"/>
    <x v="1"/>
  </r>
  <r>
    <n v="4741"/>
    <x v="2346"/>
    <x v="105"/>
    <d v="2018-11-16T00:00:00"/>
    <s v="Standard Class"/>
    <x v="394"/>
    <s v="Christine Sundaresam"/>
    <x v="0"/>
    <s v="United States"/>
    <s v="Seattle"/>
    <x v="4"/>
    <n v="98115"/>
    <x v="1"/>
    <x v="690"/>
    <x v="1"/>
    <x v="2"/>
    <x v="690"/>
    <x v="739"/>
    <x v="0"/>
    <x v="3"/>
  </r>
  <r>
    <n v="4742"/>
    <x v="2346"/>
    <x v="105"/>
    <d v="2018-11-16T00:00:00"/>
    <s v="Standard Class"/>
    <x v="394"/>
    <s v="Christine Sundaresam"/>
    <x v="0"/>
    <s v="United States"/>
    <s v="Seattle"/>
    <x v="4"/>
    <n v="98115"/>
    <x v="1"/>
    <x v="1320"/>
    <x v="1"/>
    <x v="6"/>
    <x v="1306"/>
    <x v="3214"/>
    <x v="0"/>
    <x v="3"/>
  </r>
  <r>
    <n v="4743"/>
    <x v="2346"/>
    <x v="105"/>
    <d v="2018-11-16T00:00:00"/>
    <s v="Standard Class"/>
    <x v="394"/>
    <s v="Christine Sundaresam"/>
    <x v="0"/>
    <s v="United States"/>
    <s v="Seattle"/>
    <x v="4"/>
    <n v="98115"/>
    <x v="1"/>
    <x v="660"/>
    <x v="1"/>
    <x v="14"/>
    <x v="660"/>
    <x v="1048"/>
    <x v="0"/>
    <x v="3"/>
  </r>
  <r>
    <n v="4744"/>
    <x v="2347"/>
    <x v="916"/>
    <d v="2018-03-05T00:00:00"/>
    <s v="Same Day"/>
    <x v="148"/>
    <s v="Julia Dunbar"/>
    <x v="0"/>
    <s v="United States"/>
    <s v="Rochester"/>
    <x v="11"/>
    <n v="55901"/>
    <x v="2"/>
    <x v="1432"/>
    <x v="1"/>
    <x v="13"/>
    <x v="1420"/>
    <x v="2263"/>
    <x v="10"/>
    <x v="3"/>
  </r>
  <r>
    <n v="4745"/>
    <x v="2347"/>
    <x v="916"/>
    <d v="2018-03-05T00:00:00"/>
    <s v="Same Day"/>
    <x v="148"/>
    <s v="Julia Dunbar"/>
    <x v="0"/>
    <s v="United States"/>
    <s v="Rochester"/>
    <x v="11"/>
    <n v="55901"/>
    <x v="2"/>
    <x v="1125"/>
    <x v="1"/>
    <x v="4"/>
    <x v="1113"/>
    <x v="3449"/>
    <x v="10"/>
    <x v="3"/>
  </r>
  <r>
    <n v="4746"/>
    <x v="2347"/>
    <x v="916"/>
    <d v="2018-03-05T00:00:00"/>
    <s v="Same Day"/>
    <x v="148"/>
    <s v="Julia Dunbar"/>
    <x v="0"/>
    <s v="United States"/>
    <s v="Rochester"/>
    <x v="11"/>
    <n v="55901"/>
    <x v="2"/>
    <x v="669"/>
    <x v="1"/>
    <x v="8"/>
    <x v="669"/>
    <x v="3346"/>
    <x v="10"/>
    <x v="3"/>
  </r>
  <r>
    <n v="4747"/>
    <x v="2347"/>
    <x v="916"/>
    <d v="2018-03-05T00:00:00"/>
    <s v="Same Day"/>
    <x v="148"/>
    <s v="Julia Dunbar"/>
    <x v="0"/>
    <s v="United States"/>
    <s v="Rochester"/>
    <x v="11"/>
    <n v="55901"/>
    <x v="2"/>
    <x v="799"/>
    <x v="1"/>
    <x v="8"/>
    <x v="797"/>
    <x v="3450"/>
    <x v="10"/>
    <x v="3"/>
  </r>
  <r>
    <n v="4748"/>
    <x v="2348"/>
    <x v="840"/>
    <d v="2017-03-03T00:00:00"/>
    <s v="Same Day"/>
    <x v="378"/>
    <s v="Theresa Swint"/>
    <x v="1"/>
    <s v="United States"/>
    <s v="San Francisco"/>
    <x v="1"/>
    <n v="94110"/>
    <x v="1"/>
    <x v="1566"/>
    <x v="1"/>
    <x v="14"/>
    <x v="1557"/>
    <x v="3451"/>
    <x v="10"/>
    <x v="0"/>
  </r>
  <r>
    <n v="4749"/>
    <x v="2348"/>
    <x v="840"/>
    <d v="2017-03-03T00:00:00"/>
    <s v="Same Day"/>
    <x v="378"/>
    <s v="Theresa Swint"/>
    <x v="1"/>
    <s v="United States"/>
    <s v="San Francisco"/>
    <x v="1"/>
    <n v="94110"/>
    <x v="1"/>
    <x v="1530"/>
    <x v="0"/>
    <x v="5"/>
    <x v="1517"/>
    <x v="2629"/>
    <x v="10"/>
    <x v="0"/>
  </r>
  <r>
    <n v="4750"/>
    <x v="2349"/>
    <x v="435"/>
    <d v="2017-12-25T00:00:00"/>
    <s v="First Class"/>
    <x v="296"/>
    <s v="Benjamin Venier"/>
    <x v="1"/>
    <s v="United States"/>
    <s v="Seattle"/>
    <x v="4"/>
    <n v="98103"/>
    <x v="1"/>
    <x v="481"/>
    <x v="1"/>
    <x v="10"/>
    <x v="482"/>
    <x v="653"/>
    <x v="4"/>
    <x v="0"/>
  </r>
  <r>
    <n v="4751"/>
    <x v="2350"/>
    <x v="877"/>
    <d v="2017-10-09T00:00:00"/>
    <s v="First Class"/>
    <x v="393"/>
    <s v="Dionis Lloyd"/>
    <x v="1"/>
    <s v="United States"/>
    <s v="Spokane"/>
    <x v="4"/>
    <n v="99207"/>
    <x v="1"/>
    <x v="1491"/>
    <x v="2"/>
    <x v="15"/>
    <x v="1478"/>
    <x v="2471"/>
    <x v="2"/>
    <x v="0"/>
  </r>
  <r>
    <n v="4752"/>
    <x v="2351"/>
    <x v="10"/>
    <d v="2017-12-13T00:00:00"/>
    <s v="Standard Class"/>
    <x v="12"/>
    <s v="Emily Burns"/>
    <x v="0"/>
    <s v="United States"/>
    <s v="Franklin"/>
    <x v="18"/>
    <n v="37064"/>
    <x v="0"/>
    <x v="1049"/>
    <x v="2"/>
    <x v="7"/>
    <x v="1038"/>
    <x v="1374"/>
    <x v="4"/>
    <x v="0"/>
  </r>
  <r>
    <n v="4753"/>
    <x v="2352"/>
    <x v="225"/>
    <d v="2018-11-24T00:00:00"/>
    <s v="Standard Class"/>
    <x v="301"/>
    <s v="Erica Smith"/>
    <x v="0"/>
    <s v="United States"/>
    <s v="Jackson"/>
    <x v="18"/>
    <n v="38301"/>
    <x v="0"/>
    <x v="541"/>
    <x v="0"/>
    <x v="1"/>
    <x v="541"/>
    <x v="3452"/>
    <x v="0"/>
    <x v="3"/>
  </r>
  <r>
    <n v="4754"/>
    <x v="2353"/>
    <x v="295"/>
    <d v="2016-12-16T00:00:00"/>
    <s v="Standard Class"/>
    <x v="102"/>
    <s v="Joni Blumstein"/>
    <x v="0"/>
    <s v="United States"/>
    <s v="Austin"/>
    <x v="5"/>
    <n v="78745"/>
    <x v="2"/>
    <x v="1695"/>
    <x v="2"/>
    <x v="11"/>
    <x v="1683"/>
    <x v="4"/>
    <x v="4"/>
    <x v="1"/>
  </r>
  <r>
    <n v="4755"/>
    <x v="2354"/>
    <x v="447"/>
    <d v="2018-02-08T00:00:00"/>
    <s v="Standard Class"/>
    <x v="618"/>
    <s v="Shahid Collister"/>
    <x v="0"/>
    <s v="United States"/>
    <s v="Pembroke Pines"/>
    <x v="2"/>
    <n v="33024"/>
    <x v="0"/>
    <x v="625"/>
    <x v="1"/>
    <x v="8"/>
    <x v="625"/>
    <x v="2350"/>
    <x v="11"/>
    <x v="3"/>
  </r>
  <r>
    <n v="4756"/>
    <x v="2354"/>
    <x v="447"/>
    <d v="2018-02-08T00:00:00"/>
    <s v="Standard Class"/>
    <x v="618"/>
    <s v="Shahid Collister"/>
    <x v="0"/>
    <s v="United States"/>
    <s v="Pembroke Pines"/>
    <x v="2"/>
    <n v="33024"/>
    <x v="0"/>
    <x v="1696"/>
    <x v="1"/>
    <x v="10"/>
    <x v="1684"/>
    <x v="905"/>
    <x v="11"/>
    <x v="3"/>
  </r>
  <r>
    <n v="4757"/>
    <x v="2355"/>
    <x v="296"/>
    <d v="2018-09-25T00:00:00"/>
    <s v="Standard Class"/>
    <x v="12"/>
    <s v="Emily Burns"/>
    <x v="0"/>
    <s v="United States"/>
    <s v="Philadelphia"/>
    <x v="9"/>
    <n v="19143"/>
    <x v="3"/>
    <x v="1310"/>
    <x v="1"/>
    <x v="8"/>
    <x v="1296"/>
    <x v="3453"/>
    <x v="8"/>
    <x v="3"/>
  </r>
  <r>
    <n v="4758"/>
    <x v="2356"/>
    <x v="504"/>
    <d v="2018-05-05T00:00:00"/>
    <s v="Standard Class"/>
    <x v="679"/>
    <s v="Tony Chapman"/>
    <x v="2"/>
    <s v="United States"/>
    <s v="Danville"/>
    <x v="10"/>
    <n v="61832"/>
    <x v="2"/>
    <x v="582"/>
    <x v="1"/>
    <x v="8"/>
    <x v="582"/>
    <x v="3454"/>
    <x v="3"/>
    <x v="3"/>
  </r>
  <r>
    <n v="4759"/>
    <x v="2357"/>
    <x v="935"/>
    <d v="2015-11-07T00:00:00"/>
    <s v="Standard Class"/>
    <x v="611"/>
    <s v="Speros Goranitis"/>
    <x v="0"/>
    <s v="United States"/>
    <s v="New York City"/>
    <x v="15"/>
    <n v="10009"/>
    <x v="3"/>
    <x v="469"/>
    <x v="2"/>
    <x v="7"/>
    <x v="470"/>
    <x v="2243"/>
    <x v="0"/>
    <x v="2"/>
  </r>
  <r>
    <n v="4760"/>
    <x v="2357"/>
    <x v="935"/>
    <d v="2015-11-07T00:00:00"/>
    <s v="Standard Class"/>
    <x v="611"/>
    <s v="Speros Goranitis"/>
    <x v="0"/>
    <s v="United States"/>
    <s v="New York City"/>
    <x v="15"/>
    <n v="10009"/>
    <x v="3"/>
    <x v="997"/>
    <x v="1"/>
    <x v="8"/>
    <x v="989"/>
    <x v="780"/>
    <x v="0"/>
    <x v="2"/>
  </r>
  <r>
    <n v="4761"/>
    <x v="2357"/>
    <x v="935"/>
    <d v="2015-11-07T00:00:00"/>
    <s v="Standard Class"/>
    <x v="611"/>
    <s v="Speros Goranitis"/>
    <x v="0"/>
    <s v="United States"/>
    <s v="New York City"/>
    <x v="15"/>
    <n v="10009"/>
    <x v="3"/>
    <x v="696"/>
    <x v="1"/>
    <x v="8"/>
    <x v="696"/>
    <x v="3455"/>
    <x v="0"/>
    <x v="2"/>
  </r>
  <r>
    <n v="4762"/>
    <x v="2358"/>
    <x v="945"/>
    <d v="2018-01-04T00:00:00"/>
    <s v="Standard Class"/>
    <x v="298"/>
    <s v="Bryan Mills"/>
    <x v="0"/>
    <s v="United States"/>
    <s v="Columbus"/>
    <x v="24"/>
    <n v="43229"/>
    <x v="3"/>
    <x v="1647"/>
    <x v="1"/>
    <x v="2"/>
    <x v="1636"/>
    <x v="2144"/>
    <x v="4"/>
    <x v="0"/>
  </r>
  <r>
    <n v="4763"/>
    <x v="2358"/>
    <x v="945"/>
    <d v="2018-01-04T00:00:00"/>
    <s v="Standard Class"/>
    <x v="298"/>
    <s v="Bryan Mills"/>
    <x v="0"/>
    <s v="United States"/>
    <s v="Columbus"/>
    <x v="24"/>
    <n v="43229"/>
    <x v="3"/>
    <x v="1257"/>
    <x v="1"/>
    <x v="14"/>
    <x v="1241"/>
    <x v="3456"/>
    <x v="4"/>
    <x v="0"/>
  </r>
  <r>
    <n v="4764"/>
    <x v="2359"/>
    <x v="328"/>
    <d v="2015-09-21T00:00:00"/>
    <s v="Standard Class"/>
    <x v="749"/>
    <s v="Nick Radford"/>
    <x v="0"/>
    <s v="United States"/>
    <s v="Chula Vista"/>
    <x v="1"/>
    <n v="91911"/>
    <x v="1"/>
    <x v="1697"/>
    <x v="1"/>
    <x v="12"/>
    <x v="1685"/>
    <x v="1091"/>
    <x v="8"/>
    <x v="2"/>
  </r>
  <r>
    <n v="4765"/>
    <x v="2360"/>
    <x v="221"/>
    <d v="2018-11-27T00:00:00"/>
    <s v="First Class"/>
    <x v="310"/>
    <s v="Patrick Gardner"/>
    <x v="0"/>
    <s v="United States"/>
    <s v="San Francisco"/>
    <x v="1"/>
    <n v="94110"/>
    <x v="1"/>
    <x v="924"/>
    <x v="1"/>
    <x v="6"/>
    <x v="916"/>
    <x v="3457"/>
    <x v="0"/>
    <x v="3"/>
  </r>
  <r>
    <n v="4766"/>
    <x v="2361"/>
    <x v="999"/>
    <d v="2016-04-28T00:00:00"/>
    <s v="Standard Class"/>
    <x v="489"/>
    <s v="Deborah Brumfield"/>
    <x v="2"/>
    <s v="United States"/>
    <s v="New York City"/>
    <x v="15"/>
    <n v="10009"/>
    <x v="3"/>
    <x v="1062"/>
    <x v="1"/>
    <x v="6"/>
    <x v="1051"/>
    <x v="2416"/>
    <x v="3"/>
    <x v="1"/>
  </r>
  <r>
    <n v="4767"/>
    <x v="2362"/>
    <x v="1000"/>
    <d v="2016-03-12T00:00:00"/>
    <s v="First Class"/>
    <x v="374"/>
    <s v="Noel Staavos"/>
    <x v="1"/>
    <s v="United States"/>
    <s v="San Antonio"/>
    <x v="5"/>
    <n v="78207"/>
    <x v="2"/>
    <x v="721"/>
    <x v="2"/>
    <x v="11"/>
    <x v="720"/>
    <x v="3458"/>
    <x v="10"/>
    <x v="1"/>
  </r>
  <r>
    <n v="4768"/>
    <x v="2362"/>
    <x v="1000"/>
    <d v="2016-03-12T00:00:00"/>
    <s v="First Class"/>
    <x v="374"/>
    <s v="Noel Staavos"/>
    <x v="1"/>
    <s v="United States"/>
    <s v="San Antonio"/>
    <x v="5"/>
    <n v="78207"/>
    <x v="2"/>
    <x v="1187"/>
    <x v="2"/>
    <x v="7"/>
    <x v="1173"/>
    <x v="3459"/>
    <x v="10"/>
    <x v="1"/>
  </r>
  <r>
    <n v="4769"/>
    <x v="2363"/>
    <x v="455"/>
    <d v="2018-06-03T00:00:00"/>
    <s v="Same Day"/>
    <x v="750"/>
    <s v="Cari Schnelling"/>
    <x v="0"/>
    <s v="United States"/>
    <s v="Jacksonville"/>
    <x v="3"/>
    <n v="28540"/>
    <x v="0"/>
    <x v="1588"/>
    <x v="1"/>
    <x v="10"/>
    <x v="1580"/>
    <x v="863"/>
    <x v="1"/>
    <x v="3"/>
  </r>
  <r>
    <n v="4770"/>
    <x v="2364"/>
    <x v="251"/>
    <d v="2017-09-24T00:00:00"/>
    <s v="Second Class"/>
    <x v="254"/>
    <s v="Chuck Clark"/>
    <x v="2"/>
    <s v="United States"/>
    <s v="San Francisco"/>
    <x v="1"/>
    <n v="94109"/>
    <x v="1"/>
    <x v="591"/>
    <x v="1"/>
    <x v="8"/>
    <x v="591"/>
    <x v="1627"/>
    <x v="8"/>
    <x v="0"/>
  </r>
  <r>
    <n v="4771"/>
    <x v="2364"/>
    <x v="251"/>
    <d v="2017-09-24T00:00:00"/>
    <s v="Second Class"/>
    <x v="254"/>
    <s v="Chuck Clark"/>
    <x v="2"/>
    <s v="United States"/>
    <s v="San Francisco"/>
    <x v="1"/>
    <n v="94109"/>
    <x v="1"/>
    <x v="1698"/>
    <x v="1"/>
    <x v="14"/>
    <x v="1686"/>
    <x v="869"/>
    <x v="8"/>
    <x v="0"/>
  </r>
  <r>
    <n v="4772"/>
    <x v="2365"/>
    <x v="656"/>
    <d v="2015-11-03T00:00:00"/>
    <s v="Second Class"/>
    <x v="549"/>
    <s v="Amy Cox"/>
    <x v="0"/>
    <s v="United States"/>
    <s v="Avondale"/>
    <x v="16"/>
    <n v="85323"/>
    <x v="1"/>
    <x v="39"/>
    <x v="2"/>
    <x v="7"/>
    <x v="39"/>
    <x v="3460"/>
    <x v="2"/>
    <x v="2"/>
  </r>
  <r>
    <n v="4773"/>
    <x v="2366"/>
    <x v="51"/>
    <d v="2018-11-27T00:00:00"/>
    <s v="Standard Class"/>
    <x v="200"/>
    <s v="Christopher Martinez"/>
    <x v="0"/>
    <s v="United States"/>
    <s v="Chicago"/>
    <x v="10"/>
    <n v="60610"/>
    <x v="2"/>
    <x v="1372"/>
    <x v="0"/>
    <x v="5"/>
    <x v="1357"/>
    <x v="3461"/>
    <x v="0"/>
    <x v="3"/>
  </r>
  <r>
    <n v="4774"/>
    <x v="2366"/>
    <x v="51"/>
    <d v="2018-11-27T00:00:00"/>
    <s v="Standard Class"/>
    <x v="200"/>
    <s v="Christopher Martinez"/>
    <x v="0"/>
    <s v="United States"/>
    <s v="Chicago"/>
    <x v="10"/>
    <n v="60610"/>
    <x v="2"/>
    <x v="745"/>
    <x v="1"/>
    <x v="2"/>
    <x v="743"/>
    <x v="132"/>
    <x v="0"/>
    <x v="3"/>
  </r>
  <r>
    <n v="4775"/>
    <x v="2366"/>
    <x v="51"/>
    <d v="2018-11-27T00:00:00"/>
    <s v="Standard Class"/>
    <x v="200"/>
    <s v="Christopher Martinez"/>
    <x v="0"/>
    <s v="United States"/>
    <s v="Chicago"/>
    <x v="10"/>
    <n v="60610"/>
    <x v="2"/>
    <x v="872"/>
    <x v="2"/>
    <x v="7"/>
    <x v="866"/>
    <x v="2643"/>
    <x v="0"/>
    <x v="3"/>
  </r>
  <r>
    <n v="4776"/>
    <x v="2367"/>
    <x v="673"/>
    <d v="2018-11-21T00:00:00"/>
    <s v="Standard Class"/>
    <x v="735"/>
    <s v="Eileen Kiefer"/>
    <x v="2"/>
    <s v="United States"/>
    <s v="Escondido"/>
    <x v="1"/>
    <n v="92025"/>
    <x v="1"/>
    <x v="809"/>
    <x v="1"/>
    <x v="6"/>
    <x v="807"/>
    <x v="368"/>
    <x v="0"/>
    <x v="3"/>
  </r>
  <r>
    <n v="4777"/>
    <x v="2368"/>
    <x v="317"/>
    <d v="2017-02-23T00:00:00"/>
    <s v="Second Class"/>
    <x v="316"/>
    <s v="Cyma Kinney"/>
    <x v="1"/>
    <s v="United States"/>
    <s v="Long Beach"/>
    <x v="15"/>
    <n v="11561"/>
    <x v="3"/>
    <x v="865"/>
    <x v="1"/>
    <x v="2"/>
    <x v="859"/>
    <x v="1298"/>
    <x v="11"/>
    <x v="0"/>
  </r>
  <r>
    <n v="4778"/>
    <x v="2368"/>
    <x v="317"/>
    <d v="2017-02-23T00:00:00"/>
    <s v="Second Class"/>
    <x v="316"/>
    <s v="Cyma Kinney"/>
    <x v="1"/>
    <s v="United States"/>
    <s v="Long Beach"/>
    <x v="15"/>
    <n v="11561"/>
    <x v="3"/>
    <x v="1257"/>
    <x v="1"/>
    <x v="14"/>
    <x v="1241"/>
    <x v="3462"/>
    <x v="11"/>
    <x v="0"/>
  </r>
  <r>
    <n v="4779"/>
    <x v="2369"/>
    <x v="659"/>
    <d v="2018-11-11T00:00:00"/>
    <s v="Standard Class"/>
    <x v="7"/>
    <s v="Pete Kriz"/>
    <x v="0"/>
    <s v="United States"/>
    <s v="Newark"/>
    <x v="13"/>
    <n v="19711"/>
    <x v="3"/>
    <x v="336"/>
    <x v="1"/>
    <x v="9"/>
    <x v="336"/>
    <x v="3463"/>
    <x v="0"/>
    <x v="3"/>
  </r>
  <r>
    <n v="4780"/>
    <x v="2370"/>
    <x v="1001"/>
    <d v="2015-07-10T00:00:00"/>
    <s v="First Class"/>
    <x v="659"/>
    <s v="Michelle Huthwaite"/>
    <x v="0"/>
    <s v="United States"/>
    <s v="Buffalo"/>
    <x v="15"/>
    <n v="14215"/>
    <x v="3"/>
    <x v="474"/>
    <x v="0"/>
    <x v="1"/>
    <x v="475"/>
    <x v="3464"/>
    <x v="7"/>
    <x v="2"/>
  </r>
  <r>
    <n v="4781"/>
    <x v="2371"/>
    <x v="845"/>
    <d v="2015-11-12T00:00:00"/>
    <s v="Standard Class"/>
    <x v="56"/>
    <s v="Steven Cartwright"/>
    <x v="0"/>
    <s v="United States"/>
    <s v="Houston"/>
    <x v="5"/>
    <n v="77070"/>
    <x v="2"/>
    <x v="1423"/>
    <x v="0"/>
    <x v="1"/>
    <x v="1411"/>
    <x v="3465"/>
    <x v="0"/>
    <x v="2"/>
  </r>
  <r>
    <n v="4782"/>
    <x v="2371"/>
    <x v="845"/>
    <d v="2015-11-12T00:00:00"/>
    <s v="Standard Class"/>
    <x v="56"/>
    <s v="Steven Cartwright"/>
    <x v="0"/>
    <s v="United States"/>
    <s v="Houston"/>
    <x v="5"/>
    <n v="77070"/>
    <x v="2"/>
    <x v="1699"/>
    <x v="1"/>
    <x v="8"/>
    <x v="1687"/>
    <x v="3466"/>
    <x v="0"/>
    <x v="2"/>
  </r>
  <r>
    <n v="4783"/>
    <x v="2371"/>
    <x v="845"/>
    <d v="2015-11-12T00:00:00"/>
    <s v="Standard Class"/>
    <x v="56"/>
    <s v="Steven Cartwright"/>
    <x v="0"/>
    <s v="United States"/>
    <s v="Houston"/>
    <x v="5"/>
    <n v="77070"/>
    <x v="2"/>
    <x v="515"/>
    <x v="1"/>
    <x v="14"/>
    <x v="515"/>
    <x v="3467"/>
    <x v="0"/>
    <x v="2"/>
  </r>
  <r>
    <n v="4784"/>
    <x v="2372"/>
    <x v="480"/>
    <d v="2018-02-01T00:00:00"/>
    <s v="Standard Class"/>
    <x v="673"/>
    <s v="Giulietta Baptist"/>
    <x v="0"/>
    <s v="United States"/>
    <s v="Wichita"/>
    <x v="41"/>
    <n v="67212"/>
    <x v="2"/>
    <x v="964"/>
    <x v="1"/>
    <x v="10"/>
    <x v="957"/>
    <x v="999"/>
    <x v="9"/>
    <x v="3"/>
  </r>
  <r>
    <n v="4785"/>
    <x v="2373"/>
    <x v="555"/>
    <d v="2016-12-16T00:00:00"/>
    <s v="Standard Class"/>
    <x v="5"/>
    <s v="Irene Maddox"/>
    <x v="0"/>
    <s v="United States"/>
    <s v="Colorado Springs"/>
    <x v="22"/>
    <n v="80906"/>
    <x v="1"/>
    <x v="1355"/>
    <x v="1"/>
    <x v="6"/>
    <x v="1341"/>
    <x v="1317"/>
    <x v="4"/>
    <x v="1"/>
  </r>
  <r>
    <n v="4786"/>
    <x v="2373"/>
    <x v="555"/>
    <d v="2016-12-16T00:00:00"/>
    <s v="Standard Class"/>
    <x v="5"/>
    <s v="Irene Maddox"/>
    <x v="0"/>
    <s v="United States"/>
    <s v="Colorado Springs"/>
    <x v="22"/>
    <n v="80906"/>
    <x v="1"/>
    <x v="1368"/>
    <x v="0"/>
    <x v="0"/>
    <x v="1353"/>
    <x v="3468"/>
    <x v="4"/>
    <x v="1"/>
  </r>
  <r>
    <n v="4787"/>
    <x v="2373"/>
    <x v="555"/>
    <d v="2016-12-16T00:00:00"/>
    <s v="Standard Class"/>
    <x v="5"/>
    <s v="Irene Maddox"/>
    <x v="0"/>
    <s v="United States"/>
    <s v="Colorado Springs"/>
    <x v="22"/>
    <n v="80906"/>
    <x v="1"/>
    <x v="824"/>
    <x v="1"/>
    <x v="6"/>
    <x v="820"/>
    <x v="1700"/>
    <x v="4"/>
    <x v="1"/>
  </r>
  <r>
    <n v="4788"/>
    <x v="2373"/>
    <x v="555"/>
    <d v="2016-12-16T00:00:00"/>
    <s v="Standard Class"/>
    <x v="5"/>
    <s v="Irene Maddox"/>
    <x v="0"/>
    <s v="United States"/>
    <s v="Colorado Springs"/>
    <x v="22"/>
    <n v="80906"/>
    <x v="1"/>
    <x v="1700"/>
    <x v="2"/>
    <x v="11"/>
    <x v="1688"/>
    <x v="3469"/>
    <x v="4"/>
    <x v="1"/>
  </r>
  <r>
    <n v="4789"/>
    <x v="2373"/>
    <x v="555"/>
    <d v="2016-12-16T00:00:00"/>
    <s v="Standard Class"/>
    <x v="5"/>
    <s v="Irene Maddox"/>
    <x v="0"/>
    <s v="United States"/>
    <s v="Colorado Springs"/>
    <x v="22"/>
    <n v="80906"/>
    <x v="1"/>
    <x v="1027"/>
    <x v="0"/>
    <x v="5"/>
    <x v="1018"/>
    <x v="3470"/>
    <x v="4"/>
    <x v="1"/>
  </r>
  <r>
    <n v="4790"/>
    <x v="2373"/>
    <x v="555"/>
    <d v="2016-12-16T00:00:00"/>
    <s v="Standard Class"/>
    <x v="5"/>
    <s v="Irene Maddox"/>
    <x v="0"/>
    <s v="United States"/>
    <s v="Colorado Springs"/>
    <x v="22"/>
    <n v="80906"/>
    <x v="1"/>
    <x v="1001"/>
    <x v="0"/>
    <x v="5"/>
    <x v="993"/>
    <x v="3471"/>
    <x v="4"/>
    <x v="1"/>
  </r>
  <r>
    <n v="4791"/>
    <x v="2373"/>
    <x v="555"/>
    <d v="2016-12-16T00:00:00"/>
    <s v="Standard Class"/>
    <x v="5"/>
    <s v="Irene Maddox"/>
    <x v="0"/>
    <s v="United States"/>
    <s v="Colorado Springs"/>
    <x v="22"/>
    <n v="80906"/>
    <x v="1"/>
    <x v="1342"/>
    <x v="0"/>
    <x v="3"/>
    <x v="1327"/>
    <x v="3472"/>
    <x v="4"/>
    <x v="1"/>
  </r>
  <r>
    <n v="4792"/>
    <x v="2373"/>
    <x v="555"/>
    <d v="2016-12-16T00:00:00"/>
    <s v="Standard Class"/>
    <x v="5"/>
    <s v="Irene Maddox"/>
    <x v="0"/>
    <s v="United States"/>
    <s v="Colorado Springs"/>
    <x v="22"/>
    <n v="80906"/>
    <x v="1"/>
    <x v="778"/>
    <x v="1"/>
    <x v="10"/>
    <x v="1689"/>
    <x v="629"/>
    <x v="4"/>
    <x v="1"/>
  </r>
  <r>
    <n v="4793"/>
    <x v="2373"/>
    <x v="555"/>
    <d v="2016-12-16T00:00:00"/>
    <s v="Standard Class"/>
    <x v="5"/>
    <s v="Irene Maddox"/>
    <x v="0"/>
    <s v="United States"/>
    <s v="Colorado Springs"/>
    <x v="22"/>
    <n v="80906"/>
    <x v="1"/>
    <x v="96"/>
    <x v="1"/>
    <x v="10"/>
    <x v="96"/>
    <x v="3473"/>
    <x v="4"/>
    <x v="1"/>
  </r>
  <r>
    <n v="4794"/>
    <x v="2374"/>
    <x v="685"/>
    <d v="2016-07-04T00:00:00"/>
    <s v="Standard Class"/>
    <x v="514"/>
    <s v="Michelle Moray"/>
    <x v="0"/>
    <s v="United States"/>
    <s v="New York City"/>
    <x v="15"/>
    <n v="10011"/>
    <x v="3"/>
    <x v="910"/>
    <x v="1"/>
    <x v="10"/>
    <x v="902"/>
    <x v="1589"/>
    <x v="1"/>
    <x v="1"/>
  </r>
  <r>
    <n v="4795"/>
    <x v="2375"/>
    <x v="199"/>
    <d v="2016-03-23T00:00:00"/>
    <s v="Standard Class"/>
    <x v="751"/>
    <s v="Monica Federle"/>
    <x v="1"/>
    <s v="United States"/>
    <s v="Los Angeles"/>
    <x v="1"/>
    <n v="90036"/>
    <x v="1"/>
    <x v="1618"/>
    <x v="0"/>
    <x v="5"/>
    <x v="1609"/>
    <x v="3474"/>
    <x v="10"/>
    <x v="1"/>
  </r>
  <r>
    <n v="4796"/>
    <x v="2376"/>
    <x v="863"/>
    <d v="2016-08-17T00:00:00"/>
    <s v="Standard Class"/>
    <x v="242"/>
    <s v="Clytie Kelty"/>
    <x v="0"/>
    <s v="United States"/>
    <s v="Marietta"/>
    <x v="32"/>
    <n v="30062"/>
    <x v="0"/>
    <x v="620"/>
    <x v="1"/>
    <x v="8"/>
    <x v="620"/>
    <x v="713"/>
    <x v="6"/>
    <x v="1"/>
  </r>
  <r>
    <n v="4797"/>
    <x v="2377"/>
    <x v="675"/>
    <d v="2017-05-19T00:00:00"/>
    <s v="Standard Class"/>
    <x v="149"/>
    <s v="Michael Kennedy"/>
    <x v="1"/>
    <s v="United States"/>
    <s v="Jacksonville"/>
    <x v="2"/>
    <n v="32216"/>
    <x v="0"/>
    <x v="1242"/>
    <x v="1"/>
    <x v="8"/>
    <x v="1225"/>
    <x v="3475"/>
    <x v="5"/>
    <x v="0"/>
  </r>
  <r>
    <n v="4798"/>
    <x v="2377"/>
    <x v="675"/>
    <d v="2017-05-19T00:00:00"/>
    <s v="Standard Class"/>
    <x v="149"/>
    <s v="Michael Kennedy"/>
    <x v="1"/>
    <s v="United States"/>
    <s v="Jacksonville"/>
    <x v="2"/>
    <n v="32216"/>
    <x v="0"/>
    <x v="1347"/>
    <x v="1"/>
    <x v="10"/>
    <x v="1332"/>
    <x v="276"/>
    <x v="5"/>
    <x v="0"/>
  </r>
  <r>
    <n v="4799"/>
    <x v="2377"/>
    <x v="675"/>
    <d v="2017-05-19T00:00:00"/>
    <s v="Standard Class"/>
    <x v="149"/>
    <s v="Michael Kennedy"/>
    <x v="1"/>
    <s v="United States"/>
    <s v="Jacksonville"/>
    <x v="2"/>
    <n v="32216"/>
    <x v="0"/>
    <x v="1598"/>
    <x v="0"/>
    <x v="5"/>
    <x v="1590"/>
    <x v="3476"/>
    <x v="5"/>
    <x v="0"/>
  </r>
  <r>
    <n v="4800"/>
    <x v="2377"/>
    <x v="675"/>
    <d v="2017-05-19T00:00:00"/>
    <s v="Standard Class"/>
    <x v="149"/>
    <s v="Michael Kennedy"/>
    <x v="1"/>
    <s v="United States"/>
    <s v="Jacksonville"/>
    <x v="2"/>
    <n v="32216"/>
    <x v="0"/>
    <x v="47"/>
    <x v="2"/>
    <x v="7"/>
    <x v="47"/>
    <x v="3477"/>
    <x v="5"/>
    <x v="0"/>
  </r>
  <r>
    <n v="4801"/>
    <x v="2377"/>
    <x v="675"/>
    <d v="2017-05-19T00:00:00"/>
    <s v="Standard Class"/>
    <x v="149"/>
    <s v="Michael Kennedy"/>
    <x v="1"/>
    <s v="United States"/>
    <s v="Jacksonville"/>
    <x v="2"/>
    <n v="32216"/>
    <x v="0"/>
    <x v="1701"/>
    <x v="1"/>
    <x v="6"/>
    <x v="1690"/>
    <x v="408"/>
    <x v="5"/>
    <x v="0"/>
  </r>
  <r>
    <n v="4802"/>
    <x v="2377"/>
    <x v="675"/>
    <d v="2017-05-19T00:00:00"/>
    <s v="Standard Class"/>
    <x v="149"/>
    <s v="Michael Kennedy"/>
    <x v="1"/>
    <s v="United States"/>
    <s v="Jacksonville"/>
    <x v="2"/>
    <n v="32216"/>
    <x v="0"/>
    <x v="153"/>
    <x v="1"/>
    <x v="8"/>
    <x v="154"/>
    <x v="3478"/>
    <x v="5"/>
    <x v="0"/>
  </r>
  <r>
    <n v="4803"/>
    <x v="2377"/>
    <x v="675"/>
    <d v="2017-05-19T00:00:00"/>
    <s v="Standard Class"/>
    <x v="149"/>
    <s v="Michael Kennedy"/>
    <x v="1"/>
    <s v="United States"/>
    <s v="Jacksonville"/>
    <x v="2"/>
    <n v="32216"/>
    <x v="0"/>
    <x v="78"/>
    <x v="1"/>
    <x v="8"/>
    <x v="78"/>
    <x v="2513"/>
    <x v="5"/>
    <x v="0"/>
  </r>
  <r>
    <n v="4804"/>
    <x v="2378"/>
    <x v="1002"/>
    <d v="2018-07-17T00:00:00"/>
    <s v="Second Class"/>
    <x v="708"/>
    <s v="Mark Hamilton"/>
    <x v="0"/>
    <s v="United States"/>
    <s v="Philadelphia"/>
    <x v="9"/>
    <n v="19140"/>
    <x v="3"/>
    <x v="781"/>
    <x v="2"/>
    <x v="7"/>
    <x v="780"/>
    <x v="3479"/>
    <x v="7"/>
    <x v="3"/>
  </r>
  <r>
    <n v="4805"/>
    <x v="2378"/>
    <x v="1002"/>
    <d v="2018-07-17T00:00:00"/>
    <s v="Second Class"/>
    <x v="708"/>
    <s v="Mark Hamilton"/>
    <x v="0"/>
    <s v="United States"/>
    <s v="Philadelphia"/>
    <x v="9"/>
    <n v="19140"/>
    <x v="3"/>
    <x v="1308"/>
    <x v="0"/>
    <x v="5"/>
    <x v="1293"/>
    <x v="3480"/>
    <x v="7"/>
    <x v="3"/>
  </r>
  <r>
    <n v="4806"/>
    <x v="2379"/>
    <x v="6"/>
    <d v="2016-11-25T00:00:00"/>
    <s v="Second Class"/>
    <x v="159"/>
    <s v="Nathan Gelder"/>
    <x v="0"/>
    <s v="United States"/>
    <s v="Los Angeles"/>
    <x v="1"/>
    <n v="90008"/>
    <x v="1"/>
    <x v="640"/>
    <x v="1"/>
    <x v="10"/>
    <x v="640"/>
    <x v="2428"/>
    <x v="0"/>
    <x v="1"/>
  </r>
  <r>
    <n v="4807"/>
    <x v="2379"/>
    <x v="6"/>
    <d v="2016-11-25T00:00:00"/>
    <s v="Second Class"/>
    <x v="159"/>
    <s v="Nathan Gelder"/>
    <x v="0"/>
    <s v="United States"/>
    <s v="Los Angeles"/>
    <x v="1"/>
    <n v="90008"/>
    <x v="1"/>
    <x v="1450"/>
    <x v="1"/>
    <x v="10"/>
    <x v="1437"/>
    <x v="3481"/>
    <x v="0"/>
    <x v="1"/>
  </r>
  <r>
    <n v="4808"/>
    <x v="2379"/>
    <x v="6"/>
    <d v="2016-11-25T00:00:00"/>
    <s v="Second Class"/>
    <x v="159"/>
    <s v="Nathan Gelder"/>
    <x v="0"/>
    <s v="United States"/>
    <s v="Los Angeles"/>
    <x v="1"/>
    <n v="90008"/>
    <x v="1"/>
    <x v="602"/>
    <x v="1"/>
    <x v="4"/>
    <x v="602"/>
    <x v="683"/>
    <x v="0"/>
    <x v="1"/>
  </r>
  <r>
    <n v="4809"/>
    <x v="2380"/>
    <x v="533"/>
    <d v="2015-11-28T00:00:00"/>
    <s v="Standard Class"/>
    <x v="536"/>
    <s v="Phillip Breyer"/>
    <x v="1"/>
    <s v="United States"/>
    <s v="Philadelphia"/>
    <x v="9"/>
    <n v="19134"/>
    <x v="3"/>
    <x v="1249"/>
    <x v="1"/>
    <x v="12"/>
    <x v="1233"/>
    <x v="3482"/>
    <x v="0"/>
    <x v="2"/>
  </r>
  <r>
    <n v="4810"/>
    <x v="2381"/>
    <x v="17"/>
    <d v="2016-12-30T00:00:00"/>
    <s v="First Class"/>
    <x v="681"/>
    <s v="Richard Eichhorn"/>
    <x v="0"/>
    <s v="United States"/>
    <s v="Eau Claire"/>
    <x v="6"/>
    <n v="54703"/>
    <x v="2"/>
    <x v="1689"/>
    <x v="1"/>
    <x v="10"/>
    <x v="1677"/>
    <x v="3483"/>
    <x v="4"/>
    <x v="1"/>
  </r>
  <r>
    <n v="4811"/>
    <x v="2381"/>
    <x v="17"/>
    <d v="2016-12-30T00:00:00"/>
    <s v="First Class"/>
    <x v="681"/>
    <s v="Richard Eichhorn"/>
    <x v="0"/>
    <s v="United States"/>
    <s v="Eau Claire"/>
    <x v="6"/>
    <n v="54703"/>
    <x v="2"/>
    <x v="1191"/>
    <x v="2"/>
    <x v="7"/>
    <x v="1176"/>
    <x v="3484"/>
    <x v="4"/>
    <x v="1"/>
  </r>
  <r>
    <n v="4812"/>
    <x v="2382"/>
    <x v="696"/>
    <d v="2017-11-19T00:00:00"/>
    <s v="Second Class"/>
    <x v="686"/>
    <s v="Eugene Barchas"/>
    <x v="0"/>
    <s v="United States"/>
    <s v="Philadelphia"/>
    <x v="9"/>
    <n v="19134"/>
    <x v="3"/>
    <x v="323"/>
    <x v="0"/>
    <x v="1"/>
    <x v="323"/>
    <x v="3485"/>
    <x v="0"/>
    <x v="0"/>
  </r>
  <r>
    <n v="4813"/>
    <x v="2382"/>
    <x v="696"/>
    <d v="2017-11-19T00:00:00"/>
    <s v="Second Class"/>
    <x v="686"/>
    <s v="Eugene Barchas"/>
    <x v="0"/>
    <s v="United States"/>
    <s v="Philadelphia"/>
    <x v="9"/>
    <n v="19134"/>
    <x v="3"/>
    <x v="361"/>
    <x v="2"/>
    <x v="16"/>
    <x v="361"/>
    <x v="384"/>
    <x v="0"/>
    <x v="0"/>
  </r>
  <r>
    <n v="4814"/>
    <x v="2382"/>
    <x v="696"/>
    <d v="2017-11-19T00:00:00"/>
    <s v="Second Class"/>
    <x v="686"/>
    <s v="Eugene Barchas"/>
    <x v="0"/>
    <s v="United States"/>
    <s v="Philadelphia"/>
    <x v="9"/>
    <n v="19134"/>
    <x v="3"/>
    <x v="1702"/>
    <x v="0"/>
    <x v="5"/>
    <x v="1691"/>
    <x v="3486"/>
    <x v="0"/>
    <x v="0"/>
  </r>
  <r>
    <n v="4815"/>
    <x v="2383"/>
    <x v="541"/>
    <d v="2017-05-10T00:00:00"/>
    <s v="First Class"/>
    <x v="577"/>
    <s v="Trudy Brown"/>
    <x v="0"/>
    <s v="United States"/>
    <s v="Los Angeles"/>
    <x v="1"/>
    <n v="90004"/>
    <x v="1"/>
    <x v="150"/>
    <x v="1"/>
    <x v="10"/>
    <x v="151"/>
    <x v="1444"/>
    <x v="5"/>
    <x v="0"/>
  </r>
  <r>
    <n v="4816"/>
    <x v="2384"/>
    <x v="58"/>
    <d v="2015-12-31T00:00:00"/>
    <s v="Standard Class"/>
    <x v="726"/>
    <s v="Maureen Gnade"/>
    <x v="0"/>
    <s v="United States"/>
    <s v="Philadelphia"/>
    <x v="9"/>
    <n v="19134"/>
    <x v="3"/>
    <x v="229"/>
    <x v="1"/>
    <x v="10"/>
    <x v="230"/>
    <x v="3487"/>
    <x v="4"/>
    <x v="2"/>
  </r>
  <r>
    <n v="4817"/>
    <x v="2384"/>
    <x v="58"/>
    <d v="2015-12-31T00:00:00"/>
    <s v="Standard Class"/>
    <x v="726"/>
    <s v="Maureen Gnade"/>
    <x v="0"/>
    <s v="United States"/>
    <s v="Philadelphia"/>
    <x v="9"/>
    <n v="19134"/>
    <x v="3"/>
    <x v="1656"/>
    <x v="1"/>
    <x v="9"/>
    <x v="1644"/>
    <x v="3488"/>
    <x v="4"/>
    <x v="2"/>
  </r>
  <r>
    <n v="4818"/>
    <x v="2384"/>
    <x v="58"/>
    <d v="2015-12-31T00:00:00"/>
    <s v="Standard Class"/>
    <x v="726"/>
    <s v="Maureen Gnade"/>
    <x v="0"/>
    <s v="United States"/>
    <s v="Philadelphia"/>
    <x v="9"/>
    <n v="19134"/>
    <x v="3"/>
    <x v="543"/>
    <x v="1"/>
    <x v="9"/>
    <x v="543"/>
    <x v="3489"/>
    <x v="4"/>
    <x v="2"/>
  </r>
  <r>
    <n v="4819"/>
    <x v="2384"/>
    <x v="58"/>
    <d v="2015-12-31T00:00:00"/>
    <s v="Standard Class"/>
    <x v="726"/>
    <s v="Maureen Gnade"/>
    <x v="0"/>
    <s v="United States"/>
    <s v="Philadelphia"/>
    <x v="9"/>
    <n v="19134"/>
    <x v="3"/>
    <x v="1043"/>
    <x v="1"/>
    <x v="4"/>
    <x v="1032"/>
    <x v="3490"/>
    <x v="4"/>
    <x v="2"/>
  </r>
  <r>
    <n v="4820"/>
    <x v="2385"/>
    <x v="110"/>
    <d v="2018-06-14T00:00:00"/>
    <s v="Standard Class"/>
    <x v="752"/>
    <s v="Liz Willingham"/>
    <x v="0"/>
    <s v="United States"/>
    <s v="Norwich"/>
    <x v="29"/>
    <n v="6360"/>
    <x v="3"/>
    <x v="1499"/>
    <x v="1"/>
    <x v="8"/>
    <x v="1487"/>
    <x v="3491"/>
    <x v="1"/>
    <x v="3"/>
  </r>
  <r>
    <n v="4821"/>
    <x v="2386"/>
    <x v="1003"/>
    <d v="2016-04-11T00:00:00"/>
    <s v="Standard Class"/>
    <x v="724"/>
    <s v="Peter Fuller"/>
    <x v="0"/>
    <s v="United States"/>
    <s v="San Antonio"/>
    <x v="5"/>
    <n v="78207"/>
    <x v="2"/>
    <x v="1364"/>
    <x v="1"/>
    <x v="9"/>
    <x v="1350"/>
    <x v="3492"/>
    <x v="3"/>
    <x v="1"/>
  </r>
  <r>
    <n v="4822"/>
    <x v="2386"/>
    <x v="1003"/>
    <d v="2016-04-11T00:00:00"/>
    <s v="Standard Class"/>
    <x v="724"/>
    <s v="Peter Fuller"/>
    <x v="0"/>
    <s v="United States"/>
    <s v="San Antonio"/>
    <x v="5"/>
    <n v="78207"/>
    <x v="2"/>
    <x v="657"/>
    <x v="2"/>
    <x v="11"/>
    <x v="657"/>
    <x v="3050"/>
    <x v="3"/>
    <x v="1"/>
  </r>
  <r>
    <n v="4823"/>
    <x v="2387"/>
    <x v="212"/>
    <d v="2017-07-11T00:00:00"/>
    <s v="Same Day"/>
    <x v="125"/>
    <s v="Nick Zandusky"/>
    <x v="2"/>
    <s v="United States"/>
    <s v="Yuma"/>
    <x v="16"/>
    <n v="85364"/>
    <x v="1"/>
    <x v="444"/>
    <x v="1"/>
    <x v="8"/>
    <x v="444"/>
    <x v="3493"/>
    <x v="7"/>
    <x v="0"/>
  </r>
  <r>
    <n v="4824"/>
    <x v="2388"/>
    <x v="831"/>
    <d v="2017-11-26T00:00:00"/>
    <s v="Standard Class"/>
    <x v="237"/>
    <s v="Chloris Kastensmidt"/>
    <x v="0"/>
    <s v="United States"/>
    <s v="Columbus"/>
    <x v="24"/>
    <n v="43229"/>
    <x v="3"/>
    <x v="1703"/>
    <x v="2"/>
    <x v="15"/>
    <x v="1692"/>
    <x v="3494"/>
    <x v="0"/>
    <x v="0"/>
  </r>
  <r>
    <n v="4825"/>
    <x v="2388"/>
    <x v="831"/>
    <d v="2017-11-26T00:00:00"/>
    <s v="Standard Class"/>
    <x v="237"/>
    <s v="Chloris Kastensmidt"/>
    <x v="0"/>
    <s v="United States"/>
    <s v="Columbus"/>
    <x v="24"/>
    <n v="43229"/>
    <x v="3"/>
    <x v="163"/>
    <x v="0"/>
    <x v="1"/>
    <x v="164"/>
    <x v="3495"/>
    <x v="0"/>
    <x v="0"/>
  </r>
  <r>
    <n v="4826"/>
    <x v="2388"/>
    <x v="831"/>
    <d v="2017-11-26T00:00:00"/>
    <s v="Standard Class"/>
    <x v="237"/>
    <s v="Chloris Kastensmidt"/>
    <x v="0"/>
    <s v="United States"/>
    <s v="Columbus"/>
    <x v="24"/>
    <n v="43229"/>
    <x v="3"/>
    <x v="1416"/>
    <x v="0"/>
    <x v="5"/>
    <x v="1403"/>
    <x v="2486"/>
    <x v="0"/>
    <x v="0"/>
  </r>
  <r>
    <n v="4827"/>
    <x v="2389"/>
    <x v="105"/>
    <d v="2018-11-15T00:00:00"/>
    <s v="First Class"/>
    <x v="531"/>
    <s v="Jim Epp"/>
    <x v="1"/>
    <s v="United States"/>
    <s v="Los Angeles"/>
    <x v="1"/>
    <n v="90036"/>
    <x v="1"/>
    <x v="236"/>
    <x v="1"/>
    <x v="8"/>
    <x v="237"/>
    <x v="260"/>
    <x v="0"/>
    <x v="3"/>
  </r>
  <r>
    <n v="4828"/>
    <x v="2390"/>
    <x v="301"/>
    <d v="2015-11-08T00:00:00"/>
    <s v="Standard Class"/>
    <x v="705"/>
    <s v="Jack O'Briant"/>
    <x v="1"/>
    <s v="United States"/>
    <s v="Richmond"/>
    <x v="0"/>
    <n v="40475"/>
    <x v="0"/>
    <x v="1156"/>
    <x v="1"/>
    <x v="4"/>
    <x v="1144"/>
    <x v="2803"/>
    <x v="0"/>
    <x v="2"/>
  </r>
  <r>
    <n v="4829"/>
    <x v="2390"/>
    <x v="301"/>
    <d v="2015-11-08T00:00:00"/>
    <s v="Standard Class"/>
    <x v="705"/>
    <s v="Jack O'Briant"/>
    <x v="1"/>
    <s v="United States"/>
    <s v="Richmond"/>
    <x v="0"/>
    <n v="40475"/>
    <x v="0"/>
    <x v="868"/>
    <x v="1"/>
    <x v="6"/>
    <x v="862"/>
    <x v="713"/>
    <x v="0"/>
    <x v="2"/>
  </r>
  <r>
    <n v="4830"/>
    <x v="2391"/>
    <x v="666"/>
    <d v="2017-05-21T00:00:00"/>
    <s v="Standard Class"/>
    <x v="627"/>
    <s v="Thomas Thornton"/>
    <x v="0"/>
    <s v="United States"/>
    <s v="New York City"/>
    <x v="15"/>
    <n v="10035"/>
    <x v="3"/>
    <x v="1212"/>
    <x v="1"/>
    <x v="8"/>
    <x v="1197"/>
    <x v="2638"/>
    <x v="5"/>
    <x v="0"/>
  </r>
  <r>
    <n v="4831"/>
    <x v="2392"/>
    <x v="845"/>
    <d v="2015-11-12T00:00:00"/>
    <s v="Standard Class"/>
    <x v="333"/>
    <s v="Maribeth Schnelling"/>
    <x v="0"/>
    <s v="United States"/>
    <s v="Wausau"/>
    <x v="6"/>
    <n v="54401"/>
    <x v="2"/>
    <x v="1360"/>
    <x v="1"/>
    <x v="9"/>
    <x v="1346"/>
    <x v="3496"/>
    <x v="0"/>
    <x v="2"/>
  </r>
  <r>
    <n v="4832"/>
    <x v="2392"/>
    <x v="845"/>
    <d v="2015-11-12T00:00:00"/>
    <s v="Standard Class"/>
    <x v="333"/>
    <s v="Maribeth Schnelling"/>
    <x v="0"/>
    <s v="United States"/>
    <s v="Wausau"/>
    <x v="6"/>
    <n v="54401"/>
    <x v="2"/>
    <x v="762"/>
    <x v="1"/>
    <x v="4"/>
    <x v="761"/>
    <x v="898"/>
    <x v="0"/>
    <x v="2"/>
  </r>
  <r>
    <n v="4833"/>
    <x v="2392"/>
    <x v="845"/>
    <d v="2015-11-12T00:00:00"/>
    <s v="Standard Class"/>
    <x v="333"/>
    <s v="Maribeth Schnelling"/>
    <x v="0"/>
    <s v="United States"/>
    <s v="Wausau"/>
    <x v="6"/>
    <n v="54401"/>
    <x v="2"/>
    <x v="1011"/>
    <x v="1"/>
    <x v="4"/>
    <x v="1003"/>
    <x v="2383"/>
    <x v="0"/>
    <x v="2"/>
  </r>
  <r>
    <n v="4834"/>
    <x v="2392"/>
    <x v="845"/>
    <d v="2015-11-12T00:00:00"/>
    <s v="Standard Class"/>
    <x v="333"/>
    <s v="Maribeth Schnelling"/>
    <x v="0"/>
    <s v="United States"/>
    <s v="Wausau"/>
    <x v="6"/>
    <n v="54401"/>
    <x v="2"/>
    <x v="925"/>
    <x v="1"/>
    <x v="8"/>
    <x v="917"/>
    <x v="708"/>
    <x v="0"/>
    <x v="2"/>
  </r>
  <r>
    <n v="4835"/>
    <x v="2393"/>
    <x v="361"/>
    <d v="2018-10-10T00:00:00"/>
    <s v="Standard Class"/>
    <x v="486"/>
    <s v="Mike Pelletier"/>
    <x v="2"/>
    <s v="United States"/>
    <s v="San Francisco"/>
    <x v="1"/>
    <n v="94110"/>
    <x v="1"/>
    <x v="1230"/>
    <x v="1"/>
    <x v="8"/>
    <x v="1213"/>
    <x v="3009"/>
    <x v="2"/>
    <x v="3"/>
  </r>
  <r>
    <n v="4836"/>
    <x v="2393"/>
    <x v="361"/>
    <d v="2018-10-10T00:00:00"/>
    <s v="Standard Class"/>
    <x v="486"/>
    <s v="Mike Pelletier"/>
    <x v="2"/>
    <s v="United States"/>
    <s v="San Francisco"/>
    <x v="1"/>
    <n v="94110"/>
    <x v="1"/>
    <x v="1323"/>
    <x v="1"/>
    <x v="10"/>
    <x v="1309"/>
    <x v="1156"/>
    <x v="2"/>
    <x v="3"/>
  </r>
  <r>
    <n v="4837"/>
    <x v="2393"/>
    <x v="361"/>
    <d v="2018-10-10T00:00:00"/>
    <s v="Standard Class"/>
    <x v="486"/>
    <s v="Mike Pelletier"/>
    <x v="2"/>
    <s v="United States"/>
    <s v="San Francisco"/>
    <x v="1"/>
    <n v="94110"/>
    <x v="1"/>
    <x v="799"/>
    <x v="1"/>
    <x v="8"/>
    <x v="797"/>
    <x v="950"/>
    <x v="2"/>
    <x v="3"/>
  </r>
  <r>
    <n v="4838"/>
    <x v="2394"/>
    <x v="702"/>
    <d v="2018-06-03T00:00:00"/>
    <s v="First Class"/>
    <x v="651"/>
    <s v="Fred Harton"/>
    <x v="0"/>
    <s v="United States"/>
    <s v="Dublin"/>
    <x v="24"/>
    <n v="43017"/>
    <x v="3"/>
    <x v="858"/>
    <x v="1"/>
    <x v="8"/>
    <x v="852"/>
    <x v="3497"/>
    <x v="1"/>
    <x v="3"/>
  </r>
  <r>
    <n v="4839"/>
    <x v="2394"/>
    <x v="702"/>
    <d v="2018-06-03T00:00:00"/>
    <s v="First Class"/>
    <x v="651"/>
    <s v="Fred Harton"/>
    <x v="0"/>
    <s v="United States"/>
    <s v="Dublin"/>
    <x v="24"/>
    <n v="43017"/>
    <x v="3"/>
    <x v="874"/>
    <x v="1"/>
    <x v="10"/>
    <x v="868"/>
    <x v="3498"/>
    <x v="1"/>
    <x v="3"/>
  </r>
  <r>
    <n v="4840"/>
    <x v="2394"/>
    <x v="702"/>
    <d v="2018-06-03T00:00:00"/>
    <s v="First Class"/>
    <x v="651"/>
    <s v="Fred Harton"/>
    <x v="0"/>
    <s v="United States"/>
    <s v="Dublin"/>
    <x v="24"/>
    <n v="43017"/>
    <x v="3"/>
    <x v="194"/>
    <x v="2"/>
    <x v="7"/>
    <x v="195"/>
    <x v="3097"/>
    <x v="1"/>
    <x v="3"/>
  </r>
  <r>
    <n v="4841"/>
    <x v="2395"/>
    <x v="225"/>
    <d v="2018-11-25T00:00:00"/>
    <s v="Standard Class"/>
    <x v="337"/>
    <s v="Sample Company A"/>
    <x v="2"/>
    <s v="United States"/>
    <s v="Henderson"/>
    <x v="0"/>
    <n v="42420"/>
    <x v="0"/>
    <x v="93"/>
    <x v="0"/>
    <x v="5"/>
    <x v="93"/>
    <x v="3499"/>
    <x v="0"/>
    <x v="3"/>
  </r>
  <r>
    <n v="4842"/>
    <x v="2396"/>
    <x v="443"/>
    <d v="2017-12-28T00:00:00"/>
    <s v="Standard Class"/>
    <x v="392"/>
    <s v="Neoma Murray"/>
    <x v="0"/>
    <s v="United States"/>
    <s v="Bowling Green"/>
    <x v="24"/>
    <n v="43402"/>
    <x v="3"/>
    <x v="1488"/>
    <x v="1"/>
    <x v="8"/>
    <x v="1475"/>
    <x v="3500"/>
    <x v="4"/>
    <x v="0"/>
  </r>
  <r>
    <n v="4843"/>
    <x v="2397"/>
    <x v="365"/>
    <d v="2018-10-04T00:00:00"/>
    <s v="Standard Class"/>
    <x v="123"/>
    <s v="Jas O'Carroll"/>
    <x v="0"/>
    <s v="United States"/>
    <s v="Memphis"/>
    <x v="18"/>
    <n v="38109"/>
    <x v="0"/>
    <x v="886"/>
    <x v="1"/>
    <x v="4"/>
    <x v="879"/>
    <x v="3501"/>
    <x v="8"/>
    <x v="3"/>
  </r>
  <r>
    <n v="4844"/>
    <x v="2398"/>
    <x v="77"/>
    <d v="2017-11-09T00:00:00"/>
    <s v="First Class"/>
    <x v="693"/>
    <s v="Cindy Chapman"/>
    <x v="0"/>
    <s v="United States"/>
    <s v="Lakewood"/>
    <x v="30"/>
    <n v="8701"/>
    <x v="3"/>
    <x v="1028"/>
    <x v="1"/>
    <x v="13"/>
    <x v="1019"/>
    <x v="3502"/>
    <x v="0"/>
    <x v="0"/>
  </r>
  <r>
    <n v="4845"/>
    <x v="2399"/>
    <x v="527"/>
    <d v="2015-04-05T00:00:00"/>
    <s v="First Class"/>
    <x v="89"/>
    <s v="Mary Zewe"/>
    <x v="1"/>
    <s v="United States"/>
    <s v="Los Angeles"/>
    <x v="1"/>
    <n v="90008"/>
    <x v="1"/>
    <x v="307"/>
    <x v="1"/>
    <x v="8"/>
    <x v="307"/>
    <x v="1576"/>
    <x v="3"/>
    <x v="2"/>
  </r>
  <r>
    <n v="4846"/>
    <x v="2400"/>
    <x v="862"/>
    <d v="2016-07-26T00:00:00"/>
    <s v="Second Class"/>
    <x v="234"/>
    <s v="Melanie Seite"/>
    <x v="0"/>
    <s v="United States"/>
    <s v="Rochester"/>
    <x v="15"/>
    <n v="14609"/>
    <x v="3"/>
    <x v="236"/>
    <x v="1"/>
    <x v="8"/>
    <x v="237"/>
    <x v="3503"/>
    <x v="7"/>
    <x v="1"/>
  </r>
  <r>
    <n v="4847"/>
    <x v="2401"/>
    <x v="402"/>
    <d v="2015-06-27T00:00:00"/>
    <s v="Second Class"/>
    <x v="136"/>
    <s v="Grace Kelly"/>
    <x v="1"/>
    <s v="United States"/>
    <s v="Salem"/>
    <x v="21"/>
    <n v="97301"/>
    <x v="1"/>
    <x v="803"/>
    <x v="2"/>
    <x v="7"/>
    <x v="801"/>
    <x v="1259"/>
    <x v="1"/>
    <x v="2"/>
  </r>
  <r>
    <n v="4848"/>
    <x v="2401"/>
    <x v="402"/>
    <d v="2015-06-27T00:00:00"/>
    <s v="Second Class"/>
    <x v="136"/>
    <s v="Grace Kelly"/>
    <x v="1"/>
    <s v="United States"/>
    <s v="Salem"/>
    <x v="21"/>
    <n v="97301"/>
    <x v="1"/>
    <x v="359"/>
    <x v="1"/>
    <x v="6"/>
    <x v="359"/>
    <x v="3504"/>
    <x v="1"/>
    <x v="2"/>
  </r>
  <r>
    <n v="4849"/>
    <x v="2401"/>
    <x v="402"/>
    <d v="2015-06-27T00:00:00"/>
    <s v="Second Class"/>
    <x v="136"/>
    <s v="Grace Kelly"/>
    <x v="1"/>
    <s v="United States"/>
    <s v="Salem"/>
    <x v="21"/>
    <n v="97301"/>
    <x v="1"/>
    <x v="1132"/>
    <x v="1"/>
    <x v="6"/>
    <x v="1120"/>
    <x v="1719"/>
    <x v="1"/>
    <x v="2"/>
  </r>
  <r>
    <n v="4850"/>
    <x v="2402"/>
    <x v="78"/>
    <d v="2015-09-14T00:00:00"/>
    <s v="Standard Class"/>
    <x v="507"/>
    <s v="Marc Crier"/>
    <x v="0"/>
    <s v="United States"/>
    <s v="Pasco"/>
    <x v="4"/>
    <n v="99301"/>
    <x v="1"/>
    <x v="425"/>
    <x v="1"/>
    <x v="6"/>
    <x v="425"/>
    <x v="486"/>
    <x v="8"/>
    <x v="2"/>
  </r>
  <r>
    <n v="4851"/>
    <x v="2402"/>
    <x v="78"/>
    <d v="2015-09-14T00:00:00"/>
    <s v="Standard Class"/>
    <x v="507"/>
    <s v="Marc Crier"/>
    <x v="0"/>
    <s v="United States"/>
    <s v="Pasco"/>
    <x v="4"/>
    <n v="99301"/>
    <x v="1"/>
    <x v="1"/>
    <x v="0"/>
    <x v="1"/>
    <x v="1"/>
    <x v="3505"/>
    <x v="8"/>
    <x v="2"/>
  </r>
  <r>
    <n v="4852"/>
    <x v="2402"/>
    <x v="78"/>
    <d v="2015-09-14T00:00:00"/>
    <s v="Standard Class"/>
    <x v="507"/>
    <s v="Marc Crier"/>
    <x v="0"/>
    <s v="United States"/>
    <s v="Pasco"/>
    <x v="4"/>
    <n v="99301"/>
    <x v="1"/>
    <x v="108"/>
    <x v="1"/>
    <x v="6"/>
    <x v="108"/>
    <x v="3506"/>
    <x v="8"/>
    <x v="2"/>
  </r>
  <r>
    <n v="4853"/>
    <x v="2402"/>
    <x v="78"/>
    <d v="2015-09-14T00:00:00"/>
    <s v="Standard Class"/>
    <x v="507"/>
    <s v="Marc Crier"/>
    <x v="0"/>
    <s v="United States"/>
    <s v="Pasco"/>
    <x v="4"/>
    <n v="99301"/>
    <x v="1"/>
    <x v="459"/>
    <x v="1"/>
    <x v="4"/>
    <x v="460"/>
    <x v="1056"/>
    <x v="8"/>
    <x v="2"/>
  </r>
  <r>
    <n v="4854"/>
    <x v="2403"/>
    <x v="432"/>
    <d v="2015-12-15T00:00:00"/>
    <s v="Second Class"/>
    <x v="109"/>
    <s v="Logan Haushalter"/>
    <x v="0"/>
    <s v="United States"/>
    <s v="Oakland"/>
    <x v="1"/>
    <n v="94601"/>
    <x v="1"/>
    <x v="1006"/>
    <x v="0"/>
    <x v="5"/>
    <x v="998"/>
    <x v="3507"/>
    <x v="4"/>
    <x v="2"/>
  </r>
  <r>
    <n v="4855"/>
    <x v="2403"/>
    <x v="432"/>
    <d v="2015-12-15T00:00:00"/>
    <s v="Second Class"/>
    <x v="109"/>
    <s v="Logan Haushalter"/>
    <x v="0"/>
    <s v="United States"/>
    <s v="Oakland"/>
    <x v="1"/>
    <n v="94601"/>
    <x v="1"/>
    <x v="383"/>
    <x v="1"/>
    <x v="4"/>
    <x v="384"/>
    <x v="3010"/>
    <x v="4"/>
    <x v="2"/>
  </r>
  <r>
    <n v="4856"/>
    <x v="2403"/>
    <x v="432"/>
    <d v="2015-12-15T00:00:00"/>
    <s v="Second Class"/>
    <x v="109"/>
    <s v="Logan Haushalter"/>
    <x v="0"/>
    <s v="United States"/>
    <s v="Oakland"/>
    <x v="1"/>
    <n v="94601"/>
    <x v="1"/>
    <x v="50"/>
    <x v="0"/>
    <x v="5"/>
    <x v="50"/>
    <x v="354"/>
    <x v="4"/>
    <x v="2"/>
  </r>
  <r>
    <n v="4857"/>
    <x v="2404"/>
    <x v="1004"/>
    <d v="2016-01-17T00:00:00"/>
    <s v="Standard Class"/>
    <x v="171"/>
    <s v="Philip Brown"/>
    <x v="0"/>
    <s v="United States"/>
    <s v="Los Angeles"/>
    <x v="1"/>
    <n v="90004"/>
    <x v="1"/>
    <x v="705"/>
    <x v="1"/>
    <x v="8"/>
    <x v="705"/>
    <x v="817"/>
    <x v="9"/>
    <x v="1"/>
  </r>
  <r>
    <n v="4858"/>
    <x v="2404"/>
    <x v="1004"/>
    <d v="2016-01-17T00:00:00"/>
    <s v="Standard Class"/>
    <x v="171"/>
    <s v="Philip Brown"/>
    <x v="0"/>
    <s v="United States"/>
    <s v="Los Angeles"/>
    <x v="1"/>
    <n v="90004"/>
    <x v="1"/>
    <x v="275"/>
    <x v="0"/>
    <x v="5"/>
    <x v="275"/>
    <x v="291"/>
    <x v="9"/>
    <x v="1"/>
  </r>
  <r>
    <n v="4859"/>
    <x v="2404"/>
    <x v="1004"/>
    <d v="2016-01-17T00:00:00"/>
    <s v="Standard Class"/>
    <x v="171"/>
    <s v="Philip Brown"/>
    <x v="0"/>
    <s v="United States"/>
    <s v="Los Angeles"/>
    <x v="1"/>
    <n v="90004"/>
    <x v="1"/>
    <x v="1704"/>
    <x v="0"/>
    <x v="5"/>
    <x v="1693"/>
    <x v="3508"/>
    <x v="9"/>
    <x v="1"/>
  </r>
  <r>
    <n v="4860"/>
    <x v="2405"/>
    <x v="934"/>
    <d v="2018-12-19T00:00:00"/>
    <s v="Standard Class"/>
    <x v="164"/>
    <s v="Saphhira Shifley"/>
    <x v="1"/>
    <s v="United States"/>
    <s v="Oak Park"/>
    <x v="10"/>
    <n v="60302"/>
    <x v="2"/>
    <x v="1063"/>
    <x v="1"/>
    <x v="6"/>
    <x v="1052"/>
    <x v="1315"/>
    <x v="4"/>
    <x v="3"/>
  </r>
  <r>
    <n v="4861"/>
    <x v="2406"/>
    <x v="122"/>
    <d v="2017-12-24T00:00:00"/>
    <s v="Standard Class"/>
    <x v="136"/>
    <s v="Grace Kelly"/>
    <x v="1"/>
    <s v="United States"/>
    <s v="Morristown"/>
    <x v="30"/>
    <n v="7960"/>
    <x v="3"/>
    <x v="1176"/>
    <x v="1"/>
    <x v="8"/>
    <x v="1162"/>
    <x v="1612"/>
    <x v="4"/>
    <x v="0"/>
  </r>
  <r>
    <n v="4862"/>
    <x v="2407"/>
    <x v="909"/>
    <d v="2015-04-16T00:00:00"/>
    <s v="Second Class"/>
    <x v="39"/>
    <s v="Gary Mitchum"/>
    <x v="2"/>
    <s v="United States"/>
    <s v="Austin"/>
    <x v="5"/>
    <n v="78745"/>
    <x v="2"/>
    <x v="1356"/>
    <x v="2"/>
    <x v="7"/>
    <x v="1342"/>
    <x v="3509"/>
    <x v="3"/>
    <x v="2"/>
  </r>
  <r>
    <n v="4863"/>
    <x v="2408"/>
    <x v="338"/>
    <d v="2017-11-14T00:00:00"/>
    <s v="Standard Class"/>
    <x v="64"/>
    <s v="Sally Hughsby"/>
    <x v="1"/>
    <s v="United States"/>
    <s v="New York City"/>
    <x v="15"/>
    <n v="10011"/>
    <x v="3"/>
    <x v="986"/>
    <x v="1"/>
    <x v="8"/>
    <x v="979"/>
    <x v="3510"/>
    <x v="0"/>
    <x v="0"/>
  </r>
  <r>
    <n v="4864"/>
    <x v="2408"/>
    <x v="338"/>
    <d v="2017-11-14T00:00:00"/>
    <s v="Standard Class"/>
    <x v="64"/>
    <s v="Sally Hughsby"/>
    <x v="1"/>
    <s v="United States"/>
    <s v="New York City"/>
    <x v="15"/>
    <n v="10011"/>
    <x v="3"/>
    <x v="350"/>
    <x v="1"/>
    <x v="8"/>
    <x v="350"/>
    <x v="3511"/>
    <x v="0"/>
    <x v="0"/>
  </r>
  <r>
    <n v="4865"/>
    <x v="2409"/>
    <x v="335"/>
    <d v="2018-06-30T00:00:00"/>
    <s v="Standard Class"/>
    <x v="56"/>
    <s v="Steven Cartwright"/>
    <x v="0"/>
    <s v="United States"/>
    <s v="New York City"/>
    <x v="15"/>
    <n v="10024"/>
    <x v="3"/>
    <x v="516"/>
    <x v="2"/>
    <x v="7"/>
    <x v="516"/>
    <x v="758"/>
    <x v="1"/>
    <x v="3"/>
  </r>
  <r>
    <n v="4866"/>
    <x v="2410"/>
    <x v="38"/>
    <d v="2018-11-18T00:00:00"/>
    <s v="Standard Class"/>
    <x v="74"/>
    <s v="Ted Trevino"/>
    <x v="0"/>
    <s v="United States"/>
    <s v="Seattle"/>
    <x v="4"/>
    <n v="98103"/>
    <x v="1"/>
    <x v="445"/>
    <x v="0"/>
    <x v="1"/>
    <x v="445"/>
    <x v="3512"/>
    <x v="0"/>
    <x v="3"/>
  </r>
  <r>
    <n v="4867"/>
    <x v="2410"/>
    <x v="38"/>
    <d v="2018-11-18T00:00:00"/>
    <s v="Standard Class"/>
    <x v="74"/>
    <s v="Ted Trevino"/>
    <x v="0"/>
    <s v="United States"/>
    <s v="Seattle"/>
    <x v="4"/>
    <n v="98103"/>
    <x v="1"/>
    <x v="1242"/>
    <x v="1"/>
    <x v="8"/>
    <x v="1225"/>
    <x v="3513"/>
    <x v="0"/>
    <x v="3"/>
  </r>
  <r>
    <n v="4868"/>
    <x v="2410"/>
    <x v="38"/>
    <d v="2018-11-18T00:00:00"/>
    <s v="Standard Class"/>
    <x v="74"/>
    <s v="Ted Trevino"/>
    <x v="0"/>
    <s v="United States"/>
    <s v="Seattle"/>
    <x v="4"/>
    <n v="98103"/>
    <x v="1"/>
    <x v="156"/>
    <x v="1"/>
    <x v="4"/>
    <x v="157"/>
    <x v="3129"/>
    <x v="0"/>
    <x v="3"/>
  </r>
  <r>
    <n v="4869"/>
    <x v="2410"/>
    <x v="38"/>
    <d v="2018-11-18T00:00:00"/>
    <s v="Standard Class"/>
    <x v="74"/>
    <s v="Ted Trevino"/>
    <x v="0"/>
    <s v="United States"/>
    <s v="Seattle"/>
    <x v="4"/>
    <n v="98103"/>
    <x v="1"/>
    <x v="745"/>
    <x v="1"/>
    <x v="2"/>
    <x v="743"/>
    <x v="874"/>
    <x v="0"/>
    <x v="3"/>
  </r>
  <r>
    <n v="4870"/>
    <x v="2411"/>
    <x v="221"/>
    <d v="2018-11-29T00:00:00"/>
    <s v="Standard Class"/>
    <x v="464"/>
    <s v="Shaun Chance"/>
    <x v="1"/>
    <s v="United States"/>
    <s v="Lancaster"/>
    <x v="9"/>
    <n v="17602"/>
    <x v="3"/>
    <x v="929"/>
    <x v="2"/>
    <x v="7"/>
    <x v="922"/>
    <x v="3514"/>
    <x v="0"/>
    <x v="3"/>
  </r>
  <r>
    <n v="4871"/>
    <x v="2411"/>
    <x v="221"/>
    <d v="2018-11-29T00:00:00"/>
    <s v="Standard Class"/>
    <x v="464"/>
    <s v="Shaun Chance"/>
    <x v="1"/>
    <s v="United States"/>
    <s v="Lancaster"/>
    <x v="9"/>
    <n v="17602"/>
    <x v="3"/>
    <x v="1127"/>
    <x v="1"/>
    <x v="10"/>
    <x v="1115"/>
    <x v="2299"/>
    <x v="0"/>
    <x v="3"/>
  </r>
  <r>
    <n v="4872"/>
    <x v="2412"/>
    <x v="979"/>
    <d v="2018-05-27T00:00:00"/>
    <s v="Standard Class"/>
    <x v="107"/>
    <s v="Ken Lonsdale"/>
    <x v="0"/>
    <s v="United States"/>
    <s v="Houston"/>
    <x v="5"/>
    <n v="77095"/>
    <x v="2"/>
    <x v="1705"/>
    <x v="1"/>
    <x v="13"/>
    <x v="1694"/>
    <x v="3515"/>
    <x v="5"/>
    <x v="3"/>
  </r>
  <r>
    <n v="4873"/>
    <x v="2412"/>
    <x v="979"/>
    <d v="2018-05-27T00:00:00"/>
    <s v="Standard Class"/>
    <x v="107"/>
    <s v="Ken Lonsdale"/>
    <x v="0"/>
    <s v="United States"/>
    <s v="Houston"/>
    <x v="5"/>
    <n v="77095"/>
    <x v="2"/>
    <x v="1549"/>
    <x v="1"/>
    <x v="9"/>
    <x v="1537"/>
    <x v="3516"/>
    <x v="5"/>
    <x v="3"/>
  </r>
  <r>
    <n v="4874"/>
    <x v="2412"/>
    <x v="979"/>
    <d v="2018-05-27T00:00:00"/>
    <s v="Standard Class"/>
    <x v="107"/>
    <s v="Ken Lonsdale"/>
    <x v="0"/>
    <s v="United States"/>
    <s v="Houston"/>
    <x v="5"/>
    <n v="77095"/>
    <x v="2"/>
    <x v="1512"/>
    <x v="1"/>
    <x v="4"/>
    <x v="1499"/>
    <x v="3517"/>
    <x v="5"/>
    <x v="3"/>
  </r>
  <r>
    <n v="4875"/>
    <x v="2412"/>
    <x v="979"/>
    <d v="2018-05-27T00:00:00"/>
    <s v="Standard Class"/>
    <x v="107"/>
    <s v="Ken Lonsdale"/>
    <x v="0"/>
    <s v="United States"/>
    <s v="Houston"/>
    <x v="5"/>
    <n v="77095"/>
    <x v="2"/>
    <x v="305"/>
    <x v="1"/>
    <x v="8"/>
    <x v="305"/>
    <x v="1452"/>
    <x v="5"/>
    <x v="3"/>
  </r>
  <r>
    <n v="4876"/>
    <x v="2413"/>
    <x v="266"/>
    <d v="2015-12-07T00:00:00"/>
    <s v="Standard Class"/>
    <x v="471"/>
    <s v="Katherine Nockton"/>
    <x v="1"/>
    <s v="United States"/>
    <s v="Columbus"/>
    <x v="24"/>
    <n v="43229"/>
    <x v="3"/>
    <x v="538"/>
    <x v="2"/>
    <x v="11"/>
    <x v="538"/>
    <x v="596"/>
    <x v="4"/>
    <x v="2"/>
  </r>
  <r>
    <n v="4877"/>
    <x v="2414"/>
    <x v="462"/>
    <d v="2015-10-09T00:00:00"/>
    <s v="Standard Class"/>
    <x v="359"/>
    <s v="Sara Luxemburg"/>
    <x v="2"/>
    <s v="United States"/>
    <s v="Durham"/>
    <x v="3"/>
    <n v="27707"/>
    <x v="0"/>
    <x v="1424"/>
    <x v="1"/>
    <x v="4"/>
    <x v="1412"/>
    <x v="3518"/>
    <x v="2"/>
    <x v="2"/>
  </r>
  <r>
    <n v="4878"/>
    <x v="2414"/>
    <x v="462"/>
    <d v="2015-10-09T00:00:00"/>
    <s v="Standard Class"/>
    <x v="359"/>
    <s v="Sara Luxemburg"/>
    <x v="2"/>
    <s v="United States"/>
    <s v="Durham"/>
    <x v="3"/>
    <n v="27707"/>
    <x v="0"/>
    <x v="679"/>
    <x v="1"/>
    <x v="6"/>
    <x v="679"/>
    <x v="3519"/>
    <x v="2"/>
    <x v="2"/>
  </r>
  <r>
    <n v="4879"/>
    <x v="2415"/>
    <x v="875"/>
    <d v="2017-07-31T00:00:00"/>
    <s v="First Class"/>
    <x v="617"/>
    <s v="Pierre Wener"/>
    <x v="0"/>
    <s v="United States"/>
    <s v="Pensacola"/>
    <x v="2"/>
    <n v="32503"/>
    <x v="0"/>
    <x v="1699"/>
    <x v="1"/>
    <x v="8"/>
    <x v="1687"/>
    <x v="3520"/>
    <x v="7"/>
    <x v="0"/>
  </r>
  <r>
    <n v="4880"/>
    <x v="2416"/>
    <x v="808"/>
    <d v="2018-11-05T00:00:00"/>
    <s v="Second Class"/>
    <x v="533"/>
    <s v="Thomas Boland"/>
    <x v="1"/>
    <s v="United States"/>
    <s v="Henderson"/>
    <x v="0"/>
    <n v="42420"/>
    <x v="0"/>
    <x v="1510"/>
    <x v="1"/>
    <x v="12"/>
    <x v="1497"/>
    <x v="3521"/>
    <x v="0"/>
    <x v="3"/>
  </r>
  <r>
    <n v="4881"/>
    <x v="2416"/>
    <x v="808"/>
    <d v="2018-11-05T00:00:00"/>
    <s v="Second Class"/>
    <x v="533"/>
    <s v="Thomas Boland"/>
    <x v="1"/>
    <s v="United States"/>
    <s v="Henderson"/>
    <x v="0"/>
    <n v="42420"/>
    <x v="0"/>
    <x v="1"/>
    <x v="0"/>
    <x v="1"/>
    <x v="1"/>
    <x v="3505"/>
    <x v="0"/>
    <x v="3"/>
  </r>
  <r>
    <n v="4882"/>
    <x v="2416"/>
    <x v="808"/>
    <d v="2018-11-05T00:00:00"/>
    <s v="Second Class"/>
    <x v="533"/>
    <s v="Thomas Boland"/>
    <x v="1"/>
    <s v="United States"/>
    <s v="Henderson"/>
    <x v="0"/>
    <n v="42420"/>
    <x v="0"/>
    <x v="1287"/>
    <x v="2"/>
    <x v="11"/>
    <x v="1273"/>
    <x v="3522"/>
    <x v="0"/>
    <x v="3"/>
  </r>
  <r>
    <n v="4883"/>
    <x v="2416"/>
    <x v="808"/>
    <d v="2018-11-05T00:00:00"/>
    <s v="Second Class"/>
    <x v="533"/>
    <s v="Thomas Boland"/>
    <x v="1"/>
    <s v="United States"/>
    <s v="Henderson"/>
    <x v="0"/>
    <n v="42420"/>
    <x v="0"/>
    <x v="355"/>
    <x v="1"/>
    <x v="4"/>
    <x v="355"/>
    <x v="3523"/>
    <x v="0"/>
    <x v="3"/>
  </r>
  <r>
    <n v="4884"/>
    <x v="2417"/>
    <x v="144"/>
    <d v="2018-03-15T00:00:00"/>
    <s v="Standard Class"/>
    <x v="117"/>
    <s v="Alan Hwang"/>
    <x v="0"/>
    <s v="United States"/>
    <s v="Anaheim"/>
    <x v="1"/>
    <n v="92804"/>
    <x v="1"/>
    <x v="1636"/>
    <x v="1"/>
    <x v="8"/>
    <x v="1626"/>
    <x v="3524"/>
    <x v="10"/>
    <x v="3"/>
  </r>
  <r>
    <n v="4885"/>
    <x v="2417"/>
    <x v="144"/>
    <d v="2018-03-15T00:00:00"/>
    <s v="Standard Class"/>
    <x v="117"/>
    <s v="Alan Hwang"/>
    <x v="0"/>
    <s v="United States"/>
    <s v="Anaheim"/>
    <x v="1"/>
    <n v="92804"/>
    <x v="1"/>
    <x v="1642"/>
    <x v="1"/>
    <x v="6"/>
    <x v="1632"/>
    <x v="3525"/>
    <x v="10"/>
    <x v="3"/>
  </r>
  <r>
    <n v="4886"/>
    <x v="2418"/>
    <x v="757"/>
    <d v="2015-12-20T00:00:00"/>
    <s v="Standard Class"/>
    <x v="281"/>
    <s v="Steve Chapman"/>
    <x v="1"/>
    <s v="United States"/>
    <s v="Detroit"/>
    <x v="12"/>
    <n v="48227"/>
    <x v="2"/>
    <x v="1138"/>
    <x v="1"/>
    <x v="10"/>
    <x v="1126"/>
    <x v="1147"/>
    <x v="4"/>
    <x v="2"/>
  </r>
  <r>
    <n v="4887"/>
    <x v="2419"/>
    <x v="85"/>
    <d v="2017-12-01T00:00:00"/>
    <s v="Second Class"/>
    <x v="575"/>
    <s v="Randy Ferguson"/>
    <x v="1"/>
    <s v="United States"/>
    <s v="Marietta"/>
    <x v="32"/>
    <n v="30062"/>
    <x v="0"/>
    <x v="212"/>
    <x v="0"/>
    <x v="1"/>
    <x v="213"/>
    <x v="3526"/>
    <x v="0"/>
    <x v="0"/>
  </r>
  <r>
    <n v="4888"/>
    <x v="2419"/>
    <x v="85"/>
    <d v="2017-12-01T00:00:00"/>
    <s v="Second Class"/>
    <x v="575"/>
    <s v="Randy Ferguson"/>
    <x v="1"/>
    <s v="United States"/>
    <s v="Marietta"/>
    <x v="32"/>
    <n v="30062"/>
    <x v="0"/>
    <x v="658"/>
    <x v="2"/>
    <x v="11"/>
    <x v="658"/>
    <x v="3527"/>
    <x v="0"/>
    <x v="0"/>
  </r>
  <r>
    <n v="4889"/>
    <x v="2419"/>
    <x v="85"/>
    <d v="2017-12-01T00:00:00"/>
    <s v="Second Class"/>
    <x v="575"/>
    <s v="Randy Ferguson"/>
    <x v="1"/>
    <s v="United States"/>
    <s v="Marietta"/>
    <x v="32"/>
    <n v="30062"/>
    <x v="0"/>
    <x v="458"/>
    <x v="1"/>
    <x v="4"/>
    <x v="459"/>
    <x v="490"/>
    <x v="0"/>
    <x v="0"/>
  </r>
  <r>
    <n v="4890"/>
    <x v="2419"/>
    <x v="85"/>
    <d v="2017-12-01T00:00:00"/>
    <s v="Second Class"/>
    <x v="575"/>
    <s v="Randy Ferguson"/>
    <x v="1"/>
    <s v="United States"/>
    <s v="Marietta"/>
    <x v="32"/>
    <n v="30062"/>
    <x v="0"/>
    <x v="1672"/>
    <x v="1"/>
    <x v="4"/>
    <x v="1660"/>
    <x v="3528"/>
    <x v="0"/>
    <x v="0"/>
  </r>
  <r>
    <n v="4891"/>
    <x v="2420"/>
    <x v="443"/>
    <d v="2017-12-30T00:00:00"/>
    <s v="Standard Class"/>
    <x v="553"/>
    <s v="Edward Hooks"/>
    <x v="1"/>
    <s v="United States"/>
    <s v="Seattle"/>
    <x v="4"/>
    <n v="98103"/>
    <x v="1"/>
    <x v="454"/>
    <x v="1"/>
    <x v="6"/>
    <x v="455"/>
    <x v="138"/>
    <x v="4"/>
    <x v="0"/>
  </r>
  <r>
    <n v="4892"/>
    <x v="2420"/>
    <x v="443"/>
    <d v="2017-12-30T00:00:00"/>
    <s v="Standard Class"/>
    <x v="553"/>
    <s v="Edward Hooks"/>
    <x v="1"/>
    <s v="United States"/>
    <s v="Seattle"/>
    <x v="4"/>
    <n v="98103"/>
    <x v="1"/>
    <x v="1237"/>
    <x v="1"/>
    <x v="10"/>
    <x v="1220"/>
    <x v="2428"/>
    <x v="4"/>
    <x v="0"/>
  </r>
  <r>
    <n v="4893"/>
    <x v="2420"/>
    <x v="443"/>
    <d v="2017-12-30T00:00:00"/>
    <s v="Standard Class"/>
    <x v="553"/>
    <s v="Edward Hooks"/>
    <x v="1"/>
    <s v="United States"/>
    <s v="Seattle"/>
    <x v="4"/>
    <n v="98103"/>
    <x v="1"/>
    <x v="1706"/>
    <x v="1"/>
    <x v="6"/>
    <x v="1695"/>
    <x v="3529"/>
    <x v="4"/>
    <x v="0"/>
  </r>
  <r>
    <n v="4894"/>
    <x v="2420"/>
    <x v="443"/>
    <d v="2017-12-30T00:00:00"/>
    <s v="Standard Class"/>
    <x v="553"/>
    <s v="Edward Hooks"/>
    <x v="1"/>
    <s v="United States"/>
    <s v="Seattle"/>
    <x v="4"/>
    <n v="98103"/>
    <x v="1"/>
    <x v="418"/>
    <x v="1"/>
    <x v="4"/>
    <x v="418"/>
    <x v="3530"/>
    <x v="4"/>
    <x v="0"/>
  </r>
  <r>
    <n v="4895"/>
    <x v="2420"/>
    <x v="443"/>
    <d v="2017-12-30T00:00:00"/>
    <s v="Standard Class"/>
    <x v="553"/>
    <s v="Edward Hooks"/>
    <x v="1"/>
    <s v="United States"/>
    <s v="Seattle"/>
    <x v="4"/>
    <n v="98103"/>
    <x v="1"/>
    <x v="136"/>
    <x v="1"/>
    <x v="10"/>
    <x v="137"/>
    <x v="3531"/>
    <x v="4"/>
    <x v="0"/>
  </r>
  <r>
    <n v="4896"/>
    <x v="2420"/>
    <x v="443"/>
    <d v="2017-12-30T00:00:00"/>
    <s v="Standard Class"/>
    <x v="553"/>
    <s v="Edward Hooks"/>
    <x v="1"/>
    <s v="United States"/>
    <s v="Seattle"/>
    <x v="4"/>
    <n v="98103"/>
    <x v="1"/>
    <x v="1503"/>
    <x v="1"/>
    <x v="12"/>
    <x v="153"/>
    <x v="1156"/>
    <x v="4"/>
    <x v="0"/>
  </r>
  <r>
    <n v="4897"/>
    <x v="2420"/>
    <x v="443"/>
    <d v="2017-12-30T00:00:00"/>
    <s v="Standard Class"/>
    <x v="553"/>
    <s v="Edward Hooks"/>
    <x v="1"/>
    <s v="United States"/>
    <s v="Seattle"/>
    <x v="4"/>
    <n v="98103"/>
    <x v="1"/>
    <x v="1362"/>
    <x v="1"/>
    <x v="4"/>
    <x v="1348"/>
    <x v="2068"/>
    <x v="4"/>
    <x v="0"/>
  </r>
  <r>
    <n v="4898"/>
    <x v="2421"/>
    <x v="771"/>
    <d v="2015-10-17T00:00:00"/>
    <s v="First Class"/>
    <x v="663"/>
    <s v="Anna Chung"/>
    <x v="0"/>
    <s v="United States"/>
    <s v="Parma"/>
    <x v="24"/>
    <n v="44134"/>
    <x v="3"/>
    <x v="1401"/>
    <x v="0"/>
    <x v="1"/>
    <x v="1388"/>
    <x v="1699"/>
    <x v="2"/>
    <x v="2"/>
  </r>
  <r>
    <n v="4899"/>
    <x v="2421"/>
    <x v="771"/>
    <d v="2015-10-17T00:00:00"/>
    <s v="First Class"/>
    <x v="663"/>
    <s v="Anna Chung"/>
    <x v="0"/>
    <s v="United States"/>
    <s v="Parma"/>
    <x v="24"/>
    <n v="44134"/>
    <x v="3"/>
    <x v="388"/>
    <x v="1"/>
    <x v="10"/>
    <x v="389"/>
    <x v="885"/>
    <x v="2"/>
    <x v="2"/>
  </r>
  <r>
    <n v="4900"/>
    <x v="2422"/>
    <x v="250"/>
    <d v="2017-08-27T00:00:00"/>
    <s v="Standard Class"/>
    <x v="495"/>
    <s v="Sheri Gordon"/>
    <x v="0"/>
    <s v="United States"/>
    <s v="Gresham"/>
    <x v="21"/>
    <n v="97030"/>
    <x v="1"/>
    <x v="1045"/>
    <x v="1"/>
    <x v="8"/>
    <x v="1034"/>
    <x v="3532"/>
    <x v="6"/>
    <x v="0"/>
  </r>
  <r>
    <n v="4901"/>
    <x v="2423"/>
    <x v="94"/>
    <d v="2018-12-21T00:00:00"/>
    <s v="Standard Class"/>
    <x v="119"/>
    <s v="Christine Abelman"/>
    <x v="1"/>
    <s v="United States"/>
    <s v="Anaheim"/>
    <x v="1"/>
    <n v="92804"/>
    <x v="1"/>
    <x v="772"/>
    <x v="1"/>
    <x v="4"/>
    <x v="771"/>
    <x v="2246"/>
    <x v="4"/>
    <x v="3"/>
  </r>
  <r>
    <n v="4902"/>
    <x v="2423"/>
    <x v="94"/>
    <d v="2018-12-21T00:00:00"/>
    <s v="Standard Class"/>
    <x v="119"/>
    <s v="Christine Abelman"/>
    <x v="1"/>
    <s v="United States"/>
    <s v="Anaheim"/>
    <x v="1"/>
    <n v="92804"/>
    <x v="1"/>
    <x v="1352"/>
    <x v="1"/>
    <x v="14"/>
    <x v="1338"/>
    <x v="62"/>
    <x v="4"/>
    <x v="3"/>
  </r>
  <r>
    <n v="4903"/>
    <x v="2424"/>
    <x v="469"/>
    <d v="2018-03-12T00:00:00"/>
    <s v="Standard Class"/>
    <x v="129"/>
    <s v="Shahid Hopkins"/>
    <x v="0"/>
    <s v="United States"/>
    <s v="New York City"/>
    <x v="15"/>
    <n v="10035"/>
    <x v="3"/>
    <x v="806"/>
    <x v="1"/>
    <x v="8"/>
    <x v="804"/>
    <x v="233"/>
    <x v="10"/>
    <x v="3"/>
  </r>
  <r>
    <n v="4904"/>
    <x v="2424"/>
    <x v="469"/>
    <d v="2018-03-12T00:00:00"/>
    <s v="Standard Class"/>
    <x v="129"/>
    <s v="Shahid Hopkins"/>
    <x v="0"/>
    <s v="United States"/>
    <s v="New York City"/>
    <x v="15"/>
    <n v="10035"/>
    <x v="3"/>
    <x v="580"/>
    <x v="1"/>
    <x v="2"/>
    <x v="580"/>
    <x v="3533"/>
    <x v="10"/>
    <x v="3"/>
  </r>
  <r>
    <n v="4905"/>
    <x v="2425"/>
    <x v="588"/>
    <d v="2015-12-03T00:00:00"/>
    <s v="Second Class"/>
    <x v="204"/>
    <s v="Matt Connell"/>
    <x v="1"/>
    <s v="United States"/>
    <s v="Houston"/>
    <x v="5"/>
    <n v="77070"/>
    <x v="2"/>
    <x v="623"/>
    <x v="0"/>
    <x v="1"/>
    <x v="623"/>
    <x v="3534"/>
    <x v="4"/>
    <x v="2"/>
  </r>
  <r>
    <n v="4906"/>
    <x v="2426"/>
    <x v="1005"/>
    <d v="2015-10-16T00:00:00"/>
    <s v="Second Class"/>
    <x v="531"/>
    <s v="Jim Epp"/>
    <x v="1"/>
    <s v="United States"/>
    <s v="Concord"/>
    <x v="38"/>
    <n v="3301"/>
    <x v="3"/>
    <x v="1547"/>
    <x v="1"/>
    <x v="8"/>
    <x v="1535"/>
    <x v="988"/>
    <x v="2"/>
    <x v="2"/>
  </r>
  <r>
    <n v="4907"/>
    <x v="2426"/>
    <x v="1005"/>
    <d v="2015-10-16T00:00:00"/>
    <s v="Second Class"/>
    <x v="531"/>
    <s v="Jim Epp"/>
    <x v="1"/>
    <s v="United States"/>
    <s v="Concord"/>
    <x v="38"/>
    <n v="3301"/>
    <x v="3"/>
    <x v="398"/>
    <x v="1"/>
    <x v="4"/>
    <x v="399"/>
    <x v="3535"/>
    <x v="2"/>
    <x v="2"/>
  </r>
  <r>
    <n v="4908"/>
    <x v="2427"/>
    <x v="728"/>
    <d v="2015-11-23T00:00:00"/>
    <s v="Second Class"/>
    <x v="652"/>
    <s v="MaryBeth Skach"/>
    <x v="0"/>
    <s v="United States"/>
    <s v="Fairfield"/>
    <x v="24"/>
    <n v="45014"/>
    <x v="3"/>
    <x v="1181"/>
    <x v="1"/>
    <x v="8"/>
    <x v="1167"/>
    <x v="921"/>
    <x v="0"/>
    <x v="2"/>
  </r>
  <r>
    <n v="4909"/>
    <x v="2427"/>
    <x v="728"/>
    <d v="2015-11-23T00:00:00"/>
    <s v="Second Class"/>
    <x v="652"/>
    <s v="MaryBeth Skach"/>
    <x v="0"/>
    <s v="United States"/>
    <s v="Fairfield"/>
    <x v="24"/>
    <n v="45014"/>
    <x v="3"/>
    <x v="1707"/>
    <x v="2"/>
    <x v="7"/>
    <x v="1696"/>
    <x v="3536"/>
    <x v="0"/>
    <x v="2"/>
  </r>
  <r>
    <n v="4910"/>
    <x v="2428"/>
    <x v="424"/>
    <d v="2018-01-18T00:00:00"/>
    <s v="Standard Class"/>
    <x v="3"/>
    <s v="Brosina Hoffman"/>
    <x v="0"/>
    <s v="United States"/>
    <s v="Johnson City"/>
    <x v="18"/>
    <n v="37604"/>
    <x v="0"/>
    <x v="588"/>
    <x v="1"/>
    <x v="12"/>
    <x v="588"/>
    <x v="823"/>
    <x v="9"/>
    <x v="3"/>
  </r>
  <r>
    <n v="4911"/>
    <x v="2428"/>
    <x v="424"/>
    <d v="2018-01-18T00:00:00"/>
    <s v="Standard Class"/>
    <x v="3"/>
    <s v="Brosina Hoffman"/>
    <x v="0"/>
    <s v="United States"/>
    <s v="Johnson City"/>
    <x v="18"/>
    <n v="37604"/>
    <x v="0"/>
    <x v="712"/>
    <x v="1"/>
    <x v="10"/>
    <x v="711"/>
    <x v="1566"/>
    <x v="9"/>
    <x v="3"/>
  </r>
  <r>
    <n v="4912"/>
    <x v="2428"/>
    <x v="424"/>
    <d v="2018-01-18T00:00:00"/>
    <s v="Standard Class"/>
    <x v="3"/>
    <s v="Brosina Hoffman"/>
    <x v="0"/>
    <s v="United States"/>
    <s v="Johnson City"/>
    <x v="18"/>
    <n v="37604"/>
    <x v="0"/>
    <x v="431"/>
    <x v="2"/>
    <x v="7"/>
    <x v="431"/>
    <x v="1752"/>
    <x v="9"/>
    <x v="3"/>
  </r>
  <r>
    <n v="4913"/>
    <x v="2428"/>
    <x v="424"/>
    <d v="2018-01-18T00:00:00"/>
    <s v="Standard Class"/>
    <x v="3"/>
    <s v="Brosina Hoffman"/>
    <x v="0"/>
    <s v="United States"/>
    <s v="Johnson City"/>
    <x v="18"/>
    <n v="37604"/>
    <x v="0"/>
    <x v="1406"/>
    <x v="1"/>
    <x v="8"/>
    <x v="1393"/>
    <x v="3537"/>
    <x v="9"/>
    <x v="3"/>
  </r>
  <r>
    <n v="4914"/>
    <x v="2428"/>
    <x v="424"/>
    <d v="2018-01-18T00:00:00"/>
    <s v="Standard Class"/>
    <x v="3"/>
    <s v="Brosina Hoffman"/>
    <x v="0"/>
    <s v="United States"/>
    <s v="Johnson City"/>
    <x v="18"/>
    <n v="37604"/>
    <x v="0"/>
    <x v="807"/>
    <x v="1"/>
    <x v="8"/>
    <x v="805"/>
    <x v="3538"/>
    <x v="9"/>
    <x v="3"/>
  </r>
  <r>
    <n v="4915"/>
    <x v="2429"/>
    <x v="496"/>
    <d v="2016-09-26T00:00:00"/>
    <s v="Second Class"/>
    <x v="250"/>
    <s v="Max Engle"/>
    <x v="0"/>
    <s v="United States"/>
    <s v="Seattle"/>
    <x v="4"/>
    <n v="98105"/>
    <x v="1"/>
    <x v="30"/>
    <x v="1"/>
    <x v="6"/>
    <x v="30"/>
    <x v="3539"/>
    <x v="8"/>
    <x v="1"/>
  </r>
  <r>
    <n v="4916"/>
    <x v="2429"/>
    <x v="496"/>
    <d v="2016-09-26T00:00:00"/>
    <s v="Second Class"/>
    <x v="250"/>
    <s v="Max Engle"/>
    <x v="0"/>
    <s v="United States"/>
    <s v="Seattle"/>
    <x v="4"/>
    <n v="98105"/>
    <x v="1"/>
    <x v="799"/>
    <x v="1"/>
    <x v="8"/>
    <x v="797"/>
    <x v="475"/>
    <x v="8"/>
    <x v="1"/>
  </r>
  <r>
    <n v="4917"/>
    <x v="2430"/>
    <x v="449"/>
    <d v="2018-10-11T00:00:00"/>
    <s v="Second Class"/>
    <x v="93"/>
    <s v="Maria Bertelson"/>
    <x v="0"/>
    <s v="United States"/>
    <s v="League City"/>
    <x v="5"/>
    <n v="77573"/>
    <x v="2"/>
    <x v="369"/>
    <x v="1"/>
    <x v="6"/>
    <x v="370"/>
    <x v="3540"/>
    <x v="2"/>
    <x v="3"/>
  </r>
  <r>
    <n v="4918"/>
    <x v="2430"/>
    <x v="449"/>
    <d v="2018-10-11T00:00:00"/>
    <s v="Second Class"/>
    <x v="93"/>
    <s v="Maria Bertelson"/>
    <x v="0"/>
    <s v="United States"/>
    <s v="League City"/>
    <x v="5"/>
    <n v="77573"/>
    <x v="2"/>
    <x v="1708"/>
    <x v="0"/>
    <x v="1"/>
    <x v="1697"/>
    <x v="277"/>
    <x v="2"/>
    <x v="3"/>
  </r>
  <r>
    <n v="4919"/>
    <x v="2431"/>
    <x v="1006"/>
    <d v="2017-01-07T00:00:00"/>
    <s v="Standard Class"/>
    <x v="606"/>
    <s v="Brendan Murry"/>
    <x v="1"/>
    <s v="United States"/>
    <s v="Gaithersburg"/>
    <x v="39"/>
    <n v="20877"/>
    <x v="3"/>
    <x v="266"/>
    <x v="0"/>
    <x v="0"/>
    <x v="266"/>
    <x v="2093"/>
    <x v="9"/>
    <x v="0"/>
  </r>
  <r>
    <n v="4920"/>
    <x v="2431"/>
    <x v="1006"/>
    <d v="2017-01-07T00:00:00"/>
    <s v="Standard Class"/>
    <x v="606"/>
    <s v="Brendan Murry"/>
    <x v="1"/>
    <s v="United States"/>
    <s v="Gaithersburg"/>
    <x v="39"/>
    <n v="20877"/>
    <x v="3"/>
    <x v="1133"/>
    <x v="2"/>
    <x v="7"/>
    <x v="1121"/>
    <x v="3541"/>
    <x v="9"/>
    <x v="0"/>
  </r>
  <r>
    <n v="4921"/>
    <x v="2432"/>
    <x v="971"/>
    <d v="2018-08-23T00:00:00"/>
    <s v="Standard Class"/>
    <x v="623"/>
    <s v="Sonia Cooley"/>
    <x v="0"/>
    <s v="United States"/>
    <s v="Chicago"/>
    <x v="10"/>
    <n v="60653"/>
    <x v="2"/>
    <x v="1212"/>
    <x v="1"/>
    <x v="8"/>
    <x v="1197"/>
    <x v="3327"/>
    <x v="6"/>
    <x v="3"/>
  </r>
  <r>
    <n v="4922"/>
    <x v="2433"/>
    <x v="53"/>
    <d v="2018-12-29T00:00:00"/>
    <s v="Second Class"/>
    <x v="414"/>
    <s v="Mick Hernandez"/>
    <x v="2"/>
    <s v="United States"/>
    <s v="Huntsville"/>
    <x v="19"/>
    <n v="35810"/>
    <x v="0"/>
    <x v="1696"/>
    <x v="1"/>
    <x v="10"/>
    <x v="1684"/>
    <x v="3542"/>
    <x v="4"/>
    <x v="3"/>
  </r>
  <r>
    <n v="4923"/>
    <x v="2433"/>
    <x v="53"/>
    <d v="2018-12-29T00:00:00"/>
    <s v="Second Class"/>
    <x v="414"/>
    <s v="Mick Hernandez"/>
    <x v="2"/>
    <s v="United States"/>
    <s v="Huntsville"/>
    <x v="19"/>
    <n v="35810"/>
    <x v="0"/>
    <x v="804"/>
    <x v="1"/>
    <x v="13"/>
    <x v="802"/>
    <x v="3543"/>
    <x v="4"/>
    <x v="3"/>
  </r>
  <r>
    <n v="4924"/>
    <x v="2433"/>
    <x v="53"/>
    <d v="2018-12-29T00:00:00"/>
    <s v="Second Class"/>
    <x v="414"/>
    <s v="Mick Hernandez"/>
    <x v="2"/>
    <s v="United States"/>
    <s v="Huntsville"/>
    <x v="19"/>
    <n v="35810"/>
    <x v="0"/>
    <x v="921"/>
    <x v="1"/>
    <x v="10"/>
    <x v="913"/>
    <x v="2651"/>
    <x v="4"/>
    <x v="3"/>
  </r>
  <r>
    <n v="4925"/>
    <x v="2433"/>
    <x v="53"/>
    <d v="2018-12-29T00:00:00"/>
    <s v="Second Class"/>
    <x v="414"/>
    <s v="Mick Hernandez"/>
    <x v="2"/>
    <s v="United States"/>
    <s v="Huntsville"/>
    <x v="19"/>
    <n v="35810"/>
    <x v="0"/>
    <x v="1409"/>
    <x v="2"/>
    <x v="7"/>
    <x v="1396"/>
    <x v="3377"/>
    <x v="4"/>
    <x v="3"/>
  </r>
  <r>
    <n v="4926"/>
    <x v="2434"/>
    <x v="18"/>
    <d v="2018-09-13T00:00:00"/>
    <s v="First Class"/>
    <x v="753"/>
    <s v="Alex Russell"/>
    <x v="1"/>
    <s v="United States"/>
    <s v="Lawrence"/>
    <x v="31"/>
    <n v="1841"/>
    <x v="3"/>
    <x v="1453"/>
    <x v="1"/>
    <x v="6"/>
    <x v="1439"/>
    <x v="3544"/>
    <x v="8"/>
    <x v="3"/>
  </r>
  <r>
    <n v="4927"/>
    <x v="2435"/>
    <x v="15"/>
    <d v="2018-10-23T00:00:00"/>
    <s v="Standard Class"/>
    <x v="373"/>
    <s v="Mary O'Rourke"/>
    <x v="0"/>
    <s v="United States"/>
    <s v="Chicago"/>
    <x v="10"/>
    <n v="60623"/>
    <x v="2"/>
    <x v="962"/>
    <x v="0"/>
    <x v="3"/>
    <x v="955"/>
    <x v="3545"/>
    <x v="2"/>
    <x v="3"/>
  </r>
  <r>
    <n v="4928"/>
    <x v="2436"/>
    <x v="96"/>
    <d v="2018-12-06T00:00:00"/>
    <s v="Standard Class"/>
    <x v="57"/>
    <s v="Alan Dominguez"/>
    <x v="2"/>
    <s v="United States"/>
    <s v="Fairfield"/>
    <x v="29"/>
    <n v="6824"/>
    <x v="3"/>
    <x v="1193"/>
    <x v="1"/>
    <x v="10"/>
    <x v="1178"/>
    <x v="537"/>
    <x v="4"/>
    <x v="3"/>
  </r>
  <r>
    <n v="4929"/>
    <x v="2436"/>
    <x v="96"/>
    <d v="2018-12-06T00:00:00"/>
    <s v="Standard Class"/>
    <x v="57"/>
    <s v="Alan Dominguez"/>
    <x v="2"/>
    <s v="United States"/>
    <s v="Fairfield"/>
    <x v="29"/>
    <n v="6824"/>
    <x v="3"/>
    <x v="1180"/>
    <x v="0"/>
    <x v="1"/>
    <x v="1166"/>
    <x v="3546"/>
    <x v="4"/>
    <x v="3"/>
  </r>
  <r>
    <n v="4930"/>
    <x v="2437"/>
    <x v="814"/>
    <d v="2015-09-03T00:00:00"/>
    <s v="First Class"/>
    <x v="44"/>
    <s v="Katherine Ducich"/>
    <x v="0"/>
    <s v="United States"/>
    <s v="New York City"/>
    <x v="15"/>
    <n v="10009"/>
    <x v="3"/>
    <x v="332"/>
    <x v="1"/>
    <x v="6"/>
    <x v="332"/>
    <x v="2444"/>
    <x v="8"/>
    <x v="2"/>
  </r>
  <r>
    <n v="4931"/>
    <x v="2437"/>
    <x v="814"/>
    <d v="2015-09-03T00:00:00"/>
    <s v="First Class"/>
    <x v="44"/>
    <s v="Katherine Ducich"/>
    <x v="0"/>
    <s v="United States"/>
    <s v="New York City"/>
    <x v="15"/>
    <n v="10009"/>
    <x v="3"/>
    <x v="811"/>
    <x v="1"/>
    <x v="10"/>
    <x v="33"/>
    <x v="1801"/>
    <x v="8"/>
    <x v="2"/>
  </r>
  <r>
    <n v="4932"/>
    <x v="2438"/>
    <x v="613"/>
    <d v="2018-03-30T00:00:00"/>
    <s v="Standard Class"/>
    <x v="524"/>
    <s v="Filia McAdams"/>
    <x v="1"/>
    <s v="United States"/>
    <s v="Seattle"/>
    <x v="4"/>
    <n v="98103"/>
    <x v="1"/>
    <x v="1175"/>
    <x v="1"/>
    <x v="6"/>
    <x v="1161"/>
    <x v="789"/>
    <x v="10"/>
    <x v="3"/>
  </r>
  <r>
    <n v="4933"/>
    <x v="2439"/>
    <x v="694"/>
    <d v="2016-10-04T00:00:00"/>
    <s v="Standard Class"/>
    <x v="233"/>
    <s v="Zuschuss Carroll"/>
    <x v="0"/>
    <s v="United States"/>
    <s v="Aurora"/>
    <x v="22"/>
    <n v="80013"/>
    <x v="1"/>
    <x v="1358"/>
    <x v="1"/>
    <x v="12"/>
    <x v="1344"/>
    <x v="3547"/>
    <x v="8"/>
    <x v="1"/>
  </r>
  <r>
    <n v="4934"/>
    <x v="2439"/>
    <x v="694"/>
    <d v="2016-10-04T00:00:00"/>
    <s v="Standard Class"/>
    <x v="233"/>
    <s v="Zuschuss Carroll"/>
    <x v="0"/>
    <s v="United States"/>
    <s v="Aurora"/>
    <x v="22"/>
    <n v="80013"/>
    <x v="1"/>
    <x v="751"/>
    <x v="1"/>
    <x v="8"/>
    <x v="749"/>
    <x v="879"/>
    <x v="8"/>
    <x v="1"/>
  </r>
  <r>
    <n v="4935"/>
    <x v="2439"/>
    <x v="694"/>
    <d v="2016-10-04T00:00:00"/>
    <s v="Standard Class"/>
    <x v="233"/>
    <s v="Zuschuss Carroll"/>
    <x v="0"/>
    <s v="United States"/>
    <s v="Aurora"/>
    <x v="22"/>
    <n v="80013"/>
    <x v="1"/>
    <x v="1014"/>
    <x v="1"/>
    <x v="13"/>
    <x v="128"/>
    <x v="3548"/>
    <x v="8"/>
    <x v="1"/>
  </r>
  <r>
    <n v="4936"/>
    <x v="2440"/>
    <x v="1007"/>
    <d v="2016-03-21T00:00:00"/>
    <s v="Standard Class"/>
    <x v="754"/>
    <s v="Karen Seio"/>
    <x v="1"/>
    <s v="United States"/>
    <s v="Lehi"/>
    <x v="7"/>
    <n v="84043"/>
    <x v="1"/>
    <x v="1709"/>
    <x v="2"/>
    <x v="7"/>
    <x v="1698"/>
    <x v="3549"/>
    <x v="10"/>
    <x v="1"/>
  </r>
  <r>
    <n v="4937"/>
    <x v="2441"/>
    <x v="1008"/>
    <d v="2018-01-13T00:00:00"/>
    <s v="Standard Class"/>
    <x v="503"/>
    <s v="Dennis Pardue"/>
    <x v="2"/>
    <s v="United States"/>
    <s v="Tuscaloosa"/>
    <x v="19"/>
    <n v="35401"/>
    <x v="0"/>
    <x v="544"/>
    <x v="1"/>
    <x v="8"/>
    <x v="544"/>
    <x v="3550"/>
    <x v="9"/>
    <x v="3"/>
  </r>
  <r>
    <n v="4938"/>
    <x v="2442"/>
    <x v="286"/>
    <d v="2015-01-18T00:00:00"/>
    <s v="Standard Class"/>
    <x v="205"/>
    <s v="Brian Dahlen"/>
    <x v="0"/>
    <s v="United States"/>
    <s v="San Francisco"/>
    <x v="1"/>
    <n v="94109"/>
    <x v="1"/>
    <x v="1244"/>
    <x v="1"/>
    <x v="4"/>
    <x v="1227"/>
    <x v="2184"/>
    <x v="9"/>
    <x v="2"/>
  </r>
  <r>
    <n v="4939"/>
    <x v="2442"/>
    <x v="286"/>
    <d v="2015-01-18T00:00:00"/>
    <s v="Standard Class"/>
    <x v="205"/>
    <s v="Brian Dahlen"/>
    <x v="0"/>
    <s v="United States"/>
    <s v="San Francisco"/>
    <x v="1"/>
    <n v="94109"/>
    <x v="1"/>
    <x v="1219"/>
    <x v="0"/>
    <x v="0"/>
    <x v="1203"/>
    <x v="3551"/>
    <x v="9"/>
    <x v="2"/>
  </r>
  <r>
    <n v="4940"/>
    <x v="2442"/>
    <x v="286"/>
    <d v="2015-01-18T00:00:00"/>
    <s v="Standard Class"/>
    <x v="205"/>
    <s v="Brian Dahlen"/>
    <x v="0"/>
    <s v="United States"/>
    <s v="San Francisco"/>
    <x v="1"/>
    <n v="94109"/>
    <x v="1"/>
    <x v="181"/>
    <x v="1"/>
    <x v="6"/>
    <x v="182"/>
    <x v="189"/>
    <x v="9"/>
    <x v="2"/>
  </r>
  <r>
    <n v="4941"/>
    <x v="2443"/>
    <x v="525"/>
    <d v="2016-02-13T00:00:00"/>
    <s v="Standard Class"/>
    <x v="582"/>
    <s v="Ivan Liston"/>
    <x v="0"/>
    <s v="United States"/>
    <s v="Wilmington"/>
    <x v="13"/>
    <n v="19805"/>
    <x v="3"/>
    <x v="901"/>
    <x v="0"/>
    <x v="1"/>
    <x v="893"/>
    <x v="3552"/>
    <x v="11"/>
    <x v="1"/>
  </r>
  <r>
    <n v="4942"/>
    <x v="2443"/>
    <x v="525"/>
    <d v="2016-02-13T00:00:00"/>
    <s v="Standard Class"/>
    <x v="582"/>
    <s v="Ivan Liston"/>
    <x v="0"/>
    <s v="United States"/>
    <s v="Wilmington"/>
    <x v="13"/>
    <n v="19805"/>
    <x v="3"/>
    <x v="1531"/>
    <x v="0"/>
    <x v="0"/>
    <x v="1518"/>
    <x v="510"/>
    <x v="11"/>
    <x v="1"/>
  </r>
  <r>
    <n v="4943"/>
    <x v="2443"/>
    <x v="525"/>
    <d v="2016-02-13T00:00:00"/>
    <s v="Standard Class"/>
    <x v="582"/>
    <s v="Ivan Liston"/>
    <x v="0"/>
    <s v="United States"/>
    <s v="Wilmington"/>
    <x v="13"/>
    <n v="19805"/>
    <x v="3"/>
    <x v="888"/>
    <x v="1"/>
    <x v="6"/>
    <x v="881"/>
    <x v="1093"/>
    <x v="11"/>
    <x v="1"/>
  </r>
  <r>
    <n v="4944"/>
    <x v="2444"/>
    <x v="202"/>
    <d v="2018-12-27T00:00:00"/>
    <s v="Standard Class"/>
    <x v="431"/>
    <s v="Liz Preis"/>
    <x v="0"/>
    <s v="United States"/>
    <s v="Lafayette"/>
    <x v="14"/>
    <n v="47905"/>
    <x v="2"/>
    <x v="458"/>
    <x v="1"/>
    <x v="4"/>
    <x v="459"/>
    <x v="2545"/>
    <x v="4"/>
    <x v="3"/>
  </r>
  <r>
    <n v="4945"/>
    <x v="2445"/>
    <x v="64"/>
    <d v="2017-09-06T00:00:00"/>
    <s v="First Class"/>
    <x v="98"/>
    <s v="Joseph Holt"/>
    <x v="0"/>
    <s v="United States"/>
    <s v="Redondo Beach"/>
    <x v="1"/>
    <n v="90278"/>
    <x v="1"/>
    <x v="1696"/>
    <x v="1"/>
    <x v="10"/>
    <x v="1684"/>
    <x v="3542"/>
    <x v="8"/>
    <x v="0"/>
  </r>
  <r>
    <n v="4946"/>
    <x v="2445"/>
    <x v="64"/>
    <d v="2017-09-06T00:00:00"/>
    <s v="First Class"/>
    <x v="98"/>
    <s v="Joseph Holt"/>
    <x v="0"/>
    <s v="United States"/>
    <s v="Redondo Beach"/>
    <x v="1"/>
    <n v="90278"/>
    <x v="1"/>
    <x v="347"/>
    <x v="1"/>
    <x v="8"/>
    <x v="347"/>
    <x v="2582"/>
    <x v="8"/>
    <x v="0"/>
  </r>
  <r>
    <n v="4947"/>
    <x v="2445"/>
    <x v="64"/>
    <d v="2017-09-06T00:00:00"/>
    <s v="First Class"/>
    <x v="98"/>
    <s v="Joseph Holt"/>
    <x v="0"/>
    <s v="United States"/>
    <s v="Redondo Beach"/>
    <x v="1"/>
    <n v="90278"/>
    <x v="1"/>
    <x v="52"/>
    <x v="1"/>
    <x v="13"/>
    <x v="52"/>
    <x v="1001"/>
    <x v="8"/>
    <x v="0"/>
  </r>
  <r>
    <n v="4948"/>
    <x v="2446"/>
    <x v="777"/>
    <d v="2015-10-09T00:00:00"/>
    <s v="Standard Class"/>
    <x v="557"/>
    <s v="Joy Daniels"/>
    <x v="0"/>
    <s v="United States"/>
    <s v="Seattle"/>
    <x v="4"/>
    <n v="98115"/>
    <x v="1"/>
    <x v="148"/>
    <x v="1"/>
    <x v="2"/>
    <x v="149"/>
    <x v="3119"/>
    <x v="2"/>
    <x v="2"/>
  </r>
  <r>
    <n v="4949"/>
    <x v="2447"/>
    <x v="344"/>
    <d v="2018-12-02T00:00:00"/>
    <s v="Standard Class"/>
    <x v="217"/>
    <s v="Bill Donatelli"/>
    <x v="0"/>
    <s v="United States"/>
    <s v="Los Angeles"/>
    <x v="1"/>
    <n v="90045"/>
    <x v="1"/>
    <x v="542"/>
    <x v="1"/>
    <x v="8"/>
    <x v="542"/>
    <x v="3553"/>
    <x v="0"/>
    <x v="3"/>
  </r>
  <r>
    <n v="4950"/>
    <x v="2447"/>
    <x v="344"/>
    <d v="2018-12-02T00:00:00"/>
    <s v="Standard Class"/>
    <x v="217"/>
    <s v="Bill Donatelli"/>
    <x v="0"/>
    <s v="United States"/>
    <s v="Los Angeles"/>
    <x v="1"/>
    <n v="90045"/>
    <x v="1"/>
    <x v="545"/>
    <x v="0"/>
    <x v="5"/>
    <x v="545"/>
    <x v="605"/>
    <x v="0"/>
    <x v="3"/>
  </r>
  <r>
    <n v="4951"/>
    <x v="2448"/>
    <x v="99"/>
    <d v="2017-11-01T00:00:00"/>
    <s v="Second Class"/>
    <x v="658"/>
    <s v="Denise Leinenbach"/>
    <x v="0"/>
    <s v="United States"/>
    <s v="New York City"/>
    <x v="15"/>
    <n v="10009"/>
    <x v="3"/>
    <x v="154"/>
    <x v="1"/>
    <x v="6"/>
    <x v="155"/>
    <x v="2122"/>
    <x v="2"/>
    <x v="0"/>
  </r>
  <r>
    <n v="4952"/>
    <x v="2449"/>
    <x v="988"/>
    <d v="2016-06-13T00:00:00"/>
    <s v="Standard Class"/>
    <x v="720"/>
    <s v="Nathan Cano"/>
    <x v="0"/>
    <s v="United States"/>
    <s v="Royal Oak"/>
    <x v="12"/>
    <n v="48073"/>
    <x v="2"/>
    <x v="88"/>
    <x v="1"/>
    <x v="10"/>
    <x v="88"/>
    <x v="91"/>
    <x v="1"/>
    <x v="1"/>
  </r>
  <r>
    <n v="4953"/>
    <x v="2450"/>
    <x v="166"/>
    <d v="2018-12-12T00:00:00"/>
    <s v="Second Class"/>
    <x v="127"/>
    <s v="Alan Schoenberger"/>
    <x v="1"/>
    <s v="United States"/>
    <s v="San Francisco"/>
    <x v="1"/>
    <n v="94109"/>
    <x v="1"/>
    <x v="1710"/>
    <x v="1"/>
    <x v="9"/>
    <x v="1699"/>
    <x v="3554"/>
    <x v="4"/>
    <x v="3"/>
  </r>
  <r>
    <n v="4954"/>
    <x v="2451"/>
    <x v="199"/>
    <d v="2016-03-20T00:00:00"/>
    <s v="Standard Class"/>
    <x v="99"/>
    <s v="Michael Stewart"/>
    <x v="1"/>
    <s v="United States"/>
    <s v="New York City"/>
    <x v="15"/>
    <n v="10009"/>
    <x v="3"/>
    <x v="1300"/>
    <x v="2"/>
    <x v="7"/>
    <x v="1285"/>
    <x v="3555"/>
    <x v="10"/>
    <x v="1"/>
  </r>
  <r>
    <n v="4955"/>
    <x v="2452"/>
    <x v="3"/>
    <d v="2015-06-13T00:00:00"/>
    <s v="Second Class"/>
    <x v="131"/>
    <s v="Thomas Seio"/>
    <x v="1"/>
    <s v="United States"/>
    <s v="North Las Vegas"/>
    <x v="33"/>
    <n v="89031"/>
    <x v="1"/>
    <x v="679"/>
    <x v="1"/>
    <x v="6"/>
    <x v="679"/>
    <x v="3556"/>
    <x v="1"/>
    <x v="2"/>
  </r>
  <r>
    <n v="4956"/>
    <x v="2452"/>
    <x v="3"/>
    <d v="2015-06-13T00:00:00"/>
    <s v="Second Class"/>
    <x v="131"/>
    <s v="Thomas Seio"/>
    <x v="1"/>
    <s v="United States"/>
    <s v="North Las Vegas"/>
    <x v="33"/>
    <n v="89031"/>
    <x v="1"/>
    <x v="954"/>
    <x v="1"/>
    <x v="10"/>
    <x v="947"/>
    <x v="1204"/>
    <x v="1"/>
    <x v="2"/>
  </r>
  <r>
    <n v="4957"/>
    <x v="2452"/>
    <x v="3"/>
    <d v="2015-06-13T00:00:00"/>
    <s v="Second Class"/>
    <x v="131"/>
    <s v="Thomas Seio"/>
    <x v="1"/>
    <s v="United States"/>
    <s v="North Las Vegas"/>
    <x v="33"/>
    <n v="89031"/>
    <x v="1"/>
    <x v="1456"/>
    <x v="0"/>
    <x v="5"/>
    <x v="1442"/>
    <x v="3557"/>
    <x v="1"/>
    <x v="2"/>
  </r>
  <r>
    <n v="4958"/>
    <x v="2453"/>
    <x v="305"/>
    <d v="2016-03-26T00:00:00"/>
    <s v="Standard Class"/>
    <x v="300"/>
    <s v="Joe Kamberova"/>
    <x v="0"/>
    <s v="United States"/>
    <s v="Carrollton"/>
    <x v="5"/>
    <n v="75007"/>
    <x v="2"/>
    <x v="1375"/>
    <x v="1"/>
    <x v="8"/>
    <x v="1360"/>
    <x v="3558"/>
    <x v="10"/>
    <x v="1"/>
  </r>
  <r>
    <n v="4959"/>
    <x v="2453"/>
    <x v="305"/>
    <d v="2016-03-26T00:00:00"/>
    <s v="Standard Class"/>
    <x v="300"/>
    <s v="Joe Kamberova"/>
    <x v="0"/>
    <s v="United States"/>
    <s v="Carrollton"/>
    <x v="5"/>
    <n v="75007"/>
    <x v="2"/>
    <x v="1711"/>
    <x v="1"/>
    <x v="13"/>
    <x v="128"/>
    <x v="3559"/>
    <x v="10"/>
    <x v="1"/>
  </r>
  <r>
    <n v="4960"/>
    <x v="2454"/>
    <x v="741"/>
    <d v="2017-11-22T00:00:00"/>
    <s v="Standard Class"/>
    <x v="426"/>
    <s v="Tracy Collins"/>
    <x v="2"/>
    <s v="United States"/>
    <s v="Los Angeles"/>
    <x v="1"/>
    <n v="90008"/>
    <x v="1"/>
    <x v="1081"/>
    <x v="2"/>
    <x v="7"/>
    <x v="1071"/>
    <x v="3560"/>
    <x v="0"/>
    <x v="0"/>
  </r>
  <r>
    <n v="4961"/>
    <x v="2454"/>
    <x v="741"/>
    <d v="2017-11-22T00:00:00"/>
    <s v="Standard Class"/>
    <x v="426"/>
    <s v="Tracy Collins"/>
    <x v="2"/>
    <s v="United States"/>
    <s v="Los Angeles"/>
    <x v="1"/>
    <n v="90008"/>
    <x v="1"/>
    <x v="1527"/>
    <x v="1"/>
    <x v="9"/>
    <x v="1514"/>
    <x v="3561"/>
    <x v="0"/>
    <x v="0"/>
  </r>
  <r>
    <n v="4962"/>
    <x v="2455"/>
    <x v="1009"/>
    <d v="2015-03-08T00:00:00"/>
    <s v="First Class"/>
    <x v="755"/>
    <s v="Aaron Bergman"/>
    <x v="0"/>
    <s v="United States"/>
    <s v="Seattle"/>
    <x v="4"/>
    <n v="98103"/>
    <x v="1"/>
    <x v="212"/>
    <x v="0"/>
    <x v="1"/>
    <x v="213"/>
    <x v="3562"/>
    <x v="10"/>
    <x v="2"/>
  </r>
  <r>
    <n v="4963"/>
    <x v="2455"/>
    <x v="1009"/>
    <d v="2015-03-08T00:00:00"/>
    <s v="First Class"/>
    <x v="755"/>
    <s v="Aaron Bergman"/>
    <x v="0"/>
    <s v="United States"/>
    <s v="Seattle"/>
    <x v="4"/>
    <n v="98103"/>
    <x v="1"/>
    <x v="250"/>
    <x v="1"/>
    <x v="6"/>
    <x v="251"/>
    <x v="1444"/>
    <x v="10"/>
    <x v="2"/>
  </r>
  <r>
    <n v="4964"/>
    <x v="2455"/>
    <x v="1009"/>
    <d v="2015-03-08T00:00:00"/>
    <s v="First Class"/>
    <x v="755"/>
    <s v="Aaron Bergman"/>
    <x v="0"/>
    <s v="United States"/>
    <s v="Seattle"/>
    <x v="4"/>
    <n v="98103"/>
    <x v="1"/>
    <x v="871"/>
    <x v="1"/>
    <x v="4"/>
    <x v="865"/>
    <x v="420"/>
    <x v="10"/>
    <x v="2"/>
  </r>
  <r>
    <n v="4965"/>
    <x v="2456"/>
    <x v="666"/>
    <d v="2017-05-19T00:00:00"/>
    <s v="Second Class"/>
    <x v="24"/>
    <s v="Darren Powers"/>
    <x v="0"/>
    <s v="United States"/>
    <s v="Fort Lauderdale"/>
    <x v="2"/>
    <n v="33311"/>
    <x v="0"/>
    <x v="625"/>
    <x v="1"/>
    <x v="8"/>
    <x v="625"/>
    <x v="3563"/>
    <x v="5"/>
    <x v="0"/>
  </r>
  <r>
    <n v="4966"/>
    <x v="2457"/>
    <x v="442"/>
    <d v="2016-05-28T00:00:00"/>
    <s v="Second Class"/>
    <x v="388"/>
    <s v="Craig Yedwab"/>
    <x v="1"/>
    <s v="United States"/>
    <s v="Columbia"/>
    <x v="18"/>
    <n v="38401"/>
    <x v="0"/>
    <x v="1285"/>
    <x v="2"/>
    <x v="7"/>
    <x v="1271"/>
    <x v="3564"/>
    <x v="5"/>
    <x v="1"/>
  </r>
  <r>
    <n v="4967"/>
    <x v="2458"/>
    <x v="991"/>
    <d v="2016-08-05T00:00:00"/>
    <s v="Second Class"/>
    <x v="534"/>
    <s v="Brad Eason"/>
    <x v="2"/>
    <s v="United States"/>
    <s v="Providence"/>
    <x v="34"/>
    <n v="2908"/>
    <x v="3"/>
    <x v="1300"/>
    <x v="2"/>
    <x v="7"/>
    <x v="1285"/>
    <x v="3565"/>
    <x v="6"/>
    <x v="1"/>
  </r>
  <r>
    <n v="4968"/>
    <x v="2458"/>
    <x v="991"/>
    <d v="2016-08-05T00:00:00"/>
    <s v="Second Class"/>
    <x v="534"/>
    <s v="Brad Eason"/>
    <x v="2"/>
    <s v="United States"/>
    <s v="Providence"/>
    <x v="34"/>
    <n v="2908"/>
    <x v="3"/>
    <x v="794"/>
    <x v="1"/>
    <x v="10"/>
    <x v="792"/>
    <x v="3566"/>
    <x v="6"/>
    <x v="1"/>
  </r>
  <r>
    <n v="4969"/>
    <x v="2458"/>
    <x v="991"/>
    <d v="2016-08-05T00:00:00"/>
    <s v="Second Class"/>
    <x v="534"/>
    <s v="Brad Eason"/>
    <x v="2"/>
    <s v="United States"/>
    <s v="Providence"/>
    <x v="34"/>
    <n v="2908"/>
    <x v="3"/>
    <x v="409"/>
    <x v="2"/>
    <x v="11"/>
    <x v="409"/>
    <x v="1636"/>
    <x v="6"/>
    <x v="1"/>
  </r>
  <r>
    <n v="4970"/>
    <x v="2458"/>
    <x v="991"/>
    <d v="2016-08-05T00:00:00"/>
    <s v="Second Class"/>
    <x v="534"/>
    <s v="Brad Eason"/>
    <x v="2"/>
    <s v="United States"/>
    <s v="Providence"/>
    <x v="34"/>
    <n v="2908"/>
    <x v="3"/>
    <x v="913"/>
    <x v="0"/>
    <x v="1"/>
    <x v="905"/>
    <x v="3567"/>
    <x v="6"/>
    <x v="1"/>
  </r>
  <r>
    <n v="4971"/>
    <x v="2459"/>
    <x v="61"/>
    <d v="2017-11-09T00:00:00"/>
    <s v="First Class"/>
    <x v="126"/>
    <s v="Kelly Lampkin"/>
    <x v="1"/>
    <s v="United States"/>
    <s v="Jacksonville"/>
    <x v="2"/>
    <n v="32216"/>
    <x v="0"/>
    <x v="70"/>
    <x v="0"/>
    <x v="1"/>
    <x v="70"/>
    <x v="3568"/>
    <x v="0"/>
    <x v="0"/>
  </r>
  <r>
    <n v="4972"/>
    <x v="2459"/>
    <x v="61"/>
    <d v="2017-11-09T00:00:00"/>
    <s v="First Class"/>
    <x v="126"/>
    <s v="Kelly Lampkin"/>
    <x v="1"/>
    <s v="United States"/>
    <s v="Jacksonville"/>
    <x v="2"/>
    <n v="32216"/>
    <x v="0"/>
    <x v="1437"/>
    <x v="1"/>
    <x v="10"/>
    <x v="1425"/>
    <x v="3569"/>
    <x v="0"/>
    <x v="0"/>
  </r>
  <r>
    <n v="4973"/>
    <x v="2459"/>
    <x v="61"/>
    <d v="2017-11-09T00:00:00"/>
    <s v="First Class"/>
    <x v="126"/>
    <s v="Kelly Lampkin"/>
    <x v="1"/>
    <s v="United States"/>
    <s v="Jacksonville"/>
    <x v="2"/>
    <n v="32216"/>
    <x v="0"/>
    <x v="642"/>
    <x v="0"/>
    <x v="5"/>
    <x v="642"/>
    <x v="3570"/>
    <x v="0"/>
    <x v="0"/>
  </r>
  <r>
    <n v="4974"/>
    <x v="2459"/>
    <x v="61"/>
    <d v="2017-11-09T00:00:00"/>
    <s v="First Class"/>
    <x v="126"/>
    <s v="Kelly Lampkin"/>
    <x v="1"/>
    <s v="United States"/>
    <s v="Jacksonville"/>
    <x v="2"/>
    <n v="32216"/>
    <x v="0"/>
    <x v="417"/>
    <x v="1"/>
    <x v="10"/>
    <x v="417"/>
    <x v="1638"/>
    <x v="0"/>
    <x v="0"/>
  </r>
  <r>
    <n v="4975"/>
    <x v="2460"/>
    <x v="77"/>
    <d v="2017-11-12T00:00:00"/>
    <s v="Standard Class"/>
    <x v="390"/>
    <s v="Penelope Sewall"/>
    <x v="2"/>
    <s v="United States"/>
    <s v="Oceanside"/>
    <x v="1"/>
    <n v="92054"/>
    <x v="1"/>
    <x v="1408"/>
    <x v="1"/>
    <x v="10"/>
    <x v="1395"/>
    <x v="3571"/>
    <x v="0"/>
    <x v="0"/>
  </r>
  <r>
    <n v="4976"/>
    <x v="2461"/>
    <x v="227"/>
    <d v="2016-09-23T00:00:00"/>
    <s v="Second Class"/>
    <x v="335"/>
    <s v="Justin Ritter"/>
    <x v="1"/>
    <s v="United States"/>
    <s v="Jacksonville"/>
    <x v="2"/>
    <n v="32216"/>
    <x v="0"/>
    <x v="769"/>
    <x v="2"/>
    <x v="11"/>
    <x v="768"/>
    <x v="3572"/>
    <x v="8"/>
    <x v="1"/>
  </r>
  <r>
    <n v="4977"/>
    <x v="2462"/>
    <x v="214"/>
    <d v="2016-12-09T00:00:00"/>
    <s v="First Class"/>
    <x v="117"/>
    <s v="Alan Hwang"/>
    <x v="0"/>
    <s v="United States"/>
    <s v="New York City"/>
    <x v="15"/>
    <n v="10024"/>
    <x v="3"/>
    <x v="880"/>
    <x v="1"/>
    <x v="8"/>
    <x v="874"/>
    <x v="788"/>
    <x v="4"/>
    <x v="1"/>
  </r>
  <r>
    <n v="4978"/>
    <x v="2462"/>
    <x v="214"/>
    <d v="2016-12-09T00:00:00"/>
    <s v="First Class"/>
    <x v="117"/>
    <s v="Alan Hwang"/>
    <x v="0"/>
    <s v="United States"/>
    <s v="New York City"/>
    <x v="15"/>
    <n v="10024"/>
    <x v="3"/>
    <x v="807"/>
    <x v="1"/>
    <x v="8"/>
    <x v="805"/>
    <x v="1299"/>
    <x v="4"/>
    <x v="1"/>
  </r>
  <r>
    <n v="4979"/>
    <x v="2462"/>
    <x v="214"/>
    <d v="2016-12-09T00:00:00"/>
    <s v="First Class"/>
    <x v="117"/>
    <s v="Alan Hwang"/>
    <x v="0"/>
    <s v="United States"/>
    <s v="New York City"/>
    <x v="15"/>
    <n v="10024"/>
    <x v="3"/>
    <x v="957"/>
    <x v="2"/>
    <x v="7"/>
    <x v="950"/>
    <x v="3573"/>
    <x v="4"/>
    <x v="1"/>
  </r>
  <r>
    <n v="4980"/>
    <x v="2463"/>
    <x v="10"/>
    <d v="2017-12-13T00:00:00"/>
    <s v="Second Class"/>
    <x v="338"/>
    <s v="Rob Williams"/>
    <x v="1"/>
    <s v="United States"/>
    <s v="Chicago"/>
    <x v="10"/>
    <n v="60610"/>
    <x v="2"/>
    <x v="1257"/>
    <x v="1"/>
    <x v="14"/>
    <x v="1241"/>
    <x v="3574"/>
    <x v="4"/>
    <x v="0"/>
  </r>
  <r>
    <n v="4981"/>
    <x v="2463"/>
    <x v="10"/>
    <d v="2017-12-13T00:00:00"/>
    <s v="Second Class"/>
    <x v="338"/>
    <s v="Rob Williams"/>
    <x v="1"/>
    <s v="United States"/>
    <s v="Chicago"/>
    <x v="10"/>
    <n v="60610"/>
    <x v="2"/>
    <x v="930"/>
    <x v="1"/>
    <x v="9"/>
    <x v="923"/>
    <x v="3575"/>
    <x v="4"/>
    <x v="0"/>
  </r>
  <r>
    <n v="4982"/>
    <x v="2463"/>
    <x v="10"/>
    <d v="2017-12-13T00:00:00"/>
    <s v="Second Class"/>
    <x v="338"/>
    <s v="Rob Williams"/>
    <x v="1"/>
    <s v="United States"/>
    <s v="Chicago"/>
    <x v="10"/>
    <n v="60610"/>
    <x v="2"/>
    <x v="1628"/>
    <x v="2"/>
    <x v="11"/>
    <x v="1618"/>
    <x v="2160"/>
    <x v="4"/>
    <x v="0"/>
  </r>
  <r>
    <n v="4983"/>
    <x v="2464"/>
    <x v="912"/>
    <d v="2015-11-22T00:00:00"/>
    <s v="Standard Class"/>
    <x v="340"/>
    <s v="Adam Hart"/>
    <x v="1"/>
    <s v="United States"/>
    <s v="Huntington Beach"/>
    <x v="1"/>
    <n v="92646"/>
    <x v="1"/>
    <x v="709"/>
    <x v="1"/>
    <x v="2"/>
    <x v="708"/>
    <x v="3576"/>
    <x v="0"/>
    <x v="2"/>
  </r>
  <r>
    <n v="4984"/>
    <x v="2465"/>
    <x v="61"/>
    <d v="2017-11-10T00:00:00"/>
    <s v="Second Class"/>
    <x v="5"/>
    <s v="Irene Maddox"/>
    <x v="0"/>
    <s v="United States"/>
    <s v="San Diego"/>
    <x v="1"/>
    <n v="92105"/>
    <x v="1"/>
    <x v="86"/>
    <x v="1"/>
    <x v="4"/>
    <x v="86"/>
    <x v="3577"/>
    <x v="0"/>
    <x v="0"/>
  </r>
  <r>
    <n v="4985"/>
    <x v="2466"/>
    <x v="684"/>
    <d v="2016-09-10T00:00:00"/>
    <s v="Standard Class"/>
    <x v="316"/>
    <s v="Cyma Kinney"/>
    <x v="1"/>
    <s v="United States"/>
    <s v="Nashville"/>
    <x v="18"/>
    <n v="37211"/>
    <x v="0"/>
    <x v="804"/>
    <x v="1"/>
    <x v="13"/>
    <x v="802"/>
    <x v="3578"/>
    <x v="8"/>
    <x v="1"/>
  </r>
  <r>
    <n v="4986"/>
    <x v="2467"/>
    <x v="1010"/>
    <d v="2015-09-03T00:00:00"/>
    <s v="Same Day"/>
    <x v="369"/>
    <s v="Allen Goldenen"/>
    <x v="0"/>
    <s v="United States"/>
    <s v="New York City"/>
    <x v="15"/>
    <n v="10009"/>
    <x v="3"/>
    <x v="782"/>
    <x v="1"/>
    <x v="2"/>
    <x v="781"/>
    <x v="928"/>
    <x v="8"/>
    <x v="2"/>
  </r>
  <r>
    <n v="4987"/>
    <x v="2468"/>
    <x v="423"/>
    <d v="2017-04-28T00:00:00"/>
    <s v="Standard Class"/>
    <x v="642"/>
    <s v="Craig Leslie"/>
    <x v="2"/>
    <s v="United States"/>
    <s v="Colorado Springs"/>
    <x v="22"/>
    <n v="80906"/>
    <x v="1"/>
    <x v="490"/>
    <x v="1"/>
    <x v="10"/>
    <x v="490"/>
    <x v="12"/>
    <x v="3"/>
    <x v="0"/>
  </r>
  <r>
    <n v="4988"/>
    <x v="2468"/>
    <x v="423"/>
    <d v="2017-04-28T00:00:00"/>
    <s v="Standard Class"/>
    <x v="642"/>
    <s v="Craig Leslie"/>
    <x v="2"/>
    <s v="United States"/>
    <s v="Colorado Springs"/>
    <x v="22"/>
    <n v="80906"/>
    <x v="1"/>
    <x v="157"/>
    <x v="0"/>
    <x v="1"/>
    <x v="158"/>
    <x v="3579"/>
    <x v="3"/>
    <x v="0"/>
  </r>
  <r>
    <n v="4989"/>
    <x v="2468"/>
    <x v="423"/>
    <d v="2017-04-28T00:00:00"/>
    <s v="Standard Class"/>
    <x v="642"/>
    <s v="Craig Leslie"/>
    <x v="2"/>
    <s v="United States"/>
    <s v="Colorado Springs"/>
    <x v="22"/>
    <n v="80906"/>
    <x v="1"/>
    <x v="1499"/>
    <x v="1"/>
    <x v="8"/>
    <x v="1487"/>
    <x v="3580"/>
    <x v="3"/>
    <x v="0"/>
  </r>
  <r>
    <n v="4990"/>
    <x v="2469"/>
    <x v="515"/>
    <d v="2018-09-04T00:00:00"/>
    <s v="Standard Class"/>
    <x v="585"/>
    <s v="Arthur Wiediger"/>
    <x v="2"/>
    <s v="United States"/>
    <s v="San Francisco"/>
    <x v="1"/>
    <n v="94110"/>
    <x v="1"/>
    <x v="757"/>
    <x v="1"/>
    <x v="8"/>
    <x v="755"/>
    <x v="405"/>
    <x v="6"/>
    <x v="3"/>
  </r>
  <r>
    <n v="4991"/>
    <x v="2469"/>
    <x v="515"/>
    <d v="2018-09-04T00:00:00"/>
    <s v="Standard Class"/>
    <x v="585"/>
    <s v="Arthur Wiediger"/>
    <x v="2"/>
    <s v="United States"/>
    <s v="San Francisco"/>
    <x v="1"/>
    <n v="94110"/>
    <x v="1"/>
    <x v="883"/>
    <x v="2"/>
    <x v="7"/>
    <x v="1480"/>
    <x v="3581"/>
    <x v="6"/>
    <x v="3"/>
  </r>
  <r>
    <n v="4992"/>
    <x v="2470"/>
    <x v="226"/>
    <d v="2018-12-13T00:00:00"/>
    <s v="Standard Class"/>
    <x v="428"/>
    <s v="Henry Goldwyn"/>
    <x v="1"/>
    <s v="United States"/>
    <s v="Chicago"/>
    <x v="10"/>
    <n v="60653"/>
    <x v="2"/>
    <x v="1625"/>
    <x v="1"/>
    <x v="8"/>
    <x v="1615"/>
    <x v="3582"/>
    <x v="4"/>
    <x v="3"/>
  </r>
  <r>
    <n v="4993"/>
    <x v="2471"/>
    <x v="217"/>
    <d v="2016-12-25T00:00:00"/>
    <s v="Standard Class"/>
    <x v="516"/>
    <s v="Robert Barroso"/>
    <x v="1"/>
    <s v="United States"/>
    <s v="Memphis"/>
    <x v="18"/>
    <n v="38109"/>
    <x v="0"/>
    <x v="755"/>
    <x v="1"/>
    <x v="12"/>
    <x v="753"/>
    <x v="3583"/>
    <x v="4"/>
    <x v="1"/>
  </r>
  <r>
    <n v="4994"/>
    <x v="2471"/>
    <x v="217"/>
    <d v="2016-12-25T00:00:00"/>
    <s v="Standard Class"/>
    <x v="516"/>
    <s v="Robert Barroso"/>
    <x v="1"/>
    <s v="United States"/>
    <s v="Memphis"/>
    <x v="18"/>
    <n v="38109"/>
    <x v="0"/>
    <x v="1240"/>
    <x v="1"/>
    <x v="2"/>
    <x v="1223"/>
    <x v="3584"/>
    <x v="4"/>
    <x v="1"/>
  </r>
  <r>
    <n v="4995"/>
    <x v="2471"/>
    <x v="217"/>
    <d v="2016-12-25T00:00:00"/>
    <s v="Standard Class"/>
    <x v="516"/>
    <s v="Robert Barroso"/>
    <x v="1"/>
    <s v="United States"/>
    <s v="Memphis"/>
    <x v="18"/>
    <n v="38109"/>
    <x v="0"/>
    <x v="534"/>
    <x v="0"/>
    <x v="5"/>
    <x v="534"/>
    <x v="2308"/>
    <x v="4"/>
    <x v="1"/>
  </r>
  <r>
    <n v="4996"/>
    <x v="2472"/>
    <x v="130"/>
    <d v="2015-11-10T00:00:00"/>
    <s v="Standard Class"/>
    <x v="449"/>
    <s v="Sam Zeldin"/>
    <x v="2"/>
    <s v="United States"/>
    <s v="New York City"/>
    <x v="15"/>
    <n v="10011"/>
    <x v="3"/>
    <x v="1526"/>
    <x v="1"/>
    <x v="8"/>
    <x v="1513"/>
    <x v="3585"/>
    <x v="0"/>
    <x v="2"/>
  </r>
  <r>
    <n v="4997"/>
    <x v="2473"/>
    <x v="434"/>
    <d v="2018-03-15T00:00:00"/>
    <s v="Standard Class"/>
    <x v="754"/>
    <s v="Karen Seio"/>
    <x v="1"/>
    <s v="United States"/>
    <s v="Raleigh"/>
    <x v="3"/>
    <n v="27604"/>
    <x v="0"/>
    <x v="1712"/>
    <x v="1"/>
    <x v="9"/>
    <x v="1700"/>
    <x v="3586"/>
    <x v="10"/>
    <x v="3"/>
  </r>
  <r>
    <n v="4998"/>
    <x v="2473"/>
    <x v="434"/>
    <d v="2018-03-15T00:00:00"/>
    <s v="Standard Class"/>
    <x v="754"/>
    <s v="Karen Seio"/>
    <x v="1"/>
    <s v="United States"/>
    <s v="Raleigh"/>
    <x v="3"/>
    <n v="27604"/>
    <x v="0"/>
    <x v="634"/>
    <x v="1"/>
    <x v="8"/>
    <x v="634"/>
    <x v="3587"/>
    <x v="10"/>
    <x v="3"/>
  </r>
  <r>
    <n v="4999"/>
    <x v="2474"/>
    <x v="1011"/>
    <d v="2017-02-04T00:00:00"/>
    <s v="Standard Class"/>
    <x v="337"/>
    <s v="Sample Company A"/>
    <x v="2"/>
    <s v="United States"/>
    <s v="Los Angeles"/>
    <x v="1"/>
    <n v="90045"/>
    <x v="1"/>
    <x v="1546"/>
    <x v="2"/>
    <x v="7"/>
    <x v="1534"/>
    <x v="3588"/>
    <x v="9"/>
    <x v="0"/>
  </r>
  <r>
    <n v="5000"/>
    <x v="2474"/>
    <x v="1011"/>
    <d v="2017-02-04T00:00:00"/>
    <s v="Standard Class"/>
    <x v="337"/>
    <s v="Sample Company A"/>
    <x v="2"/>
    <s v="United States"/>
    <s v="Los Angeles"/>
    <x v="1"/>
    <n v="90045"/>
    <x v="1"/>
    <x v="1713"/>
    <x v="1"/>
    <x v="10"/>
    <x v="33"/>
    <x v="3589"/>
    <x v="9"/>
    <x v="0"/>
  </r>
  <r>
    <n v="5001"/>
    <x v="2475"/>
    <x v="917"/>
    <d v="2018-05-12T00:00:00"/>
    <s v="Standard Class"/>
    <x v="144"/>
    <s v="Adam Bellavance"/>
    <x v="2"/>
    <s v="United States"/>
    <s v="Los Angeles"/>
    <x v="1"/>
    <n v="90004"/>
    <x v="1"/>
    <x v="1105"/>
    <x v="2"/>
    <x v="11"/>
    <x v="1094"/>
    <x v="3590"/>
    <x v="5"/>
    <x v="3"/>
  </r>
  <r>
    <n v="5002"/>
    <x v="2476"/>
    <x v="1012"/>
    <d v="2017-05-24T00:00:00"/>
    <s v="Same Day"/>
    <x v="258"/>
    <s v="Eugene Hildebrand"/>
    <x v="2"/>
    <s v="United States"/>
    <s v="Newport News"/>
    <x v="17"/>
    <n v="23602"/>
    <x v="0"/>
    <x v="1205"/>
    <x v="1"/>
    <x v="14"/>
    <x v="1190"/>
    <x v="1667"/>
    <x v="5"/>
    <x v="0"/>
  </r>
  <r>
    <n v="5003"/>
    <x v="2476"/>
    <x v="1012"/>
    <d v="2017-05-24T00:00:00"/>
    <s v="Same Day"/>
    <x v="258"/>
    <s v="Eugene Hildebrand"/>
    <x v="2"/>
    <s v="United States"/>
    <s v="Newport News"/>
    <x v="17"/>
    <n v="23602"/>
    <x v="0"/>
    <x v="136"/>
    <x v="1"/>
    <x v="10"/>
    <x v="137"/>
    <x v="873"/>
    <x v="5"/>
    <x v="0"/>
  </r>
  <r>
    <n v="5004"/>
    <x v="2477"/>
    <x v="877"/>
    <d v="2017-10-12T00:00:00"/>
    <s v="Standard Class"/>
    <x v="693"/>
    <s v="Cindy Chapman"/>
    <x v="0"/>
    <s v="United States"/>
    <s v="Los Angeles"/>
    <x v="1"/>
    <n v="90032"/>
    <x v="1"/>
    <x v="1714"/>
    <x v="1"/>
    <x v="10"/>
    <x v="1701"/>
    <x v="232"/>
    <x v="2"/>
    <x v="0"/>
  </r>
  <r>
    <n v="5005"/>
    <x v="2478"/>
    <x v="1013"/>
    <d v="2015-05-02T00:00:00"/>
    <s v="Second Class"/>
    <x v="612"/>
    <s v="Tamara Manning"/>
    <x v="0"/>
    <s v="United States"/>
    <s v="Jackson"/>
    <x v="35"/>
    <n v="39212"/>
    <x v="0"/>
    <x v="1365"/>
    <x v="2"/>
    <x v="11"/>
    <x v="1351"/>
    <x v="3591"/>
    <x v="3"/>
    <x v="2"/>
  </r>
  <r>
    <n v="5006"/>
    <x v="2479"/>
    <x v="113"/>
    <d v="2016-11-14T00:00:00"/>
    <s v="Second Class"/>
    <x v="281"/>
    <s v="Steve Chapman"/>
    <x v="1"/>
    <s v="United States"/>
    <s v="Richmond"/>
    <x v="14"/>
    <n v="47374"/>
    <x v="2"/>
    <x v="384"/>
    <x v="1"/>
    <x v="4"/>
    <x v="385"/>
    <x v="409"/>
    <x v="0"/>
    <x v="1"/>
  </r>
  <r>
    <n v="5007"/>
    <x v="2480"/>
    <x v="529"/>
    <d v="2016-11-14T00:00:00"/>
    <s v="Standard Class"/>
    <x v="656"/>
    <s v="Dean percer"/>
    <x v="2"/>
    <s v="United States"/>
    <s v="New York City"/>
    <x v="15"/>
    <n v="10035"/>
    <x v="3"/>
    <x v="1715"/>
    <x v="2"/>
    <x v="15"/>
    <x v="1702"/>
    <x v="3592"/>
    <x v="0"/>
    <x v="1"/>
  </r>
  <r>
    <n v="5008"/>
    <x v="2480"/>
    <x v="529"/>
    <d v="2016-11-14T00:00:00"/>
    <s v="Standard Class"/>
    <x v="656"/>
    <s v="Dean percer"/>
    <x v="2"/>
    <s v="United States"/>
    <s v="New York City"/>
    <x v="15"/>
    <n v="10035"/>
    <x v="3"/>
    <x v="1198"/>
    <x v="1"/>
    <x v="4"/>
    <x v="1183"/>
    <x v="1444"/>
    <x v="0"/>
    <x v="1"/>
  </r>
  <r>
    <n v="5009"/>
    <x v="2481"/>
    <x v="67"/>
    <d v="2016-09-14T00:00:00"/>
    <s v="Standard Class"/>
    <x v="756"/>
    <s v="Lisa Ryan"/>
    <x v="1"/>
    <s v="United States"/>
    <s v="Philadelphia"/>
    <x v="9"/>
    <n v="19134"/>
    <x v="3"/>
    <x v="132"/>
    <x v="1"/>
    <x v="8"/>
    <x v="133"/>
    <x v="3593"/>
    <x v="8"/>
    <x v="1"/>
  </r>
  <r>
    <n v="5010"/>
    <x v="2481"/>
    <x v="67"/>
    <d v="2016-09-14T00:00:00"/>
    <s v="Standard Class"/>
    <x v="756"/>
    <s v="Lisa Ryan"/>
    <x v="1"/>
    <s v="United States"/>
    <s v="Philadelphia"/>
    <x v="9"/>
    <n v="19134"/>
    <x v="3"/>
    <x v="420"/>
    <x v="2"/>
    <x v="7"/>
    <x v="420"/>
    <x v="3594"/>
    <x v="8"/>
    <x v="1"/>
  </r>
  <r>
    <n v="5011"/>
    <x v="2481"/>
    <x v="67"/>
    <d v="2016-09-14T00:00:00"/>
    <s v="Standard Class"/>
    <x v="756"/>
    <s v="Lisa Ryan"/>
    <x v="1"/>
    <s v="United States"/>
    <s v="Philadelphia"/>
    <x v="9"/>
    <n v="19134"/>
    <x v="3"/>
    <x v="520"/>
    <x v="1"/>
    <x v="8"/>
    <x v="520"/>
    <x v="3595"/>
    <x v="8"/>
    <x v="1"/>
  </r>
  <r>
    <n v="5012"/>
    <x v="2482"/>
    <x v="943"/>
    <d v="2018-05-13T00:00:00"/>
    <s v="First Class"/>
    <x v="477"/>
    <s v="Todd Sumrall"/>
    <x v="1"/>
    <s v="United States"/>
    <s v="Phoenix"/>
    <x v="16"/>
    <n v="85023"/>
    <x v="1"/>
    <x v="899"/>
    <x v="0"/>
    <x v="0"/>
    <x v="892"/>
    <x v="3596"/>
    <x v="5"/>
    <x v="3"/>
  </r>
  <r>
    <n v="5013"/>
    <x v="2483"/>
    <x v="246"/>
    <d v="2018-07-26T00:00:00"/>
    <s v="Standard Class"/>
    <x v="680"/>
    <s v="Sean Wendt"/>
    <x v="2"/>
    <s v="United States"/>
    <s v="Cleveland"/>
    <x v="24"/>
    <n v="44105"/>
    <x v="3"/>
    <x v="443"/>
    <x v="1"/>
    <x v="8"/>
    <x v="443"/>
    <x v="3597"/>
    <x v="7"/>
    <x v="3"/>
  </r>
  <r>
    <n v="5014"/>
    <x v="2483"/>
    <x v="246"/>
    <d v="2018-07-26T00:00:00"/>
    <s v="Standard Class"/>
    <x v="680"/>
    <s v="Sean Wendt"/>
    <x v="2"/>
    <s v="United States"/>
    <s v="Cleveland"/>
    <x v="24"/>
    <n v="44105"/>
    <x v="3"/>
    <x v="1716"/>
    <x v="1"/>
    <x v="4"/>
    <x v="1703"/>
    <x v="3598"/>
    <x v="7"/>
    <x v="3"/>
  </r>
  <r>
    <n v="5015"/>
    <x v="2483"/>
    <x v="246"/>
    <d v="2018-07-26T00:00:00"/>
    <s v="Standard Class"/>
    <x v="680"/>
    <s v="Sean Wendt"/>
    <x v="2"/>
    <s v="United States"/>
    <s v="Cleveland"/>
    <x v="24"/>
    <n v="44105"/>
    <x v="3"/>
    <x v="1717"/>
    <x v="2"/>
    <x v="7"/>
    <x v="1704"/>
    <x v="3599"/>
    <x v="7"/>
    <x v="3"/>
  </r>
  <r>
    <n v="5016"/>
    <x v="2484"/>
    <x v="156"/>
    <d v="2015-11-29T00:00:00"/>
    <s v="Standard Class"/>
    <x v="513"/>
    <s v="Thea Hendricks"/>
    <x v="0"/>
    <s v="United States"/>
    <s v="Toledo"/>
    <x v="24"/>
    <n v="43615"/>
    <x v="3"/>
    <x v="191"/>
    <x v="0"/>
    <x v="5"/>
    <x v="192"/>
    <x v="200"/>
    <x v="0"/>
    <x v="2"/>
  </r>
  <r>
    <n v="5017"/>
    <x v="2484"/>
    <x v="156"/>
    <d v="2015-11-29T00:00:00"/>
    <s v="Standard Class"/>
    <x v="513"/>
    <s v="Thea Hendricks"/>
    <x v="0"/>
    <s v="United States"/>
    <s v="Toledo"/>
    <x v="24"/>
    <n v="43615"/>
    <x v="3"/>
    <x v="1718"/>
    <x v="2"/>
    <x v="7"/>
    <x v="1705"/>
    <x v="3600"/>
    <x v="0"/>
    <x v="2"/>
  </r>
  <r>
    <n v="5018"/>
    <x v="2485"/>
    <x v="647"/>
    <d v="2015-11-18T00:00:00"/>
    <s v="First Class"/>
    <x v="757"/>
    <s v="Shahid Shariari"/>
    <x v="0"/>
    <s v="United States"/>
    <s v="Los Angeles"/>
    <x v="1"/>
    <n v="90008"/>
    <x v="1"/>
    <x v="224"/>
    <x v="0"/>
    <x v="5"/>
    <x v="225"/>
    <x v="3601"/>
    <x v="0"/>
    <x v="2"/>
  </r>
  <r>
    <n v="5019"/>
    <x v="2485"/>
    <x v="647"/>
    <d v="2015-11-18T00:00:00"/>
    <s v="First Class"/>
    <x v="757"/>
    <s v="Shahid Shariari"/>
    <x v="0"/>
    <s v="United States"/>
    <s v="Los Angeles"/>
    <x v="1"/>
    <n v="90008"/>
    <x v="1"/>
    <x v="217"/>
    <x v="2"/>
    <x v="11"/>
    <x v="218"/>
    <x v="3602"/>
    <x v="0"/>
    <x v="2"/>
  </r>
  <r>
    <n v="5020"/>
    <x v="2485"/>
    <x v="647"/>
    <d v="2015-11-18T00:00:00"/>
    <s v="First Class"/>
    <x v="757"/>
    <s v="Shahid Shariari"/>
    <x v="0"/>
    <s v="United States"/>
    <s v="Los Angeles"/>
    <x v="1"/>
    <n v="90008"/>
    <x v="1"/>
    <x v="682"/>
    <x v="1"/>
    <x v="14"/>
    <x v="682"/>
    <x v="3603"/>
    <x v="0"/>
    <x v="2"/>
  </r>
  <r>
    <n v="5021"/>
    <x v="2486"/>
    <x v="721"/>
    <d v="2018-03-25T00:00:00"/>
    <s v="Second Class"/>
    <x v="89"/>
    <s v="Mary Zewe"/>
    <x v="1"/>
    <s v="United States"/>
    <s v="New York City"/>
    <x v="15"/>
    <n v="10011"/>
    <x v="3"/>
    <x v="413"/>
    <x v="1"/>
    <x v="14"/>
    <x v="413"/>
    <x v="3604"/>
    <x v="10"/>
    <x v="3"/>
  </r>
  <r>
    <n v="5022"/>
    <x v="2487"/>
    <x v="122"/>
    <d v="2017-12-24T00:00:00"/>
    <s v="Standard Class"/>
    <x v="188"/>
    <s v="Jeremy Ellison"/>
    <x v="0"/>
    <s v="United States"/>
    <s v="San Diego"/>
    <x v="1"/>
    <n v="92037"/>
    <x v="1"/>
    <x v="477"/>
    <x v="2"/>
    <x v="11"/>
    <x v="478"/>
    <x v="3605"/>
    <x v="4"/>
    <x v="0"/>
  </r>
  <r>
    <n v="5023"/>
    <x v="2487"/>
    <x v="122"/>
    <d v="2017-12-24T00:00:00"/>
    <s v="Standard Class"/>
    <x v="188"/>
    <s v="Jeremy Ellison"/>
    <x v="0"/>
    <s v="United States"/>
    <s v="San Diego"/>
    <x v="1"/>
    <n v="92037"/>
    <x v="1"/>
    <x v="217"/>
    <x v="2"/>
    <x v="11"/>
    <x v="218"/>
    <x v="3602"/>
    <x v="4"/>
    <x v="0"/>
  </r>
  <r>
    <n v="5024"/>
    <x v="2487"/>
    <x v="122"/>
    <d v="2017-12-24T00:00:00"/>
    <s v="Standard Class"/>
    <x v="188"/>
    <s v="Jeremy Ellison"/>
    <x v="0"/>
    <s v="United States"/>
    <s v="San Diego"/>
    <x v="1"/>
    <n v="92037"/>
    <x v="1"/>
    <x v="1611"/>
    <x v="0"/>
    <x v="5"/>
    <x v="1602"/>
    <x v="3009"/>
    <x v="4"/>
    <x v="0"/>
  </r>
  <r>
    <n v="5025"/>
    <x v="2488"/>
    <x v="570"/>
    <d v="2018-08-03T00:00:00"/>
    <s v="Standard Class"/>
    <x v="288"/>
    <s v="Roland Fjeld"/>
    <x v="0"/>
    <s v="United States"/>
    <s v="Oklahoma City"/>
    <x v="26"/>
    <n v="73120"/>
    <x v="2"/>
    <x v="1595"/>
    <x v="1"/>
    <x v="8"/>
    <x v="1587"/>
    <x v="3347"/>
    <x v="7"/>
    <x v="3"/>
  </r>
  <r>
    <n v="5026"/>
    <x v="2488"/>
    <x v="570"/>
    <d v="2018-08-03T00:00:00"/>
    <s v="Standard Class"/>
    <x v="288"/>
    <s v="Roland Fjeld"/>
    <x v="0"/>
    <s v="United States"/>
    <s v="Oklahoma City"/>
    <x v="26"/>
    <n v="73120"/>
    <x v="2"/>
    <x v="348"/>
    <x v="2"/>
    <x v="7"/>
    <x v="348"/>
    <x v="3606"/>
    <x v="7"/>
    <x v="3"/>
  </r>
  <r>
    <n v="5027"/>
    <x v="2488"/>
    <x v="570"/>
    <d v="2018-08-03T00:00:00"/>
    <s v="Standard Class"/>
    <x v="288"/>
    <s v="Roland Fjeld"/>
    <x v="0"/>
    <s v="United States"/>
    <s v="Oklahoma City"/>
    <x v="26"/>
    <n v="73120"/>
    <x v="2"/>
    <x v="14"/>
    <x v="1"/>
    <x v="9"/>
    <x v="14"/>
    <x v="1584"/>
    <x v="7"/>
    <x v="3"/>
  </r>
  <r>
    <n v="5028"/>
    <x v="2488"/>
    <x v="570"/>
    <d v="2018-08-03T00:00:00"/>
    <s v="Standard Class"/>
    <x v="288"/>
    <s v="Roland Fjeld"/>
    <x v="0"/>
    <s v="United States"/>
    <s v="Oklahoma City"/>
    <x v="26"/>
    <n v="73120"/>
    <x v="2"/>
    <x v="1719"/>
    <x v="0"/>
    <x v="1"/>
    <x v="1706"/>
    <x v="3607"/>
    <x v="7"/>
    <x v="3"/>
  </r>
  <r>
    <n v="5029"/>
    <x v="2489"/>
    <x v="814"/>
    <d v="2015-09-07T00:00:00"/>
    <s v="Second Class"/>
    <x v="610"/>
    <s v="Christina VanderZanden"/>
    <x v="0"/>
    <s v="United States"/>
    <s v="Chicago"/>
    <x v="10"/>
    <n v="60653"/>
    <x v="2"/>
    <x v="590"/>
    <x v="2"/>
    <x v="11"/>
    <x v="590"/>
    <x v="1946"/>
    <x v="8"/>
    <x v="2"/>
  </r>
  <r>
    <n v="5030"/>
    <x v="2490"/>
    <x v="926"/>
    <d v="2018-02-02T00:00:00"/>
    <s v="Standard Class"/>
    <x v="364"/>
    <s v="Vivek Gonzalez"/>
    <x v="0"/>
    <s v="United States"/>
    <s v="San Francisco"/>
    <x v="1"/>
    <n v="94109"/>
    <x v="1"/>
    <x v="1477"/>
    <x v="1"/>
    <x v="6"/>
    <x v="1464"/>
    <x v="480"/>
    <x v="9"/>
    <x v="3"/>
  </r>
  <r>
    <n v="5031"/>
    <x v="2490"/>
    <x v="926"/>
    <d v="2018-02-02T00:00:00"/>
    <s v="Standard Class"/>
    <x v="364"/>
    <s v="Vivek Gonzalez"/>
    <x v="0"/>
    <s v="United States"/>
    <s v="San Francisco"/>
    <x v="1"/>
    <n v="94109"/>
    <x v="1"/>
    <x v="1257"/>
    <x v="1"/>
    <x v="14"/>
    <x v="1241"/>
    <x v="3608"/>
    <x v="9"/>
    <x v="3"/>
  </r>
  <r>
    <n v="5032"/>
    <x v="2490"/>
    <x v="926"/>
    <d v="2018-02-02T00:00:00"/>
    <s v="Standard Class"/>
    <x v="364"/>
    <s v="Vivek Gonzalez"/>
    <x v="0"/>
    <s v="United States"/>
    <s v="San Francisco"/>
    <x v="1"/>
    <n v="94109"/>
    <x v="1"/>
    <x v="440"/>
    <x v="1"/>
    <x v="8"/>
    <x v="440"/>
    <x v="470"/>
    <x v="9"/>
    <x v="3"/>
  </r>
  <r>
    <n v="5033"/>
    <x v="2491"/>
    <x v="482"/>
    <d v="2018-01-02T00:00:00"/>
    <s v="Standard Class"/>
    <x v="179"/>
    <s v="Brenda Bowman"/>
    <x v="1"/>
    <s v="United States"/>
    <s v="Vineland"/>
    <x v="30"/>
    <n v="8360"/>
    <x v="3"/>
    <x v="56"/>
    <x v="0"/>
    <x v="1"/>
    <x v="56"/>
    <x v="3609"/>
    <x v="4"/>
    <x v="0"/>
  </r>
  <r>
    <n v="5034"/>
    <x v="2491"/>
    <x v="482"/>
    <d v="2018-01-02T00:00:00"/>
    <s v="Standard Class"/>
    <x v="179"/>
    <s v="Brenda Bowman"/>
    <x v="1"/>
    <s v="United States"/>
    <s v="Vineland"/>
    <x v="30"/>
    <n v="8360"/>
    <x v="3"/>
    <x v="1276"/>
    <x v="1"/>
    <x v="9"/>
    <x v="1261"/>
    <x v="3610"/>
    <x v="4"/>
    <x v="0"/>
  </r>
  <r>
    <n v="5035"/>
    <x v="2492"/>
    <x v="101"/>
    <d v="2016-08-13T00:00:00"/>
    <s v="Second Class"/>
    <x v="367"/>
    <s v="Hallie Redmond"/>
    <x v="2"/>
    <s v="United States"/>
    <s v="Milwaukee"/>
    <x v="6"/>
    <n v="53209"/>
    <x v="2"/>
    <x v="1657"/>
    <x v="0"/>
    <x v="0"/>
    <x v="1645"/>
    <x v="3611"/>
    <x v="6"/>
    <x v="1"/>
  </r>
  <r>
    <n v="5036"/>
    <x v="2493"/>
    <x v="322"/>
    <d v="2015-04-12T00:00:00"/>
    <s v="Standard Class"/>
    <x v="609"/>
    <s v="Scott Cohen"/>
    <x v="1"/>
    <s v="United States"/>
    <s v="Seattle"/>
    <x v="4"/>
    <n v="98115"/>
    <x v="1"/>
    <x v="562"/>
    <x v="0"/>
    <x v="3"/>
    <x v="561"/>
    <x v="2283"/>
    <x v="3"/>
    <x v="2"/>
  </r>
  <r>
    <n v="5037"/>
    <x v="2493"/>
    <x v="322"/>
    <d v="2015-04-12T00:00:00"/>
    <s v="Standard Class"/>
    <x v="609"/>
    <s v="Scott Cohen"/>
    <x v="1"/>
    <s v="United States"/>
    <s v="Seattle"/>
    <x v="4"/>
    <n v="98115"/>
    <x v="1"/>
    <x v="658"/>
    <x v="2"/>
    <x v="11"/>
    <x v="658"/>
    <x v="1269"/>
    <x v="3"/>
    <x v="2"/>
  </r>
  <r>
    <n v="5038"/>
    <x v="2494"/>
    <x v="701"/>
    <d v="2018-11-21T00:00:00"/>
    <s v="Second Class"/>
    <x v="283"/>
    <s v="Emily Grady"/>
    <x v="0"/>
    <s v="United States"/>
    <s v="Naperville"/>
    <x v="10"/>
    <n v="60540"/>
    <x v="2"/>
    <x v="603"/>
    <x v="2"/>
    <x v="11"/>
    <x v="603"/>
    <x v="3612"/>
    <x v="0"/>
    <x v="3"/>
  </r>
  <r>
    <n v="5039"/>
    <x v="2495"/>
    <x v="655"/>
    <d v="2016-07-12T00:00:00"/>
    <s v="First Class"/>
    <x v="477"/>
    <s v="Todd Sumrall"/>
    <x v="1"/>
    <s v="United States"/>
    <s v="Wilmington"/>
    <x v="13"/>
    <n v="19805"/>
    <x v="3"/>
    <x v="719"/>
    <x v="0"/>
    <x v="3"/>
    <x v="718"/>
    <x v="3613"/>
    <x v="7"/>
    <x v="1"/>
  </r>
  <r>
    <n v="5040"/>
    <x v="2495"/>
    <x v="655"/>
    <d v="2016-07-12T00:00:00"/>
    <s v="First Class"/>
    <x v="477"/>
    <s v="Todd Sumrall"/>
    <x v="1"/>
    <s v="United States"/>
    <s v="Wilmington"/>
    <x v="13"/>
    <n v="19805"/>
    <x v="3"/>
    <x v="1118"/>
    <x v="2"/>
    <x v="7"/>
    <x v="1106"/>
    <x v="3614"/>
    <x v="7"/>
    <x v="1"/>
  </r>
  <r>
    <n v="5041"/>
    <x v="2495"/>
    <x v="655"/>
    <d v="2016-07-12T00:00:00"/>
    <s v="First Class"/>
    <x v="477"/>
    <s v="Todd Sumrall"/>
    <x v="1"/>
    <s v="United States"/>
    <s v="Wilmington"/>
    <x v="13"/>
    <n v="19805"/>
    <x v="3"/>
    <x v="351"/>
    <x v="1"/>
    <x v="8"/>
    <x v="351"/>
    <x v="3615"/>
    <x v="7"/>
    <x v="1"/>
  </r>
  <r>
    <n v="5042"/>
    <x v="2496"/>
    <x v="338"/>
    <d v="2017-11-13T00:00:00"/>
    <s v="Second Class"/>
    <x v="482"/>
    <s v="Arianne Irving"/>
    <x v="0"/>
    <s v="United States"/>
    <s v="Los Angeles"/>
    <x v="1"/>
    <n v="90036"/>
    <x v="1"/>
    <x v="1437"/>
    <x v="1"/>
    <x v="10"/>
    <x v="1425"/>
    <x v="3616"/>
    <x v="0"/>
    <x v="0"/>
  </r>
  <r>
    <n v="5043"/>
    <x v="2496"/>
    <x v="338"/>
    <d v="2017-11-13T00:00:00"/>
    <s v="Second Class"/>
    <x v="482"/>
    <s v="Arianne Irving"/>
    <x v="0"/>
    <s v="United States"/>
    <s v="Los Angeles"/>
    <x v="1"/>
    <n v="90036"/>
    <x v="1"/>
    <x v="791"/>
    <x v="1"/>
    <x v="9"/>
    <x v="789"/>
    <x v="677"/>
    <x v="0"/>
    <x v="0"/>
  </r>
  <r>
    <n v="5044"/>
    <x v="2496"/>
    <x v="338"/>
    <d v="2017-11-13T00:00:00"/>
    <s v="Second Class"/>
    <x v="482"/>
    <s v="Arianne Irving"/>
    <x v="0"/>
    <s v="United States"/>
    <s v="Los Angeles"/>
    <x v="1"/>
    <n v="90036"/>
    <x v="1"/>
    <x v="689"/>
    <x v="0"/>
    <x v="5"/>
    <x v="689"/>
    <x v="3617"/>
    <x v="0"/>
    <x v="0"/>
  </r>
  <r>
    <n v="5045"/>
    <x v="2496"/>
    <x v="338"/>
    <d v="2017-11-13T00:00:00"/>
    <s v="Second Class"/>
    <x v="482"/>
    <s v="Arianne Irving"/>
    <x v="0"/>
    <s v="United States"/>
    <s v="Los Angeles"/>
    <x v="1"/>
    <n v="90036"/>
    <x v="1"/>
    <x v="1635"/>
    <x v="1"/>
    <x v="10"/>
    <x v="1625"/>
    <x v="3618"/>
    <x v="0"/>
    <x v="0"/>
  </r>
  <r>
    <n v="5046"/>
    <x v="2496"/>
    <x v="338"/>
    <d v="2017-11-13T00:00:00"/>
    <s v="Second Class"/>
    <x v="482"/>
    <s v="Arianne Irving"/>
    <x v="0"/>
    <s v="United States"/>
    <s v="Los Angeles"/>
    <x v="1"/>
    <n v="90036"/>
    <x v="1"/>
    <x v="734"/>
    <x v="1"/>
    <x v="4"/>
    <x v="733"/>
    <x v="3619"/>
    <x v="0"/>
    <x v="0"/>
  </r>
  <r>
    <n v="5047"/>
    <x v="2496"/>
    <x v="338"/>
    <d v="2017-11-13T00:00:00"/>
    <s v="Second Class"/>
    <x v="482"/>
    <s v="Arianne Irving"/>
    <x v="0"/>
    <s v="United States"/>
    <s v="Los Angeles"/>
    <x v="1"/>
    <n v="90036"/>
    <x v="1"/>
    <x v="870"/>
    <x v="1"/>
    <x v="8"/>
    <x v="864"/>
    <x v="1170"/>
    <x v="0"/>
    <x v="0"/>
  </r>
  <r>
    <n v="5048"/>
    <x v="2496"/>
    <x v="338"/>
    <d v="2017-11-13T00:00:00"/>
    <s v="Second Class"/>
    <x v="482"/>
    <s v="Arianne Irving"/>
    <x v="0"/>
    <s v="United States"/>
    <s v="Los Angeles"/>
    <x v="1"/>
    <n v="90036"/>
    <x v="1"/>
    <x v="1630"/>
    <x v="1"/>
    <x v="6"/>
    <x v="1620"/>
    <x v="453"/>
    <x v="0"/>
    <x v="0"/>
  </r>
  <r>
    <n v="5049"/>
    <x v="2497"/>
    <x v="691"/>
    <d v="2015-04-04T00:00:00"/>
    <s v="Standard Class"/>
    <x v="732"/>
    <s v="Dorothy Dickinson"/>
    <x v="0"/>
    <s v="United States"/>
    <s v="Chicago"/>
    <x v="10"/>
    <n v="60610"/>
    <x v="2"/>
    <x v="699"/>
    <x v="1"/>
    <x v="8"/>
    <x v="699"/>
    <x v="3620"/>
    <x v="10"/>
    <x v="2"/>
  </r>
  <r>
    <n v="5050"/>
    <x v="2497"/>
    <x v="691"/>
    <d v="2015-04-04T00:00:00"/>
    <s v="Standard Class"/>
    <x v="732"/>
    <s v="Dorothy Dickinson"/>
    <x v="0"/>
    <s v="United States"/>
    <s v="Chicago"/>
    <x v="10"/>
    <n v="60610"/>
    <x v="2"/>
    <x v="648"/>
    <x v="2"/>
    <x v="11"/>
    <x v="648"/>
    <x v="1542"/>
    <x v="10"/>
    <x v="2"/>
  </r>
  <r>
    <n v="5051"/>
    <x v="2498"/>
    <x v="227"/>
    <d v="2016-09-24T00:00:00"/>
    <s v="Standard Class"/>
    <x v="144"/>
    <s v="Adam Bellavance"/>
    <x v="2"/>
    <s v="United States"/>
    <s v="Des Moines"/>
    <x v="4"/>
    <n v="98198"/>
    <x v="1"/>
    <x v="1286"/>
    <x v="1"/>
    <x v="10"/>
    <x v="1272"/>
    <x v="1878"/>
    <x v="8"/>
    <x v="1"/>
  </r>
  <r>
    <n v="5052"/>
    <x v="2499"/>
    <x v="209"/>
    <d v="2016-11-11T00:00:00"/>
    <s v="Standard Class"/>
    <x v="208"/>
    <s v="Karen Bern"/>
    <x v="1"/>
    <s v="United States"/>
    <s v="Philadelphia"/>
    <x v="9"/>
    <n v="19140"/>
    <x v="3"/>
    <x v="373"/>
    <x v="1"/>
    <x v="12"/>
    <x v="374"/>
    <x v="2878"/>
    <x v="0"/>
    <x v="1"/>
  </r>
  <r>
    <n v="5053"/>
    <x v="2500"/>
    <x v="240"/>
    <d v="2018-05-19T00:00:00"/>
    <s v="Same Day"/>
    <x v="547"/>
    <s v="John Castell"/>
    <x v="0"/>
    <s v="United States"/>
    <s v="Atlanta"/>
    <x v="32"/>
    <n v="30318"/>
    <x v="0"/>
    <x v="1158"/>
    <x v="1"/>
    <x v="10"/>
    <x v="1146"/>
    <x v="3483"/>
    <x v="5"/>
    <x v="3"/>
  </r>
  <r>
    <n v="5054"/>
    <x v="2501"/>
    <x v="928"/>
    <d v="2016-01-08T00:00:00"/>
    <s v="Second Class"/>
    <x v="733"/>
    <s v="Amy Hunt"/>
    <x v="0"/>
    <s v="United States"/>
    <s v="Dallas"/>
    <x v="5"/>
    <n v="75217"/>
    <x v="2"/>
    <x v="769"/>
    <x v="2"/>
    <x v="11"/>
    <x v="768"/>
    <x v="3621"/>
    <x v="9"/>
    <x v="1"/>
  </r>
  <r>
    <n v="5055"/>
    <x v="2501"/>
    <x v="928"/>
    <d v="2016-01-08T00:00:00"/>
    <s v="Second Class"/>
    <x v="733"/>
    <s v="Amy Hunt"/>
    <x v="0"/>
    <s v="United States"/>
    <s v="Dallas"/>
    <x v="5"/>
    <n v="75217"/>
    <x v="2"/>
    <x v="454"/>
    <x v="1"/>
    <x v="6"/>
    <x v="455"/>
    <x v="2559"/>
    <x v="9"/>
    <x v="1"/>
  </r>
  <r>
    <n v="5056"/>
    <x v="2501"/>
    <x v="928"/>
    <d v="2016-01-08T00:00:00"/>
    <s v="Second Class"/>
    <x v="733"/>
    <s v="Amy Hunt"/>
    <x v="0"/>
    <s v="United States"/>
    <s v="Dallas"/>
    <x v="5"/>
    <n v="75217"/>
    <x v="2"/>
    <x v="587"/>
    <x v="0"/>
    <x v="0"/>
    <x v="587"/>
    <x v="3622"/>
    <x v="9"/>
    <x v="1"/>
  </r>
  <r>
    <n v="5057"/>
    <x v="2502"/>
    <x v="1014"/>
    <d v="2016-09-11T00:00:00"/>
    <s v="First Class"/>
    <x v="392"/>
    <s v="Neoma Murray"/>
    <x v="0"/>
    <s v="United States"/>
    <s v="Moreno Valley"/>
    <x v="1"/>
    <n v="92553"/>
    <x v="1"/>
    <x v="1610"/>
    <x v="1"/>
    <x v="10"/>
    <x v="1601"/>
    <x v="1579"/>
    <x v="8"/>
    <x v="1"/>
  </r>
  <r>
    <n v="5058"/>
    <x v="2502"/>
    <x v="1014"/>
    <d v="2016-09-11T00:00:00"/>
    <s v="First Class"/>
    <x v="392"/>
    <s v="Neoma Murray"/>
    <x v="0"/>
    <s v="United States"/>
    <s v="Moreno Valley"/>
    <x v="1"/>
    <n v="92553"/>
    <x v="1"/>
    <x v="700"/>
    <x v="1"/>
    <x v="4"/>
    <x v="700"/>
    <x v="3623"/>
    <x v="8"/>
    <x v="1"/>
  </r>
  <r>
    <n v="5059"/>
    <x v="2503"/>
    <x v="1015"/>
    <d v="2017-04-07T00:00:00"/>
    <s v="Standard Class"/>
    <x v="229"/>
    <s v="Carlos Soltero"/>
    <x v="0"/>
    <s v="United States"/>
    <s v="Philadelphia"/>
    <x v="9"/>
    <n v="19140"/>
    <x v="3"/>
    <x v="805"/>
    <x v="1"/>
    <x v="8"/>
    <x v="803"/>
    <x v="3624"/>
    <x v="3"/>
    <x v="0"/>
  </r>
  <r>
    <n v="5060"/>
    <x v="2504"/>
    <x v="5"/>
    <d v="2017-12-07T00:00:00"/>
    <s v="Second Class"/>
    <x v="236"/>
    <s v="Theone Pippenger"/>
    <x v="0"/>
    <s v="United States"/>
    <s v="Georgetown"/>
    <x v="0"/>
    <n v="40324"/>
    <x v="0"/>
    <x v="754"/>
    <x v="2"/>
    <x v="7"/>
    <x v="752"/>
    <x v="1527"/>
    <x v="4"/>
    <x v="0"/>
  </r>
  <r>
    <n v="5061"/>
    <x v="2504"/>
    <x v="5"/>
    <d v="2017-12-07T00:00:00"/>
    <s v="Second Class"/>
    <x v="236"/>
    <s v="Theone Pippenger"/>
    <x v="0"/>
    <s v="United States"/>
    <s v="Georgetown"/>
    <x v="0"/>
    <n v="40324"/>
    <x v="0"/>
    <x v="391"/>
    <x v="1"/>
    <x v="4"/>
    <x v="392"/>
    <x v="3625"/>
    <x v="4"/>
    <x v="0"/>
  </r>
  <r>
    <n v="5062"/>
    <x v="2505"/>
    <x v="412"/>
    <d v="2016-05-12T00:00:00"/>
    <s v="Standard Class"/>
    <x v="351"/>
    <s v="Daniel Lacy"/>
    <x v="0"/>
    <s v="United States"/>
    <s v="Minneapolis"/>
    <x v="11"/>
    <n v="55407"/>
    <x v="2"/>
    <x v="715"/>
    <x v="1"/>
    <x v="8"/>
    <x v="714"/>
    <x v="3626"/>
    <x v="5"/>
    <x v="1"/>
  </r>
  <r>
    <n v="5063"/>
    <x v="2505"/>
    <x v="412"/>
    <d v="2016-05-12T00:00:00"/>
    <s v="Standard Class"/>
    <x v="351"/>
    <s v="Daniel Lacy"/>
    <x v="0"/>
    <s v="United States"/>
    <s v="Minneapolis"/>
    <x v="11"/>
    <n v="55407"/>
    <x v="2"/>
    <x v="1066"/>
    <x v="2"/>
    <x v="7"/>
    <x v="1055"/>
    <x v="2216"/>
    <x v="5"/>
    <x v="1"/>
  </r>
  <r>
    <n v="5064"/>
    <x v="2505"/>
    <x v="412"/>
    <d v="2016-05-12T00:00:00"/>
    <s v="Standard Class"/>
    <x v="351"/>
    <s v="Daniel Lacy"/>
    <x v="0"/>
    <s v="United States"/>
    <s v="Minneapolis"/>
    <x v="11"/>
    <n v="55407"/>
    <x v="2"/>
    <x v="479"/>
    <x v="0"/>
    <x v="5"/>
    <x v="480"/>
    <x v="3384"/>
    <x v="5"/>
    <x v="1"/>
  </r>
  <r>
    <n v="5065"/>
    <x v="2506"/>
    <x v="585"/>
    <d v="2018-09-24T00:00:00"/>
    <s v="First Class"/>
    <x v="244"/>
    <s v="Christina Anderson"/>
    <x v="0"/>
    <s v="United States"/>
    <s v="Wilmington"/>
    <x v="13"/>
    <n v="19805"/>
    <x v="3"/>
    <x v="34"/>
    <x v="2"/>
    <x v="7"/>
    <x v="34"/>
    <x v="3627"/>
    <x v="8"/>
    <x v="3"/>
  </r>
  <r>
    <n v="5066"/>
    <x v="2507"/>
    <x v="329"/>
    <d v="2018-12-07T00:00:00"/>
    <s v="Standard Class"/>
    <x v="618"/>
    <s v="Shahid Collister"/>
    <x v="0"/>
    <s v="United States"/>
    <s v="Burlington"/>
    <x v="3"/>
    <n v="27217"/>
    <x v="0"/>
    <x v="265"/>
    <x v="2"/>
    <x v="11"/>
    <x v="265"/>
    <x v="2885"/>
    <x v="0"/>
    <x v="3"/>
  </r>
  <r>
    <n v="5067"/>
    <x v="2507"/>
    <x v="329"/>
    <d v="2018-12-07T00:00:00"/>
    <s v="Standard Class"/>
    <x v="618"/>
    <s v="Shahid Collister"/>
    <x v="0"/>
    <s v="United States"/>
    <s v="Burlington"/>
    <x v="3"/>
    <n v="27217"/>
    <x v="0"/>
    <x v="411"/>
    <x v="0"/>
    <x v="3"/>
    <x v="411"/>
    <x v="3628"/>
    <x v="0"/>
    <x v="3"/>
  </r>
  <r>
    <n v="5068"/>
    <x v="2508"/>
    <x v="787"/>
    <d v="2018-01-19T00:00:00"/>
    <s v="Standard Class"/>
    <x v="499"/>
    <s v="Tonja Turnell"/>
    <x v="2"/>
    <s v="United States"/>
    <s v="Los Angeles"/>
    <x v="1"/>
    <n v="90008"/>
    <x v="1"/>
    <x v="1046"/>
    <x v="1"/>
    <x v="6"/>
    <x v="1035"/>
    <x v="1567"/>
    <x v="9"/>
    <x v="3"/>
  </r>
  <r>
    <n v="5069"/>
    <x v="2509"/>
    <x v="233"/>
    <d v="2015-08-12T00:00:00"/>
    <s v="Standard Class"/>
    <x v="15"/>
    <s v="Matt Abelman"/>
    <x v="2"/>
    <s v="United States"/>
    <s v="Trenton"/>
    <x v="12"/>
    <n v="48183"/>
    <x v="2"/>
    <x v="1572"/>
    <x v="2"/>
    <x v="16"/>
    <x v="1563"/>
    <x v="3629"/>
    <x v="6"/>
    <x v="2"/>
  </r>
  <r>
    <n v="5070"/>
    <x v="2509"/>
    <x v="233"/>
    <d v="2015-08-12T00:00:00"/>
    <s v="Standard Class"/>
    <x v="15"/>
    <s v="Matt Abelman"/>
    <x v="2"/>
    <s v="United States"/>
    <s v="Trenton"/>
    <x v="12"/>
    <n v="48183"/>
    <x v="2"/>
    <x v="1094"/>
    <x v="1"/>
    <x v="9"/>
    <x v="1084"/>
    <x v="3630"/>
    <x v="6"/>
    <x v="2"/>
  </r>
  <r>
    <n v="5071"/>
    <x v="2509"/>
    <x v="233"/>
    <d v="2015-08-12T00:00:00"/>
    <s v="Standard Class"/>
    <x v="15"/>
    <s v="Matt Abelman"/>
    <x v="2"/>
    <s v="United States"/>
    <s v="Trenton"/>
    <x v="12"/>
    <n v="48183"/>
    <x v="2"/>
    <x v="118"/>
    <x v="1"/>
    <x v="12"/>
    <x v="118"/>
    <x v="3631"/>
    <x v="6"/>
    <x v="2"/>
  </r>
  <r>
    <n v="5072"/>
    <x v="2509"/>
    <x v="233"/>
    <d v="2015-08-12T00:00:00"/>
    <s v="Standard Class"/>
    <x v="15"/>
    <s v="Matt Abelman"/>
    <x v="2"/>
    <s v="United States"/>
    <s v="Trenton"/>
    <x v="12"/>
    <n v="48183"/>
    <x v="2"/>
    <x v="1104"/>
    <x v="0"/>
    <x v="5"/>
    <x v="1093"/>
    <x v="3632"/>
    <x v="6"/>
    <x v="2"/>
  </r>
  <r>
    <n v="5073"/>
    <x v="2509"/>
    <x v="233"/>
    <d v="2015-08-12T00:00:00"/>
    <s v="Standard Class"/>
    <x v="15"/>
    <s v="Matt Abelman"/>
    <x v="2"/>
    <s v="United States"/>
    <s v="Trenton"/>
    <x v="12"/>
    <n v="48183"/>
    <x v="2"/>
    <x v="1521"/>
    <x v="2"/>
    <x v="7"/>
    <x v="1508"/>
    <x v="3633"/>
    <x v="6"/>
    <x v="2"/>
  </r>
  <r>
    <n v="5074"/>
    <x v="2510"/>
    <x v="599"/>
    <d v="2016-11-05T00:00:00"/>
    <s v="Same Day"/>
    <x v="594"/>
    <s v="Justin MacKendrick"/>
    <x v="0"/>
    <s v="United States"/>
    <s v="San Francisco"/>
    <x v="1"/>
    <n v="94109"/>
    <x v="1"/>
    <x v="953"/>
    <x v="1"/>
    <x v="4"/>
    <x v="946"/>
    <x v="3634"/>
    <x v="0"/>
    <x v="1"/>
  </r>
  <r>
    <n v="5075"/>
    <x v="2511"/>
    <x v="1016"/>
    <d v="2018-04-29T00:00:00"/>
    <s v="Second Class"/>
    <x v="469"/>
    <s v="Mick Brown"/>
    <x v="0"/>
    <s v="United States"/>
    <s v="Los Angeles"/>
    <x v="1"/>
    <n v="90049"/>
    <x v="1"/>
    <x v="530"/>
    <x v="1"/>
    <x v="8"/>
    <x v="530"/>
    <x v="1150"/>
    <x v="3"/>
    <x v="3"/>
  </r>
  <r>
    <n v="5076"/>
    <x v="2512"/>
    <x v="1017"/>
    <d v="2015-04-22T00:00:00"/>
    <s v="Second Class"/>
    <x v="277"/>
    <s v="Seth Vernon"/>
    <x v="0"/>
    <s v="United States"/>
    <s v="Houston"/>
    <x v="5"/>
    <n v="77070"/>
    <x v="2"/>
    <x v="214"/>
    <x v="0"/>
    <x v="3"/>
    <x v="215"/>
    <x v="3635"/>
    <x v="3"/>
    <x v="2"/>
  </r>
  <r>
    <n v="5077"/>
    <x v="2512"/>
    <x v="1017"/>
    <d v="2015-04-22T00:00:00"/>
    <s v="Second Class"/>
    <x v="277"/>
    <s v="Seth Vernon"/>
    <x v="0"/>
    <s v="United States"/>
    <s v="Houston"/>
    <x v="5"/>
    <n v="77070"/>
    <x v="2"/>
    <x v="602"/>
    <x v="1"/>
    <x v="4"/>
    <x v="602"/>
    <x v="3636"/>
    <x v="3"/>
    <x v="2"/>
  </r>
  <r>
    <n v="5078"/>
    <x v="2512"/>
    <x v="1017"/>
    <d v="2015-04-22T00:00:00"/>
    <s v="Second Class"/>
    <x v="277"/>
    <s v="Seth Vernon"/>
    <x v="0"/>
    <s v="United States"/>
    <s v="Houston"/>
    <x v="5"/>
    <n v="77070"/>
    <x v="2"/>
    <x v="1666"/>
    <x v="0"/>
    <x v="3"/>
    <x v="1654"/>
    <x v="3637"/>
    <x v="3"/>
    <x v="2"/>
  </r>
  <r>
    <n v="5079"/>
    <x v="2513"/>
    <x v="343"/>
    <d v="2018-11-17T00:00:00"/>
    <s v="Standard Class"/>
    <x v="344"/>
    <s v="Catherine Glotzbach"/>
    <x v="2"/>
    <s v="United States"/>
    <s v="Milwaukee"/>
    <x v="6"/>
    <n v="53209"/>
    <x v="2"/>
    <x v="525"/>
    <x v="1"/>
    <x v="8"/>
    <x v="525"/>
    <x v="2556"/>
    <x v="0"/>
    <x v="3"/>
  </r>
  <r>
    <n v="5080"/>
    <x v="2514"/>
    <x v="920"/>
    <d v="2018-11-29T00:00:00"/>
    <s v="Standard Class"/>
    <x v="214"/>
    <s v="Bradley Drucker"/>
    <x v="0"/>
    <s v="United States"/>
    <s v="San Francisco"/>
    <x v="1"/>
    <n v="94122"/>
    <x v="1"/>
    <x v="1248"/>
    <x v="0"/>
    <x v="0"/>
    <x v="1334"/>
    <x v="3638"/>
    <x v="0"/>
    <x v="3"/>
  </r>
  <r>
    <n v="5081"/>
    <x v="2514"/>
    <x v="920"/>
    <d v="2018-11-29T00:00:00"/>
    <s v="Standard Class"/>
    <x v="214"/>
    <s v="Bradley Drucker"/>
    <x v="0"/>
    <s v="United States"/>
    <s v="San Francisco"/>
    <x v="1"/>
    <n v="94122"/>
    <x v="1"/>
    <x v="470"/>
    <x v="1"/>
    <x v="4"/>
    <x v="471"/>
    <x v="3639"/>
    <x v="0"/>
    <x v="3"/>
  </r>
  <r>
    <n v="5082"/>
    <x v="2515"/>
    <x v="217"/>
    <d v="2016-12-18T00:00:00"/>
    <s v="Same Day"/>
    <x v="82"/>
    <s v="Jim Kriz"/>
    <x v="2"/>
    <s v="United States"/>
    <s v="Cleveland"/>
    <x v="24"/>
    <n v="44105"/>
    <x v="3"/>
    <x v="490"/>
    <x v="1"/>
    <x v="10"/>
    <x v="490"/>
    <x v="557"/>
    <x v="4"/>
    <x v="1"/>
  </r>
  <r>
    <n v="5083"/>
    <x v="2516"/>
    <x v="162"/>
    <d v="2017-09-12T00:00:00"/>
    <s v="Standard Class"/>
    <x v="758"/>
    <s v="Jill Matthias"/>
    <x v="0"/>
    <s v="United States"/>
    <s v="Monroe"/>
    <x v="3"/>
    <n v="28110"/>
    <x v="0"/>
    <x v="916"/>
    <x v="2"/>
    <x v="11"/>
    <x v="908"/>
    <x v="200"/>
    <x v="8"/>
    <x v="0"/>
  </r>
  <r>
    <n v="5084"/>
    <x v="2516"/>
    <x v="162"/>
    <d v="2017-09-12T00:00:00"/>
    <s v="Standard Class"/>
    <x v="758"/>
    <s v="Jill Matthias"/>
    <x v="0"/>
    <s v="United States"/>
    <s v="Monroe"/>
    <x v="3"/>
    <n v="28110"/>
    <x v="0"/>
    <x v="982"/>
    <x v="1"/>
    <x v="10"/>
    <x v="975"/>
    <x v="2779"/>
    <x v="8"/>
    <x v="0"/>
  </r>
  <r>
    <n v="5085"/>
    <x v="2517"/>
    <x v="112"/>
    <d v="2017-06-09T00:00:00"/>
    <s v="Second Class"/>
    <x v="554"/>
    <s v="Scot Coram"/>
    <x v="1"/>
    <s v="United States"/>
    <s v="Lowell"/>
    <x v="31"/>
    <n v="1852"/>
    <x v="3"/>
    <x v="779"/>
    <x v="1"/>
    <x v="10"/>
    <x v="778"/>
    <x v="151"/>
    <x v="1"/>
    <x v="0"/>
  </r>
  <r>
    <n v="5086"/>
    <x v="2518"/>
    <x v="974"/>
    <d v="2016-06-23T00:00:00"/>
    <s v="Standard Class"/>
    <x v="467"/>
    <s v="Maria Etezadi"/>
    <x v="2"/>
    <s v="United States"/>
    <s v="Dallas"/>
    <x v="5"/>
    <n v="75081"/>
    <x v="2"/>
    <x v="497"/>
    <x v="1"/>
    <x v="8"/>
    <x v="497"/>
    <x v="3640"/>
    <x v="1"/>
    <x v="1"/>
  </r>
  <r>
    <n v="5087"/>
    <x v="2519"/>
    <x v="616"/>
    <d v="2016-03-09T00:00:00"/>
    <s v="Standard Class"/>
    <x v="471"/>
    <s v="Katherine Nockton"/>
    <x v="1"/>
    <s v="United States"/>
    <s v="Philadelphia"/>
    <x v="9"/>
    <n v="19120"/>
    <x v="3"/>
    <x v="1720"/>
    <x v="2"/>
    <x v="7"/>
    <x v="1707"/>
    <x v="3641"/>
    <x v="10"/>
    <x v="1"/>
  </r>
  <r>
    <n v="5088"/>
    <x v="2519"/>
    <x v="616"/>
    <d v="2016-03-09T00:00:00"/>
    <s v="Standard Class"/>
    <x v="471"/>
    <s v="Katherine Nockton"/>
    <x v="1"/>
    <s v="United States"/>
    <s v="Philadelphia"/>
    <x v="9"/>
    <n v="19120"/>
    <x v="3"/>
    <x v="553"/>
    <x v="2"/>
    <x v="11"/>
    <x v="552"/>
    <x v="3642"/>
    <x v="10"/>
    <x v="1"/>
  </r>
  <r>
    <n v="5089"/>
    <x v="2519"/>
    <x v="616"/>
    <d v="2016-03-09T00:00:00"/>
    <s v="Standard Class"/>
    <x v="471"/>
    <s v="Katherine Nockton"/>
    <x v="1"/>
    <s v="United States"/>
    <s v="Philadelphia"/>
    <x v="9"/>
    <n v="19120"/>
    <x v="3"/>
    <x v="798"/>
    <x v="1"/>
    <x v="8"/>
    <x v="796"/>
    <x v="3643"/>
    <x v="10"/>
    <x v="1"/>
  </r>
  <r>
    <n v="5090"/>
    <x v="2520"/>
    <x v="1018"/>
    <d v="2018-08-07T00:00:00"/>
    <s v="First Class"/>
    <x v="447"/>
    <s v="Harry Marie"/>
    <x v="1"/>
    <s v="United States"/>
    <s v="Loveland"/>
    <x v="22"/>
    <n v="80538"/>
    <x v="1"/>
    <x v="1383"/>
    <x v="1"/>
    <x v="10"/>
    <x v="1369"/>
    <x v="885"/>
    <x v="6"/>
    <x v="3"/>
  </r>
  <r>
    <n v="5091"/>
    <x v="2520"/>
    <x v="1018"/>
    <d v="2018-08-07T00:00:00"/>
    <s v="First Class"/>
    <x v="447"/>
    <s v="Harry Marie"/>
    <x v="1"/>
    <s v="United States"/>
    <s v="Loveland"/>
    <x v="22"/>
    <n v="80538"/>
    <x v="1"/>
    <x v="598"/>
    <x v="1"/>
    <x v="12"/>
    <x v="598"/>
    <x v="1370"/>
    <x v="6"/>
    <x v="3"/>
  </r>
  <r>
    <n v="5092"/>
    <x v="2521"/>
    <x v="247"/>
    <d v="2019-01-03T00:00:00"/>
    <s v="Standard Class"/>
    <x v="758"/>
    <s v="Jill Matthias"/>
    <x v="0"/>
    <s v="United States"/>
    <s v="Loveland"/>
    <x v="22"/>
    <n v="80538"/>
    <x v="1"/>
    <x v="242"/>
    <x v="1"/>
    <x v="13"/>
    <x v="243"/>
    <x v="3644"/>
    <x v="4"/>
    <x v="3"/>
  </r>
  <r>
    <n v="5093"/>
    <x v="2522"/>
    <x v="293"/>
    <d v="2016-05-27T00:00:00"/>
    <s v="Standard Class"/>
    <x v="120"/>
    <s v="Kristen Hastings"/>
    <x v="1"/>
    <s v="United States"/>
    <s v="Woonsocket"/>
    <x v="34"/>
    <n v="2895"/>
    <x v="3"/>
    <x v="456"/>
    <x v="1"/>
    <x v="4"/>
    <x v="457"/>
    <x v="488"/>
    <x v="5"/>
    <x v="1"/>
  </r>
  <r>
    <n v="5094"/>
    <x v="2523"/>
    <x v="776"/>
    <d v="2015-12-10T00:00:00"/>
    <s v="Standard Class"/>
    <x v="318"/>
    <s v="Berenike Kampe"/>
    <x v="0"/>
    <s v="United States"/>
    <s v="Chicago"/>
    <x v="10"/>
    <n v="60610"/>
    <x v="2"/>
    <x v="1297"/>
    <x v="1"/>
    <x v="9"/>
    <x v="1282"/>
    <x v="260"/>
    <x v="4"/>
    <x v="2"/>
  </r>
  <r>
    <n v="5095"/>
    <x v="2523"/>
    <x v="776"/>
    <d v="2015-12-10T00:00:00"/>
    <s v="Standard Class"/>
    <x v="318"/>
    <s v="Berenike Kampe"/>
    <x v="0"/>
    <s v="United States"/>
    <s v="Chicago"/>
    <x v="10"/>
    <n v="60610"/>
    <x v="2"/>
    <x v="838"/>
    <x v="0"/>
    <x v="3"/>
    <x v="832"/>
    <x v="2439"/>
    <x v="4"/>
    <x v="2"/>
  </r>
  <r>
    <n v="5096"/>
    <x v="2523"/>
    <x v="776"/>
    <d v="2015-12-10T00:00:00"/>
    <s v="Standard Class"/>
    <x v="318"/>
    <s v="Berenike Kampe"/>
    <x v="0"/>
    <s v="United States"/>
    <s v="Chicago"/>
    <x v="10"/>
    <n v="60610"/>
    <x v="2"/>
    <x v="850"/>
    <x v="2"/>
    <x v="7"/>
    <x v="843"/>
    <x v="1896"/>
    <x v="4"/>
    <x v="2"/>
  </r>
  <r>
    <n v="5097"/>
    <x v="2523"/>
    <x v="776"/>
    <d v="2015-12-10T00:00:00"/>
    <s v="Standard Class"/>
    <x v="318"/>
    <s v="Berenike Kampe"/>
    <x v="0"/>
    <s v="United States"/>
    <s v="Chicago"/>
    <x v="10"/>
    <n v="60610"/>
    <x v="2"/>
    <x v="1104"/>
    <x v="0"/>
    <x v="5"/>
    <x v="1093"/>
    <x v="2168"/>
    <x v="4"/>
    <x v="2"/>
  </r>
  <r>
    <n v="5098"/>
    <x v="2523"/>
    <x v="776"/>
    <d v="2015-12-10T00:00:00"/>
    <s v="Standard Class"/>
    <x v="318"/>
    <s v="Berenike Kampe"/>
    <x v="0"/>
    <s v="United States"/>
    <s v="Chicago"/>
    <x v="10"/>
    <n v="60610"/>
    <x v="2"/>
    <x v="1023"/>
    <x v="1"/>
    <x v="8"/>
    <x v="1014"/>
    <x v="3645"/>
    <x v="4"/>
    <x v="2"/>
  </r>
  <r>
    <n v="5099"/>
    <x v="2523"/>
    <x v="776"/>
    <d v="2015-12-10T00:00:00"/>
    <s v="Standard Class"/>
    <x v="318"/>
    <s v="Berenike Kampe"/>
    <x v="0"/>
    <s v="United States"/>
    <s v="Chicago"/>
    <x v="10"/>
    <n v="60610"/>
    <x v="2"/>
    <x v="210"/>
    <x v="1"/>
    <x v="4"/>
    <x v="211"/>
    <x v="200"/>
    <x v="4"/>
    <x v="2"/>
  </r>
  <r>
    <n v="5100"/>
    <x v="2524"/>
    <x v="976"/>
    <d v="2016-08-12T00:00:00"/>
    <s v="Standard Class"/>
    <x v="43"/>
    <s v="Parhena Norris"/>
    <x v="2"/>
    <s v="United States"/>
    <s v="Bakersfield"/>
    <x v="1"/>
    <n v="93309"/>
    <x v="1"/>
    <x v="416"/>
    <x v="1"/>
    <x v="8"/>
    <x v="416"/>
    <x v="3646"/>
    <x v="6"/>
    <x v="1"/>
  </r>
  <r>
    <n v="5101"/>
    <x v="2525"/>
    <x v="461"/>
    <d v="2015-03-17T00:00:00"/>
    <s v="Same Day"/>
    <x v="616"/>
    <s v="Annie Zypern"/>
    <x v="0"/>
    <s v="United States"/>
    <s v="Dallas"/>
    <x v="5"/>
    <n v="75217"/>
    <x v="2"/>
    <x v="324"/>
    <x v="1"/>
    <x v="6"/>
    <x v="324"/>
    <x v="2999"/>
    <x v="10"/>
    <x v="2"/>
  </r>
  <r>
    <n v="5102"/>
    <x v="2525"/>
    <x v="461"/>
    <d v="2015-03-17T00:00:00"/>
    <s v="Same Day"/>
    <x v="616"/>
    <s v="Annie Zypern"/>
    <x v="0"/>
    <s v="United States"/>
    <s v="Dallas"/>
    <x v="5"/>
    <n v="75217"/>
    <x v="2"/>
    <x v="727"/>
    <x v="1"/>
    <x v="10"/>
    <x v="1552"/>
    <x v="1170"/>
    <x v="10"/>
    <x v="2"/>
  </r>
  <r>
    <n v="5103"/>
    <x v="2525"/>
    <x v="461"/>
    <d v="2015-03-17T00:00:00"/>
    <s v="Same Day"/>
    <x v="616"/>
    <s v="Annie Zypern"/>
    <x v="0"/>
    <s v="United States"/>
    <s v="Dallas"/>
    <x v="5"/>
    <n v="75217"/>
    <x v="2"/>
    <x v="12"/>
    <x v="1"/>
    <x v="10"/>
    <x v="12"/>
    <x v="12"/>
    <x v="10"/>
    <x v="2"/>
  </r>
  <r>
    <n v="5104"/>
    <x v="2526"/>
    <x v="514"/>
    <d v="2016-03-30T00:00:00"/>
    <s v="Second Class"/>
    <x v="421"/>
    <s v="Gene McClure"/>
    <x v="0"/>
    <s v="United States"/>
    <s v="Philadelphia"/>
    <x v="9"/>
    <n v="19140"/>
    <x v="3"/>
    <x v="144"/>
    <x v="1"/>
    <x v="10"/>
    <x v="145"/>
    <x v="2648"/>
    <x v="10"/>
    <x v="1"/>
  </r>
  <r>
    <n v="5105"/>
    <x v="2526"/>
    <x v="514"/>
    <d v="2016-03-30T00:00:00"/>
    <s v="Second Class"/>
    <x v="421"/>
    <s v="Gene McClure"/>
    <x v="0"/>
    <s v="United States"/>
    <s v="Philadelphia"/>
    <x v="9"/>
    <n v="19140"/>
    <x v="3"/>
    <x v="60"/>
    <x v="2"/>
    <x v="11"/>
    <x v="60"/>
    <x v="3549"/>
    <x v="10"/>
    <x v="1"/>
  </r>
  <r>
    <n v="5106"/>
    <x v="2527"/>
    <x v="637"/>
    <d v="2015-12-20T00:00:00"/>
    <s v="Standard Class"/>
    <x v="298"/>
    <s v="Bryan Mills"/>
    <x v="0"/>
    <s v="United States"/>
    <s v="Deltona"/>
    <x v="2"/>
    <n v="32725"/>
    <x v="0"/>
    <x v="1340"/>
    <x v="0"/>
    <x v="1"/>
    <x v="1325"/>
    <x v="3647"/>
    <x v="4"/>
    <x v="2"/>
  </r>
  <r>
    <n v="5107"/>
    <x v="2528"/>
    <x v="444"/>
    <d v="2016-09-26T00:00:00"/>
    <s v="Standard Class"/>
    <x v="468"/>
    <s v="Nicole Hansen"/>
    <x v="1"/>
    <s v="United States"/>
    <s v="Columbus"/>
    <x v="32"/>
    <n v="31907"/>
    <x v="0"/>
    <x v="1350"/>
    <x v="2"/>
    <x v="11"/>
    <x v="1336"/>
    <x v="3648"/>
    <x v="8"/>
    <x v="1"/>
  </r>
  <r>
    <n v="5108"/>
    <x v="2529"/>
    <x v="1016"/>
    <d v="2018-04-26T00:00:00"/>
    <s v="First Class"/>
    <x v="43"/>
    <s v="Parhena Norris"/>
    <x v="2"/>
    <s v="United States"/>
    <s v="Nashville"/>
    <x v="18"/>
    <n v="37211"/>
    <x v="0"/>
    <x v="512"/>
    <x v="1"/>
    <x v="6"/>
    <x v="512"/>
    <x v="2078"/>
    <x v="3"/>
    <x v="3"/>
  </r>
  <r>
    <n v="5109"/>
    <x v="2529"/>
    <x v="1016"/>
    <d v="2018-04-26T00:00:00"/>
    <s v="First Class"/>
    <x v="43"/>
    <s v="Parhena Norris"/>
    <x v="2"/>
    <s v="United States"/>
    <s v="Nashville"/>
    <x v="18"/>
    <n v="37211"/>
    <x v="0"/>
    <x v="207"/>
    <x v="1"/>
    <x v="6"/>
    <x v="208"/>
    <x v="3649"/>
    <x v="3"/>
    <x v="3"/>
  </r>
  <r>
    <n v="5110"/>
    <x v="2530"/>
    <x v="638"/>
    <d v="2015-10-22T00:00:00"/>
    <s v="Standard Class"/>
    <x v="553"/>
    <s v="Edward Hooks"/>
    <x v="1"/>
    <s v="United States"/>
    <s v="Philadelphia"/>
    <x v="9"/>
    <n v="19134"/>
    <x v="3"/>
    <x v="466"/>
    <x v="1"/>
    <x v="12"/>
    <x v="467"/>
    <x v="501"/>
    <x v="2"/>
    <x v="2"/>
  </r>
  <r>
    <n v="5111"/>
    <x v="2530"/>
    <x v="638"/>
    <d v="2015-10-22T00:00:00"/>
    <s v="Standard Class"/>
    <x v="553"/>
    <s v="Edward Hooks"/>
    <x v="1"/>
    <s v="United States"/>
    <s v="Philadelphia"/>
    <x v="9"/>
    <n v="19134"/>
    <x v="3"/>
    <x v="41"/>
    <x v="1"/>
    <x v="4"/>
    <x v="41"/>
    <x v="3650"/>
    <x v="2"/>
    <x v="2"/>
  </r>
  <r>
    <n v="5112"/>
    <x v="2530"/>
    <x v="638"/>
    <d v="2015-10-22T00:00:00"/>
    <s v="Standard Class"/>
    <x v="553"/>
    <s v="Edward Hooks"/>
    <x v="1"/>
    <s v="United States"/>
    <s v="Philadelphia"/>
    <x v="9"/>
    <n v="19134"/>
    <x v="3"/>
    <x v="1407"/>
    <x v="1"/>
    <x v="10"/>
    <x v="1394"/>
    <x v="3651"/>
    <x v="2"/>
    <x v="2"/>
  </r>
  <r>
    <n v="5113"/>
    <x v="2531"/>
    <x v="50"/>
    <d v="2016-11-13T00:00:00"/>
    <s v="Same Day"/>
    <x v="456"/>
    <s v="Helen Abelman"/>
    <x v="0"/>
    <s v="United States"/>
    <s v="Chicago"/>
    <x v="10"/>
    <n v="60610"/>
    <x v="2"/>
    <x v="1721"/>
    <x v="0"/>
    <x v="5"/>
    <x v="1708"/>
    <x v="3652"/>
    <x v="0"/>
    <x v="1"/>
  </r>
  <r>
    <n v="5114"/>
    <x v="2532"/>
    <x v="1011"/>
    <d v="2017-02-02T00:00:00"/>
    <s v="Second Class"/>
    <x v="492"/>
    <s v="Aimee Bixby"/>
    <x v="0"/>
    <s v="United States"/>
    <s v="Dallas"/>
    <x v="5"/>
    <n v="75220"/>
    <x v="2"/>
    <x v="1307"/>
    <x v="1"/>
    <x v="10"/>
    <x v="1292"/>
    <x v="12"/>
    <x v="9"/>
    <x v="0"/>
  </r>
  <r>
    <n v="5115"/>
    <x v="2533"/>
    <x v="1019"/>
    <d v="2017-11-22T00:00:00"/>
    <s v="Standard Class"/>
    <x v="333"/>
    <s v="Maribeth Schnelling"/>
    <x v="0"/>
    <s v="United States"/>
    <s v="Carlsbad"/>
    <x v="27"/>
    <n v="88220"/>
    <x v="1"/>
    <x v="307"/>
    <x v="1"/>
    <x v="8"/>
    <x v="307"/>
    <x v="2168"/>
    <x v="0"/>
    <x v="0"/>
  </r>
  <r>
    <n v="5116"/>
    <x v="2534"/>
    <x v="800"/>
    <d v="2018-07-29T00:00:00"/>
    <s v="Standard Class"/>
    <x v="732"/>
    <s v="Dorothy Dickinson"/>
    <x v="0"/>
    <s v="United States"/>
    <s v="Philadelphia"/>
    <x v="9"/>
    <n v="19134"/>
    <x v="3"/>
    <x v="1722"/>
    <x v="1"/>
    <x v="2"/>
    <x v="1709"/>
    <x v="106"/>
    <x v="7"/>
    <x v="3"/>
  </r>
  <r>
    <n v="5117"/>
    <x v="2535"/>
    <x v="343"/>
    <d v="2018-11-17T00:00:00"/>
    <s v="Standard Class"/>
    <x v="363"/>
    <s v="Meg Tillman"/>
    <x v="0"/>
    <s v="United States"/>
    <s v="New York City"/>
    <x v="15"/>
    <n v="10009"/>
    <x v="3"/>
    <x v="1032"/>
    <x v="1"/>
    <x v="4"/>
    <x v="1023"/>
    <x v="3653"/>
    <x v="0"/>
    <x v="3"/>
  </r>
  <r>
    <n v="5118"/>
    <x v="2536"/>
    <x v="120"/>
    <d v="2016-10-03T00:00:00"/>
    <s v="Standard Class"/>
    <x v="421"/>
    <s v="Gene McClure"/>
    <x v="0"/>
    <s v="United States"/>
    <s v="Oceanside"/>
    <x v="15"/>
    <n v="11572"/>
    <x v="3"/>
    <x v="271"/>
    <x v="1"/>
    <x v="13"/>
    <x v="271"/>
    <x v="799"/>
    <x v="8"/>
    <x v="1"/>
  </r>
  <r>
    <n v="5119"/>
    <x v="2536"/>
    <x v="120"/>
    <d v="2016-10-03T00:00:00"/>
    <s v="Standard Class"/>
    <x v="421"/>
    <s v="Gene McClure"/>
    <x v="0"/>
    <s v="United States"/>
    <s v="Oceanside"/>
    <x v="15"/>
    <n v="11572"/>
    <x v="3"/>
    <x v="1548"/>
    <x v="2"/>
    <x v="15"/>
    <x v="1536"/>
    <x v="3654"/>
    <x v="8"/>
    <x v="1"/>
  </r>
  <r>
    <n v="5120"/>
    <x v="2536"/>
    <x v="120"/>
    <d v="2016-10-03T00:00:00"/>
    <s v="Standard Class"/>
    <x v="421"/>
    <s v="Gene McClure"/>
    <x v="0"/>
    <s v="United States"/>
    <s v="Oceanside"/>
    <x v="15"/>
    <n v="11572"/>
    <x v="3"/>
    <x v="1045"/>
    <x v="1"/>
    <x v="8"/>
    <x v="1034"/>
    <x v="3655"/>
    <x v="8"/>
    <x v="1"/>
  </r>
  <r>
    <n v="5121"/>
    <x v="2537"/>
    <x v="527"/>
    <d v="2015-04-08T00:00:00"/>
    <s v="Standard Class"/>
    <x v="10"/>
    <s v="Ken Black"/>
    <x v="1"/>
    <s v="United States"/>
    <s v="Lafayette"/>
    <x v="28"/>
    <n v="70506"/>
    <x v="0"/>
    <x v="243"/>
    <x v="1"/>
    <x v="4"/>
    <x v="244"/>
    <x v="3656"/>
    <x v="3"/>
    <x v="2"/>
  </r>
  <r>
    <n v="5122"/>
    <x v="2537"/>
    <x v="527"/>
    <d v="2015-04-08T00:00:00"/>
    <s v="Standard Class"/>
    <x v="10"/>
    <s v="Ken Black"/>
    <x v="1"/>
    <s v="United States"/>
    <s v="Lafayette"/>
    <x v="28"/>
    <n v="70506"/>
    <x v="0"/>
    <x v="1135"/>
    <x v="2"/>
    <x v="11"/>
    <x v="1123"/>
    <x v="2564"/>
    <x v="3"/>
    <x v="2"/>
  </r>
  <r>
    <n v="5123"/>
    <x v="2537"/>
    <x v="527"/>
    <d v="2015-04-08T00:00:00"/>
    <s v="Standard Class"/>
    <x v="10"/>
    <s v="Ken Black"/>
    <x v="1"/>
    <s v="United States"/>
    <s v="Lafayette"/>
    <x v="28"/>
    <n v="70506"/>
    <x v="0"/>
    <x v="1723"/>
    <x v="1"/>
    <x v="10"/>
    <x v="1710"/>
    <x v="537"/>
    <x v="3"/>
    <x v="2"/>
  </r>
  <r>
    <n v="5124"/>
    <x v="2537"/>
    <x v="527"/>
    <d v="2015-04-08T00:00:00"/>
    <s v="Standard Class"/>
    <x v="10"/>
    <s v="Ken Black"/>
    <x v="1"/>
    <s v="United States"/>
    <s v="Lafayette"/>
    <x v="28"/>
    <n v="70506"/>
    <x v="0"/>
    <x v="727"/>
    <x v="1"/>
    <x v="10"/>
    <x v="1552"/>
    <x v="91"/>
    <x v="3"/>
    <x v="2"/>
  </r>
  <r>
    <n v="5125"/>
    <x v="2538"/>
    <x v="80"/>
    <d v="2015-09-14T00:00:00"/>
    <s v="Same Day"/>
    <x v="661"/>
    <s v="Darrin Martin"/>
    <x v="0"/>
    <s v="United States"/>
    <s v="New York City"/>
    <x v="15"/>
    <n v="10009"/>
    <x v="3"/>
    <x v="977"/>
    <x v="0"/>
    <x v="3"/>
    <x v="832"/>
    <x v="3657"/>
    <x v="8"/>
    <x v="2"/>
  </r>
  <r>
    <n v="5126"/>
    <x v="2538"/>
    <x v="80"/>
    <d v="2015-09-14T00:00:00"/>
    <s v="Same Day"/>
    <x v="661"/>
    <s v="Darrin Martin"/>
    <x v="0"/>
    <s v="United States"/>
    <s v="New York City"/>
    <x v="15"/>
    <n v="10009"/>
    <x v="3"/>
    <x v="706"/>
    <x v="1"/>
    <x v="12"/>
    <x v="153"/>
    <x v="3658"/>
    <x v="8"/>
    <x v="2"/>
  </r>
  <r>
    <n v="5127"/>
    <x v="2538"/>
    <x v="80"/>
    <d v="2015-09-14T00:00:00"/>
    <s v="Same Day"/>
    <x v="661"/>
    <s v="Darrin Martin"/>
    <x v="0"/>
    <s v="United States"/>
    <s v="New York City"/>
    <x v="15"/>
    <n v="10009"/>
    <x v="3"/>
    <x v="814"/>
    <x v="2"/>
    <x v="15"/>
    <x v="810"/>
    <x v="2430"/>
    <x v="8"/>
    <x v="2"/>
  </r>
  <r>
    <n v="5128"/>
    <x v="2538"/>
    <x v="80"/>
    <d v="2015-09-14T00:00:00"/>
    <s v="Same Day"/>
    <x v="661"/>
    <s v="Darrin Martin"/>
    <x v="0"/>
    <s v="United States"/>
    <s v="New York City"/>
    <x v="15"/>
    <n v="10009"/>
    <x v="3"/>
    <x v="227"/>
    <x v="1"/>
    <x v="9"/>
    <x v="228"/>
    <x v="3659"/>
    <x v="8"/>
    <x v="2"/>
  </r>
  <r>
    <n v="5129"/>
    <x v="2538"/>
    <x v="80"/>
    <d v="2015-09-14T00:00:00"/>
    <s v="Same Day"/>
    <x v="661"/>
    <s v="Darrin Martin"/>
    <x v="0"/>
    <s v="United States"/>
    <s v="New York City"/>
    <x v="15"/>
    <n v="10009"/>
    <x v="3"/>
    <x v="1259"/>
    <x v="2"/>
    <x v="7"/>
    <x v="1243"/>
    <x v="2141"/>
    <x v="8"/>
    <x v="2"/>
  </r>
  <r>
    <n v="5130"/>
    <x v="2538"/>
    <x v="80"/>
    <d v="2015-09-14T00:00:00"/>
    <s v="Same Day"/>
    <x v="661"/>
    <s v="Darrin Martin"/>
    <x v="0"/>
    <s v="United States"/>
    <s v="New York City"/>
    <x v="15"/>
    <n v="10009"/>
    <x v="3"/>
    <x v="1485"/>
    <x v="2"/>
    <x v="7"/>
    <x v="1472"/>
    <x v="1158"/>
    <x v="8"/>
    <x v="2"/>
  </r>
  <r>
    <n v="5131"/>
    <x v="2538"/>
    <x v="80"/>
    <d v="2015-09-14T00:00:00"/>
    <s v="Same Day"/>
    <x v="661"/>
    <s v="Darrin Martin"/>
    <x v="0"/>
    <s v="United States"/>
    <s v="New York City"/>
    <x v="15"/>
    <n v="10009"/>
    <x v="3"/>
    <x v="1463"/>
    <x v="1"/>
    <x v="10"/>
    <x v="1449"/>
    <x v="3660"/>
    <x v="8"/>
    <x v="2"/>
  </r>
  <r>
    <n v="5132"/>
    <x v="2539"/>
    <x v="614"/>
    <d v="2019-01-05T00:00:00"/>
    <s v="Standard Class"/>
    <x v="130"/>
    <s v="Ben Peterman"/>
    <x v="1"/>
    <s v="United States"/>
    <s v="Anaheim"/>
    <x v="1"/>
    <n v="92804"/>
    <x v="1"/>
    <x v="1308"/>
    <x v="0"/>
    <x v="5"/>
    <x v="1293"/>
    <x v="3661"/>
    <x v="4"/>
    <x v="3"/>
  </r>
  <r>
    <n v="5133"/>
    <x v="2540"/>
    <x v="1020"/>
    <d v="2016-06-27T00:00:00"/>
    <s v="Standard Class"/>
    <x v="212"/>
    <s v="Emily Phan"/>
    <x v="0"/>
    <s v="United States"/>
    <s v="Deltona"/>
    <x v="2"/>
    <n v="32725"/>
    <x v="0"/>
    <x v="817"/>
    <x v="2"/>
    <x v="7"/>
    <x v="813"/>
    <x v="3662"/>
    <x v="1"/>
    <x v="1"/>
  </r>
  <r>
    <n v="5134"/>
    <x v="2541"/>
    <x v="200"/>
    <d v="2018-11-30T00:00:00"/>
    <s v="Standard Class"/>
    <x v="435"/>
    <s v="Frank Gastineau"/>
    <x v="2"/>
    <s v="United States"/>
    <s v="New York City"/>
    <x v="15"/>
    <n v="10009"/>
    <x v="3"/>
    <x v="1612"/>
    <x v="1"/>
    <x v="9"/>
    <x v="1603"/>
    <x v="3663"/>
    <x v="0"/>
    <x v="3"/>
  </r>
  <r>
    <n v="5135"/>
    <x v="2541"/>
    <x v="200"/>
    <d v="2018-11-30T00:00:00"/>
    <s v="Standard Class"/>
    <x v="435"/>
    <s v="Frank Gastineau"/>
    <x v="2"/>
    <s v="United States"/>
    <s v="New York City"/>
    <x v="15"/>
    <n v="10009"/>
    <x v="3"/>
    <x v="705"/>
    <x v="1"/>
    <x v="8"/>
    <x v="705"/>
    <x v="3664"/>
    <x v="0"/>
    <x v="3"/>
  </r>
  <r>
    <n v="5136"/>
    <x v="2542"/>
    <x v="248"/>
    <d v="2017-10-28T00:00:00"/>
    <s v="Standard Class"/>
    <x v="437"/>
    <s v="Alejandro Ballentine"/>
    <x v="2"/>
    <s v="United States"/>
    <s v="Seattle"/>
    <x v="4"/>
    <n v="98103"/>
    <x v="1"/>
    <x v="263"/>
    <x v="1"/>
    <x v="13"/>
    <x v="263"/>
    <x v="3665"/>
    <x v="2"/>
    <x v="0"/>
  </r>
  <r>
    <n v="5137"/>
    <x v="2543"/>
    <x v="639"/>
    <d v="2016-12-19T00:00:00"/>
    <s v="Standard Class"/>
    <x v="502"/>
    <s v="Rick Duston"/>
    <x v="0"/>
    <s v="United States"/>
    <s v="San Diego"/>
    <x v="1"/>
    <n v="92105"/>
    <x v="1"/>
    <x v="881"/>
    <x v="1"/>
    <x v="8"/>
    <x v="875"/>
    <x v="3666"/>
    <x v="4"/>
    <x v="1"/>
  </r>
  <r>
    <n v="5138"/>
    <x v="2544"/>
    <x v="373"/>
    <d v="2017-11-17T00:00:00"/>
    <s v="Standard Class"/>
    <x v="747"/>
    <s v="Tom Stivers"/>
    <x v="1"/>
    <s v="United States"/>
    <s v="Oklahoma City"/>
    <x v="26"/>
    <n v="73120"/>
    <x v="2"/>
    <x v="560"/>
    <x v="0"/>
    <x v="5"/>
    <x v="559"/>
    <x v="631"/>
    <x v="0"/>
    <x v="0"/>
  </r>
  <r>
    <n v="5139"/>
    <x v="2545"/>
    <x v="365"/>
    <d v="2018-10-05T00:00:00"/>
    <s v="Standard Class"/>
    <x v="350"/>
    <s v="Joseph Airdo"/>
    <x v="0"/>
    <s v="United States"/>
    <s v="Mount Vernon"/>
    <x v="15"/>
    <n v="10550"/>
    <x v="3"/>
    <x v="837"/>
    <x v="1"/>
    <x v="12"/>
    <x v="153"/>
    <x v="1005"/>
    <x v="8"/>
    <x v="3"/>
  </r>
  <r>
    <n v="5140"/>
    <x v="2545"/>
    <x v="365"/>
    <d v="2018-10-05T00:00:00"/>
    <s v="Standard Class"/>
    <x v="350"/>
    <s v="Joseph Airdo"/>
    <x v="0"/>
    <s v="United States"/>
    <s v="Mount Vernon"/>
    <x v="15"/>
    <n v="10550"/>
    <x v="3"/>
    <x v="1540"/>
    <x v="1"/>
    <x v="10"/>
    <x v="1528"/>
    <x v="3667"/>
    <x v="8"/>
    <x v="3"/>
  </r>
  <r>
    <n v="5141"/>
    <x v="2546"/>
    <x v="627"/>
    <d v="2016-11-12T00:00:00"/>
    <s v="Standard Class"/>
    <x v="517"/>
    <s v="Shaun Weien"/>
    <x v="0"/>
    <s v="United States"/>
    <s v="San Francisco"/>
    <x v="1"/>
    <n v="94109"/>
    <x v="1"/>
    <x v="259"/>
    <x v="2"/>
    <x v="11"/>
    <x v="259"/>
    <x v="3668"/>
    <x v="0"/>
    <x v="1"/>
  </r>
  <r>
    <n v="5142"/>
    <x v="2547"/>
    <x v="178"/>
    <d v="2017-04-05T00:00:00"/>
    <s v="Standard Class"/>
    <x v="224"/>
    <s v="Frank Preis"/>
    <x v="0"/>
    <s v="United States"/>
    <s v="New York City"/>
    <x v="15"/>
    <n v="10009"/>
    <x v="3"/>
    <x v="1"/>
    <x v="0"/>
    <x v="1"/>
    <x v="1"/>
    <x v="3669"/>
    <x v="3"/>
    <x v="0"/>
  </r>
  <r>
    <n v="5143"/>
    <x v="2547"/>
    <x v="178"/>
    <d v="2017-04-05T00:00:00"/>
    <s v="Standard Class"/>
    <x v="224"/>
    <s v="Frank Preis"/>
    <x v="0"/>
    <s v="United States"/>
    <s v="New York City"/>
    <x v="15"/>
    <n v="10009"/>
    <x v="3"/>
    <x v="1444"/>
    <x v="1"/>
    <x v="14"/>
    <x v="327"/>
    <x v="1534"/>
    <x v="3"/>
    <x v="0"/>
  </r>
  <r>
    <n v="5144"/>
    <x v="2547"/>
    <x v="178"/>
    <d v="2017-04-05T00:00:00"/>
    <s v="Standard Class"/>
    <x v="224"/>
    <s v="Frank Preis"/>
    <x v="0"/>
    <s v="United States"/>
    <s v="New York City"/>
    <x v="15"/>
    <n v="10009"/>
    <x v="3"/>
    <x v="307"/>
    <x v="1"/>
    <x v="8"/>
    <x v="307"/>
    <x v="3183"/>
    <x v="3"/>
    <x v="0"/>
  </r>
  <r>
    <n v="5145"/>
    <x v="2548"/>
    <x v="62"/>
    <d v="2018-02-07T00:00:00"/>
    <s v="Standard Class"/>
    <x v="252"/>
    <s v="John Lee"/>
    <x v="0"/>
    <s v="United States"/>
    <s v="Los Angeles"/>
    <x v="1"/>
    <n v="90045"/>
    <x v="1"/>
    <x v="484"/>
    <x v="0"/>
    <x v="5"/>
    <x v="484"/>
    <x v="3670"/>
    <x v="11"/>
    <x v="3"/>
  </r>
  <r>
    <n v="5146"/>
    <x v="2548"/>
    <x v="62"/>
    <d v="2018-02-07T00:00:00"/>
    <s v="Standard Class"/>
    <x v="252"/>
    <s v="John Lee"/>
    <x v="0"/>
    <s v="United States"/>
    <s v="Los Angeles"/>
    <x v="1"/>
    <n v="90045"/>
    <x v="1"/>
    <x v="1156"/>
    <x v="1"/>
    <x v="4"/>
    <x v="1144"/>
    <x v="3671"/>
    <x v="11"/>
    <x v="3"/>
  </r>
  <r>
    <n v="5147"/>
    <x v="2548"/>
    <x v="62"/>
    <d v="2018-02-07T00:00:00"/>
    <s v="Standard Class"/>
    <x v="252"/>
    <s v="John Lee"/>
    <x v="0"/>
    <s v="United States"/>
    <s v="Los Angeles"/>
    <x v="1"/>
    <n v="90045"/>
    <x v="1"/>
    <x v="1267"/>
    <x v="1"/>
    <x v="9"/>
    <x v="1251"/>
    <x v="1039"/>
    <x v="11"/>
    <x v="3"/>
  </r>
  <r>
    <n v="5148"/>
    <x v="2549"/>
    <x v="165"/>
    <d v="2018-12-31T00:00:00"/>
    <s v="Standard Class"/>
    <x v="311"/>
    <s v="James Lanier"/>
    <x v="2"/>
    <s v="United States"/>
    <s v="Chandler"/>
    <x v="16"/>
    <n v="85224"/>
    <x v="1"/>
    <x v="1565"/>
    <x v="0"/>
    <x v="5"/>
    <x v="1556"/>
    <x v="1076"/>
    <x v="4"/>
    <x v="3"/>
  </r>
  <r>
    <n v="5149"/>
    <x v="2549"/>
    <x v="165"/>
    <d v="2018-12-31T00:00:00"/>
    <s v="Standard Class"/>
    <x v="311"/>
    <s v="James Lanier"/>
    <x v="2"/>
    <s v="United States"/>
    <s v="Chandler"/>
    <x v="16"/>
    <n v="85224"/>
    <x v="1"/>
    <x v="654"/>
    <x v="0"/>
    <x v="1"/>
    <x v="654"/>
    <x v="3672"/>
    <x v="4"/>
    <x v="3"/>
  </r>
  <r>
    <n v="5150"/>
    <x v="2550"/>
    <x v="261"/>
    <d v="2015-06-21T00:00:00"/>
    <s v="Same Day"/>
    <x v="506"/>
    <s v="James Galang"/>
    <x v="0"/>
    <s v="United States"/>
    <s v="Long Beach"/>
    <x v="15"/>
    <n v="11561"/>
    <x v="3"/>
    <x v="1246"/>
    <x v="2"/>
    <x v="7"/>
    <x v="1230"/>
    <x v="3673"/>
    <x v="1"/>
    <x v="2"/>
  </r>
  <r>
    <n v="5151"/>
    <x v="2551"/>
    <x v="904"/>
    <d v="2018-03-10T00:00:00"/>
    <s v="Second Class"/>
    <x v="64"/>
    <s v="Sally Hughsby"/>
    <x v="1"/>
    <s v="United States"/>
    <s v="San Francisco"/>
    <x v="1"/>
    <n v="94109"/>
    <x v="1"/>
    <x v="298"/>
    <x v="1"/>
    <x v="4"/>
    <x v="298"/>
    <x v="3674"/>
    <x v="10"/>
    <x v="3"/>
  </r>
  <r>
    <n v="5152"/>
    <x v="2552"/>
    <x v="145"/>
    <d v="2018-09-28T00:00:00"/>
    <s v="First Class"/>
    <x v="624"/>
    <s v="Luke Schmidt"/>
    <x v="1"/>
    <s v="United States"/>
    <s v="Helena"/>
    <x v="37"/>
    <n v="59601"/>
    <x v="1"/>
    <x v="861"/>
    <x v="1"/>
    <x v="4"/>
    <x v="855"/>
    <x v="1749"/>
    <x v="8"/>
    <x v="3"/>
  </r>
  <r>
    <n v="5153"/>
    <x v="2553"/>
    <x v="479"/>
    <d v="2015-07-06T00:00:00"/>
    <s v="Standard Class"/>
    <x v="750"/>
    <s v="Cari Schnelling"/>
    <x v="0"/>
    <s v="United States"/>
    <s v="New York City"/>
    <x v="15"/>
    <n v="10011"/>
    <x v="3"/>
    <x v="472"/>
    <x v="1"/>
    <x v="8"/>
    <x v="473"/>
    <x v="638"/>
    <x v="1"/>
    <x v="2"/>
  </r>
  <r>
    <n v="5154"/>
    <x v="2553"/>
    <x v="479"/>
    <d v="2015-07-06T00:00:00"/>
    <s v="Standard Class"/>
    <x v="750"/>
    <s v="Cari Schnelling"/>
    <x v="0"/>
    <s v="United States"/>
    <s v="New York City"/>
    <x v="15"/>
    <n v="10011"/>
    <x v="3"/>
    <x v="208"/>
    <x v="1"/>
    <x v="6"/>
    <x v="209"/>
    <x v="3675"/>
    <x v="1"/>
    <x v="2"/>
  </r>
  <r>
    <n v="5155"/>
    <x v="2554"/>
    <x v="976"/>
    <d v="2016-08-08T00:00:00"/>
    <s v="First Class"/>
    <x v="608"/>
    <s v="Kelly Williams"/>
    <x v="0"/>
    <s v="United States"/>
    <s v="Kirkwood"/>
    <x v="25"/>
    <n v="63122"/>
    <x v="2"/>
    <x v="20"/>
    <x v="1"/>
    <x v="8"/>
    <x v="20"/>
    <x v="158"/>
    <x v="6"/>
    <x v="1"/>
  </r>
  <r>
    <n v="5156"/>
    <x v="2554"/>
    <x v="976"/>
    <d v="2016-08-08T00:00:00"/>
    <s v="First Class"/>
    <x v="608"/>
    <s v="Kelly Williams"/>
    <x v="0"/>
    <s v="United States"/>
    <s v="Kirkwood"/>
    <x v="25"/>
    <n v="63122"/>
    <x v="2"/>
    <x v="1460"/>
    <x v="0"/>
    <x v="5"/>
    <x v="1446"/>
    <x v="3609"/>
    <x v="6"/>
    <x v="1"/>
  </r>
  <r>
    <n v="5157"/>
    <x v="2555"/>
    <x v="160"/>
    <d v="2018-07-04T00:00:00"/>
    <s v="Second Class"/>
    <x v="689"/>
    <s v="Gary Hansen"/>
    <x v="2"/>
    <s v="United States"/>
    <s v="Chicago"/>
    <x v="10"/>
    <n v="60653"/>
    <x v="2"/>
    <x v="1718"/>
    <x v="2"/>
    <x v="7"/>
    <x v="1705"/>
    <x v="3676"/>
    <x v="1"/>
    <x v="3"/>
  </r>
  <r>
    <n v="5158"/>
    <x v="2555"/>
    <x v="160"/>
    <d v="2018-07-04T00:00:00"/>
    <s v="Second Class"/>
    <x v="689"/>
    <s v="Gary Hansen"/>
    <x v="2"/>
    <s v="United States"/>
    <s v="Chicago"/>
    <x v="10"/>
    <n v="60653"/>
    <x v="2"/>
    <x v="1631"/>
    <x v="0"/>
    <x v="1"/>
    <x v="1621"/>
    <x v="3677"/>
    <x v="1"/>
    <x v="3"/>
  </r>
  <r>
    <n v="5159"/>
    <x v="2555"/>
    <x v="160"/>
    <d v="2018-07-04T00:00:00"/>
    <s v="Second Class"/>
    <x v="689"/>
    <s v="Gary Hansen"/>
    <x v="2"/>
    <s v="United States"/>
    <s v="Chicago"/>
    <x v="10"/>
    <n v="60653"/>
    <x v="2"/>
    <x v="90"/>
    <x v="0"/>
    <x v="5"/>
    <x v="90"/>
    <x v="3678"/>
    <x v="1"/>
    <x v="3"/>
  </r>
  <r>
    <n v="5160"/>
    <x v="2556"/>
    <x v="662"/>
    <d v="2016-10-30T00:00:00"/>
    <s v="Second Class"/>
    <x v="122"/>
    <s v="Andrew Gjertsen"/>
    <x v="1"/>
    <s v="United States"/>
    <s v="Peoria"/>
    <x v="16"/>
    <n v="85345"/>
    <x v="1"/>
    <x v="194"/>
    <x v="2"/>
    <x v="7"/>
    <x v="195"/>
    <x v="550"/>
    <x v="2"/>
    <x v="1"/>
  </r>
  <r>
    <n v="5161"/>
    <x v="2556"/>
    <x v="662"/>
    <d v="2016-10-30T00:00:00"/>
    <s v="Second Class"/>
    <x v="122"/>
    <s v="Andrew Gjertsen"/>
    <x v="1"/>
    <s v="United States"/>
    <s v="Peoria"/>
    <x v="16"/>
    <n v="85345"/>
    <x v="1"/>
    <x v="1300"/>
    <x v="2"/>
    <x v="7"/>
    <x v="1285"/>
    <x v="3679"/>
    <x v="2"/>
    <x v="1"/>
  </r>
  <r>
    <n v="5162"/>
    <x v="2557"/>
    <x v="1021"/>
    <d v="2015-08-05T00:00:00"/>
    <s v="Standard Class"/>
    <x v="747"/>
    <s v="Tom Stivers"/>
    <x v="1"/>
    <s v="United States"/>
    <s v="Seattle"/>
    <x v="4"/>
    <n v="98103"/>
    <x v="1"/>
    <x v="1528"/>
    <x v="0"/>
    <x v="0"/>
    <x v="1515"/>
    <x v="3680"/>
    <x v="7"/>
    <x v="2"/>
  </r>
  <r>
    <n v="5163"/>
    <x v="2558"/>
    <x v="741"/>
    <d v="2017-11-23T00:00:00"/>
    <s v="Second Class"/>
    <x v="219"/>
    <s v="Ashley Jarboe"/>
    <x v="0"/>
    <s v="United States"/>
    <s v="Taylor"/>
    <x v="12"/>
    <n v="48180"/>
    <x v="2"/>
    <x v="83"/>
    <x v="0"/>
    <x v="1"/>
    <x v="83"/>
    <x v="85"/>
    <x v="0"/>
    <x v="0"/>
  </r>
  <r>
    <n v="5164"/>
    <x v="2559"/>
    <x v="380"/>
    <d v="2016-07-11T00:00:00"/>
    <s v="Standard Class"/>
    <x v="695"/>
    <s v="Sarah Jordon"/>
    <x v="0"/>
    <s v="United States"/>
    <s v="Pasadena"/>
    <x v="1"/>
    <n v="91104"/>
    <x v="1"/>
    <x v="56"/>
    <x v="0"/>
    <x v="1"/>
    <x v="56"/>
    <x v="2932"/>
    <x v="7"/>
    <x v="1"/>
  </r>
  <r>
    <n v="5165"/>
    <x v="2560"/>
    <x v="849"/>
    <d v="2015-11-16T00:00:00"/>
    <s v="Standard Class"/>
    <x v="710"/>
    <s v="Sam Craven"/>
    <x v="0"/>
    <s v="United States"/>
    <s v="Midland"/>
    <x v="12"/>
    <n v="48640"/>
    <x v="2"/>
    <x v="130"/>
    <x v="1"/>
    <x v="6"/>
    <x v="1544"/>
    <x v="2769"/>
    <x v="0"/>
    <x v="2"/>
  </r>
  <r>
    <n v="5166"/>
    <x v="2560"/>
    <x v="849"/>
    <d v="2015-11-16T00:00:00"/>
    <s v="Standard Class"/>
    <x v="710"/>
    <s v="Sam Craven"/>
    <x v="0"/>
    <s v="United States"/>
    <s v="Midland"/>
    <x v="12"/>
    <n v="48640"/>
    <x v="2"/>
    <x v="1012"/>
    <x v="1"/>
    <x v="10"/>
    <x v="1004"/>
    <x v="1371"/>
    <x v="0"/>
    <x v="2"/>
  </r>
  <r>
    <n v="5167"/>
    <x v="2560"/>
    <x v="849"/>
    <d v="2015-11-16T00:00:00"/>
    <s v="Standard Class"/>
    <x v="710"/>
    <s v="Sam Craven"/>
    <x v="0"/>
    <s v="United States"/>
    <s v="Midland"/>
    <x v="12"/>
    <n v="48640"/>
    <x v="2"/>
    <x v="218"/>
    <x v="1"/>
    <x v="10"/>
    <x v="219"/>
    <x v="3329"/>
    <x v="0"/>
    <x v="2"/>
  </r>
  <r>
    <n v="5168"/>
    <x v="2560"/>
    <x v="849"/>
    <d v="2015-11-16T00:00:00"/>
    <s v="Standard Class"/>
    <x v="710"/>
    <s v="Sam Craven"/>
    <x v="0"/>
    <s v="United States"/>
    <s v="Midland"/>
    <x v="12"/>
    <n v="48640"/>
    <x v="2"/>
    <x v="499"/>
    <x v="0"/>
    <x v="1"/>
    <x v="499"/>
    <x v="3681"/>
    <x v="0"/>
    <x v="2"/>
  </r>
  <r>
    <n v="5169"/>
    <x v="2560"/>
    <x v="849"/>
    <d v="2015-11-16T00:00:00"/>
    <s v="Standard Class"/>
    <x v="710"/>
    <s v="Sam Craven"/>
    <x v="0"/>
    <s v="United States"/>
    <s v="Midland"/>
    <x v="12"/>
    <n v="48640"/>
    <x v="2"/>
    <x v="1018"/>
    <x v="1"/>
    <x v="4"/>
    <x v="1009"/>
    <x v="2714"/>
    <x v="0"/>
    <x v="2"/>
  </r>
  <r>
    <n v="5170"/>
    <x v="2560"/>
    <x v="849"/>
    <d v="2015-11-16T00:00:00"/>
    <s v="Standard Class"/>
    <x v="710"/>
    <s v="Sam Craven"/>
    <x v="0"/>
    <s v="United States"/>
    <s v="Midland"/>
    <x v="12"/>
    <n v="48640"/>
    <x v="2"/>
    <x v="518"/>
    <x v="1"/>
    <x v="4"/>
    <x v="518"/>
    <x v="3370"/>
    <x v="0"/>
    <x v="2"/>
  </r>
  <r>
    <n v="5171"/>
    <x v="2561"/>
    <x v="1022"/>
    <d v="2017-05-29T00:00:00"/>
    <s v="Second Class"/>
    <x v="156"/>
    <s v="Laura Armstrong"/>
    <x v="1"/>
    <s v="United States"/>
    <s v="Detroit"/>
    <x v="12"/>
    <n v="48205"/>
    <x v="2"/>
    <x v="483"/>
    <x v="0"/>
    <x v="1"/>
    <x v="483"/>
    <x v="3682"/>
    <x v="5"/>
    <x v="0"/>
  </r>
  <r>
    <n v="5172"/>
    <x v="2561"/>
    <x v="1022"/>
    <d v="2017-05-29T00:00:00"/>
    <s v="Second Class"/>
    <x v="156"/>
    <s v="Laura Armstrong"/>
    <x v="1"/>
    <s v="United States"/>
    <s v="Detroit"/>
    <x v="12"/>
    <n v="48205"/>
    <x v="2"/>
    <x v="694"/>
    <x v="1"/>
    <x v="10"/>
    <x v="694"/>
    <x v="3683"/>
    <x v="5"/>
    <x v="0"/>
  </r>
  <r>
    <n v="5173"/>
    <x v="2561"/>
    <x v="1022"/>
    <d v="2017-05-29T00:00:00"/>
    <s v="Second Class"/>
    <x v="156"/>
    <s v="Laura Armstrong"/>
    <x v="1"/>
    <s v="United States"/>
    <s v="Detroit"/>
    <x v="12"/>
    <n v="48205"/>
    <x v="2"/>
    <x v="921"/>
    <x v="1"/>
    <x v="10"/>
    <x v="913"/>
    <x v="1806"/>
    <x v="5"/>
    <x v="0"/>
  </r>
  <r>
    <n v="5174"/>
    <x v="2562"/>
    <x v="936"/>
    <d v="2016-03-10T00:00:00"/>
    <s v="First Class"/>
    <x v="712"/>
    <s v="Fred Chung"/>
    <x v="1"/>
    <s v="United States"/>
    <s v="Pueblo"/>
    <x v="22"/>
    <n v="81001"/>
    <x v="1"/>
    <x v="319"/>
    <x v="1"/>
    <x v="6"/>
    <x v="319"/>
    <x v="3684"/>
    <x v="10"/>
    <x v="1"/>
  </r>
  <r>
    <n v="5175"/>
    <x v="2563"/>
    <x v="15"/>
    <d v="2018-10-24T00:00:00"/>
    <s v="Standard Class"/>
    <x v="244"/>
    <s v="Christina Anderson"/>
    <x v="0"/>
    <s v="United States"/>
    <s v="Waco"/>
    <x v="5"/>
    <n v="76706"/>
    <x v="2"/>
    <x v="1472"/>
    <x v="1"/>
    <x v="8"/>
    <x v="1459"/>
    <x v="3685"/>
    <x v="2"/>
    <x v="3"/>
  </r>
  <r>
    <n v="5176"/>
    <x v="2563"/>
    <x v="15"/>
    <d v="2018-10-24T00:00:00"/>
    <s v="Standard Class"/>
    <x v="244"/>
    <s v="Christina Anderson"/>
    <x v="0"/>
    <s v="United States"/>
    <s v="Waco"/>
    <x v="5"/>
    <n v="76706"/>
    <x v="2"/>
    <x v="1627"/>
    <x v="0"/>
    <x v="0"/>
    <x v="1617"/>
    <x v="3686"/>
    <x v="2"/>
    <x v="3"/>
  </r>
  <r>
    <n v="5177"/>
    <x v="2564"/>
    <x v="732"/>
    <d v="2017-11-08T00:00:00"/>
    <s v="First Class"/>
    <x v="98"/>
    <s v="Joseph Holt"/>
    <x v="0"/>
    <s v="United States"/>
    <s v="San Francisco"/>
    <x v="1"/>
    <n v="94109"/>
    <x v="1"/>
    <x v="1197"/>
    <x v="1"/>
    <x v="8"/>
    <x v="1182"/>
    <x v="3687"/>
    <x v="0"/>
    <x v="0"/>
  </r>
  <r>
    <n v="5178"/>
    <x v="2565"/>
    <x v="482"/>
    <d v="2017-12-30T00:00:00"/>
    <s v="Standard Class"/>
    <x v="295"/>
    <s v="Anthony Johnson"/>
    <x v="1"/>
    <s v="United States"/>
    <s v="New York City"/>
    <x v="15"/>
    <n v="10024"/>
    <x v="3"/>
    <x v="255"/>
    <x v="1"/>
    <x v="8"/>
    <x v="256"/>
    <x v="3688"/>
    <x v="4"/>
    <x v="0"/>
  </r>
  <r>
    <n v="5179"/>
    <x v="2566"/>
    <x v="657"/>
    <d v="2016-04-19T00:00:00"/>
    <s v="Standard Class"/>
    <x v="387"/>
    <s v="Bill Tyler"/>
    <x v="1"/>
    <s v="United States"/>
    <s v="Los Angeles"/>
    <x v="1"/>
    <n v="90036"/>
    <x v="1"/>
    <x v="1155"/>
    <x v="0"/>
    <x v="5"/>
    <x v="1143"/>
    <x v="1015"/>
    <x v="3"/>
    <x v="1"/>
  </r>
  <r>
    <n v="5180"/>
    <x v="2566"/>
    <x v="657"/>
    <d v="2016-04-19T00:00:00"/>
    <s v="Standard Class"/>
    <x v="387"/>
    <s v="Bill Tyler"/>
    <x v="1"/>
    <s v="United States"/>
    <s v="Los Angeles"/>
    <x v="1"/>
    <n v="90036"/>
    <x v="1"/>
    <x v="297"/>
    <x v="2"/>
    <x v="7"/>
    <x v="297"/>
    <x v="3689"/>
    <x v="3"/>
    <x v="1"/>
  </r>
  <r>
    <n v="5181"/>
    <x v="2566"/>
    <x v="657"/>
    <d v="2016-04-19T00:00:00"/>
    <s v="Standard Class"/>
    <x v="387"/>
    <s v="Bill Tyler"/>
    <x v="1"/>
    <s v="United States"/>
    <s v="Los Angeles"/>
    <x v="1"/>
    <n v="90036"/>
    <x v="1"/>
    <x v="983"/>
    <x v="1"/>
    <x v="9"/>
    <x v="976"/>
    <x v="3690"/>
    <x v="3"/>
    <x v="1"/>
  </r>
  <r>
    <n v="5182"/>
    <x v="2567"/>
    <x v="510"/>
    <d v="2018-09-15T00:00:00"/>
    <s v="First Class"/>
    <x v="137"/>
    <s v="Don Jones"/>
    <x v="1"/>
    <s v="United States"/>
    <s v="Woonsocket"/>
    <x v="34"/>
    <n v="2895"/>
    <x v="3"/>
    <x v="1723"/>
    <x v="1"/>
    <x v="10"/>
    <x v="1710"/>
    <x v="1544"/>
    <x v="8"/>
    <x v="3"/>
  </r>
  <r>
    <n v="5183"/>
    <x v="2567"/>
    <x v="510"/>
    <d v="2018-09-15T00:00:00"/>
    <s v="First Class"/>
    <x v="137"/>
    <s v="Don Jones"/>
    <x v="1"/>
    <s v="United States"/>
    <s v="Woonsocket"/>
    <x v="34"/>
    <n v="2895"/>
    <x v="3"/>
    <x v="785"/>
    <x v="1"/>
    <x v="8"/>
    <x v="784"/>
    <x v="3691"/>
    <x v="8"/>
    <x v="3"/>
  </r>
  <r>
    <n v="5184"/>
    <x v="2568"/>
    <x v="241"/>
    <d v="2018-09-27T00:00:00"/>
    <s v="First Class"/>
    <x v="165"/>
    <s v="Anna Gayman"/>
    <x v="0"/>
    <s v="United States"/>
    <s v="Columbus"/>
    <x v="32"/>
    <n v="31907"/>
    <x v="0"/>
    <x v="1678"/>
    <x v="1"/>
    <x v="4"/>
    <x v="1666"/>
    <x v="2309"/>
    <x v="8"/>
    <x v="3"/>
  </r>
  <r>
    <n v="5185"/>
    <x v="2568"/>
    <x v="241"/>
    <d v="2018-09-27T00:00:00"/>
    <s v="First Class"/>
    <x v="165"/>
    <s v="Anna Gayman"/>
    <x v="0"/>
    <s v="United States"/>
    <s v="Columbus"/>
    <x v="32"/>
    <n v="31907"/>
    <x v="0"/>
    <x v="555"/>
    <x v="1"/>
    <x v="8"/>
    <x v="554"/>
    <x v="3692"/>
    <x v="8"/>
    <x v="3"/>
  </r>
  <r>
    <n v="5186"/>
    <x v="2569"/>
    <x v="998"/>
    <d v="2016-10-15T00:00:00"/>
    <s v="Standard Class"/>
    <x v="479"/>
    <s v="John Dryer"/>
    <x v="0"/>
    <s v="United States"/>
    <s v="Jacksonville"/>
    <x v="2"/>
    <n v="32216"/>
    <x v="0"/>
    <x v="458"/>
    <x v="1"/>
    <x v="4"/>
    <x v="459"/>
    <x v="2084"/>
    <x v="2"/>
    <x v="1"/>
  </r>
  <r>
    <n v="5187"/>
    <x v="2570"/>
    <x v="154"/>
    <d v="2016-12-03T00:00:00"/>
    <s v="Standard Class"/>
    <x v="258"/>
    <s v="Eugene Hildebrand"/>
    <x v="2"/>
    <s v="United States"/>
    <s v="Philadelphia"/>
    <x v="9"/>
    <n v="19140"/>
    <x v="3"/>
    <x v="1594"/>
    <x v="2"/>
    <x v="7"/>
    <x v="1586"/>
    <x v="3693"/>
    <x v="0"/>
    <x v="1"/>
  </r>
  <r>
    <n v="5188"/>
    <x v="2571"/>
    <x v="1023"/>
    <d v="2016-09-18T00:00:00"/>
    <s v="Standard Class"/>
    <x v="233"/>
    <s v="Zuschuss Carroll"/>
    <x v="0"/>
    <s v="United States"/>
    <s v="Columbus"/>
    <x v="14"/>
    <n v="47201"/>
    <x v="2"/>
    <x v="959"/>
    <x v="2"/>
    <x v="11"/>
    <x v="952"/>
    <x v="1743"/>
    <x v="8"/>
    <x v="1"/>
  </r>
  <r>
    <n v="5189"/>
    <x v="2571"/>
    <x v="1023"/>
    <d v="2016-09-18T00:00:00"/>
    <s v="Standard Class"/>
    <x v="233"/>
    <s v="Zuschuss Carroll"/>
    <x v="0"/>
    <s v="United States"/>
    <s v="Columbus"/>
    <x v="14"/>
    <n v="47201"/>
    <x v="2"/>
    <x v="377"/>
    <x v="0"/>
    <x v="1"/>
    <x v="378"/>
    <x v="3694"/>
    <x v="8"/>
    <x v="1"/>
  </r>
  <r>
    <n v="5190"/>
    <x v="2572"/>
    <x v="237"/>
    <d v="2018-11-18T00:00:00"/>
    <s v="Standard Class"/>
    <x v="190"/>
    <s v="Xylona Preis"/>
    <x v="0"/>
    <s v="United States"/>
    <s v="Pasadena"/>
    <x v="5"/>
    <n v="77506"/>
    <x v="2"/>
    <x v="1067"/>
    <x v="2"/>
    <x v="11"/>
    <x v="1056"/>
    <x v="3695"/>
    <x v="0"/>
    <x v="3"/>
  </r>
  <r>
    <n v="5191"/>
    <x v="2572"/>
    <x v="237"/>
    <d v="2018-11-18T00:00:00"/>
    <s v="Standard Class"/>
    <x v="190"/>
    <s v="Xylona Preis"/>
    <x v="0"/>
    <s v="United States"/>
    <s v="Pasadena"/>
    <x v="5"/>
    <n v="77506"/>
    <x v="2"/>
    <x v="1473"/>
    <x v="1"/>
    <x v="6"/>
    <x v="1460"/>
    <x v="3696"/>
    <x v="0"/>
    <x v="3"/>
  </r>
  <r>
    <n v="5192"/>
    <x v="2573"/>
    <x v="1024"/>
    <d v="2018-05-09T00:00:00"/>
    <s v="Standard Class"/>
    <x v="213"/>
    <s v="Darren Koutras"/>
    <x v="0"/>
    <s v="United States"/>
    <s v="San Francisco"/>
    <x v="1"/>
    <n v="94122"/>
    <x v="1"/>
    <x v="1724"/>
    <x v="1"/>
    <x v="12"/>
    <x v="1711"/>
    <x v="3697"/>
    <x v="5"/>
    <x v="3"/>
  </r>
  <r>
    <n v="5193"/>
    <x v="2574"/>
    <x v="683"/>
    <d v="2015-12-01T00:00:00"/>
    <s v="Second Class"/>
    <x v="294"/>
    <s v="Chris Selesnick"/>
    <x v="1"/>
    <s v="United States"/>
    <s v="Columbia"/>
    <x v="20"/>
    <n v="29203"/>
    <x v="0"/>
    <x v="124"/>
    <x v="0"/>
    <x v="5"/>
    <x v="125"/>
    <x v="3698"/>
    <x v="0"/>
    <x v="2"/>
  </r>
  <r>
    <n v="5194"/>
    <x v="2574"/>
    <x v="683"/>
    <d v="2015-12-01T00:00:00"/>
    <s v="Second Class"/>
    <x v="294"/>
    <s v="Chris Selesnick"/>
    <x v="1"/>
    <s v="United States"/>
    <s v="Columbia"/>
    <x v="20"/>
    <n v="29203"/>
    <x v="0"/>
    <x v="1635"/>
    <x v="1"/>
    <x v="10"/>
    <x v="1625"/>
    <x v="2937"/>
    <x v="0"/>
    <x v="2"/>
  </r>
  <r>
    <n v="5195"/>
    <x v="2574"/>
    <x v="683"/>
    <d v="2015-12-01T00:00:00"/>
    <s v="Second Class"/>
    <x v="294"/>
    <s v="Chris Selesnick"/>
    <x v="1"/>
    <s v="United States"/>
    <s v="Columbia"/>
    <x v="20"/>
    <n v="29203"/>
    <x v="0"/>
    <x v="346"/>
    <x v="1"/>
    <x v="6"/>
    <x v="346"/>
    <x v="1317"/>
    <x v="0"/>
    <x v="2"/>
  </r>
  <r>
    <n v="5196"/>
    <x v="2574"/>
    <x v="683"/>
    <d v="2015-12-01T00:00:00"/>
    <s v="Second Class"/>
    <x v="294"/>
    <s v="Chris Selesnick"/>
    <x v="1"/>
    <s v="United States"/>
    <s v="Columbia"/>
    <x v="20"/>
    <n v="29203"/>
    <x v="0"/>
    <x v="338"/>
    <x v="1"/>
    <x v="8"/>
    <x v="338"/>
    <x v="2070"/>
    <x v="0"/>
    <x v="2"/>
  </r>
  <r>
    <n v="5197"/>
    <x v="2575"/>
    <x v="1025"/>
    <d v="2015-05-15T00:00:00"/>
    <s v="Standard Class"/>
    <x v="482"/>
    <s v="Arianne Irving"/>
    <x v="0"/>
    <s v="United States"/>
    <s v="Kent"/>
    <x v="4"/>
    <n v="98031"/>
    <x v="1"/>
    <x v="439"/>
    <x v="1"/>
    <x v="12"/>
    <x v="439"/>
    <x v="3699"/>
    <x v="5"/>
    <x v="2"/>
  </r>
  <r>
    <n v="5198"/>
    <x v="2575"/>
    <x v="1025"/>
    <d v="2015-05-15T00:00:00"/>
    <s v="Standard Class"/>
    <x v="482"/>
    <s v="Arianne Irving"/>
    <x v="0"/>
    <s v="United States"/>
    <s v="Kent"/>
    <x v="4"/>
    <n v="98031"/>
    <x v="1"/>
    <x v="47"/>
    <x v="2"/>
    <x v="7"/>
    <x v="47"/>
    <x v="3477"/>
    <x v="5"/>
    <x v="2"/>
  </r>
  <r>
    <n v="5199"/>
    <x v="2576"/>
    <x v="840"/>
    <d v="2017-03-08T00:00:00"/>
    <s v="Standard Class"/>
    <x v="397"/>
    <s v="Alex Avila"/>
    <x v="0"/>
    <s v="United States"/>
    <s v="Round Rock"/>
    <x v="5"/>
    <n v="78664"/>
    <x v="2"/>
    <x v="1359"/>
    <x v="1"/>
    <x v="14"/>
    <x v="1345"/>
    <x v="3700"/>
    <x v="10"/>
    <x v="0"/>
  </r>
  <r>
    <n v="5200"/>
    <x v="2576"/>
    <x v="840"/>
    <d v="2017-03-08T00:00:00"/>
    <s v="Standard Class"/>
    <x v="397"/>
    <s v="Alex Avila"/>
    <x v="0"/>
    <s v="United States"/>
    <s v="Round Rock"/>
    <x v="5"/>
    <n v="78664"/>
    <x v="2"/>
    <x v="1579"/>
    <x v="1"/>
    <x v="13"/>
    <x v="1570"/>
    <x v="2060"/>
    <x v="10"/>
    <x v="0"/>
  </r>
  <r>
    <n v="5201"/>
    <x v="2576"/>
    <x v="840"/>
    <d v="2017-03-08T00:00:00"/>
    <s v="Standard Class"/>
    <x v="397"/>
    <s v="Alex Avila"/>
    <x v="0"/>
    <s v="United States"/>
    <s v="Round Rock"/>
    <x v="5"/>
    <n v="78664"/>
    <x v="2"/>
    <x v="1149"/>
    <x v="2"/>
    <x v="7"/>
    <x v="1137"/>
    <x v="2087"/>
    <x v="10"/>
    <x v="0"/>
  </r>
  <r>
    <n v="5202"/>
    <x v="2576"/>
    <x v="840"/>
    <d v="2017-03-08T00:00:00"/>
    <s v="Standard Class"/>
    <x v="397"/>
    <s v="Alex Avila"/>
    <x v="0"/>
    <s v="United States"/>
    <s v="Round Rock"/>
    <x v="5"/>
    <n v="78664"/>
    <x v="2"/>
    <x v="540"/>
    <x v="2"/>
    <x v="11"/>
    <x v="540"/>
    <x v="1818"/>
    <x v="10"/>
    <x v="0"/>
  </r>
  <r>
    <n v="5203"/>
    <x v="2577"/>
    <x v="762"/>
    <d v="2016-08-19T00:00:00"/>
    <s v="Standard Class"/>
    <x v="681"/>
    <s v="Richard Eichhorn"/>
    <x v="0"/>
    <s v="United States"/>
    <s v="Oakland"/>
    <x v="1"/>
    <n v="94601"/>
    <x v="1"/>
    <x v="943"/>
    <x v="0"/>
    <x v="5"/>
    <x v="936"/>
    <x v="3701"/>
    <x v="6"/>
    <x v="1"/>
  </r>
  <r>
    <n v="5204"/>
    <x v="2577"/>
    <x v="762"/>
    <d v="2016-08-19T00:00:00"/>
    <s v="Standard Class"/>
    <x v="681"/>
    <s v="Richard Eichhorn"/>
    <x v="0"/>
    <s v="United States"/>
    <s v="Oakland"/>
    <x v="1"/>
    <n v="94601"/>
    <x v="1"/>
    <x v="1247"/>
    <x v="1"/>
    <x v="4"/>
    <x v="1231"/>
    <x v="3702"/>
    <x v="6"/>
    <x v="1"/>
  </r>
  <r>
    <n v="5205"/>
    <x v="2578"/>
    <x v="811"/>
    <d v="2016-09-18T00:00:00"/>
    <s v="Standard Class"/>
    <x v="612"/>
    <s v="Tamara Manning"/>
    <x v="0"/>
    <s v="United States"/>
    <s v="Auburn"/>
    <x v="15"/>
    <n v="13021"/>
    <x v="3"/>
    <x v="182"/>
    <x v="1"/>
    <x v="6"/>
    <x v="183"/>
    <x v="1553"/>
    <x v="8"/>
    <x v="1"/>
  </r>
  <r>
    <n v="5206"/>
    <x v="2578"/>
    <x v="811"/>
    <d v="2016-09-18T00:00:00"/>
    <s v="Standard Class"/>
    <x v="612"/>
    <s v="Tamara Manning"/>
    <x v="0"/>
    <s v="United States"/>
    <s v="Auburn"/>
    <x v="15"/>
    <n v="13021"/>
    <x v="3"/>
    <x v="45"/>
    <x v="1"/>
    <x v="4"/>
    <x v="45"/>
    <x v="2746"/>
    <x v="8"/>
    <x v="1"/>
  </r>
  <r>
    <n v="5207"/>
    <x v="2578"/>
    <x v="811"/>
    <d v="2016-09-18T00:00:00"/>
    <s v="Standard Class"/>
    <x v="612"/>
    <s v="Tamara Manning"/>
    <x v="0"/>
    <s v="United States"/>
    <s v="Auburn"/>
    <x v="15"/>
    <n v="13021"/>
    <x v="3"/>
    <x v="310"/>
    <x v="1"/>
    <x v="13"/>
    <x v="310"/>
    <x v="3703"/>
    <x v="8"/>
    <x v="1"/>
  </r>
  <r>
    <n v="5208"/>
    <x v="2578"/>
    <x v="811"/>
    <d v="2016-09-18T00:00:00"/>
    <s v="Standard Class"/>
    <x v="612"/>
    <s v="Tamara Manning"/>
    <x v="0"/>
    <s v="United States"/>
    <s v="Auburn"/>
    <x v="15"/>
    <n v="13021"/>
    <x v="3"/>
    <x v="254"/>
    <x v="1"/>
    <x v="2"/>
    <x v="255"/>
    <x v="343"/>
    <x v="8"/>
    <x v="1"/>
  </r>
  <r>
    <n v="5209"/>
    <x v="2578"/>
    <x v="811"/>
    <d v="2016-09-18T00:00:00"/>
    <s v="Standard Class"/>
    <x v="612"/>
    <s v="Tamara Manning"/>
    <x v="0"/>
    <s v="United States"/>
    <s v="Auburn"/>
    <x v="15"/>
    <n v="13021"/>
    <x v="3"/>
    <x v="1010"/>
    <x v="1"/>
    <x v="10"/>
    <x v="1002"/>
    <x v="978"/>
    <x v="8"/>
    <x v="1"/>
  </r>
  <r>
    <n v="5210"/>
    <x v="2578"/>
    <x v="811"/>
    <d v="2016-09-18T00:00:00"/>
    <s v="Standard Class"/>
    <x v="612"/>
    <s v="Tamara Manning"/>
    <x v="0"/>
    <s v="United States"/>
    <s v="Auburn"/>
    <x v="15"/>
    <n v="13021"/>
    <x v="3"/>
    <x v="113"/>
    <x v="1"/>
    <x v="12"/>
    <x v="113"/>
    <x v="3274"/>
    <x v="8"/>
    <x v="1"/>
  </r>
  <r>
    <n v="5211"/>
    <x v="2579"/>
    <x v="1026"/>
    <d v="2016-01-18T00:00:00"/>
    <s v="Standard Class"/>
    <x v="453"/>
    <s v="Yana Sorensen"/>
    <x v="1"/>
    <s v="United States"/>
    <s v="Newark"/>
    <x v="13"/>
    <n v="19711"/>
    <x v="3"/>
    <x v="1449"/>
    <x v="1"/>
    <x v="4"/>
    <x v="1436"/>
    <x v="2776"/>
    <x v="9"/>
    <x v="1"/>
  </r>
  <r>
    <n v="5212"/>
    <x v="2580"/>
    <x v="793"/>
    <d v="2016-05-16T00:00:00"/>
    <s v="Second Class"/>
    <x v="616"/>
    <s v="Annie Zypern"/>
    <x v="0"/>
    <s v="United States"/>
    <s v="New York City"/>
    <x v="15"/>
    <n v="10024"/>
    <x v="3"/>
    <x v="762"/>
    <x v="1"/>
    <x v="4"/>
    <x v="761"/>
    <x v="898"/>
    <x v="5"/>
    <x v="1"/>
  </r>
  <r>
    <n v="5213"/>
    <x v="2581"/>
    <x v="182"/>
    <d v="2017-09-26T00:00:00"/>
    <s v="Same Day"/>
    <x v="320"/>
    <s v="Chuck Magee"/>
    <x v="0"/>
    <s v="United States"/>
    <s v="Redlands"/>
    <x v="1"/>
    <n v="92374"/>
    <x v="1"/>
    <x v="456"/>
    <x v="1"/>
    <x v="4"/>
    <x v="457"/>
    <x v="488"/>
    <x v="8"/>
    <x v="0"/>
  </r>
  <r>
    <n v="5214"/>
    <x v="2581"/>
    <x v="182"/>
    <d v="2017-09-26T00:00:00"/>
    <s v="Same Day"/>
    <x v="320"/>
    <s v="Chuck Magee"/>
    <x v="0"/>
    <s v="United States"/>
    <s v="Redlands"/>
    <x v="1"/>
    <n v="92374"/>
    <x v="1"/>
    <x v="948"/>
    <x v="1"/>
    <x v="2"/>
    <x v="941"/>
    <x v="1484"/>
    <x v="8"/>
    <x v="0"/>
  </r>
  <r>
    <n v="5215"/>
    <x v="2581"/>
    <x v="182"/>
    <d v="2017-09-26T00:00:00"/>
    <s v="Same Day"/>
    <x v="320"/>
    <s v="Chuck Magee"/>
    <x v="0"/>
    <s v="United States"/>
    <s v="Redlands"/>
    <x v="1"/>
    <n v="92374"/>
    <x v="1"/>
    <x v="1658"/>
    <x v="1"/>
    <x v="6"/>
    <x v="1646"/>
    <x v="3704"/>
    <x v="8"/>
    <x v="0"/>
  </r>
  <r>
    <n v="5216"/>
    <x v="2581"/>
    <x v="182"/>
    <d v="2017-09-26T00:00:00"/>
    <s v="Same Day"/>
    <x v="320"/>
    <s v="Chuck Magee"/>
    <x v="0"/>
    <s v="United States"/>
    <s v="Redlands"/>
    <x v="1"/>
    <n v="92374"/>
    <x v="1"/>
    <x v="457"/>
    <x v="1"/>
    <x v="10"/>
    <x v="458"/>
    <x v="2680"/>
    <x v="8"/>
    <x v="0"/>
  </r>
  <r>
    <n v="5217"/>
    <x v="2582"/>
    <x v="428"/>
    <d v="2018-09-15T00:00:00"/>
    <s v="Standard Class"/>
    <x v="677"/>
    <s v="Joy Bell-"/>
    <x v="0"/>
    <s v="United States"/>
    <s v="Roseville"/>
    <x v="12"/>
    <n v="48066"/>
    <x v="2"/>
    <x v="755"/>
    <x v="1"/>
    <x v="12"/>
    <x v="753"/>
    <x v="1897"/>
    <x v="8"/>
    <x v="3"/>
  </r>
  <r>
    <n v="5218"/>
    <x v="2583"/>
    <x v="4"/>
    <d v="2018-04-17T00:00:00"/>
    <s v="Second Class"/>
    <x v="374"/>
    <s v="Noel Staavos"/>
    <x v="1"/>
    <s v="United States"/>
    <s v="Los Angeles"/>
    <x v="1"/>
    <n v="90049"/>
    <x v="1"/>
    <x v="145"/>
    <x v="1"/>
    <x v="10"/>
    <x v="146"/>
    <x v="1204"/>
    <x v="3"/>
    <x v="3"/>
  </r>
  <r>
    <n v="5219"/>
    <x v="2584"/>
    <x v="193"/>
    <d v="2018-06-14T00:00:00"/>
    <s v="Standard Class"/>
    <x v="18"/>
    <s v="Linda Cazamias"/>
    <x v="1"/>
    <s v="United States"/>
    <s v="New York City"/>
    <x v="15"/>
    <n v="10011"/>
    <x v="3"/>
    <x v="59"/>
    <x v="1"/>
    <x v="6"/>
    <x v="59"/>
    <x v="3566"/>
    <x v="1"/>
    <x v="3"/>
  </r>
  <r>
    <n v="5220"/>
    <x v="2585"/>
    <x v="853"/>
    <d v="2018-09-01T00:00:00"/>
    <s v="Same Day"/>
    <x v="222"/>
    <s v="Cynthia Arntzen"/>
    <x v="0"/>
    <s v="United States"/>
    <s v="Detroit"/>
    <x v="12"/>
    <n v="48205"/>
    <x v="2"/>
    <x v="1459"/>
    <x v="0"/>
    <x v="1"/>
    <x v="1445"/>
    <x v="3705"/>
    <x v="8"/>
    <x v="3"/>
  </r>
  <r>
    <n v="5221"/>
    <x v="2586"/>
    <x v="1027"/>
    <d v="2015-06-20T00:00:00"/>
    <s v="Standard Class"/>
    <x v="676"/>
    <s v="Sharelle Roach"/>
    <x v="2"/>
    <s v="United States"/>
    <s v="Detroit"/>
    <x v="12"/>
    <n v="48234"/>
    <x v="2"/>
    <x v="1624"/>
    <x v="0"/>
    <x v="0"/>
    <x v="1614"/>
    <x v="3609"/>
    <x v="1"/>
    <x v="2"/>
  </r>
  <r>
    <n v="5222"/>
    <x v="2587"/>
    <x v="796"/>
    <d v="2018-05-22T00:00:00"/>
    <s v="Second Class"/>
    <x v="452"/>
    <s v="Paul Prost"/>
    <x v="2"/>
    <s v="United States"/>
    <s v="Springfield"/>
    <x v="25"/>
    <n v="65807"/>
    <x v="2"/>
    <x v="1725"/>
    <x v="1"/>
    <x v="9"/>
    <x v="1712"/>
    <x v="3706"/>
    <x v="5"/>
    <x v="3"/>
  </r>
  <r>
    <n v="5223"/>
    <x v="2587"/>
    <x v="796"/>
    <d v="2018-05-22T00:00:00"/>
    <s v="Second Class"/>
    <x v="452"/>
    <s v="Paul Prost"/>
    <x v="2"/>
    <s v="United States"/>
    <s v="Springfield"/>
    <x v="25"/>
    <n v="65807"/>
    <x v="2"/>
    <x v="461"/>
    <x v="2"/>
    <x v="7"/>
    <x v="462"/>
    <x v="1152"/>
    <x v="5"/>
    <x v="3"/>
  </r>
  <r>
    <n v="5224"/>
    <x v="2587"/>
    <x v="796"/>
    <d v="2018-05-22T00:00:00"/>
    <s v="Second Class"/>
    <x v="452"/>
    <s v="Paul Prost"/>
    <x v="2"/>
    <s v="United States"/>
    <s v="Springfield"/>
    <x v="25"/>
    <n v="65807"/>
    <x v="2"/>
    <x v="1488"/>
    <x v="1"/>
    <x v="8"/>
    <x v="1475"/>
    <x v="3707"/>
    <x v="5"/>
    <x v="3"/>
  </r>
  <r>
    <n v="5225"/>
    <x v="2588"/>
    <x v="510"/>
    <d v="2018-09-17T00:00:00"/>
    <s v="Second Class"/>
    <x v="622"/>
    <s v="John Murray"/>
    <x v="0"/>
    <s v="United States"/>
    <s v="Los Angeles"/>
    <x v="1"/>
    <n v="90036"/>
    <x v="1"/>
    <x v="417"/>
    <x v="1"/>
    <x v="10"/>
    <x v="417"/>
    <x v="1668"/>
    <x v="8"/>
    <x v="3"/>
  </r>
  <r>
    <n v="5226"/>
    <x v="2589"/>
    <x v="1028"/>
    <d v="2017-06-26T00:00:00"/>
    <s v="Standard Class"/>
    <x v="548"/>
    <s v="Adam Shillingsburg"/>
    <x v="0"/>
    <s v="United States"/>
    <s v="New York City"/>
    <x v="15"/>
    <n v="10011"/>
    <x v="3"/>
    <x v="1316"/>
    <x v="1"/>
    <x v="8"/>
    <x v="1302"/>
    <x v="3708"/>
    <x v="1"/>
    <x v="0"/>
  </r>
  <r>
    <n v="5227"/>
    <x v="2589"/>
    <x v="1028"/>
    <d v="2017-06-26T00:00:00"/>
    <s v="Standard Class"/>
    <x v="548"/>
    <s v="Adam Shillingsburg"/>
    <x v="0"/>
    <s v="United States"/>
    <s v="New York City"/>
    <x v="15"/>
    <n v="10011"/>
    <x v="3"/>
    <x v="1561"/>
    <x v="1"/>
    <x v="8"/>
    <x v="1551"/>
    <x v="3709"/>
    <x v="1"/>
    <x v="0"/>
  </r>
  <r>
    <n v="5228"/>
    <x v="2589"/>
    <x v="1028"/>
    <d v="2017-06-26T00:00:00"/>
    <s v="Standard Class"/>
    <x v="548"/>
    <s v="Adam Shillingsburg"/>
    <x v="0"/>
    <s v="United States"/>
    <s v="New York City"/>
    <x v="15"/>
    <n v="10011"/>
    <x v="3"/>
    <x v="587"/>
    <x v="0"/>
    <x v="0"/>
    <x v="587"/>
    <x v="3710"/>
    <x v="1"/>
    <x v="0"/>
  </r>
  <r>
    <n v="5229"/>
    <x v="2590"/>
    <x v="35"/>
    <d v="2015-12-01T00:00:00"/>
    <s v="Standard Class"/>
    <x v="60"/>
    <s v="Lindsay Shagiari"/>
    <x v="2"/>
    <s v="United States"/>
    <s v="San Francisco"/>
    <x v="1"/>
    <n v="94109"/>
    <x v="1"/>
    <x v="1522"/>
    <x v="1"/>
    <x v="10"/>
    <x v="1509"/>
    <x v="2597"/>
    <x v="0"/>
    <x v="2"/>
  </r>
  <r>
    <n v="5230"/>
    <x v="2591"/>
    <x v="498"/>
    <d v="2018-03-22T00:00:00"/>
    <s v="Second Class"/>
    <x v="193"/>
    <s v="Sue Ann Reed"/>
    <x v="0"/>
    <s v="United States"/>
    <s v="Fresno"/>
    <x v="1"/>
    <n v="93727"/>
    <x v="1"/>
    <x v="1316"/>
    <x v="1"/>
    <x v="8"/>
    <x v="1302"/>
    <x v="892"/>
    <x v="10"/>
    <x v="3"/>
  </r>
  <r>
    <n v="5231"/>
    <x v="2591"/>
    <x v="498"/>
    <d v="2018-03-22T00:00:00"/>
    <s v="Second Class"/>
    <x v="193"/>
    <s v="Sue Ann Reed"/>
    <x v="0"/>
    <s v="United States"/>
    <s v="Fresno"/>
    <x v="1"/>
    <n v="93727"/>
    <x v="1"/>
    <x v="616"/>
    <x v="0"/>
    <x v="3"/>
    <x v="616"/>
    <x v="936"/>
    <x v="10"/>
    <x v="3"/>
  </r>
  <r>
    <n v="5232"/>
    <x v="2591"/>
    <x v="498"/>
    <d v="2018-03-22T00:00:00"/>
    <s v="Second Class"/>
    <x v="193"/>
    <s v="Sue Ann Reed"/>
    <x v="0"/>
    <s v="United States"/>
    <s v="Fresno"/>
    <x v="1"/>
    <n v="93727"/>
    <x v="1"/>
    <x v="1435"/>
    <x v="0"/>
    <x v="5"/>
    <x v="1423"/>
    <x v="3711"/>
    <x v="10"/>
    <x v="3"/>
  </r>
  <r>
    <n v="5233"/>
    <x v="2591"/>
    <x v="498"/>
    <d v="2018-03-22T00:00:00"/>
    <s v="Second Class"/>
    <x v="193"/>
    <s v="Sue Ann Reed"/>
    <x v="0"/>
    <s v="United States"/>
    <s v="Fresno"/>
    <x v="1"/>
    <n v="93727"/>
    <x v="1"/>
    <x v="185"/>
    <x v="1"/>
    <x v="8"/>
    <x v="186"/>
    <x v="3712"/>
    <x v="10"/>
    <x v="3"/>
  </r>
  <r>
    <n v="5234"/>
    <x v="2592"/>
    <x v="638"/>
    <d v="2015-10-22T00:00:00"/>
    <s v="Standard Class"/>
    <x v="624"/>
    <s v="Luke Schmidt"/>
    <x v="1"/>
    <s v="United States"/>
    <s v="Texarkana"/>
    <x v="36"/>
    <n v="71854"/>
    <x v="0"/>
    <x v="1719"/>
    <x v="0"/>
    <x v="1"/>
    <x v="1706"/>
    <x v="3713"/>
    <x v="2"/>
    <x v="2"/>
  </r>
  <r>
    <n v="5235"/>
    <x v="2593"/>
    <x v="1029"/>
    <d v="2018-08-23T00:00:00"/>
    <s v="First Class"/>
    <x v="746"/>
    <s v="Tony Molinari"/>
    <x v="0"/>
    <s v="United States"/>
    <s v="San Francisco"/>
    <x v="1"/>
    <n v="94110"/>
    <x v="1"/>
    <x v="114"/>
    <x v="0"/>
    <x v="3"/>
    <x v="114"/>
    <x v="3714"/>
    <x v="6"/>
    <x v="3"/>
  </r>
  <r>
    <n v="5236"/>
    <x v="2594"/>
    <x v="258"/>
    <d v="2017-11-22T00:00:00"/>
    <s v="First Class"/>
    <x v="640"/>
    <s v="Tim Taslimi"/>
    <x v="1"/>
    <s v="United States"/>
    <s v="Indianapolis"/>
    <x v="14"/>
    <n v="46203"/>
    <x v="2"/>
    <x v="1549"/>
    <x v="1"/>
    <x v="9"/>
    <x v="1537"/>
    <x v="3715"/>
    <x v="0"/>
    <x v="0"/>
  </r>
  <r>
    <n v="5237"/>
    <x v="2595"/>
    <x v="59"/>
    <d v="2015-09-24T00:00:00"/>
    <s v="Standard Class"/>
    <x v="35"/>
    <s v="Duane Noonan"/>
    <x v="0"/>
    <s v="United States"/>
    <s v="Columbia"/>
    <x v="39"/>
    <n v="21044"/>
    <x v="3"/>
    <x v="859"/>
    <x v="0"/>
    <x v="5"/>
    <x v="853"/>
    <x v="3716"/>
    <x v="8"/>
    <x v="2"/>
  </r>
  <r>
    <n v="5238"/>
    <x v="2595"/>
    <x v="59"/>
    <d v="2015-09-24T00:00:00"/>
    <s v="Standard Class"/>
    <x v="35"/>
    <s v="Duane Noonan"/>
    <x v="0"/>
    <s v="United States"/>
    <s v="Columbia"/>
    <x v="39"/>
    <n v="21044"/>
    <x v="3"/>
    <x v="430"/>
    <x v="0"/>
    <x v="0"/>
    <x v="430"/>
    <x v="1033"/>
    <x v="8"/>
    <x v="2"/>
  </r>
  <r>
    <n v="5239"/>
    <x v="2595"/>
    <x v="59"/>
    <d v="2015-09-24T00:00:00"/>
    <s v="Standard Class"/>
    <x v="35"/>
    <s v="Duane Noonan"/>
    <x v="0"/>
    <s v="United States"/>
    <s v="Columbia"/>
    <x v="39"/>
    <n v="21044"/>
    <x v="3"/>
    <x v="246"/>
    <x v="2"/>
    <x v="11"/>
    <x v="247"/>
    <x v="2759"/>
    <x v="8"/>
    <x v="2"/>
  </r>
  <r>
    <n v="5240"/>
    <x v="2596"/>
    <x v="108"/>
    <d v="2017-09-17T00:00:00"/>
    <s v="Standard Class"/>
    <x v="686"/>
    <s v="Eugene Barchas"/>
    <x v="0"/>
    <s v="United States"/>
    <s v="San Jose"/>
    <x v="1"/>
    <n v="95123"/>
    <x v="1"/>
    <x v="16"/>
    <x v="1"/>
    <x v="4"/>
    <x v="16"/>
    <x v="737"/>
    <x v="8"/>
    <x v="0"/>
  </r>
  <r>
    <n v="5241"/>
    <x v="2596"/>
    <x v="108"/>
    <d v="2017-09-17T00:00:00"/>
    <s v="Standard Class"/>
    <x v="686"/>
    <s v="Eugene Barchas"/>
    <x v="0"/>
    <s v="United States"/>
    <s v="San Jose"/>
    <x v="1"/>
    <n v="95123"/>
    <x v="1"/>
    <x v="444"/>
    <x v="1"/>
    <x v="8"/>
    <x v="444"/>
    <x v="3717"/>
    <x v="8"/>
    <x v="0"/>
  </r>
  <r>
    <n v="5242"/>
    <x v="2597"/>
    <x v="713"/>
    <d v="2017-09-26T00:00:00"/>
    <s v="Second Class"/>
    <x v="698"/>
    <s v="Candace McMahon"/>
    <x v="1"/>
    <s v="United States"/>
    <s v="Seattle"/>
    <x v="4"/>
    <n v="98115"/>
    <x v="1"/>
    <x v="1726"/>
    <x v="1"/>
    <x v="14"/>
    <x v="1713"/>
    <x v="3718"/>
    <x v="8"/>
    <x v="0"/>
  </r>
  <r>
    <n v="5243"/>
    <x v="2598"/>
    <x v="1018"/>
    <d v="2018-08-08T00:00:00"/>
    <s v="Standard Class"/>
    <x v="447"/>
    <s v="Harry Marie"/>
    <x v="1"/>
    <s v="United States"/>
    <s v="Carrollton"/>
    <x v="5"/>
    <n v="75007"/>
    <x v="2"/>
    <x v="555"/>
    <x v="1"/>
    <x v="8"/>
    <x v="554"/>
    <x v="618"/>
    <x v="6"/>
    <x v="3"/>
  </r>
  <r>
    <n v="5244"/>
    <x v="2599"/>
    <x v="197"/>
    <d v="2017-07-26T00:00:00"/>
    <s v="First Class"/>
    <x v="454"/>
    <s v="Katherine Murray"/>
    <x v="2"/>
    <s v="United States"/>
    <s v="Arlington"/>
    <x v="17"/>
    <n v="22204"/>
    <x v="0"/>
    <x v="864"/>
    <x v="1"/>
    <x v="8"/>
    <x v="858"/>
    <x v="822"/>
    <x v="7"/>
    <x v="0"/>
  </r>
  <r>
    <n v="5245"/>
    <x v="2600"/>
    <x v="1030"/>
    <d v="2017-08-04T00:00:00"/>
    <s v="Second Class"/>
    <x v="292"/>
    <s v="Barry Französisch"/>
    <x v="1"/>
    <s v="United States"/>
    <s v="Los Angeles"/>
    <x v="1"/>
    <n v="90032"/>
    <x v="1"/>
    <x v="1727"/>
    <x v="0"/>
    <x v="3"/>
    <x v="1714"/>
    <x v="3719"/>
    <x v="6"/>
    <x v="0"/>
  </r>
  <r>
    <n v="5246"/>
    <x v="2600"/>
    <x v="1030"/>
    <d v="2017-08-04T00:00:00"/>
    <s v="Second Class"/>
    <x v="292"/>
    <s v="Barry Französisch"/>
    <x v="1"/>
    <s v="United States"/>
    <s v="Los Angeles"/>
    <x v="1"/>
    <n v="90032"/>
    <x v="1"/>
    <x v="192"/>
    <x v="2"/>
    <x v="7"/>
    <x v="193"/>
    <x v="3720"/>
    <x v="6"/>
    <x v="0"/>
  </r>
  <r>
    <n v="5247"/>
    <x v="2600"/>
    <x v="1030"/>
    <d v="2017-08-04T00:00:00"/>
    <s v="Second Class"/>
    <x v="292"/>
    <s v="Barry Französisch"/>
    <x v="1"/>
    <s v="United States"/>
    <s v="Los Angeles"/>
    <x v="1"/>
    <n v="90032"/>
    <x v="1"/>
    <x v="460"/>
    <x v="1"/>
    <x v="8"/>
    <x v="461"/>
    <x v="2002"/>
    <x v="6"/>
    <x v="0"/>
  </r>
  <r>
    <n v="5248"/>
    <x v="2601"/>
    <x v="1031"/>
    <d v="2016-05-27T00:00:00"/>
    <s v="Standard Class"/>
    <x v="32"/>
    <s v="Joel Eaton"/>
    <x v="0"/>
    <s v="United States"/>
    <s v="Frankfort"/>
    <x v="10"/>
    <n v="60423"/>
    <x v="2"/>
    <x v="95"/>
    <x v="1"/>
    <x v="9"/>
    <x v="95"/>
    <x v="3721"/>
    <x v="5"/>
    <x v="1"/>
  </r>
  <r>
    <n v="5249"/>
    <x v="2602"/>
    <x v="132"/>
    <d v="2018-11-05T00:00:00"/>
    <s v="Second Class"/>
    <x v="412"/>
    <s v="Eva Jacobs"/>
    <x v="0"/>
    <s v="United States"/>
    <s v="Seattle"/>
    <x v="4"/>
    <n v="98105"/>
    <x v="1"/>
    <x v="174"/>
    <x v="2"/>
    <x v="11"/>
    <x v="175"/>
    <x v="3722"/>
    <x v="0"/>
    <x v="3"/>
  </r>
  <r>
    <n v="5250"/>
    <x v="2603"/>
    <x v="392"/>
    <d v="2016-04-21T00:00:00"/>
    <s v="Standard Class"/>
    <x v="272"/>
    <s v="Brad Norvell"/>
    <x v="1"/>
    <s v="United States"/>
    <s v="Philadelphia"/>
    <x v="9"/>
    <n v="19143"/>
    <x v="3"/>
    <x v="1328"/>
    <x v="1"/>
    <x v="13"/>
    <x v="128"/>
    <x v="3723"/>
    <x v="3"/>
    <x v="1"/>
  </r>
  <r>
    <n v="5251"/>
    <x v="2604"/>
    <x v="939"/>
    <d v="2017-12-18T00:00:00"/>
    <s v="Standard Class"/>
    <x v="685"/>
    <s v="Erin Creighton"/>
    <x v="0"/>
    <s v="United States"/>
    <s v="Columbus"/>
    <x v="32"/>
    <n v="31907"/>
    <x v="0"/>
    <x v="959"/>
    <x v="2"/>
    <x v="11"/>
    <x v="952"/>
    <x v="2857"/>
    <x v="4"/>
    <x v="0"/>
  </r>
  <r>
    <n v="5252"/>
    <x v="2604"/>
    <x v="939"/>
    <d v="2017-12-18T00:00:00"/>
    <s v="Standard Class"/>
    <x v="685"/>
    <s v="Erin Creighton"/>
    <x v="0"/>
    <s v="United States"/>
    <s v="Columbus"/>
    <x v="32"/>
    <n v="31907"/>
    <x v="0"/>
    <x v="1493"/>
    <x v="1"/>
    <x v="10"/>
    <x v="1481"/>
    <x v="335"/>
    <x v="4"/>
    <x v="0"/>
  </r>
  <r>
    <n v="5253"/>
    <x v="2605"/>
    <x v="628"/>
    <d v="2016-11-02T00:00:00"/>
    <s v="First Class"/>
    <x v="627"/>
    <s v="Thomas Thornton"/>
    <x v="0"/>
    <s v="United States"/>
    <s v="Virginia Beach"/>
    <x v="17"/>
    <n v="23464"/>
    <x v="0"/>
    <x v="1306"/>
    <x v="1"/>
    <x v="9"/>
    <x v="1291"/>
    <x v="3724"/>
    <x v="2"/>
    <x v="1"/>
  </r>
  <r>
    <n v="5254"/>
    <x v="2606"/>
    <x v="1009"/>
    <d v="2015-03-11T00:00:00"/>
    <s v="Second Class"/>
    <x v="472"/>
    <s v="Nora Pelletier"/>
    <x v="2"/>
    <s v="United States"/>
    <s v="Des Moines"/>
    <x v="4"/>
    <n v="98198"/>
    <x v="1"/>
    <x v="1080"/>
    <x v="1"/>
    <x v="8"/>
    <x v="1070"/>
    <x v="3725"/>
    <x v="10"/>
    <x v="2"/>
  </r>
  <r>
    <n v="5255"/>
    <x v="2607"/>
    <x v="616"/>
    <d v="2016-03-07T00:00:00"/>
    <s v="Second Class"/>
    <x v="124"/>
    <s v="Alan Haines"/>
    <x v="1"/>
    <s v="United States"/>
    <s v="Bethlehem"/>
    <x v="9"/>
    <n v="18018"/>
    <x v="3"/>
    <x v="474"/>
    <x v="0"/>
    <x v="1"/>
    <x v="475"/>
    <x v="2742"/>
    <x v="10"/>
    <x v="1"/>
  </r>
  <r>
    <n v="5256"/>
    <x v="2607"/>
    <x v="616"/>
    <d v="2016-03-07T00:00:00"/>
    <s v="Second Class"/>
    <x v="124"/>
    <s v="Alan Haines"/>
    <x v="1"/>
    <s v="United States"/>
    <s v="Bethlehem"/>
    <x v="9"/>
    <n v="18018"/>
    <x v="3"/>
    <x v="1478"/>
    <x v="0"/>
    <x v="5"/>
    <x v="1465"/>
    <x v="2939"/>
    <x v="10"/>
    <x v="1"/>
  </r>
  <r>
    <n v="5257"/>
    <x v="2608"/>
    <x v="590"/>
    <d v="2017-08-14T00:00:00"/>
    <s v="Standard Class"/>
    <x v="230"/>
    <s v="Charles Crestani"/>
    <x v="0"/>
    <s v="United States"/>
    <s v="Oklahoma City"/>
    <x v="26"/>
    <n v="73120"/>
    <x v="2"/>
    <x v="1436"/>
    <x v="1"/>
    <x v="10"/>
    <x v="1424"/>
    <x v="232"/>
    <x v="6"/>
    <x v="0"/>
  </r>
  <r>
    <n v="5258"/>
    <x v="2609"/>
    <x v="1032"/>
    <d v="2018-01-08T00:00:00"/>
    <s v="Standard Class"/>
    <x v="111"/>
    <s v="Delfina Latchford"/>
    <x v="0"/>
    <s v="United States"/>
    <s v="Rancho Cucamonga"/>
    <x v="1"/>
    <n v="91730"/>
    <x v="1"/>
    <x v="832"/>
    <x v="1"/>
    <x v="10"/>
    <x v="827"/>
    <x v="783"/>
    <x v="9"/>
    <x v="3"/>
  </r>
  <r>
    <n v="5259"/>
    <x v="2610"/>
    <x v="449"/>
    <d v="2018-10-11T00:00:00"/>
    <s v="First Class"/>
    <x v="190"/>
    <s v="Xylona Preis"/>
    <x v="0"/>
    <s v="United States"/>
    <s v="Los Angeles"/>
    <x v="1"/>
    <n v="90032"/>
    <x v="1"/>
    <x v="728"/>
    <x v="1"/>
    <x v="10"/>
    <x v="727"/>
    <x v="3726"/>
    <x v="2"/>
    <x v="3"/>
  </r>
  <r>
    <n v="5260"/>
    <x v="2611"/>
    <x v="179"/>
    <d v="2018-10-26T00:00:00"/>
    <s v="Standard Class"/>
    <x v="15"/>
    <s v="Matt Abelman"/>
    <x v="2"/>
    <s v="United States"/>
    <s v="Philadelphia"/>
    <x v="9"/>
    <n v="19120"/>
    <x v="3"/>
    <x v="640"/>
    <x v="1"/>
    <x v="10"/>
    <x v="640"/>
    <x v="2748"/>
    <x v="2"/>
    <x v="3"/>
  </r>
  <r>
    <n v="5261"/>
    <x v="2612"/>
    <x v="557"/>
    <d v="2015-09-10T00:00:00"/>
    <s v="First Class"/>
    <x v="449"/>
    <s v="Sam Zeldin"/>
    <x v="2"/>
    <s v="United States"/>
    <s v="Houston"/>
    <x v="5"/>
    <n v="77036"/>
    <x v="2"/>
    <x v="1361"/>
    <x v="2"/>
    <x v="7"/>
    <x v="1347"/>
    <x v="2066"/>
    <x v="8"/>
    <x v="2"/>
  </r>
  <r>
    <n v="5262"/>
    <x v="2612"/>
    <x v="557"/>
    <d v="2015-09-10T00:00:00"/>
    <s v="First Class"/>
    <x v="449"/>
    <s v="Sam Zeldin"/>
    <x v="2"/>
    <s v="United States"/>
    <s v="Houston"/>
    <x v="5"/>
    <n v="77036"/>
    <x v="2"/>
    <x v="347"/>
    <x v="1"/>
    <x v="8"/>
    <x v="347"/>
    <x v="2775"/>
    <x v="8"/>
    <x v="2"/>
  </r>
  <r>
    <n v="5263"/>
    <x v="2612"/>
    <x v="557"/>
    <d v="2015-09-10T00:00:00"/>
    <s v="First Class"/>
    <x v="449"/>
    <s v="Sam Zeldin"/>
    <x v="2"/>
    <s v="United States"/>
    <s v="Houston"/>
    <x v="5"/>
    <n v="77036"/>
    <x v="2"/>
    <x v="738"/>
    <x v="0"/>
    <x v="3"/>
    <x v="737"/>
    <x v="3727"/>
    <x v="8"/>
    <x v="2"/>
  </r>
  <r>
    <n v="5264"/>
    <x v="2612"/>
    <x v="557"/>
    <d v="2015-09-10T00:00:00"/>
    <s v="First Class"/>
    <x v="449"/>
    <s v="Sam Zeldin"/>
    <x v="2"/>
    <s v="United States"/>
    <s v="Houston"/>
    <x v="5"/>
    <n v="77036"/>
    <x v="2"/>
    <x v="1207"/>
    <x v="2"/>
    <x v="11"/>
    <x v="1192"/>
    <x v="3728"/>
    <x v="8"/>
    <x v="2"/>
  </r>
  <r>
    <n v="5265"/>
    <x v="2612"/>
    <x v="557"/>
    <d v="2015-09-10T00:00:00"/>
    <s v="First Class"/>
    <x v="449"/>
    <s v="Sam Zeldin"/>
    <x v="2"/>
    <s v="United States"/>
    <s v="Houston"/>
    <x v="5"/>
    <n v="77036"/>
    <x v="2"/>
    <x v="1583"/>
    <x v="1"/>
    <x v="6"/>
    <x v="1574"/>
    <x v="3729"/>
    <x v="8"/>
    <x v="2"/>
  </r>
  <r>
    <n v="5266"/>
    <x v="2613"/>
    <x v="1033"/>
    <d v="2018-10-03T00:00:00"/>
    <s v="First Class"/>
    <x v="688"/>
    <s v="Cari Sayre"/>
    <x v="1"/>
    <s v="United States"/>
    <s v="Seattle"/>
    <x v="4"/>
    <n v="98103"/>
    <x v="1"/>
    <x v="1017"/>
    <x v="1"/>
    <x v="10"/>
    <x v="1008"/>
    <x v="2660"/>
    <x v="8"/>
    <x v="3"/>
  </r>
  <r>
    <n v="5267"/>
    <x v="2613"/>
    <x v="1033"/>
    <d v="2018-10-03T00:00:00"/>
    <s v="First Class"/>
    <x v="688"/>
    <s v="Cari Sayre"/>
    <x v="1"/>
    <s v="United States"/>
    <s v="Seattle"/>
    <x v="4"/>
    <n v="98103"/>
    <x v="1"/>
    <x v="1558"/>
    <x v="1"/>
    <x v="10"/>
    <x v="1547"/>
    <x v="3730"/>
    <x v="8"/>
    <x v="3"/>
  </r>
  <r>
    <n v="5268"/>
    <x v="2613"/>
    <x v="1033"/>
    <d v="2018-10-03T00:00:00"/>
    <s v="First Class"/>
    <x v="688"/>
    <s v="Cari Sayre"/>
    <x v="1"/>
    <s v="United States"/>
    <s v="Seattle"/>
    <x v="4"/>
    <n v="98103"/>
    <x v="1"/>
    <x v="1034"/>
    <x v="1"/>
    <x v="9"/>
    <x v="1025"/>
    <x v="3731"/>
    <x v="8"/>
    <x v="3"/>
  </r>
  <r>
    <n v="5269"/>
    <x v="2614"/>
    <x v="673"/>
    <d v="2018-11-21T00:00:00"/>
    <s v="Standard Class"/>
    <x v="414"/>
    <s v="Mick Hernandez"/>
    <x v="2"/>
    <s v="United States"/>
    <s v="Yonkers"/>
    <x v="15"/>
    <n v="10701"/>
    <x v="3"/>
    <x v="1728"/>
    <x v="2"/>
    <x v="15"/>
    <x v="1715"/>
    <x v="3732"/>
    <x v="0"/>
    <x v="3"/>
  </r>
  <r>
    <n v="5270"/>
    <x v="2615"/>
    <x v="220"/>
    <d v="2018-09-11T00:00:00"/>
    <s v="Same Day"/>
    <x v="90"/>
    <s v="Cassandra Brandow"/>
    <x v="0"/>
    <s v="United States"/>
    <s v="San Francisco"/>
    <x v="1"/>
    <n v="94110"/>
    <x v="1"/>
    <x v="74"/>
    <x v="0"/>
    <x v="5"/>
    <x v="74"/>
    <x v="3733"/>
    <x v="8"/>
    <x v="3"/>
  </r>
  <r>
    <n v="5271"/>
    <x v="2615"/>
    <x v="220"/>
    <d v="2018-09-11T00:00:00"/>
    <s v="Same Day"/>
    <x v="90"/>
    <s v="Cassandra Brandow"/>
    <x v="0"/>
    <s v="United States"/>
    <s v="San Francisco"/>
    <x v="1"/>
    <n v="94110"/>
    <x v="1"/>
    <x v="723"/>
    <x v="1"/>
    <x v="9"/>
    <x v="722"/>
    <x v="840"/>
    <x v="8"/>
    <x v="3"/>
  </r>
  <r>
    <n v="5272"/>
    <x v="2616"/>
    <x v="1034"/>
    <d v="2018-01-16T00:00:00"/>
    <s v="Same Day"/>
    <x v="705"/>
    <s v="Jack O'Briant"/>
    <x v="1"/>
    <s v="United States"/>
    <s v="Los Angeles"/>
    <x v="1"/>
    <n v="90008"/>
    <x v="1"/>
    <x v="5"/>
    <x v="0"/>
    <x v="5"/>
    <x v="5"/>
    <x v="3289"/>
    <x v="9"/>
    <x v="3"/>
  </r>
  <r>
    <n v="5273"/>
    <x v="2616"/>
    <x v="1034"/>
    <d v="2018-01-16T00:00:00"/>
    <s v="Same Day"/>
    <x v="705"/>
    <s v="Jack O'Briant"/>
    <x v="1"/>
    <s v="United States"/>
    <s v="Los Angeles"/>
    <x v="1"/>
    <n v="90008"/>
    <x v="1"/>
    <x v="719"/>
    <x v="0"/>
    <x v="3"/>
    <x v="718"/>
    <x v="3734"/>
    <x v="9"/>
    <x v="3"/>
  </r>
  <r>
    <n v="5274"/>
    <x v="2617"/>
    <x v="491"/>
    <d v="2017-11-29T00:00:00"/>
    <s v="First Class"/>
    <x v="50"/>
    <s v="Pete Armstrong"/>
    <x v="2"/>
    <s v="United States"/>
    <s v="Miami"/>
    <x v="2"/>
    <n v="33142"/>
    <x v="0"/>
    <x v="744"/>
    <x v="1"/>
    <x v="8"/>
    <x v="742"/>
    <x v="3735"/>
    <x v="0"/>
    <x v="0"/>
  </r>
  <r>
    <n v="5275"/>
    <x v="2618"/>
    <x v="209"/>
    <d v="2016-11-09T00:00:00"/>
    <s v="Second Class"/>
    <x v="647"/>
    <s v="Stewart Visinsky"/>
    <x v="0"/>
    <s v="United States"/>
    <s v="Burlington"/>
    <x v="42"/>
    <m/>
    <x v="3"/>
    <x v="467"/>
    <x v="0"/>
    <x v="1"/>
    <x v="468"/>
    <x v="3736"/>
    <x v="0"/>
    <x v="1"/>
  </r>
  <r>
    <n v="5276"/>
    <x v="2619"/>
    <x v="817"/>
    <d v="2018-12-20T00:00:00"/>
    <s v="Standard Class"/>
    <x v="126"/>
    <s v="Kelly Lampkin"/>
    <x v="1"/>
    <s v="United States"/>
    <s v="Fayetteville"/>
    <x v="36"/>
    <n v="72701"/>
    <x v="0"/>
    <x v="240"/>
    <x v="2"/>
    <x v="11"/>
    <x v="241"/>
    <x v="3737"/>
    <x v="4"/>
    <x v="3"/>
  </r>
  <r>
    <n v="5277"/>
    <x v="2619"/>
    <x v="817"/>
    <d v="2018-12-20T00:00:00"/>
    <s v="Standard Class"/>
    <x v="126"/>
    <s v="Kelly Lampkin"/>
    <x v="1"/>
    <s v="United States"/>
    <s v="Fayetteville"/>
    <x v="36"/>
    <n v="72701"/>
    <x v="0"/>
    <x v="1044"/>
    <x v="2"/>
    <x v="11"/>
    <x v="1033"/>
    <x v="908"/>
    <x v="4"/>
    <x v="3"/>
  </r>
  <r>
    <n v="5278"/>
    <x v="2620"/>
    <x v="103"/>
    <d v="2015-09-17T00:00:00"/>
    <s v="Standard Class"/>
    <x v="604"/>
    <s v="Becky Castell"/>
    <x v="2"/>
    <s v="United States"/>
    <s v="Odessa"/>
    <x v="5"/>
    <n v="79762"/>
    <x v="2"/>
    <x v="167"/>
    <x v="0"/>
    <x v="1"/>
    <x v="168"/>
    <x v="3738"/>
    <x v="8"/>
    <x v="2"/>
  </r>
  <r>
    <n v="5279"/>
    <x v="2621"/>
    <x v="1035"/>
    <d v="2015-12-13T00:00:00"/>
    <s v="Standard Class"/>
    <x v="138"/>
    <s v="Patrick O'Brill"/>
    <x v="0"/>
    <s v="United States"/>
    <s v="Virginia Beach"/>
    <x v="17"/>
    <n v="23464"/>
    <x v="0"/>
    <x v="954"/>
    <x v="1"/>
    <x v="10"/>
    <x v="947"/>
    <x v="151"/>
    <x v="4"/>
    <x v="2"/>
  </r>
  <r>
    <n v="5280"/>
    <x v="2622"/>
    <x v="210"/>
    <d v="2018-09-11T00:00:00"/>
    <s v="Standard Class"/>
    <x v="165"/>
    <s v="Anna Gayman"/>
    <x v="0"/>
    <s v="United States"/>
    <s v="Milwaukee"/>
    <x v="6"/>
    <n v="53209"/>
    <x v="2"/>
    <x v="1556"/>
    <x v="2"/>
    <x v="11"/>
    <x v="1545"/>
    <x v="808"/>
    <x v="8"/>
    <x v="3"/>
  </r>
  <r>
    <n v="5281"/>
    <x v="2623"/>
    <x v="566"/>
    <d v="2018-10-12T00:00:00"/>
    <s v="Standard Class"/>
    <x v="203"/>
    <s v="Dean Braden"/>
    <x v="0"/>
    <s v="United States"/>
    <s v="Detroit"/>
    <x v="12"/>
    <n v="48234"/>
    <x v="2"/>
    <x v="1354"/>
    <x v="1"/>
    <x v="4"/>
    <x v="1340"/>
    <x v="2049"/>
    <x v="2"/>
    <x v="3"/>
  </r>
  <r>
    <n v="5282"/>
    <x v="2624"/>
    <x v="577"/>
    <d v="2016-09-10T00:00:00"/>
    <s v="Standard Class"/>
    <x v="133"/>
    <s v="Sung Pak"/>
    <x v="1"/>
    <s v="United States"/>
    <s v="Rochester"/>
    <x v="11"/>
    <n v="55901"/>
    <x v="2"/>
    <x v="50"/>
    <x v="0"/>
    <x v="5"/>
    <x v="50"/>
    <x v="51"/>
    <x v="8"/>
    <x v="1"/>
  </r>
  <r>
    <n v="5283"/>
    <x v="2624"/>
    <x v="577"/>
    <d v="2016-09-10T00:00:00"/>
    <s v="Standard Class"/>
    <x v="133"/>
    <s v="Sung Pak"/>
    <x v="1"/>
    <s v="United States"/>
    <s v="Rochester"/>
    <x v="11"/>
    <n v="55901"/>
    <x v="2"/>
    <x v="314"/>
    <x v="1"/>
    <x v="10"/>
    <x v="314"/>
    <x v="651"/>
    <x v="8"/>
    <x v="1"/>
  </r>
  <r>
    <n v="5284"/>
    <x v="2625"/>
    <x v="809"/>
    <d v="2015-04-04T00:00:00"/>
    <s v="Standard Class"/>
    <x v="114"/>
    <s v="Dorris liebe"/>
    <x v="1"/>
    <s v="United States"/>
    <s v="Seattle"/>
    <x v="4"/>
    <n v="98105"/>
    <x v="1"/>
    <x v="1505"/>
    <x v="1"/>
    <x v="4"/>
    <x v="1492"/>
    <x v="3329"/>
    <x v="10"/>
    <x v="2"/>
  </r>
  <r>
    <n v="5285"/>
    <x v="2625"/>
    <x v="809"/>
    <d v="2015-04-04T00:00:00"/>
    <s v="Standard Class"/>
    <x v="114"/>
    <s v="Dorris liebe"/>
    <x v="1"/>
    <s v="United States"/>
    <s v="Seattle"/>
    <x v="4"/>
    <n v="98105"/>
    <x v="1"/>
    <x v="579"/>
    <x v="1"/>
    <x v="2"/>
    <x v="579"/>
    <x v="1821"/>
    <x v="10"/>
    <x v="2"/>
  </r>
  <r>
    <n v="5286"/>
    <x v="2626"/>
    <x v="1024"/>
    <d v="2018-05-06T00:00:00"/>
    <s v="First Class"/>
    <x v="293"/>
    <s v="Lisa Hazard"/>
    <x v="0"/>
    <s v="United States"/>
    <s v="Louisville"/>
    <x v="22"/>
    <n v="80027"/>
    <x v="1"/>
    <x v="111"/>
    <x v="1"/>
    <x v="12"/>
    <x v="111"/>
    <x v="3259"/>
    <x v="5"/>
    <x v="3"/>
  </r>
  <r>
    <n v="5287"/>
    <x v="2626"/>
    <x v="1024"/>
    <d v="2018-05-06T00:00:00"/>
    <s v="First Class"/>
    <x v="293"/>
    <s v="Lisa Hazard"/>
    <x v="0"/>
    <s v="United States"/>
    <s v="Louisville"/>
    <x v="22"/>
    <n v="80027"/>
    <x v="1"/>
    <x v="122"/>
    <x v="1"/>
    <x v="8"/>
    <x v="122"/>
    <x v="1235"/>
    <x v="5"/>
    <x v="3"/>
  </r>
  <r>
    <n v="5288"/>
    <x v="2626"/>
    <x v="1024"/>
    <d v="2018-05-06T00:00:00"/>
    <s v="First Class"/>
    <x v="293"/>
    <s v="Lisa Hazard"/>
    <x v="0"/>
    <s v="United States"/>
    <s v="Louisville"/>
    <x v="22"/>
    <n v="80027"/>
    <x v="1"/>
    <x v="899"/>
    <x v="0"/>
    <x v="0"/>
    <x v="892"/>
    <x v="3739"/>
    <x v="5"/>
    <x v="3"/>
  </r>
  <r>
    <n v="5289"/>
    <x v="2627"/>
    <x v="504"/>
    <d v="2018-05-05T00:00:00"/>
    <s v="Standard Class"/>
    <x v="57"/>
    <s v="Alan Dominguez"/>
    <x v="2"/>
    <s v="United States"/>
    <s v="San Francisco"/>
    <x v="1"/>
    <n v="94122"/>
    <x v="1"/>
    <x v="1127"/>
    <x v="1"/>
    <x v="10"/>
    <x v="1115"/>
    <x v="2844"/>
    <x v="3"/>
    <x v="3"/>
  </r>
  <r>
    <n v="5290"/>
    <x v="2628"/>
    <x v="78"/>
    <d v="2015-09-15T00:00:00"/>
    <s v="Standard Class"/>
    <x v="446"/>
    <s v="Kean Takahito"/>
    <x v="0"/>
    <s v="United States"/>
    <s v="Houston"/>
    <x v="5"/>
    <n v="77036"/>
    <x v="2"/>
    <x v="862"/>
    <x v="1"/>
    <x v="10"/>
    <x v="856"/>
    <x v="3740"/>
    <x v="8"/>
    <x v="2"/>
  </r>
  <r>
    <n v="5291"/>
    <x v="2628"/>
    <x v="78"/>
    <d v="2015-09-15T00:00:00"/>
    <s v="Standard Class"/>
    <x v="446"/>
    <s v="Kean Takahito"/>
    <x v="0"/>
    <s v="United States"/>
    <s v="Houston"/>
    <x v="5"/>
    <n v="77036"/>
    <x v="2"/>
    <x v="157"/>
    <x v="0"/>
    <x v="1"/>
    <x v="158"/>
    <x v="3741"/>
    <x v="8"/>
    <x v="2"/>
  </r>
  <r>
    <n v="5292"/>
    <x v="2628"/>
    <x v="78"/>
    <d v="2015-09-15T00:00:00"/>
    <s v="Standard Class"/>
    <x v="446"/>
    <s v="Kean Takahito"/>
    <x v="0"/>
    <s v="United States"/>
    <s v="Houston"/>
    <x v="5"/>
    <n v="77036"/>
    <x v="2"/>
    <x v="67"/>
    <x v="1"/>
    <x v="10"/>
    <x v="67"/>
    <x v="3742"/>
    <x v="8"/>
    <x v="2"/>
  </r>
  <r>
    <n v="5293"/>
    <x v="2629"/>
    <x v="308"/>
    <d v="2018-06-23T00:00:00"/>
    <s v="First Class"/>
    <x v="307"/>
    <s v="Pauline Johnson"/>
    <x v="0"/>
    <s v="United States"/>
    <s v="Miami"/>
    <x v="2"/>
    <n v="33180"/>
    <x v="0"/>
    <x v="1427"/>
    <x v="1"/>
    <x v="4"/>
    <x v="1415"/>
    <x v="3743"/>
    <x v="1"/>
    <x v="3"/>
  </r>
  <r>
    <n v="5294"/>
    <x v="2630"/>
    <x v="207"/>
    <d v="2016-12-30T00:00:00"/>
    <s v="Standard Class"/>
    <x v="498"/>
    <s v="Mick Crebagga"/>
    <x v="0"/>
    <s v="United States"/>
    <s v="Medina"/>
    <x v="24"/>
    <n v="44256"/>
    <x v="3"/>
    <x v="838"/>
    <x v="0"/>
    <x v="3"/>
    <x v="832"/>
    <x v="3744"/>
    <x v="4"/>
    <x v="1"/>
  </r>
  <r>
    <n v="5295"/>
    <x v="2631"/>
    <x v="733"/>
    <d v="2018-08-19T00:00:00"/>
    <s v="Standard Class"/>
    <x v="635"/>
    <s v="Bill Overfelt"/>
    <x v="1"/>
    <s v="United States"/>
    <s v="Roseville"/>
    <x v="11"/>
    <n v="55113"/>
    <x v="2"/>
    <x v="1729"/>
    <x v="1"/>
    <x v="2"/>
    <x v="1716"/>
    <x v="3745"/>
    <x v="6"/>
    <x v="3"/>
  </r>
  <r>
    <n v="5296"/>
    <x v="2632"/>
    <x v="168"/>
    <d v="2018-03-09T00:00:00"/>
    <s v="Standard Class"/>
    <x v="24"/>
    <s v="Darren Powers"/>
    <x v="0"/>
    <s v="United States"/>
    <s v="Houston"/>
    <x v="5"/>
    <n v="77041"/>
    <x v="2"/>
    <x v="964"/>
    <x v="1"/>
    <x v="10"/>
    <x v="957"/>
    <x v="2806"/>
    <x v="10"/>
    <x v="3"/>
  </r>
  <r>
    <n v="5297"/>
    <x v="2633"/>
    <x v="944"/>
    <d v="2018-07-31T00:00:00"/>
    <s v="Standard Class"/>
    <x v="746"/>
    <s v="Tony Molinari"/>
    <x v="0"/>
    <s v="United States"/>
    <s v="Yonkers"/>
    <x v="15"/>
    <n v="10701"/>
    <x v="3"/>
    <x v="943"/>
    <x v="0"/>
    <x v="5"/>
    <x v="936"/>
    <x v="3746"/>
    <x v="7"/>
    <x v="3"/>
  </r>
  <r>
    <n v="5298"/>
    <x v="2633"/>
    <x v="944"/>
    <d v="2018-07-31T00:00:00"/>
    <s v="Standard Class"/>
    <x v="746"/>
    <s v="Tony Molinari"/>
    <x v="0"/>
    <s v="United States"/>
    <s v="Yonkers"/>
    <x v="15"/>
    <n v="10701"/>
    <x v="3"/>
    <x v="704"/>
    <x v="2"/>
    <x v="7"/>
    <x v="704"/>
    <x v="815"/>
    <x v="7"/>
    <x v="3"/>
  </r>
  <r>
    <n v="5299"/>
    <x v="2634"/>
    <x v="713"/>
    <d v="2017-09-26T00:00:00"/>
    <s v="First Class"/>
    <x v="1"/>
    <s v="Darrin Van Huff"/>
    <x v="1"/>
    <s v="United States"/>
    <s v="San Diego"/>
    <x v="1"/>
    <n v="92037"/>
    <x v="1"/>
    <x v="29"/>
    <x v="1"/>
    <x v="12"/>
    <x v="29"/>
    <x v="3747"/>
    <x v="8"/>
    <x v="0"/>
  </r>
  <r>
    <n v="5300"/>
    <x v="2634"/>
    <x v="713"/>
    <d v="2017-09-26T00:00:00"/>
    <s v="First Class"/>
    <x v="1"/>
    <s v="Darrin Van Huff"/>
    <x v="1"/>
    <s v="United States"/>
    <s v="San Diego"/>
    <x v="1"/>
    <n v="92037"/>
    <x v="1"/>
    <x v="165"/>
    <x v="1"/>
    <x v="2"/>
    <x v="166"/>
    <x v="1365"/>
    <x v="8"/>
    <x v="0"/>
  </r>
  <r>
    <n v="5301"/>
    <x v="2635"/>
    <x v="198"/>
    <d v="2017-06-03T00:00:00"/>
    <s v="Standard Class"/>
    <x v="706"/>
    <s v="Anna Häberlin"/>
    <x v="1"/>
    <s v="United States"/>
    <s v="Springfield"/>
    <x v="17"/>
    <n v="22153"/>
    <x v="0"/>
    <x v="1337"/>
    <x v="0"/>
    <x v="3"/>
    <x v="1322"/>
    <x v="3748"/>
    <x v="5"/>
    <x v="0"/>
  </r>
  <r>
    <n v="5302"/>
    <x v="2635"/>
    <x v="198"/>
    <d v="2017-06-03T00:00:00"/>
    <s v="Standard Class"/>
    <x v="706"/>
    <s v="Anna Häberlin"/>
    <x v="1"/>
    <s v="United States"/>
    <s v="Springfield"/>
    <x v="17"/>
    <n v="22153"/>
    <x v="0"/>
    <x v="764"/>
    <x v="2"/>
    <x v="11"/>
    <x v="763"/>
    <x v="3749"/>
    <x v="5"/>
    <x v="0"/>
  </r>
  <r>
    <n v="5303"/>
    <x v="2635"/>
    <x v="198"/>
    <d v="2017-06-03T00:00:00"/>
    <s v="Standard Class"/>
    <x v="706"/>
    <s v="Anna Häberlin"/>
    <x v="1"/>
    <s v="United States"/>
    <s v="Springfield"/>
    <x v="17"/>
    <n v="22153"/>
    <x v="0"/>
    <x v="488"/>
    <x v="1"/>
    <x v="2"/>
    <x v="488"/>
    <x v="3750"/>
    <x v="5"/>
    <x v="0"/>
  </r>
  <r>
    <n v="5304"/>
    <x v="2636"/>
    <x v="912"/>
    <d v="2015-11-20T00:00:00"/>
    <s v="Standard Class"/>
    <x v="269"/>
    <s v="Alan Barnes"/>
    <x v="0"/>
    <s v="United States"/>
    <s v="Decatur"/>
    <x v="10"/>
    <n v="62521"/>
    <x v="2"/>
    <x v="1391"/>
    <x v="0"/>
    <x v="1"/>
    <x v="1377"/>
    <x v="3751"/>
    <x v="0"/>
    <x v="2"/>
  </r>
  <r>
    <n v="5305"/>
    <x v="2637"/>
    <x v="158"/>
    <d v="2015-09-23T00:00:00"/>
    <s v="First Class"/>
    <x v="185"/>
    <s v="Joni Sundaresam"/>
    <x v="2"/>
    <s v="United States"/>
    <s v="Garland"/>
    <x v="5"/>
    <n v="75043"/>
    <x v="2"/>
    <x v="1445"/>
    <x v="0"/>
    <x v="5"/>
    <x v="1432"/>
    <x v="1076"/>
    <x v="8"/>
    <x v="2"/>
  </r>
  <r>
    <n v="5306"/>
    <x v="2638"/>
    <x v="823"/>
    <d v="2017-02-26T00:00:00"/>
    <s v="Standard Class"/>
    <x v="296"/>
    <s v="Benjamin Venier"/>
    <x v="1"/>
    <s v="United States"/>
    <s v="Oceanside"/>
    <x v="15"/>
    <n v="11572"/>
    <x v="3"/>
    <x v="93"/>
    <x v="0"/>
    <x v="5"/>
    <x v="93"/>
    <x v="3752"/>
    <x v="11"/>
    <x v="0"/>
  </r>
  <r>
    <n v="5307"/>
    <x v="2638"/>
    <x v="823"/>
    <d v="2017-02-26T00:00:00"/>
    <s v="Standard Class"/>
    <x v="296"/>
    <s v="Benjamin Venier"/>
    <x v="1"/>
    <s v="United States"/>
    <s v="Oceanside"/>
    <x v="15"/>
    <n v="11572"/>
    <x v="3"/>
    <x v="595"/>
    <x v="1"/>
    <x v="4"/>
    <x v="595"/>
    <x v="676"/>
    <x v="11"/>
    <x v="0"/>
  </r>
  <r>
    <n v="5308"/>
    <x v="2638"/>
    <x v="823"/>
    <d v="2017-02-26T00:00:00"/>
    <s v="Standard Class"/>
    <x v="296"/>
    <s v="Benjamin Venier"/>
    <x v="1"/>
    <s v="United States"/>
    <s v="Oceanside"/>
    <x v="15"/>
    <n v="11572"/>
    <x v="3"/>
    <x v="1730"/>
    <x v="2"/>
    <x v="7"/>
    <x v="1717"/>
    <x v="369"/>
    <x v="11"/>
    <x v="0"/>
  </r>
  <r>
    <n v="5309"/>
    <x v="2639"/>
    <x v="123"/>
    <d v="2018-11-21T00:00:00"/>
    <s v="First Class"/>
    <x v="720"/>
    <s v="Nathan Cano"/>
    <x v="0"/>
    <s v="United States"/>
    <s v="Houston"/>
    <x v="5"/>
    <n v="77095"/>
    <x v="2"/>
    <x v="1209"/>
    <x v="0"/>
    <x v="1"/>
    <x v="1194"/>
    <x v="3753"/>
    <x v="0"/>
    <x v="3"/>
  </r>
  <r>
    <n v="5310"/>
    <x v="2639"/>
    <x v="123"/>
    <d v="2018-11-21T00:00:00"/>
    <s v="First Class"/>
    <x v="720"/>
    <s v="Nathan Cano"/>
    <x v="0"/>
    <s v="United States"/>
    <s v="Houston"/>
    <x v="5"/>
    <n v="77095"/>
    <x v="2"/>
    <x v="1731"/>
    <x v="1"/>
    <x v="6"/>
    <x v="1718"/>
    <x v="3754"/>
    <x v="0"/>
    <x v="3"/>
  </r>
  <r>
    <n v="5311"/>
    <x v="2639"/>
    <x v="123"/>
    <d v="2018-11-21T00:00:00"/>
    <s v="First Class"/>
    <x v="720"/>
    <s v="Nathan Cano"/>
    <x v="0"/>
    <s v="United States"/>
    <s v="Houston"/>
    <x v="5"/>
    <n v="77095"/>
    <x v="2"/>
    <x v="450"/>
    <x v="1"/>
    <x v="8"/>
    <x v="451"/>
    <x v="3755"/>
    <x v="0"/>
    <x v="3"/>
  </r>
  <r>
    <n v="5312"/>
    <x v="2640"/>
    <x v="1036"/>
    <d v="2017-08-27T00:00:00"/>
    <s v="Standard Class"/>
    <x v="711"/>
    <s v="Stephanie Ulpright"/>
    <x v="2"/>
    <s v="United States"/>
    <s v="Greenville"/>
    <x v="3"/>
    <n v="27834"/>
    <x v="0"/>
    <x v="1363"/>
    <x v="1"/>
    <x v="2"/>
    <x v="1349"/>
    <x v="2106"/>
    <x v="6"/>
    <x v="0"/>
  </r>
  <r>
    <n v="5313"/>
    <x v="2640"/>
    <x v="1036"/>
    <d v="2017-08-27T00:00:00"/>
    <s v="Standard Class"/>
    <x v="711"/>
    <s v="Stephanie Ulpright"/>
    <x v="2"/>
    <s v="United States"/>
    <s v="Greenville"/>
    <x v="3"/>
    <n v="27834"/>
    <x v="0"/>
    <x v="354"/>
    <x v="1"/>
    <x v="14"/>
    <x v="354"/>
    <x v="3756"/>
    <x v="6"/>
    <x v="0"/>
  </r>
  <r>
    <n v="5314"/>
    <x v="2641"/>
    <x v="504"/>
    <d v="2018-05-05T00:00:00"/>
    <s v="Standard Class"/>
    <x v="137"/>
    <s v="Don Jones"/>
    <x v="1"/>
    <s v="United States"/>
    <s v="San Francisco"/>
    <x v="1"/>
    <n v="94110"/>
    <x v="1"/>
    <x v="596"/>
    <x v="0"/>
    <x v="5"/>
    <x v="596"/>
    <x v="643"/>
    <x v="3"/>
    <x v="3"/>
  </r>
  <r>
    <n v="5315"/>
    <x v="2641"/>
    <x v="504"/>
    <d v="2018-05-05T00:00:00"/>
    <s v="Standard Class"/>
    <x v="137"/>
    <s v="Don Jones"/>
    <x v="1"/>
    <s v="United States"/>
    <s v="San Francisco"/>
    <x v="1"/>
    <n v="94110"/>
    <x v="1"/>
    <x v="588"/>
    <x v="1"/>
    <x v="12"/>
    <x v="588"/>
    <x v="2433"/>
    <x v="3"/>
    <x v="3"/>
  </r>
  <r>
    <n v="5316"/>
    <x v="2642"/>
    <x v="440"/>
    <d v="2017-05-08T00:00:00"/>
    <s v="Standard Class"/>
    <x v="297"/>
    <s v="Dan Lawera"/>
    <x v="0"/>
    <s v="United States"/>
    <s v="Greensboro"/>
    <x v="3"/>
    <n v="27405"/>
    <x v="0"/>
    <x v="792"/>
    <x v="0"/>
    <x v="1"/>
    <x v="790"/>
    <x v="3757"/>
    <x v="5"/>
    <x v="0"/>
  </r>
  <r>
    <n v="5317"/>
    <x v="2643"/>
    <x v="280"/>
    <d v="2018-10-05T00:00:00"/>
    <s v="First Class"/>
    <x v="656"/>
    <s v="Dean percer"/>
    <x v="2"/>
    <s v="United States"/>
    <s v="Knoxville"/>
    <x v="18"/>
    <n v="37918"/>
    <x v="0"/>
    <x v="1256"/>
    <x v="0"/>
    <x v="5"/>
    <x v="1240"/>
    <x v="921"/>
    <x v="2"/>
    <x v="3"/>
  </r>
  <r>
    <n v="5318"/>
    <x v="2643"/>
    <x v="280"/>
    <d v="2018-10-05T00:00:00"/>
    <s v="First Class"/>
    <x v="656"/>
    <s v="Dean percer"/>
    <x v="2"/>
    <s v="United States"/>
    <s v="Knoxville"/>
    <x v="18"/>
    <n v="37918"/>
    <x v="0"/>
    <x v="441"/>
    <x v="0"/>
    <x v="5"/>
    <x v="1719"/>
    <x v="3758"/>
    <x v="2"/>
    <x v="3"/>
  </r>
  <r>
    <n v="5319"/>
    <x v="2643"/>
    <x v="280"/>
    <d v="2018-10-05T00:00:00"/>
    <s v="First Class"/>
    <x v="656"/>
    <s v="Dean percer"/>
    <x v="2"/>
    <s v="United States"/>
    <s v="Knoxville"/>
    <x v="18"/>
    <n v="37918"/>
    <x v="0"/>
    <x v="860"/>
    <x v="1"/>
    <x v="10"/>
    <x v="854"/>
    <x v="557"/>
    <x v="2"/>
    <x v="3"/>
  </r>
  <r>
    <n v="5320"/>
    <x v="2643"/>
    <x v="280"/>
    <d v="2018-10-05T00:00:00"/>
    <s v="First Class"/>
    <x v="656"/>
    <s v="Dean percer"/>
    <x v="2"/>
    <s v="United States"/>
    <s v="Knoxville"/>
    <x v="18"/>
    <n v="37918"/>
    <x v="0"/>
    <x v="999"/>
    <x v="1"/>
    <x v="8"/>
    <x v="991"/>
    <x v="3251"/>
    <x v="2"/>
    <x v="3"/>
  </r>
  <r>
    <n v="5321"/>
    <x v="2643"/>
    <x v="280"/>
    <d v="2018-10-05T00:00:00"/>
    <s v="First Class"/>
    <x v="656"/>
    <s v="Dean percer"/>
    <x v="2"/>
    <s v="United States"/>
    <s v="Knoxville"/>
    <x v="18"/>
    <n v="37918"/>
    <x v="0"/>
    <x v="594"/>
    <x v="0"/>
    <x v="3"/>
    <x v="594"/>
    <x v="3759"/>
    <x v="2"/>
    <x v="3"/>
  </r>
  <r>
    <n v="5322"/>
    <x v="2643"/>
    <x v="280"/>
    <d v="2018-10-05T00:00:00"/>
    <s v="First Class"/>
    <x v="656"/>
    <s v="Dean percer"/>
    <x v="2"/>
    <s v="United States"/>
    <s v="Knoxville"/>
    <x v="18"/>
    <n v="37918"/>
    <x v="0"/>
    <x v="697"/>
    <x v="1"/>
    <x v="8"/>
    <x v="697"/>
    <x v="3760"/>
    <x v="2"/>
    <x v="3"/>
  </r>
  <r>
    <n v="5323"/>
    <x v="2643"/>
    <x v="280"/>
    <d v="2018-10-05T00:00:00"/>
    <s v="First Class"/>
    <x v="656"/>
    <s v="Dean percer"/>
    <x v="2"/>
    <s v="United States"/>
    <s v="Knoxville"/>
    <x v="18"/>
    <n v="37918"/>
    <x v="0"/>
    <x v="893"/>
    <x v="0"/>
    <x v="5"/>
    <x v="886"/>
    <x v="2354"/>
    <x v="2"/>
    <x v="3"/>
  </r>
  <r>
    <n v="5324"/>
    <x v="2644"/>
    <x v="65"/>
    <d v="2018-09-23T00:00:00"/>
    <s v="Second Class"/>
    <x v="612"/>
    <s v="Tamara Manning"/>
    <x v="0"/>
    <s v="United States"/>
    <s v="Grand Island"/>
    <x v="8"/>
    <n v="68801"/>
    <x v="2"/>
    <x v="226"/>
    <x v="1"/>
    <x v="10"/>
    <x v="227"/>
    <x v="3761"/>
    <x v="8"/>
    <x v="3"/>
  </r>
  <r>
    <n v="5325"/>
    <x v="2645"/>
    <x v="784"/>
    <d v="2016-12-09T00:00:00"/>
    <s v="Standard Class"/>
    <x v="356"/>
    <s v="Tracy Zic"/>
    <x v="0"/>
    <s v="United States"/>
    <s v="Lakewood"/>
    <x v="1"/>
    <n v="90712"/>
    <x v="1"/>
    <x v="1173"/>
    <x v="1"/>
    <x v="6"/>
    <x v="1159"/>
    <x v="2877"/>
    <x v="4"/>
    <x v="1"/>
  </r>
  <r>
    <n v="5326"/>
    <x v="2645"/>
    <x v="784"/>
    <d v="2016-12-09T00:00:00"/>
    <s v="Standard Class"/>
    <x v="356"/>
    <s v="Tracy Zic"/>
    <x v="0"/>
    <s v="United States"/>
    <s v="Lakewood"/>
    <x v="1"/>
    <n v="90712"/>
    <x v="1"/>
    <x v="1006"/>
    <x v="0"/>
    <x v="5"/>
    <x v="998"/>
    <x v="3762"/>
    <x v="4"/>
    <x v="1"/>
  </r>
  <r>
    <n v="5327"/>
    <x v="2646"/>
    <x v="184"/>
    <d v="2016-01-22T00:00:00"/>
    <s v="Standard Class"/>
    <x v="609"/>
    <s v="Scott Cohen"/>
    <x v="1"/>
    <s v="United States"/>
    <s v="Lawrence"/>
    <x v="31"/>
    <n v="1841"/>
    <x v="3"/>
    <x v="1412"/>
    <x v="1"/>
    <x v="6"/>
    <x v="1399"/>
    <x v="3763"/>
    <x v="9"/>
    <x v="1"/>
  </r>
  <r>
    <n v="5328"/>
    <x v="2647"/>
    <x v="1037"/>
    <d v="2015-01-08T00:00:00"/>
    <s v="Second Class"/>
    <x v="721"/>
    <s v="Lycoris Saunders"/>
    <x v="0"/>
    <s v="United States"/>
    <s v="Los Angeles"/>
    <x v="1"/>
    <n v="90049"/>
    <x v="1"/>
    <x v="510"/>
    <x v="1"/>
    <x v="10"/>
    <x v="510"/>
    <x v="537"/>
    <x v="9"/>
    <x v="2"/>
  </r>
  <r>
    <n v="5329"/>
    <x v="2648"/>
    <x v="616"/>
    <d v="2016-03-09T00:00:00"/>
    <s v="Standard Class"/>
    <x v="160"/>
    <s v="Mike Vittorini"/>
    <x v="0"/>
    <s v="United States"/>
    <s v="Houston"/>
    <x v="5"/>
    <n v="77036"/>
    <x v="2"/>
    <x v="424"/>
    <x v="2"/>
    <x v="7"/>
    <x v="424"/>
    <x v="1043"/>
    <x v="10"/>
    <x v="1"/>
  </r>
  <r>
    <n v="5330"/>
    <x v="2649"/>
    <x v="591"/>
    <d v="2017-12-28T00:00:00"/>
    <s v="Second Class"/>
    <x v="379"/>
    <s v="Brian DeCherney"/>
    <x v="0"/>
    <s v="United States"/>
    <s v="New York City"/>
    <x v="15"/>
    <n v="10035"/>
    <x v="3"/>
    <x v="301"/>
    <x v="1"/>
    <x v="8"/>
    <x v="301"/>
    <x v="2939"/>
    <x v="4"/>
    <x v="0"/>
  </r>
  <r>
    <n v="5331"/>
    <x v="2650"/>
    <x v="913"/>
    <d v="2017-09-08T00:00:00"/>
    <s v="Standard Class"/>
    <x v="610"/>
    <s v="Christina VanderZanden"/>
    <x v="0"/>
    <s v="United States"/>
    <s v="New York City"/>
    <x v="15"/>
    <n v="10011"/>
    <x v="3"/>
    <x v="1268"/>
    <x v="0"/>
    <x v="5"/>
    <x v="1252"/>
    <x v="3764"/>
    <x v="8"/>
    <x v="0"/>
  </r>
  <r>
    <n v="5332"/>
    <x v="2650"/>
    <x v="913"/>
    <d v="2017-09-08T00:00:00"/>
    <s v="Standard Class"/>
    <x v="610"/>
    <s v="Christina VanderZanden"/>
    <x v="0"/>
    <s v="United States"/>
    <s v="New York City"/>
    <x v="15"/>
    <n v="10011"/>
    <x v="3"/>
    <x v="58"/>
    <x v="1"/>
    <x v="8"/>
    <x v="58"/>
    <x v="3765"/>
    <x v="8"/>
    <x v="0"/>
  </r>
  <r>
    <n v="5333"/>
    <x v="2650"/>
    <x v="913"/>
    <d v="2017-09-08T00:00:00"/>
    <s v="Standard Class"/>
    <x v="610"/>
    <s v="Christina VanderZanden"/>
    <x v="0"/>
    <s v="United States"/>
    <s v="New York City"/>
    <x v="15"/>
    <n v="10011"/>
    <x v="3"/>
    <x v="675"/>
    <x v="1"/>
    <x v="14"/>
    <x v="675"/>
    <x v="20"/>
    <x v="8"/>
    <x v="0"/>
  </r>
  <r>
    <n v="5334"/>
    <x v="2651"/>
    <x v="86"/>
    <d v="2015-09-01T00:00:00"/>
    <s v="Standard Class"/>
    <x v="41"/>
    <s v="Karl Braun"/>
    <x v="0"/>
    <s v="United States"/>
    <s v="Newark"/>
    <x v="13"/>
    <n v="19711"/>
    <x v="3"/>
    <x v="1565"/>
    <x v="0"/>
    <x v="5"/>
    <x v="1556"/>
    <x v="3766"/>
    <x v="6"/>
    <x v="2"/>
  </r>
  <r>
    <n v="5335"/>
    <x v="2651"/>
    <x v="86"/>
    <d v="2015-09-01T00:00:00"/>
    <s v="Standard Class"/>
    <x v="41"/>
    <s v="Karl Braun"/>
    <x v="0"/>
    <s v="United States"/>
    <s v="Newark"/>
    <x v="13"/>
    <n v="19711"/>
    <x v="3"/>
    <x v="1215"/>
    <x v="1"/>
    <x v="10"/>
    <x v="1199"/>
    <x v="1686"/>
    <x v="6"/>
    <x v="2"/>
  </r>
  <r>
    <n v="5336"/>
    <x v="2651"/>
    <x v="86"/>
    <d v="2015-09-01T00:00:00"/>
    <s v="Standard Class"/>
    <x v="41"/>
    <s v="Karl Braun"/>
    <x v="0"/>
    <s v="United States"/>
    <s v="Newark"/>
    <x v="13"/>
    <n v="19711"/>
    <x v="3"/>
    <x v="938"/>
    <x v="1"/>
    <x v="10"/>
    <x v="931"/>
    <x v="1607"/>
    <x v="6"/>
    <x v="2"/>
  </r>
  <r>
    <n v="5337"/>
    <x v="2652"/>
    <x v="1031"/>
    <d v="2016-05-25T00:00:00"/>
    <s v="Standard Class"/>
    <x v="545"/>
    <s v="Michelle Ellison"/>
    <x v="1"/>
    <s v="United States"/>
    <s v="Seattle"/>
    <x v="4"/>
    <n v="98105"/>
    <x v="1"/>
    <x v="674"/>
    <x v="1"/>
    <x v="8"/>
    <x v="674"/>
    <x v="777"/>
    <x v="5"/>
    <x v="1"/>
  </r>
  <r>
    <n v="5338"/>
    <x v="2653"/>
    <x v="524"/>
    <d v="2018-10-21T00:00:00"/>
    <s v="Standard Class"/>
    <x v="321"/>
    <s v="Anthony Jacobs"/>
    <x v="1"/>
    <s v="United States"/>
    <s v="Scottsdale"/>
    <x v="16"/>
    <n v="85254"/>
    <x v="1"/>
    <x v="1397"/>
    <x v="1"/>
    <x v="10"/>
    <x v="1384"/>
    <x v="3767"/>
    <x v="2"/>
    <x v="3"/>
  </r>
  <r>
    <n v="5339"/>
    <x v="2654"/>
    <x v="529"/>
    <d v="2016-11-14T00:00:00"/>
    <s v="Second Class"/>
    <x v="231"/>
    <s v="Dianna Vittorini"/>
    <x v="0"/>
    <s v="United States"/>
    <s v="Oceanside"/>
    <x v="15"/>
    <n v="11572"/>
    <x v="3"/>
    <x v="1166"/>
    <x v="1"/>
    <x v="4"/>
    <x v="1153"/>
    <x v="1644"/>
    <x v="0"/>
    <x v="1"/>
  </r>
  <r>
    <n v="5340"/>
    <x v="2654"/>
    <x v="529"/>
    <d v="2016-11-14T00:00:00"/>
    <s v="Second Class"/>
    <x v="231"/>
    <s v="Dianna Vittorini"/>
    <x v="0"/>
    <s v="United States"/>
    <s v="Oceanside"/>
    <x v="15"/>
    <n v="11572"/>
    <x v="3"/>
    <x v="29"/>
    <x v="1"/>
    <x v="12"/>
    <x v="29"/>
    <x v="3768"/>
    <x v="0"/>
    <x v="1"/>
  </r>
  <r>
    <n v="5341"/>
    <x v="2654"/>
    <x v="529"/>
    <d v="2016-11-14T00:00:00"/>
    <s v="Second Class"/>
    <x v="231"/>
    <s v="Dianna Vittorini"/>
    <x v="0"/>
    <s v="United States"/>
    <s v="Oceanside"/>
    <x v="15"/>
    <n v="11572"/>
    <x v="3"/>
    <x v="1695"/>
    <x v="2"/>
    <x v="11"/>
    <x v="1683"/>
    <x v="62"/>
    <x v="0"/>
    <x v="1"/>
  </r>
  <r>
    <n v="5342"/>
    <x v="2654"/>
    <x v="529"/>
    <d v="2016-11-14T00:00:00"/>
    <s v="Second Class"/>
    <x v="231"/>
    <s v="Dianna Vittorini"/>
    <x v="0"/>
    <s v="United States"/>
    <s v="Oceanside"/>
    <x v="15"/>
    <n v="11572"/>
    <x v="3"/>
    <x v="1332"/>
    <x v="2"/>
    <x v="11"/>
    <x v="1317"/>
    <x v="3769"/>
    <x v="0"/>
    <x v="1"/>
  </r>
  <r>
    <n v="5343"/>
    <x v="2655"/>
    <x v="871"/>
    <d v="2015-11-27T00:00:00"/>
    <s v="Standard Class"/>
    <x v="759"/>
    <s v="Jason Klamczynski"/>
    <x v="1"/>
    <s v="United States"/>
    <s v="Dallas"/>
    <x v="5"/>
    <n v="75220"/>
    <x v="2"/>
    <x v="29"/>
    <x v="1"/>
    <x v="12"/>
    <x v="29"/>
    <x v="3770"/>
    <x v="0"/>
    <x v="2"/>
  </r>
  <r>
    <n v="5344"/>
    <x v="2655"/>
    <x v="871"/>
    <d v="2015-11-27T00:00:00"/>
    <s v="Standard Class"/>
    <x v="759"/>
    <s v="Jason Klamczynski"/>
    <x v="1"/>
    <s v="United States"/>
    <s v="Dallas"/>
    <x v="5"/>
    <n v="75220"/>
    <x v="2"/>
    <x v="1086"/>
    <x v="2"/>
    <x v="7"/>
    <x v="1076"/>
    <x v="3771"/>
    <x v="0"/>
    <x v="2"/>
  </r>
  <r>
    <n v="5345"/>
    <x v="2656"/>
    <x v="2"/>
    <d v="2016-10-13T00:00:00"/>
    <s v="Second Class"/>
    <x v="129"/>
    <s v="Shahid Hopkins"/>
    <x v="0"/>
    <s v="United States"/>
    <s v="Rochester"/>
    <x v="15"/>
    <n v="14609"/>
    <x v="3"/>
    <x v="1365"/>
    <x v="2"/>
    <x v="11"/>
    <x v="1548"/>
    <x v="3772"/>
    <x v="2"/>
    <x v="1"/>
  </r>
  <r>
    <n v="5346"/>
    <x v="2657"/>
    <x v="708"/>
    <d v="2018-03-23T00:00:00"/>
    <s v="Second Class"/>
    <x v="56"/>
    <s v="Steven Cartwright"/>
    <x v="0"/>
    <s v="United States"/>
    <s v="Los Angeles"/>
    <x v="1"/>
    <n v="90045"/>
    <x v="1"/>
    <x v="245"/>
    <x v="1"/>
    <x v="4"/>
    <x v="246"/>
    <x v="264"/>
    <x v="10"/>
    <x v="3"/>
  </r>
  <r>
    <n v="5347"/>
    <x v="2657"/>
    <x v="708"/>
    <d v="2018-03-23T00:00:00"/>
    <s v="Second Class"/>
    <x v="56"/>
    <s v="Steven Cartwright"/>
    <x v="0"/>
    <s v="United States"/>
    <s v="Los Angeles"/>
    <x v="1"/>
    <n v="90045"/>
    <x v="1"/>
    <x v="109"/>
    <x v="1"/>
    <x v="8"/>
    <x v="109"/>
    <x v="2944"/>
    <x v="10"/>
    <x v="3"/>
  </r>
  <r>
    <n v="5348"/>
    <x v="2657"/>
    <x v="708"/>
    <d v="2018-03-23T00:00:00"/>
    <s v="Second Class"/>
    <x v="56"/>
    <s v="Steven Cartwright"/>
    <x v="0"/>
    <s v="United States"/>
    <s v="Los Angeles"/>
    <x v="1"/>
    <n v="90045"/>
    <x v="1"/>
    <x v="880"/>
    <x v="1"/>
    <x v="8"/>
    <x v="874"/>
    <x v="1076"/>
    <x v="10"/>
    <x v="3"/>
  </r>
  <r>
    <n v="5349"/>
    <x v="2658"/>
    <x v="1038"/>
    <d v="2016-01-10T00:00:00"/>
    <s v="Standard Class"/>
    <x v="294"/>
    <s v="Chris Selesnick"/>
    <x v="1"/>
    <s v="United States"/>
    <s v="Woodbury"/>
    <x v="11"/>
    <n v="55125"/>
    <x v="2"/>
    <x v="828"/>
    <x v="1"/>
    <x v="8"/>
    <x v="824"/>
    <x v="3773"/>
    <x v="9"/>
    <x v="1"/>
  </r>
  <r>
    <n v="5350"/>
    <x v="2658"/>
    <x v="1038"/>
    <d v="2016-01-10T00:00:00"/>
    <s v="Standard Class"/>
    <x v="294"/>
    <s v="Chris Selesnick"/>
    <x v="1"/>
    <s v="United States"/>
    <s v="Woodbury"/>
    <x v="11"/>
    <n v="55125"/>
    <x v="2"/>
    <x v="226"/>
    <x v="1"/>
    <x v="10"/>
    <x v="227"/>
    <x v="1749"/>
    <x v="9"/>
    <x v="1"/>
  </r>
  <r>
    <n v="5351"/>
    <x v="2659"/>
    <x v="34"/>
    <d v="2018-12-16T00:00:00"/>
    <s v="Standard Class"/>
    <x v="23"/>
    <s v="Lena Hernandez"/>
    <x v="0"/>
    <s v="United States"/>
    <s v="Park Ridge"/>
    <x v="10"/>
    <n v="60068"/>
    <x v="2"/>
    <x v="681"/>
    <x v="1"/>
    <x v="10"/>
    <x v="681"/>
    <x v="3774"/>
    <x v="4"/>
    <x v="3"/>
  </r>
  <r>
    <n v="5352"/>
    <x v="2660"/>
    <x v="47"/>
    <d v="2017-09-12T00:00:00"/>
    <s v="Standard Class"/>
    <x v="289"/>
    <s v="Yoseph Carroll"/>
    <x v="1"/>
    <s v="United States"/>
    <s v="Dallas"/>
    <x v="5"/>
    <n v="75217"/>
    <x v="2"/>
    <x v="1402"/>
    <x v="1"/>
    <x v="10"/>
    <x v="1389"/>
    <x v="1433"/>
    <x v="8"/>
    <x v="0"/>
  </r>
  <r>
    <n v="5353"/>
    <x v="2660"/>
    <x v="47"/>
    <d v="2017-09-12T00:00:00"/>
    <s v="Standard Class"/>
    <x v="289"/>
    <s v="Yoseph Carroll"/>
    <x v="1"/>
    <s v="United States"/>
    <s v="Dallas"/>
    <x v="5"/>
    <n v="75217"/>
    <x v="2"/>
    <x v="53"/>
    <x v="2"/>
    <x v="7"/>
    <x v="53"/>
    <x v="3775"/>
    <x v="8"/>
    <x v="0"/>
  </r>
  <r>
    <n v="5354"/>
    <x v="2661"/>
    <x v="323"/>
    <d v="2017-09-06T00:00:00"/>
    <s v="First Class"/>
    <x v="388"/>
    <s v="Craig Yedwab"/>
    <x v="1"/>
    <s v="United States"/>
    <s v="Monroe"/>
    <x v="28"/>
    <n v="71203"/>
    <x v="0"/>
    <x v="634"/>
    <x v="1"/>
    <x v="8"/>
    <x v="634"/>
    <x v="3776"/>
    <x v="8"/>
    <x v="0"/>
  </r>
  <r>
    <n v="5355"/>
    <x v="2662"/>
    <x v="8"/>
    <d v="2015-05-19T00:00:00"/>
    <s v="Standard Class"/>
    <x v="692"/>
    <s v="Aaron Hawkins"/>
    <x v="1"/>
    <s v="United States"/>
    <s v="Los Angeles"/>
    <x v="1"/>
    <n v="90004"/>
    <x v="1"/>
    <x v="1340"/>
    <x v="0"/>
    <x v="1"/>
    <x v="1325"/>
    <x v="3777"/>
    <x v="5"/>
    <x v="2"/>
  </r>
  <r>
    <n v="5356"/>
    <x v="2662"/>
    <x v="8"/>
    <d v="2015-05-19T00:00:00"/>
    <s v="Standard Class"/>
    <x v="692"/>
    <s v="Aaron Hawkins"/>
    <x v="1"/>
    <s v="United States"/>
    <s v="Los Angeles"/>
    <x v="1"/>
    <n v="90004"/>
    <x v="1"/>
    <x v="1732"/>
    <x v="1"/>
    <x v="10"/>
    <x v="1720"/>
    <x v="3778"/>
    <x v="5"/>
    <x v="2"/>
  </r>
  <r>
    <n v="5357"/>
    <x v="2663"/>
    <x v="321"/>
    <d v="2017-10-03T00:00:00"/>
    <s v="Standard Class"/>
    <x v="481"/>
    <s v="Andy Reiter"/>
    <x v="0"/>
    <s v="United States"/>
    <s v="San Francisco"/>
    <x v="1"/>
    <n v="94109"/>
    <x v="1"/>
    <x v="1282"/>
    <x v="1"/>
    <x v="8"/>
    <x v="1267"/>
    <x v="77"/>
    <x v="8"/>
    <x v="0"/>
  </r>
  <r>
    <n v="5358"/>
    <x v="2664"/>
    <x v="79"/>
    <d v="2015-08-11T00:00:00"/>
    <s v="Standard Class"/>
    <x v="196"/>
    <s v="Sonia Sunley"/>
    <x v="0"/>
    <s v="United States"/>
    <s v="San Francisco"/>
    <x v="1"/>
    <n v="94122"/>
    <x v="1"/>
    <x v="960"/>
    <x v="2"/>
    <x v="11"/>
    <x v="953"/>
    <x v="3779"/>
    <x v="6"/>
    <x v="2"/>
  </r>
  <r>
    <n v="5359"/>
    <x v="2664"/>
    <x v="79"/>
    <d v="2015-08-11T00:00:00"/>
    <s v="Standard Class"/>
    <x v="196"/>
    <s v="Sonia Sunley"/>
    <x v="0"/>
    <s v="United States"/>
    <s v="San Francisco"/>
    <x v="1"/>
    <n v="94122"/>
    <x v="1"/>
    <x v="1555"/>
    <x v="1"/>
    <x v="4"/>
    <x v="1543"/>
    <x v="3780"/>
    <x v="6"/>
    <x v="2"/>
  </r>
  <r>
    <n v="5360"/>
    <x v="2664"/>
    <x v="79"/>
    <d v="2015-08-11T00:00:00"/>
    <s v="Standard Class"/>
    <x v="196"/>
    <s v="Sonia Sunley"/>
    <x v="0"/>
    <s v="United States"/>
    <s v="San Francisco"/>
    <x v="1"/>
    <n v="94122"/>
    <x v="1"/>
    <x v="1243"/>
    <x v="1"/>
    <x v="6"/>
    <x v="1226"/>
    <x v="44"/>
    <x v="6"/>
    <x v="2"/>
  </r>
  <r>
    <n v="5361"/>
    <x v="2665"/>
    <x v="349"/>
    <d v="2018-04-18T00:00:00"/>
    <s v="Standard Class"/>
    <x v="61"/>
    <s v="Dorothy Wardle"/>
    <x v="1"/>
    <s v="United States"/>
    <s v="Fayetteville"/>
    <x v="3"/>
    <n v="28314"/>
    <x v="0"/>
    <x v="927"/>
    <x v="0"/>
    <x v="0"/>
    <x v="920"/>
    <x v="654"/>
    <x v="3"/>
    <x v="3"/>
  </r>
  <r>
    <n v="5362"/>
    <x v="2666"/>
    <x v="255"/>
    <d v="2018-06-10T00:00:00"/>
    <s v="First Class"/>
    <x v="544"/>
    <s v="Noah Childs"/>
    <x v="1"/>
    <s v="United States"/>
    <s v="Dallas"/>
    <x v="5"/>
    <n v="75217"/>
    <x v="2"/>
    <x v="734"/>
    <x v="1"/>
    <x v="4"/>
    <x v="733"/>
    <x v="3619"/>
    <x v="1"/>
    <x v="3"/>
  </r>
  <r>
    <n v="5363"/>
    <x v="2667"/>
    <x v="723"/>
    <d v="2018-01-02T00:00:00"/>
    <s v="Standard Class"/>
    <x v="303"/>
    <s v="Carlos Daly"/>
    <x v="0"/>
    <s v="United States"/>
    <s v="Wichita"/>
    <x v="41"/>
    <n v="67212"/>
    <x v="2"/>
    <x v="1530"/>
    <x v="0"/>
    <x v="5"/>
    <x v="1517"/>
    <x v="2623"/>
    <x v="4"/>
    <x v="0"/>
  </r>
  <r>
    <n v="5364"/>
    <x v="2667"/>
    <x v="723"/>
    <d v="2018-01-02T00:00:00"/>
    <s v="Standard Class"/>
    <x v="303"/>
    <s v="Carlos Daly"/>
    <x v="0"/>
    <s v="United States"/>
    <s v="Wichita"/>
    <x v="41"/>
    <n v="67212"/>
    <x v="2"/>
    <x v="1360"/>
    <x v="1"/>
    <x v="9"/>
    <x v="1346"/>
    <x v="3314"/>
    <x v="4"/>
    <x v="0"/>
  </r>
  <r>
    <n v="5365"/>
    <x v="2668"/>
    <x v="1039"/>
    <d v="2015-01-21T00:00:00"/>
    <s v="Second Class"/>
    <x v="694"/>
    <s v="David Wiener"/>
    <x v="1"/>
    <s v="United States"/>
    <s v="Springfield"/>
    <x v="21"/>
    <n v="97477"/>
    <x v="1"/>
    <x v="1266"/>
    <x v="1"/>
    <x v="9"/>
    <x v="1250"/>
    <x v="2038"/>
    <x v="9"/>
    <x v="2"/>
  </r>
  <r>
    <n v="5366"/>
    <x v="2669"/>
    <x v="73"/>
    <d v="2017-11-24T00:00:00"/>
    <s v="Standard Class"/>
    <x v="552"/>
    <s v="Erica Hackney"/>
    <x v="0"/>
    <s v="United States"/>
    <s v="Houston"/>
    <x v="5"/>
    <n v="77041"/>
    <x v="2"/>
    <x v="867"/>
    <x v="2"/>
    <x v="7"/>
    <x v="861"/>
    <x v="3781"/>
    <x v="0"/>
    <x v="0"/>
  </r>
  <r>
    <n v="5367"/>
    <x v="2670"/>
    <x v="193"/>
    <d v="2018-06-15T00:00:00"/>
    <s v="Standard Class"/>
    <x v="217"/>
    <s v="Bill Donatelli"/>
    <x v="0"/>
    <s v="United States"/>
    <s v="Seattle"/>
    <x v="4"/>
    <n v="98103"/>
    <x v="1"/>
    <x v="687"/>
    <x v="2"/>
    <x v="7"/>
    <x v="687"/>
    <x v="2495"/>
    <x v="1"/>
    <x v="3"/>
  </r>
  <r>
    <n v="5368"/>
    <x v="2670"/>
    <x v="193"/>
    <d v="2018-06-15T00:00:00"/>
    <s v="Standard Class"/>
    <x v="217"/>
    <s v="Bill Donatelli"/>
    <x v="0"/>
    <s v="United States"/>
    <s v="Seattle"/>
    <x v="4"/>
    <n v="98103"/>
    <x v="1"/>
    <x v="264"/>
    <x v="1"/>
    <x v="2"/>
    <x v="264"/>
    <x v="1049"/>
    <x v="1"/>
    <x v="3"/>
  </r>
  <r>
    <n v="5369"/>
    <x v="2670"/>
    <x v="193"/>
    <d v="2018-06-15T00:00:00"/>
    <s v="Standard Class"/>
    <x v="217"/>
    <s v="Bill Donatelli"/>
    <x v="0"/>
    <s v="United States"/>
    <s v="Seattle"/>
    <x v="4"/>
    <n v="98103"/>
    <x v="1"/>
    <x v="230"/>
    <x v="1"/>
    <x v="4"/>
    <x v="450"/>
    <x v="3782"/>
    <x v="1"/>
    <x v="3"/>
  </r>
  <r>
    <n v="5370"/>
    <x v="2671"/>
    <x v="18"/>
    <d v="2018-09-13T00:00:00"/>
    <s v="First Class"/>
    <x v="175"/>
    <s v="Ken Heidel"/>
    <x v="1"/>
    <s v="United States"/>
    <s v="Akron"/>
    <x v="24"/>
    <n v="44312"/>
    <x v="3"/>
    <x v="1733"/>
    <x v="1"/>
    <x v="10"/>
    <x v="1721"/>
    <x v="629"/>
    <x v="8"/>
    <x v="3"/>
  </r>
  <r>
    <n v="5371"/>
    <x v="2672"/>
    <x v="798"/>
    <d v="2018-04-12T00:00:00"/>
    <s v="Standard Class"/>
    <x v="468"/>
    <s v="Nicole Hansen"/>
    <x v="1"/>
    <s v="United States"/>
    <s v="Oak Park"/>
    <x v="12"/>
    <n v="48237"/>
    <x v="2"/>
    <x v="1369"/>
    <x v="0"/>
    <x v="5"/>
    <x v="1354"/>
    <x v="2887"/>
    <x v="3"/>
    <x v="3"/>
  </r>
  <r>
    <n v="5372"/>
    <x v="2672"/>
    <x v="798"/>
    <d v="2018-04-12T00:00:00"/>
    <s v="Standard Class"/>
    <x v="468"/>
    <s v="Nicole Hansen"/>
    <x v="1"/>
    <s v="United States"/>
    <s v="Oak Park"/>
    <x v="12"/>
    <n v="48237"/>
    <x v="2"/>
    <x v="743"/>
    <x v="0"/>
    <x v="5"/>
    <x v="741"/>
    <x v="3783"/>
    <x v="3"/>
    <x v="3"/>
  </r>
  <r>
    <n v="5373"/>
    <x v="2673"/>
    <x v="1040"/>
    <d v="2016-10-30T00:00:00"/>
    <s v="Standard Class"/>
    <x v="122"/>
    <s v="Andrew Gjertsen"/>
    <x v="1"/>
    <s v="United States"/>
    <s v="Houston"/>
    <x v="5"/>
    <n v="77041"/>
    <x v="2"/>
    <x v="89"/>
    <x v="1"/>
    <x v="10"/>
    <x v="89"/>
    <x v="12"/>
    <x v="2"/>
    <x v="1"/>
  </r>
  <r>
    <n v="5374"/>
    <x v="2673"/>
    <x v="1040"/>
    <d v="2016-10-30T00:00:00"/>
    <s v="Standard Class"/>
    <x v="122"/>
    <s v="Andrew Gjertsen"/>
    <x v="1"/>
    <s v="United States"/>
    <s v="Houston"/>
    <x v="5"/>
    <n v="77041"/>
    <x v="2"/>
    <x v="223"/>
    <x v="0"/>
    <x v="3"/>
    <x v="224"/>
    <x v="3784"/>
    <x v="2"/>
    <x v="1"/>
  </r>
  <r>
    <n v="5375"/>
    <x v="2673"/>
    <x v="1040"/>
    <d v="2016-10-30T00:00:00"/>
    <s v="Standard Class"/>
    <x v="122"/>
    <s v="Andrew Gjertsen"/>
    <x v="1"/>
    <s v="United States"/>
    <s v="Houston"/>
    <x v="5"/>
    <n v="77041"/>
    <x v="2"/>
    <x v="778"/>
    <x v="1"/>
    <x v="10"/>
    <x v="777"/>
    <x v="559"/>
    <x v="2"/>
    <x v="1"/>
  </r>
  <r>
    <n v="5376"/>
    <x v="2674"/>
    <x v="837"/>
    <d v="2018-05-31T00:00:00"/>
    <s v="Standard Class"/>
    <x v="532"/>
    <s v="Roy Phan"/>
    <x v="1"/>
    <s v="United States"/>
    <s v="Seattle"/>
    <x v="4"/>
    <n v="98103"/>
    <x v="1"/>
    <x v="960"/>
    <x v="2"/>
    <x v="11"/>
    <x v="953"/>
    <x v="1524"/>
    <x v="5"/>
    <x v="3"/>
  </r>
  <r>
    <n v="5377"/>
    <x v="2674"/>
    <x v="837"/>
    <d v="2018-05-31T00:00:00"/>
    <s v="Standard Class"/>
    <x v="532"/>
    <s v="Roy Phan"/>
    <x v="1"/>
    <s v="United States"/>
    <s v="Seattle"/>
    <x v="4"/>
    <n v="98103"/>
    <x v="1"/>
    <x v="1554"/>
    <x v="1"/>
    <x v="6"/>
    <x v="772"/>
    <x v="966"/>
    <x v="5"/>
    <x v="3"/>
  </r>
  <r>
    <n v="5378"/>
    <x v="2675"/>
    <x v="29"/>
    <d v="2015-12-07T00:00:00"/>
    <s v="First Class"/>
    <x v="240"/>
    <s v="Nona Balk"/>
    <x v="1"/>
    <s v="United States"/>
    <s v="Philadelphia"/>
    <x v="9"/>
    <n v="19134"/>
    <x v="3"/>
    <x v="633"/>
    <x v="1"/>
    <x v="12"/>
    <x v="633"/>
    <x v="3785"/>
    <x v="4"/>
    <x v="2"/>
  </r>
  <r>
    <n v="5379"/>
    <x v="2675"/>
    <x v="29"/>
    <d v="2015-12-07T00:00:00"/>
    <s v="First Class"/>
    <x v="240"/>
    <s v="Nona Balk"/>
    <x v="1"/>
    <s v="United States"/>
    <s v="Philadelphia"/>
    <x v="9"/>
    <n v="19134"/>
    <x v="3"/>
    <x v="398"/>
    <x v="1"/>
    <x v="4"/>
    <x v="399"/>
    <x v="3786"/>
    <x v="4"/>
    <x v="2"/>
  </r>
  <r>
    <n v="5380"/>
    <x v="2676"/>
    <x v="1041"/>
    <d v="2017-08-18T00:00:00"/>
    <s v="Standard Class"/>
    <x v="758"/>
    <s v="Jill Matthias"/>
    <x v="0"/>
    <s v="United States"/>
    <s v="Los Angeles"/>
    <x v="1"/>
    <n v="90045"/>
    <x v="1"/>
    <x v="1262"/>
    <x v="1"/>
    <x v="10"/>
    <x v="1246"/>
    <x v="3787"/>
    <x v="6"/>
    <x v="0"/>
  </r>
  <r>
    <n v="5381"/>
    <x v="2676"/>
    <x v="1041"/>
    <d v="2017-08-18T00:00:00"/>
    <s v="Standard Class"/>
    <x v="758"/>
    <s v="Jill Matthias"/>
    <x v="0"/>
    <s v="United States"/>
    <s v="Los Angeles"/>
    <x v="1"/>
    <n v="90045"/>
    <x v="1"/>
    <x v="1734"/>
    <x v="2"/>
    <x v="15"/>
    <x v="1722"/>
    <x v="3788"/>
    <x v="6"/>
    <x v="0"/>
  </r>
  <r>
    <n v="5382"/>
    <x v="2677"/>
    <x v="64"/>
    <d v="2017-09-07T00:00:00"/>
    <s v="Second Class"/>
    <x v="760"/>
    <s v="Don Miller"/>
    <x v="1"/>
    <s v="United States"/>
    <s v="Houston"/>
    <x v="5"/>
    <n v="77070"/>
    <x v="2"/>
    <x v="680"/>
    <x v="1"/>
    <x v="10"/>
    <x v="680"/>
    <x v="233"/>
    <x v="8"/>
    <x v="0"/>
  </r>
  <r>
    <n v="5383"/>
    <x v="2677"/>
    <x v="64"/>
    <d v="2017-09-07T00:00:00"/>
    <s v="Second Class"/>
    <x v="760"/>
    <s v="Don Miller"/>
    <x v="1"/>
    <s v="United States"/>
    <s v="Houston"/>
    <x v="5"/>
    <n v="77070"/>
    <x v="2"/>
    <x v="1099"/>
    <x v="1"/>
    <x v="13"/>
    <x v="128"/>
    <x v="3789"/>
    <x v="8"/>
    <x v="0"/>
  </r>
  <r>
    <n v="5384"/>
    <x v="2677"/>
    <x v="64"/>
    <d v="2017-09-07T00:00:00"/>
    <s v="Second Class"/>
    <x v="760"/>
    <s v="Don Miller"/>
    <x v="1"/>
    <s v="United States"/>
    <s v="Houston"/>
    <x v="5"/>
    <n v="77070"/>
    <x v="2"/>
    <x v="329"/>
    <x v="1"/>
    <x v="10"/>
    <x v="329"/>
    <x v="559"/>
    <x v="8"/>
    <x v="0"/>
  </r>
  <r>
    <n v="5385"/>
    <x v="2678"/>
    <x v="335"/>
    <d v="2018-07-03T00:00:00"/>
    <s v="Standard Class"/>
    <x v="417"/>
    <s v="Chris Cortes"/>
    <x v="0"/>
    <s v="United States"/>
    <s v="Philadelphia"/>
    <x v="9"/>
    <n v="19143"/>
    <x v="3"/>
    <x v="256"/>
    <x v="2"/>
    <x v="7"/>
    <x v="257"/>
    <x v="3790"/>
    <x v="1"/>
    <x v="3"/>
  </r>
  <r>
    <n v="5386"/>
    <x v="2678"/>
    <x v="335"/>
    <d v="2018-07-03T00:00:00"/>
    <s v="Standard Class"/>
    <x v="417"/>
    <s v="Chris Cortes"/>
    <x v="0"/>
    <s v="United States"/>
    <s v="Philadelphia"/>
    <x v="9"/>
    <n v="19143"/>
    <x v="3"/>
    <x v="1417"/>
    <x v="2"/>
    <x v="7"/>
    <x v="1405"/>
    <x v="3791"/>
    <x v="1"/>
    <x v="3"/>
  </r>
  <r>
    <n v="5387"/>
    <x v="2679"/>
    <x v="846"/>
    <d v="2018-03-17T00:00:00"/>
    <s v="Standard Class"/>
    <x v="315"/>
    <s v="Guy Armstrong"/>
    <x v="0"/>
    <s v="United States"/>
    <s v="Rogers"/>
    <x v="36"/>
    <n v="72756"/>
    <x v="0"/>
    <x v="1366"/>
    <x v="1"/>
    <x v="8"/>
    <x v="307"/>
    <x v="3792"/>
    <x v="10"/>
    <x v="3"/>
  </r>
  <r>
    <n v="5388"/>
    <x v="2680"/>
    <x v="1042"/>
    <d v="2018-02-21T00:00:00"/>
    <s v="Second Class"/>
    <x v="51"/>
    <s v="Cynthia Voltz"/>
    <x v="1"/>
    <s v="United States"/>
    <s v="Los Angeles"/>
    <x v="1"/>
    <n v="90045"/>
    <x v="1"/>
    <x v="431"/>
    <x v="2"/>
    <x v="7"/>
    <x v="431"/>
    <x v="3793"/>
    <x v="11"/>
    <x v="3"/>
  </r>
  <r>
    <n v="5389"/>
    <x v="2680"/>
    <x v="1042"/>
    <d v="2018-02-21T00:00:00"/>
    <s v="Second Class"/>
    <x v="51"/>
    <s v="Cynthia Voltz"/>
    <x v="1"/>
    <s v="United States"/>
    <s v="Los Angeles"/>
    <x v="1"/>
    <n v="90045"/>
    <x v="1"/>
    <x v="1312"/>
    <x v="2"/>
    <x v="11"/>
    <x v="1298"/>
    <x v="3794"/>
    <x v="11"/>
    <x v="3"/>
  </r>
  <r>
    <n v="5390"/>
    <x v="2680"/>
    <x v="1042"/>
    <d v="2018-02-21T00:00:00"/>
    <s v="Second Class"/>
    <x v="51"/>
    <s v="Cynthia Voltz"/>
    <x v="1"/>
    <s v="United States"/>
    <s v="Los Angeles"/>
    <x v="1"/>
    <n v="90045"/>
    <x v="1"/>
    <x v="522"/>
    <x v="1"/>
    <x v="2"/>
    <x v="522"/>
    <x v="759"/>
    <x v="11"/>
    <x v="3"/>
  </r>
  <r>
    <n v="5391"/>
    <x v="2681"/>
    <x v="468"/>
    <d v="2018-11-12T00:00:00"/>
    <s v="Second Class"/>
    <x v="714"/>
    <s v="Nick Crebassa"/>
    <x v="1"/>
    <s v="United States"/>
    <s v="Seattle"/>
    <x v="4"/>
    <n v="98105"/>
    <x v="1"/>
    <x v="1045"/>
    <x v="1"/>
    <x v="8"/>
    <x v="1034"/>
    <x v="3532"/>
    <x v="0"/>
    <x v="3"/>
  </r>
  <r>
    <n v="5392"/>
    <x v="2682"/>
    <x v="84"/>
    <d v="2015-11-25T00:00:00"/>
    <s v="Standard Class"/>
    <x v="744"/>
    <s v="Georgia Rosenberg"/>
    <x v="1"/>
    <s v="United States"/>
    <s v="Wilmington"/>
    <x v="13"/>
    <n v="19805"/>
    <x v="3"/>
    <x v="547"/>
    <x v="1"/>
    <x v="2"/>
    <x v="547"/>
    <x v="3795"/>
    <x v="0"/>
    <x v="2"/>
  </r>
  <r>
    <n v="5393"/>
    <x v="2682"/>
    <x v="84"/>
    <d v="2015-11-25T00:00:00"/>
    <s v="Standard Class"/>
    <x v="744"/>
    <s v="Georgia Rosenberg"/>
    <x v="1"/>
    <s v="United States"/>
    <s v="Wilmington"/>
    <x v="13"/>
    <n v="19805"/>
    <x v="3"/>
    <x v="639"/>
    <x v="1"/>
    <x v="2"/>
    <x v="639"/>
    <x v="739"/>
    <x v="0"/>
    <x v="2"/>
  </r>
  <r>
    <n v="5394"/>
    <x v="2682"/>
    <x v="84"/>
    <d v="2015-11-25T00:00:00"/>
    <s v="Standard Class"/>
    <x v="744"/>
    <s v="Georgia Rosenberg"/>
    <x v="1"/>
    <s v="United States"/>
    <s v="Wilmington"/>
    <x v="13"/>
    <n v="19805"/>
    <x v="3"/>
    <x v="471"/>
    <x v="1"/>
    <x v="8"/>
    <x v="472"/>
    <x v="3796"/>
    <x v="0"/>
    <x v="2"/>
  </r>
  <r>
    <n v="5395"/>
    <x v="2682"/>
    <x v="84"/>
    <d v="2015-11-25T00:00:00"/>
    <s v="Standard Class"/>
    <x v="744"/>
    <s v="Georgia Rosenberg"/>
    <x v="1"/>
    <s v="United States"/>
    <s v="Wilmington"/>
    <x v="13"/>
    <n v="19805"/>
    <x v="3"/>
    <x v="1057"/>
    <x v="0"/>
    <x v="0"/>
    <x v="1046"/>
    <x v="3797"/>
    <x v="0"/>
    <x v="2"/>
  </r>
  <r>
    <n v="5396"/>
    <x v="2683"/>
    <x v="728"/>
    <d v="2015-11-21T00:00:00"/>
    <s v="Second Class"/>
    <x v="189"/>
    <s v="John Grady"/>
    <x v="1"/>
    <s v="United States"/>
    <s v="Provo"/>
    <x v="7"/>
    <n v="84604"/>
    <x v="1"/>
    <x v="1407"/>
    <x v="1"/>
    <x v="10"/>
    <x v="1394"/>
    <x v="223"/>
    <x v="0"/>
    <x v="2"/>
  </r>
  <r>
    <n v="5397"/>
    <x v="2684"/>
    <x v="446"/>
    <d v="2017-09-24T00:00:00"/>
    <s v="Same Day"/>
    <x v="494"/>
    <s v="Edward Becker"/>
    <x v="1"/>
    <s v="United States"/>
    <s v="San Francisco"/>
    <x v="1"/>
    <n v="94110"/>
    <x v="1"/>
    <x v="1308"/>
    <x v="0"/>
    <x v="5"/>
    <x v="1293"/>
    <x v="1933"/>
    <x v="8"/>
    <x v="0"/>
  </r>
  <r>
    <n v="5398"/>
    <x v="2685"/>
    <x v="73"/>
    <d v="2017-11-27T00:00:00"/>
    <s v="Standard Class"/>
    <x v="204"/>
    <s v="Matt Connell"/>
    <x v="1"/>
    <s v="United States"/>
    <s v="Los Angeles"/>
    <x v="1"/>
    <n v="90004"/>
    <x v="1"/>
    <x v="189"/>
    <x v="1"/>
    <x v="9"/>
    <x v="190"/>
    <x v="3798"/>
    <x v="0"/>
    <x v="0"/>
  </r>
  <r>
    <n v="5399"/>
    <x v="2686"/>
    <x v="720"/>
    <d v="2017-10-02T00:00:00"/>
    <s v="Standard Class"/>
    <x v="312"/>
    <s v="Brian Moss"/>
    <x v="1"/>
    <s v="United States"/>
    <s v="Lancaster"/>
    <x v="24"/>
    <n v="43130"/>
    <x v="3"/>
    <x v="507"/>
    <x v="1"/>
    <x v="8"/>
    <x v="507"/>
    <x v="3799"/>
    <x v="8"/>
    <x v="0"/>
  </r>
  <r>
    <n v="5400"/>
    <x v="2687"/>
    <x v="526"/>
    <d v="2017-04-14T00:00:00"/>
    <s v="Standard Class"/>
    <x v="520"/>
    <s v="Herbert Flentye"/>
    <x v="0"/>
    <s v="United States"/>
    <s v="Los Angeles"/>
    <x v="1"/>
    <n v="90004"/>
    <x v="1"/>
    <x v="0"/>
    <x v="0"/>
    <x v="0"/>
    <x v="0"/>
    <x v="3043"/>
    <x v="3"/>
    <x v="0"/>
  </r>
  <r>
    <n v="5401"/>
    <x v="2688"/>
    <x v="296"/>
    <d v="2018-09-23T00:00:00"/>
    <s v="First Class"/>
    <x v="761"/>
    <s v="Muhammed Lee"/>
    <x v="0"/>
    <s v="United States"/>
    <s v="Seattle"/>
    <x v="4"/>
    <n v="98103"/>
    <x v="1"/>
    <x v="357"/>
    <x v="2"/>
    <x v="11"/>
    <x v="357"/>
    <x v="2215"/>
    <x v="8"/>
    <x v="3"/>
  </r>
  <r>
    <n v="5402"/>
    <x v="2688"/>
    <x v="296"/>
    <d v="2018-09-23T00:00:00"/>
    <s v="First Class"/>
    <x v="761"/>
    <s v="Muhammed Lee"/>
    <x v="0"/>
    <s v="United States"/>
    <s v="Seattle"/>
    <x v="4"/>
    <n v="98103"/>
    <x v="1"/>
    <x v="434"/>
    <x v="2"/>
    <x v="11"/>
    <x v="434"/>
    <x v="3800"/>
    <x v="8"/>
    <x v="3"/>
  </r>
  <r>
    <n v="5403"/>
    <x v="2689"/>
    <x v="1043"/>
    <d v="2018-08-29T00:00:00"/>
    <s v="Standard Class"/>
    <x v="124"/>
    <s v="Alan Haines"/>
    <x v="1"/>
    <s v="United States"/>
    <s v="New York City"/>
    <x v="15"/>
    <n v="10024"/>
    <x v="3"/>
    <x v="8"/>
    <x v="1"/>
    <x v="8"/>
    <x v="8"/>
    <x v="1063"/>
    <x v="6"/>
    <x v="3"/>
  </r>
  <r>
    <n v="5404"/>
    <x v="2689"/>
    <x v="1043"/>
    <d v="2018-08-29T00:00:00"/>
    <s v="Standard Class"/>
    <x v="124"/>
    <s v="Alan Haines"/>
    <x v="1"/>
    <s v="United States"/>
    <s v="New York City"/>
    <x v="15"/>
    <n v="10024"/>
    <x v="3"/>
    <x v="605"/>
    <x v="1"/>
    <x v="8"/>
    <x v="605"/>
    <x v="3735"/>
    <x v="6"/>
    <x v="3"/>
  </r>
  <r>
    <n v="5405"/>
    <x v="2690"/>
    <x v="712"/>
    <d v="2017-02-26T00:00:00"/>
    <s v="Standard Class"/>
    <x v="356"/>
    <s v="Tracy Zic"/>
    <x v="0"/>
    <s v="United States"/>
    <s v="Los Angeles"/>
    <x v="1"/>
    <n v="90045"/>
    <x v="1"/>
    <x v="288"/>
    <x v="2"/>
    <x v="7"/>
    <x v="288"/>
    <x v="563"/>
    <x v="11"/>
    <x v="0"/>
  </r>
  <r>
    <n v="5406"/>
    <x v="2690"/>
    <x v="712"/>
    <d v="2017-02-26T00:00:00"/>
    <s v="Standard Class"/>
    <x v="356"/>
    <s v="Tracy Zic"/>
    <x v="0"/>
    <s v="United States"/>
    <s v="Los Angeles"/>
    <x v="1"/>
    <n v="90045"/>
    <x v="1"/>
    <x v="1519"/>
    <x v="2"/>
    <x v="11"/>
    <x v="1506"/>
    <x v="341"/>
    <x v="11"/>
    <x v="0"/>
  </r>
  <r>
    <n v="5407"/>
    <x v="2690"/>
    <x v="712"/>
    <d v="2017-02-26T00:00:00"/>
    <s v="Standard Class"/>
    <x v="356"/>
    <s v="Tracy Zic"/>
    <x v="0"/>
    <s v="United States"/>
    <s v="Los Angeles"/>
    <x v="1"/>
    <n v="90045"/>
    <x v="1"/>
    <x v="1053"/>
    <x v="1"/>
    <x v="13"/>
    <x v="1042"/>
    <x v="1381"/>
    <x v="11"/>
    <x v="0"/>
  </r>
  <r>
    <n v="5408"/>
    <x v="2691"/>
    <x v="166"/>
    <d v="2018-12-14T00:00:00"/>
    <s v="Standard Class"/>
    <x v="664"/>
    <s v="Denise Monton"/>
    <x v="1"/>
    <s v="United States"/>
    <s v="San Francisco"/>
    <x v="1"/>
    <n v="94109"/>
    <x v="1"/>
    <x v="1665"/>
    <x v="1"/>
    <x v="10"/>
    <x v="1723"/>
    <x v="1177"/>
    <x v="4"/>
    <x v="3"/>
  </r>
  <r>
    <n v="5409"/>
    <x v="2691"/>
    <x v="166"/>
    <d v="2018-12-14T00:00:00"/>
    <s v="Standard Class"/>
    <x v="664"/>
    <s v="Denise Monton"/>
    <x v="1"/>
    <s v="United States"/>
    <s v="San Francisco"/>
    <x v="1"/>
    <n v="94109"/>
    <x v="1"/>
    <x v="912"/>
    <x v="1"/>
    <x v="8"/>
    <x v="904"/>
    <x v="3801"/>
    <x v="4"/>
    <x v="3"/>
  </r>
  <r>
    <n v="5410"/>
    <x v="2691"/>
    <x v="166"/>
    <d v="2018-12-14T00:00:00"/>
    <s v="Standard Class"/>
    <x v="664"/>
    <s v="Denise Monton"/>
    <x v="1"/>
    <s v="United States"/>
    <s v="San Francisco"/>
    <x v="1"/>
    <n v="94109"/>
    <x v="1"/>
    <x v="443"/>
    <x v="1"/>
    <x v="8"/>
    <x v="443"/>
    <x v="3377"/>
    <x v="4"/>
    <x v="3"/>
  </r>
  <r>
    <n v="5411"/>
    <x v="2691"/>
    <x v="166"/>
    <d v="2018-12-14T00:00:00"/>
    <s v="Standard Class"/>
    <x v="664"/>
    <s v="Denise Monton"/>
    <x v="1"/>
    <s v="United States"/>
    <s v="San Francisco"/>
    <x v="1"/>
    <n v="94109"/>
    <x v="1"/>
    <x v="1354"/>
    <x v="1"/>
    <x v="4"/>
    <x v="1340"/>
    <x v="3802"/>
    <x v="4"/>
    <x v="3"/>
  </r>
  <r>
    <n v="5412"/>
    <x v="2692"/>
    <x v="65"/>
    <d v="2018-09-22T00:00:00"/>
    <s v="Standard Class"/>
    <x v="700"/>
    <s v="Tony Sayre"/>
    <x v="0"/>
    <s v="United States"/>
    <s v="Clovis"/>
    <x v="27"/>
    <n v="88101"/>
    <x v="1"/>
    <x v="751"/>
    <x v="1"/>
    <x v="8"/>
    <x v="749"/>
    <x v="1942"/>
    <x v="8"/>
    <x v="3"/>
  </r>
  <r>
    <n v="5413"/>
    <x v="2692"/>
    <x v="65"/>
    <d v="2018-09-22T00:00:00"/>
    <s v="Standard Class"/>
    <x v="700"/>
    <s v="Tony Sayre"/>
    <x v="0"/>
    <s v="United States"/>
    <s v="Clovis"/>
    <x v="27"/>
    <n v="88101"/>
    <x v="1"/>
    <x v="1735"/>
    <x v="2"/>
    <x v="11"/>
    <x v="1724"/>
    <x v="3803"/>
    <x v="8"/>
    <x v="3"/>
  </r>
  <r>
    <n v="5414"/>
    <x v="2693"/>
    <x v="108"/>
    <d v="2017-09-14T00:00:00"/>
    <s v="First Class"/>
    <x v="577"/>
    <s v="Trudy Brown"/>
    <x v="0"/>
    <s v="United States"/>
    <s v="Wichita"/>
    <x v="41"/>
    <n v="67212"/>
    <x v="2"/>
    <x v="1517"/>
    <x v="2"/>
    <x v="7"/>
    <x v="1504"/>
    <x v="3804"/>
    <x v="8"/>
    <x v="0"/>
  </r>
  <r>
    <n v="5415"/>
    <x v="2694"/>
    <x v="397"/>
    <d v="2018-09-28T00:00:00"/>
    <s v="Standard Class"/>
    <x v="48"/>
    <s v="Lena Cacioppo"/>
    <x v="0"/>
    <s v="United States"/>
    <s v="Chicago"/>
    <x v="10"/>
    <n v="60653"/>
    <x v="2"/>
    <x v="1712"/>
    <x v="1"/>
    <x v="9"/>
    <x v="1700"/>
    <x v="3805"/>
    <x v="8"/>
    <x v="3"/>
  </r>
  <r>
    <n v="5416"/>
    <x v="2694"/>
    <x v="397"/>
    <d v="2018-09-28T00:00:00"/>
    <s v="Standard Class"/>
    <x v="48"/>
    <s v="Lena Cacioppo"/>
    <x v="0"/>
    <s v="United States"/>
    <s v="Chicago"/>
    <x v="10"/>
    <n v="60653"/>
    <x v="2"/>
    <x v="974"/>
    <x v="1"/>
    <x v="10"/>
    <x v="968"/>
    <x v="557"/>
    <x v="8"/>
    <x v="3"/>
  </r>
  <r>
    <n v="5417"/>
    <x v="2694"/>
    <x v="397"/>
    <d v="2018-09-28T00:00:00"/>
    <s v="Standard Class"/>
    <x v="48"/>
    <s v="Lena Cacioppo"/>
    <x v="0"/>
    <s v="United States"/>
    <s v="Chicago"/>
    <x v="10"/>
    <n v="60653"/>
    <x v="2"/>
    <x v="771"/>
    <x v="2"/>
    <x v="7"/>
    <x v="770"/>
    <x v="3806"/>
    <x v="8"/>
    <x v="3"/>
  </r>
  <r>
    <n v="5418"/>
    <x v="2695"/>
    <x v="191"/>
    <d v="2015-10-08T00:00:00"/>
    <s v="Second Class"/>
    <x v="87"/>
    <s v="Alice McCarthy"/>
    <x v="1"/>
    <s v="United States"/>
    <s v="Omaha"/>
    <x v="8"/>
    <n v="68104"/>
    <x v="2"/>
    <x v="1736"/>
    <x v="1"/>
    <x v="8"/>
    <x v="1725"/>
    <x v="2544"/>
    <x v="2"/>
    <x v="2"/>
  </r>
  <r>
    <n v="5419"/>
    <x v="2696"/>
    <x v="924"/>
    <d v="2016-10-26T00:00:00"/>
    <s v="First Class"/>
    <x v="555"/>
    <s v="Joe Elijah"/>
    <x v="0"/>
    <s v="United States"/>
    <s v="Houston"/>
    <x v="5"/>
    <n v="77041"/>
    <x v="2"/>
    <x v="747"/>
    <x v="1"/>
    <x v="10"/>
    <x v="745"/>
    <x v="1566"/>
    <x v="2"/>
    <x v="1"/>
  </r>
  <r>
    <n v="5420"/>
    <x v="2696"/>
    <x v="924"/>
    <d v="2016-10-26T00:00:00"/>
    <s v="First Class"/>
    <x v="555"/>
    <s v="Joe Elijah"/>
    <x v="0"/>
    <s v="United States"/>
    <s v="Houston"/>
    <x v="5"/>
    <n v="77041"/>
    <x v="2"/>
    <x v="539"/>
    <x v="2"/>
    <x v="7"/>
    <x v="539"/>
    <x v="3807"/>
    <x v="2"/>
    <x v="1"/>
  </r>
  <r>
    <n v="5421"/>
    <x v="2697"/>
    <x v="1044"/>
    <d v="2017-04-02T00:00:00"/>
    <s v="Second Class"/>
    <x v="229"/>
    <s v="Carlos Soltero"/>
    <x v="0"/>
    <s v="United States"/>
    <s v="Philadelphia"/>
    <x v="9"/>
    <n v="19134"/>
    <x v="3"/>
    <x v="1594"/>
    <x v="2"/>
    <x v="7"/>
    <x v="1586"/>
    <x v="798"/>
    <x v="10"/>
    <x v="0"/>
  </r>
  <r>
    <n v="5422"/>
    <x v="2697"/>
    <x v="1044"/>
    <d v="2017-04-02T00:00:00"/>
    <s v="Second Class"/>
    <x v="229"/>
    <s v="Carlos Soltero"/>
    <x v="0"/>
    <s v="United States"/>
    <s v="Philadelphia"/>
    <x v="9"/>
    <n v="19134"/>
    <x v="3"/>
    <x v="1235"/>
    <x v="2"/>
    <x v="11"/>
    <x v="1218"/>
    <x v="236"/>
    <x v="10"/>
    <x v="0"/>
  </r>
  <r>
    <n v="5423"/>
    <x v="2698"/>
    <x v="723"/>
    <d v="2018-01-02T00:00:00"/>
    <s v="Standard Class"/>
    <x v="418"/>
    <s v="Phillip Flathmann"/>
    <x v="0"/>
    <s v="United States"/>
    <s v="Los Angeles"/>
    <x v="1"/>
    <n v="90045"/>
    <x v="1"/>
    <x v="605"/>
    <x v="1"/>
    <x v="8"/>
    <x v="605"/>
    <x v="1494"/>
    <x v="4"/>
    <x v="0"/>
  </r>
  <r>
    <n v="5424"/>
    <x v="2699"/>
    <x v="132"/>
    <d v="2018-11-05T00:00:00"/>
    <s v="Second Class"/>
    <x v="601"/>
    <s v="Patrick Jones"/>
    <x v="1"/>
    <s v="United States"/>
    <s v="Richmond"/>
    <x v="0"/>
    <n v="40475"/>
    <x v="0"/>
    <x v="1737"/>
    <x v="1"/>
    <x v="10"/>
    <x v="1726"/>
    <x v="1579"/>
    <x v="0"/>
    <x v="3"/>
  </r>
  <r>
    <n v="5425"/>
    <x v="2700"/>
    <x v="176"/>
    <d v="2018-01-26T00:00:00"/>
    <s v="Standard Class"/>
    <x v="223"/>
    <s v="Jeremy Farry"/>
    <x v="0"/>
    <s v="United States"/>
    <s v="Waterbury"/>
    <x v="29"/>
    <n v="6708"/>
    <x v="3"/>
    <x v="824"/>
    <x v="1"/>
    <x v="6"/>
    <x v="820"/>
    <x v="2799"/>
    <x v="9"/>
    <x v="3"/>
  </r>
  <r>
    <n v="5426"/>
    <x v="2701"/>
    <x v="275"/>
    <d v="2017-12-06T00:00:00"/>
    <s v="First Class"/>
    <x v="392"/>
    <s v="Neoma Murray"/>
    <x v="0"/>
    <s v="United States"/>
    <s v="Los Angeles"/>
    <x v="1"/>
    <n v="90045"/>
    <x v="1"/>
    <x v="1738"/>
    <x v="2"/>
    <x v="11"/>
    <x v="1727"/>
    <x v="3808"/>
    <x v="4"/>
    <x v="0"/>
  </r>
  <r>
    <n v="5427"/>
    <x v="2701"/>
    <x v="275"/>
    <d v="2017-12-06T00:00:00"/>
    <s v="First Class"/>
    <x v="392"/>
    <s v="Neoma Murray"/>
    <x v="0"/>
    <s v="United States"/>
    <s v="Los Angeles"/>
    <x v="1"/>
    <n v="90045"/>
    <x v="1"/>
    <x v="1608"/>
    <x v="0"/>
    <x v="5"/>
    <x v="1599"/>
    <x v="3809"/>
    <x v="4"/>
    <x v="0"/>
  </r>
  <r>
    <n v="5428"/>
    <x v="2702"/>
    <x v="403"/>
    <d v="2017-06-14T00:00:00"/>
    <s v="Same Day"/>
    <x v="762"/>
    <s v="Marc Harrigan"/>
    <x v="2"/>
    <s v="United States"/>
    <s v="Los Angeles"/>
    <x v="1"/>
    <n v="90036"/>
    <x v="1"/>
    <x v="1601"/>
    <x v="0"/>
    <x v="0"/>
    <x v="1593"/>
    <x v="3810"/>
    <x v="1"/>
    <x v="0"/>
  </r>
  <r>
    <n v="5429"/>
    <x v="2703"/>
    <x v="476"/>
    <d v="2017-09-04T00:00:00"/>
    <s v="First Class"/>
    <x v="449"/>
    <s v="Sam Zeldin"/>
    <x v="2"/>
    <s v="United States"/>
    <s v="San Francisco"/>
    <x v="1"/>
    <n v="94122"/>
    <x v="1"/>
    <x v="170"/>
    <x v="1"/>
    <x v="4"/>
    <x v="171"/>
    <x v="2028"/>
    <x v="8"/>
    <x v="0"/>
  </r>
  <r>
    <n v="5430"/>
    <x v="2704"/>
    <x v="742"/>
    <d v="2015-09-07T00:00:00"/>
    <s v="First Class"/>
    <x v="701"/>
    <s v="Patrick Ryan"/>
    <x v="0"/>
    <s v="United States"/>
    <s v="Saint Petersburg"/>
    <x v="2"/>
    <n v="33710"/>
    <x v="0"/>
    <x v="296"/>
    <x v="0"/>
    <x v="5"/>
    <x v="296"/>
    <x v="236"/>
    <x v="8"/>
    <x v="2"/>
  </r>
  <r>
    <n v="5431"/>
    <x v="2705"/>
    <x v="208"/>
    <d v="2018-10-25T00:00:00"/>
    <s v="Standard Class"/>
    <x v="763"/>
    <s v="Frank Carlisle"/>
    <x v="2"/>
    <s v="United States"/>
    <s v="Lakewood"/>
    <x v="24"/>
    <n v="44107"/>
    <x v="3"/>
    <x v="1725"/>
    <x v="1"/>
    <x v="9"/>
    <x v="1712"/>
    <x v="224"/>
    <x v="2"/>
    <x v="3"/>
  </r>
  <r>
    <n v="5432"/>
    <x v="2705"/>
    <x v="208"/>
    <d v="2018-10-25T00:00:00"/>
    <s v="Standard Class"/>
    <x v="763"/>
    <s v="Frank Carlisle"/>
    <x v="2"/>
    <s v="United States"/>
    <s v="Lakewood"/>
    <x v="24"/>
    <n v="44107"/>
    <x v="3"/>
    <x v="727"/>
    <x v="1"/>
    <x v="10"/>
    <x v="726"/>
    <x v="3811"/>
    <x v="2"/>
    <x v="3"/>
  </r>
  <r>
    <n v="5433"/>
    <x v="2705"/>
    <x v="208"/>
    <d v="2018-10-25T00:00:00"/>
    <s v="Standard Class"/>
    <x v="763"/>
    <s v="Frank Carlisle"/>
    <x v="2"/>
    <s v="United States"/>
    <s v="Lakewood"/>
    <x v="24"/>
    <n v="44107"/>
    <x v="3"/>
    <x v="1472"/>
    <x v="1"/>
    <x v="8"/>
    <x v="1459"/>
    <x v="3812"/>
    <x v="2"/>
    <x v="3"/>
  </r>
  <r>
    <n v="5434"/>
    <x v="2706"/>
    <x v="1016"/>
    <d v="2018-04-29T00:00:00"/>
    <s v="Standard Class"/>
    <x v="405"/>
    <s v="Larry Hughes"/>
    <x v="0"/>
    <s v="United States"/>
    <s v="Chandler"/>
    <x v="16"/>
    <n v="85224"/>
    <x v="1"/>
    <x v="21"/>
    <x v="1"/>
    <x v="6"/>
    <x v="21"/>
    <x v="3813"/>
    <x v="3"/>
    <x v="3"/>
  </r>
  <r>
    <n v="5435"/>
    <x v="2707"/>
    <x v="324"/>
    <d v="2016-10-24T00:00:00"/>
    <s v="Standard Class"/>
    <x v="84"/>
    <s v="Robert Marley"/>
    <x v="2"/>
    <s v="United States"/>
    <s v="Los Angeles"/>
    <x v="1"/>
    <n v="90008"/>
    <x v="1"/>
    <x v="1739"/>
    <x v="1"/>
    <x v="9"/>
    <x v="1728"/>
    <x v="3814"/>
    <x v="2"/>
    <x v="1"/>
  </r>
  <r>
    <n v="5436"/>
    <x v="2707"/>
    <x v="324"/>
    <d v="2016-10-24T00:00:00"/>
    <s v="Standard Class"/>
    <x v="84"/>
    <s v="Robert Marley"/>
    <x v="2"/>
    <s v="United States"/>
    <s v="Los Angeles"/>
    <x v="1"/>
    <n v="90008"/>
    <x v="1"/>
    <x v="293"/>
    <x v="2"/>
    <x v="11"/>
    <x v="293"/>
    <x v="3815"/>
    <x v="2"/>
    <x v="1"/>
  </r>
  <r>
    <n v="5437"/>
    <x v="2708"/>
    <x v="260"/>
    <d v="2015-07-08T00:00:00"/>
    <s v="First Class"/>
    <x v="760"/>
    <s v="Don Miller"/>
    <x v="1"/>
    <s v="United States"/>
    <s v="Palm Coast"/>
    <x v="2"/>
    <n v="32137"/>
    <x v="0"/>
    <x v="1122"/>
    <x v="0"/>
    <x v="5"/>
    <x v="1110"/>
    <x v="3816"/>
    <x v="7"/>
    <x v="2"/>
  </r>
  <r>
    <n v="5438"/>
    <x v="2708"/>
    <x v="260"/>
    <d v="2015-07-08T00:00:00"/>
    <s v="First Class"/>
    <x v="760"/>
    <s v="Don Miller"/>
    <x v="1"/>
    <s v="United States"/>
    <s v="Palm Coast"/>
    <x v="2"/>
    <n v="32137"/>
    <x v="0"/>
    <x v="1504"/>
    <x v="1"/>
    <x v="8"/>
    <x v="1491"/>
    <x v="3817"/>
    <x v="7"/>
    <x v="2"/>
  </r>
  <r>
    <n v="5439"/>
    <x v="2708"/>
    <x v="260"/>
    <d v="2015-07-08T00:00:00"/>
    <s v="First Class"/>
    <x v="760"/>
    <s v="Don Miller"/>
    <x v="1"/>
    <s v="United States"/>
    <s v="Palm Coast"/>
    <x v="2"/>
    <n v="32137"/>
    <x v="0"/>
    <x v="1740"/>
    <x v="0"/>
    <x v="5"/>
    <x v="1729"/>
    <x v="3818"/>
    <x v="7"/>
    <x v="2"/>
  </r>
  <r>
    <n v="5440"/>
    <x v="2709"/>
    <x v="958"/>
    <d v="2017-04-09T00:00:00"/>
    <s v="Standard Class"/>
    <x v="699"/>
    <s v="Evan Henry"/>
    <x v="0"/>
    <s v="United States"/>
    <s v="New York City"/>
    <x v="15"/>
    <n v="10035"/>
    <x v="3"/>
    <x v="1498"/>
    <x v="1"/>
    <x v="8"/>
    <x v="1486"/>
    <x v="3819"/>
    <x v="3"/>
    <x v="0"/>
  </r>
  <r>
    <n v="5441"/>
    <x v="2710"/>
    <x v="38"/>
    <d v="2018-11-18T00:00:00"/>
    <s v="Second Class"/>
    <x v="646"/>
    <s v="Toby Carlisle"/>
    <x v="0"/>
    <s v="United States"/>
    <s v="Jupiter"/>
    <x v="2"/>
    <n v="33458"/>
    <x v="0"/>
    <x v="679"/>
    <x v="1"/>
    <x v="6"/>
    <x v="679"/>
    <x v="3820"/>
    <x v="0"/>
    <x v="3"/>
  </r>
  <r>
    <n v="5442"/>
    <x v="2711"/>
    <x v="428"/>
    <d v="2018-09-13T00:00:00"/>
    <s v="Standard Class"/>
    <x v="482"/>
    <s v="Arianne Irving"/>
    <x v="0"/>
    <s v="United States"/>
    <s v="Glendale"/>
    <x v="16"/>
    <n v="85301"/>
    <x v="1"/>
    <x v="1741"/>
    <x v="1"/>
    <x v="10"/>
    <x v="1730"/>
    <x v="2850"/>
    <x v="8"/>
    <x v="3"/>
  </r>
  <r>
    <n v="5443"/>
    <x v="2712"/>
    <x v="786"/>
    <d v="2016-04-23T00:00:00"/>
    <s v="Standard Class"/>
    <x v="341"/>
    <s v="Jessica Myrick"/>
    <x v="0"/>
    <s v="United States"/>
    <s v="New York City"/>
    <x v="15"/>
    <n v="10035"/>
    <x v="3"/>
    <x v="769"/>
    <x v="2"/>
    <x v="11"/>
    <x v="768"/>
    <x v="914"/>
    <x v="3"/>
    <x v="1"/>
  </r>
  <r>
    <n v="5444"/>
    <x v="2712"/>
    <x v="786"/>
    <d v="2016-04-23T00:00:00"/>
    <s v="Standard Class"/>
    <x v="341"/>
    <s v="Jessica Myrick"/>
    <x v="0"/>
    <s v="United States"/>
    <s v="New York City"/>
    <x v="15"/>
    <n v="10035"/>
    <x v="3"/>
    <x v="1120"/>
    <x v="1"/>
    <x v="8"/>
    <x v="1108"/>
    <x v="3821"/>
    <x v="3"/>
    <x v="1"/>
  </r>
  <r>
    <n v="5445"/>
    <x v="2712"/>
    <x v="786"/>
    <d v="2016-04-23T00:00:00"/>
    <s v="Standard Class"/>
    <x v="341"/>
    <s v="Jessica Myrick"/>
    <x v="0"/>
    <s v="United States"/>
    <s v="New York City"/>
    <x v="15"/>
    <n v="10035"/>
    <x v="3"/>
    <x v="1742"/>
    <x v="1"/>
    <x v="6"/>
    <x v="1731"/>
    <x v="3822"/>
    <x v="3"/>
    <x v="1"/>
  </r>
  <r>
    <n v="5446"/>
    <x v="2713"/>
    <x v="197"/>
    <d v="2017-07-29T00:00:00"/>
    <s v="Standard Class"/>
    <x v="336"/>
    <s v="Bill Eplett"/>
    <x v="2"/>
    <s v="United States"/>
    <s v="Houston"/>
    <x v="5"/>
    <n v="77041"/>
    <x v="2"/>
    <x v="1249"/>
    <x v="1"/>
    <x v="12"/>
    <x v="1233"/>
    <x v="3823"/>
    <x v="7"/>
    <x v="0"/>
  </r>
  <r>
    <n v="5447"/>
    <x v="2714"/>
    <x v="370"/>
    <d v="2017-08-31T00:00:00"/>
    <s v="Standard Class"/>
    <x v="112"/>
    <s v="Dan Reichenbach"/>
    <x v="1"/>
    <s v="United States"/>
    <s v="New York City"/>
    <x v="15"/>
    <n v="10035"/>
    <x v="3"/>
    <x v="895"/>
    <x v="2"/>
    <x v="7"/>
    <x v="888"/>
    <x v="3824"/>
    <x v="6"/>
    <x v="0"/>
  </r>
  <r>
    <n v="5448"/>
    <x v="2714"/>
    <x v="370"/>
    <d v="2017-08-31T00:00:00"/>
    <s v="Standard Class"/>
    <x v="112"/>
    <s v="Dan Reichenbach"/>
    <x v="1"/>
    <s v="United States"/>
    <s v="New York City"/>
    <x v="15"/>
    <n v="10035"/>
    <x v="3"/>
    <x v="1233"/>
    <x v="2"/>
    <x v="11"/>
    <x v="1216"/>
    <x v="2857"/>
    <x v="6"/>
    <x v="0"/>
  </r>
  <r>
    <n v="5449"/>
    <x v="2715"/>
    <x v="171"/>
    <d v="2015-09-19T00:00:00"/>
    <s v="Standard Class"/>
    <x v="638"/>
    <s v="Tom Ashbrook"/>
    <x v="2"/>
    <s v="United States"/>
    <s v="Olathe"/>
    <x v="41"/>
    <n v="66062"/>
    <x v="2"/>
    <x v="1420"/>
    <x v="1"/>
    <x v="14"/>
    <x v="1408"/>
    <x v="3825"/>
    <x v="8"/>
    <x v="2"/>
  </r>
  <r>
    <n v="5450"/>
    <x v="2715"/>
    <x v="171"/>
    <d v="2015-09-19T00:00:00"/>
    <s v="Standard Class"/>
    <x v="638"/>
    <s v="Tom Ashbrook"/>
    <x v="2"/>
    <s v="United States"/>
    <s v="Olathe"/>
    <x v="41"/>
    <n v="66062"/>
    <x v="2"/>
    <x v="1690"/>
    <x v="2"/>
    <x v="11"/>
    <x v="1678"/>
    <x v="3826"/>
    <x v="8"/>
    <x v="2"/>
  </r>
  <r>
    <n v="5451"/>
    <x v="2715"/>
    <x v="171"/>
    <d v="2015-09-19T00:00:00"/>
    <s v="Standard Class"/>
    <x v="638"/>
    <s v="Tom Ashbrook"/>
    <x v="2"/>
    <s v="United States"/>
    <s v="Olathe"/>
    <x v="41"/>
    <n v="66062"/>
    <x v="2"/>
    <x v="896"/>
    <x v="1"/>
    <x v="8"/>
    <x v="889"/>
    <x v="3827"/>
    <x v="8"/>
    <x v="2"/>
  </r>
  <r>
    <n v="5452"/>
    <x v="2715"/>
    <x v="171"/>
    <d v="2015-09-19T00:00:00"/>
    <s v="Standard Class"/>
    <x v="638"/>
    <s v="Tom Ashbrook"/>
    <x v="2"/>
    <s v="United States"/>
    <s v="Olathe"/>
    <x v="41"/>
    <n v="66062"/>
    <x v="2"/>
    <x v="1492"/>
    <x v="0"/>
    <x v="5"/>
    <x v="1479"/>
    <x v="1090"/>
    <x v="8"/>
    <x v="2"/>
  </r>
  <r>
    <n v="5453"/>
    <x v="2716"/>
    <x v="405"/>
    <d v="2017-07-29T00:00:00"/>
    <s v="Standard Class"/>
    <x v="607"/>
    <s v="Kristina Nunn"/>
    <x v="2"/>
    <s v="United States"/>
    <s v="Sparks"/>
    <x v="33"/>
    <n v="89431"/>
    <x v="1"/>
    <x v="610"/>
    <x v="1"/>
    <x v="14"/>
    <x v="610"/>
    <x v="3828"/>
    <x v="7"/>
    <x v="0"/>
  </r>
  <r>
    <n v="5454"/>
    <x v="2717"/>
    <x v="240"/>
    <d v="2018-05-23T00:00:00"/>
    <s v="Standard Class"/>
    <x v="601"/>
    <s v="Patrick Jones"/>
    <x v="1"/>
    <s v="United States"/>
    <s v="Rockford"/>
    <x v="10"/>
    <n v="61107"/>
    <x v="2"/>
    <x v="1588"/>
    <x v="1"/>
    <x v="10"/>
    <x v="1580"/>
    <x v="3829"/>
    <x v="5"/>
    <x v="3"/>
  </r>
  <r>
    <n v="5455"/>
    <x v="2718"/>
    <x v="1045"/>
    <d v="2018-05-02T00:00:00"/>
    <s v="Standard Class"/>
    <x v="204"/>
    <s v="Matt Connell"/>
    <x v="1"/>
    <s v="United States"/>
    <s v="Philadelphia"/>
    <x v="9"/>
    <n v="19143"/>
    <x v="3"/>
    <x v="470"/>
    <x v="1"/>
    <x v="4"/>
    <x v="471"/>
    <x v="3830"/>
    <x v="3"/>
    <x v="3"/>
  </r>
  <r>
    <n v="5456"/>
    <x v="2718"/>
    <x v="1045"/>
    <d v="2018-05-02T00:00:00"/>
    <s v="Standard Class"/>
    <x v="204"/>
    <s v="Matt Connell"/>
    <x v="1"/>
    <s v="United States"/>
    <s v="Philadelphia"/>
    <x v="9"/>
    <n v="19143"/>
    <x v="3"/>
    <x v="18"/>
    <x v="1"/>
    <x v="6"/>
    <x v="18"/>
    <x v="1297"/>
    <x v="3"/>
    <x v="3"/>
  </r>
  <r>
    <n v="5457"/>
    <x v="2719"/>
    <x v="614"/>
    <d v="2019-01-02T00:00:00"/>
    <s v="Standard Class"/>
    <x v="94"/>
    <s v="Bruce Stewart"/>
    <x v="0"/>
    <s v="United States"/>
    <s v="Edmonds"/>
    <x v="4"/>
    <n v="98026"/>
    <x v="1"/>
    <x v="1743"/>
    <x v="1"/>
    <x v="13"/>
    <x v="1732"/>
    <x v="3831"/>
    <x v="4"/>
    <x v="3"/>
  </r>
  <r>
    <n v="5458"/>
    <x v="2719"/>
    <x v="614"/>
    <d v="2019-01-02T00:00:00"/>
    <s v="Standard Class"/>
    <x v="94"/>
    <s v="Bruce Stewart"/>
    <x v="0"/>
    <s v="United States"/>
    <s v="Edmonds"/>
    <x v="4"/>
    <n v="98026"/>
    <x v="1"/>
    <x v="1182"/>
    <x v="0"/>
    <x v="5"/>
    <x v="1168"/>
    <x v="3658"/>
    <x v="4"/>
    <x v="3"/>
  </r>
  <r>
    <n v="5459"/>
    <x v="2720"/>
    <x v="507"/>
    <d v="2018-09-06T00:00:00"/>
    <s v="Second Class"/>
    <x v="7"/>
    <s v="Pete Kriz"/>
    <x v="0"/>
    <s v="United States"/>
    <s v="San Francisco"/>
    <x v="1"/>
    <n v="94122"/>
    <x v="1"/>
    <x v="757"/>
    <x v="1"/>
    <x v="8"/>
    <x v="755"/>
    <x v="3832"/>
    <x v="8"/>
    <x v="3"/>
  </r>
  <r>
    <n v="5460"/>
    <x v="2720"/>
    <x v="507"/>
    <d v="2018-09-06T00:00:00"/>
    <s v="Second Class"/>
    <x v="7"/>
    <s v="Pete Kriz"/>
    <x v="0"/>
    <s v="United States"/>
    <s v="San Francisco"/>
    <x v="1"/>
    <n v="94122"/>
    <x v="1"/>
    <x v="1744"/>
    <x v="0"/>
    <x v="3"/>
    <x v="1733"/>
    <x v="3833"/>
    <x v="8"/>
    <x v="3"/>
  </r>
  <r>
    <n v="5461"/>
    <x v="2721"/>
    <x v="90"/>
    <d v="2015-03-25T00:00:00"/>
    <s v="Standard Class"/>
    <x v="131"/>
    <s v="Thomas Seio"/>
    <x v="1"/>
    <s v="United States"/>
    <s v="Asheville"/>
    <x v="3"/>
    <n v="28806"/>
    <x v="0"/>
    <x v="1512"/>
    <x v="1"/>
    <x v="4"/>
    <x v="1499"/>
    <x v="3834"/>
    <x v="10"/>
    <x v="2"/>
  </r>
  <r>
    <n v="5462"/>
    <x v="2722"/>
    <x v="394"/>
    <d v="2018-10-04T00:00:00"/>
    <s v="Standard Class"/>
    <x v="232"/>
    <s v="Bruce Degenhardt"/>
    <x v="0"/>
    <s v="United States"/>
    <s v="Los Angeles"/>
    <x v="1"/>
    <n v="90032"/>
    <x v="1"/>
    <x v="50"/>
    <x v="0"/>
    <x v="5"/>
    <x v="50"/>
    <x v="354"/>
    <x v="8"/>
    <x v="3"/>
  </r>
  <r>
    <n v="5463"/>
    <x v="2723"/>
    <x v="1046"/>
    <d v="2015-01-20T00:00:00"/>
    <s v="First Class"/>
    <x v="358"/>
    <s v="Toby Swindell"/>
    <x v="0"/>
    <s v="United States"/>
    <s v="Scottsdale"/>
    <x v="16"/>
    <n v="85254"/>
    <x v="1"/>
    <x v="828"/>
    <x v="1"/>
    <x v="8"/>
    <x v="824"/>
    <x v="3773"/>
    <x v="9"/>
    <x v="2"/>
  </r>
  <r>
    <n v="5464"/>
    <x v="2723"/>
    <x v="1046"/>
    <d v="2015-01-20T00:00:00"/>
    <s v="First Class"/>
    <x v="358"/>
    <s v="Toby Swindell"/>
    <x v="0"/>
    <s v="United States"/>
    <s v="Scottsdale"/>
    <x v="16"/>
    <n v="85254"/>
    <x v="1"/>
    <x v="161"/>
    <x v="1"/>
    <x v="10"/>
    <x v="1295"/>
    <x v="3835"/>
    <x v="9"/>
    <x v="2"/>
  </r>
  <r>
    <n v="5465"/>
    <x v="2723"/>
    <x v="1046"/>
    <d v="2015-01-20T00:00:00"/>
    <s v="First Class"/>
    <x v="358"/>
    <s v="Toby Swindell"/>
    <x v="0"/>
    <s v="United States"/>
    <s v="Scottsdale"/>
    <x v="16"/>
    <n v="85254"/>
    <x v="1"/>
    <x v="113"/>
    <x v="1"/>
    <x v="12"/>
    <x v="113"/>
    <x v="3836"/>
    <x v="9"/>
    <x v="2"/>
  </r>
  <r>
    <n v="5466"/>
    <x v="2723"/>
    <x v="1046"/>
    <d v="2015-01-20T00:00:00"/>
    <s v="First Class"/>
    <x v="358"/>
    <s v="Toby Swindell"/>
    <x v="0"/>
    <s v="United States"/>
    <s v="Scottsdale"/>
    <x v="16"/>
    <n v="85254"/>
    <x v="1"/>
    <x v="366"/>
    <x v="0"/>
    <x v="0"/>
    <x v="367"/>
    <x v="3837"/>
    <x v="9"/>
    <x v="2"/>
  </r>
  <r>
    <n v="5467"/>
    <x v="2724"/>
    <x v="1047"/>
    <d v="2015-02-19T00:00:00"/>
    <s v="Second Class"/>
    <x v="461"/>
    <s v="Shui Tom"/>
    <x v="0"/>
    <s v="United States"/>
    <s v="Houston"/>
    <x v="5"/>
    <n v="77095"/>
    <x v="2"/>
    <x v="949"/>
    <x v="1"/>
    <x v="10"/>
    <x v="942"/>
    <x v="3838"/>
    <x v="11"/>
    <x v="2"/>
  </r>
  <r>
    <n v="5468"/>
    <x v="2725"/>
    <x v="632"/>
    <d v="2017-06-14T00:00:00"/>
    <s v="Standard Class"/>
    <x v="203"/>
    <s v="Dean Braden"/>
    <x v="0"/>
    <s v="United States"/>
    <s v="San Francisco"/>
    <x v="1"/>
    <n v="94109"/>
    <x v="1"/>
    <x v="23"/>
    <x v="0"/>
    <x v="1"/>
    <x v="23"/>
    <x v="1888"/>
    <x v="1"/>
    <x v="0"/>
  </r>
  <r>
    <n v="5469"/>
    <x v="2726"/>
    <x v="467"/>
    <d v="2015-09-27T00:00:00"/>
    <s v="First Class"/>
    <x v="580"/>
    <s v="Karen Ferguson"/>
    <x v="2"/>
    <s v="United States"/>
    <s v="San Diego"/>
    <x v="1"/>
    <n v="92105"/>
    <x v="1"/>
    <x v="1"/>
    <x v="0"/>
    <x v="1"/>
    <x v="1"/>
    <x v="2239"/>
    <x v="8"/>
    <x v="2"/>
  </r>
  <r>
    <n v="5470"/>
    <x v="2726"/>
    <x v="467"/>
    <d v="2015-09-27T00:00:00"/>
    <s v="First Class"/>
    <x v="580"/>
    <s v="Karen Ferguson"/>
    <x v="2"/>
    <s v="United States"/>
    <s v="San Diego"/>
    <x v="1"/>
    <n v="92105"/>
    <x v="1"/>
    <x v="974"/>
    <x v="1"/>
    <x v="10"/>
    <x v="968"/>
    <x v="537"/>
    <x v="8"/>
    <x v="2"/>
  </r>
  <r>
    <n v="5471"/>
    <x v="2727"/>
    <x v="198"/>
    <d v="2017-06-04T00:00:00"/>
    <s v="Standard Class"/>
    <x v="594"/>
    <s v="Justin MacKendrick"/>
    <x v="0"/>
    <s v="United States"/>
    <s v="Hamilton"/>
    <x v="24"/>
    <n v="45011"/>
    <x v="3"/>
    <x v="1271"/>
    <x v="1"/>
    <x v="9"/>
    <x v="1256"/>
    <x v="1832"/>
    <x v="5"/>
    <x v="0"/>
  </r>
  <r>
    <n v="5472"/>
    <x v="2728"/>
    <x v="484"/>
    <d v="2018-12-23T00:00:00"/>
    <s v="Standard Class"/>
    <x v="700"/>
    <s v="Tony Sayre"/>
    <x v="0"/>
    <s v="United States"/>
    <s v="Parker"/>
    <x v="22"/>
    <n v="80134"/>
    <x v="1"/>
    <x v="1533"/>
    <x v="0"/>
    <x v="5"/>
    <x v="1521"/>
    <x v="518"/>
    <x v="4"/>
    <x v="3"/>
  </r>
  <r>
    <n v="5473"/>
    <x v="2728"/>
    <x v="484"/>
    <d v="2018-12-23T00:00:00"/>
    <s v="Standard Class"/>
    <x v="700"/>
    <s v="Tony Sayre"/>
    <x v="0"/>
    <s v="United States"/>
    <s v="Parker"/>
    <x v="22"/>
    <n v="80134"/>
    <x v="1"/>
    <x v="1166"/>
    <x v="1"/>
    <x v="4"/>
    <x v="1153"/>
    <x v="1592"/>
    <x v="4"/>
    <x v="3"/>
  </r>
  <r>
    <n v="5474"/>
    <x v="2728"/>
    <x v="484"/>
    <d v="2018-12-23T00:00:00"/>
    <s v="Standard Class"/>
    <x v="700"/>
    <s v="Tony Sayre"/>
    <x v="0"/>
    <s v="United States"/>
    <s v="Parker"/>
    <x v="22"/>
    <n v="80134"/>
    <x v="1"/>
    <x v="1195"/>
    <x v="0"/>
    <x v="0"/>
    <x v="1180"/>
    <x v="3839"/>
    <x v="4"/>
    <x v="3"/>
  </r>
  <r>
    <n v="5475"/>
    <x v="2729"/>
    <x v="377"/>
    <d v="2018-12-26T00:00:00"/>
    <s v="Same Day"/>
    <x v="289"/>
    <s v="Yoseph Carroll"/>
    <x v="1"/>
    <s v="United States"/>
    <s v="Fremont"/>
    <x v="8"/>
    <n v="68025"/>
    <x v="2"/>
    <x v="458"/>
    <x v="1"/>
    <x v="4"/>
    <x v="459"/>
    <x v="3840"/>
    <x v="4"/>
    <x v="3"/>
  </r>
  <r>
    <n v="5476"/>
    <x v="2730"/>
    <x v="140"/>
    <d v="2018-06-18T00:00:00"/>
    <s v="First Class"/>
    <x v="656"/>
    <s v="Dean percer"/>
    <x v="2"/>
    <s v="United States"/>
    <s v="Maple Grove"/>
    <x v="11"/>
    <n v="55369"/>
    <x v="2"/>
    <x v="579"/>
    <x v="1"/>
    <x v="2"/>
    <x v="579"/>
    <x v="1821"/>
    <x v="1"/>
    <x v="3"/>
  </r>
  <r>
    <n v="5477"/>
    <x v="2730"/>
    <x v="140"/>
    <d v="2018-06-18T00:00:00"/>
    <s v="First Class"/>
    <x v="656"/>
    <s v="Dean percer"/>
    <x v="2"/>
    <s v="United States"/>
    <s v="Maple Grove"/>
    <x v="11"/>
    <n v="55369"/>
    <x v="2"/>
    <x v="1036"/>
    <x v="1"/>
    <x v="4"/>
    <x v="1026"/>
    <x v="3841"/>
    <x v="1"/>
    <x v="3"/>
  </r>
  <r>
    <n v="5478"/>
    <x v="2730"/>
    <x v="140"/>
    <d v="2018-06-18T00:00:00"/>
    <s v="First Class"/>
    <x v="656"/>
    <s v="Dean percer"/>
    <x v="2"/>
    <s v="United States"/>
    <s v="Maple Grove"/>
    <x v="11"/>
    <n v="55369"/>
    <x v="2"/>
    <x v="1665"/>
    <x v="1"/>
    <x v="10"/>
    <x v="1653"/>
    <x v="1444"/>
    <x v="1"/>
    <x v="3"/>
  </r>
  <r>
    <n v="5479"/>
    <x v="2731"/>
    <x v="73"/>
    <d v="2017-11-24T00:00:00"/>
    <s v="Standard Class"/>
    <x v="81"/>
    <s v="Shirley Jackson"/>
    <x v="0"/>
    <s v="United States"/>
    <s v="Newark"/>
    <x v="13"/>
    <n v="19711"/>
    <x v="3"/>
    <x v="1160"/>
    <x v="1"/>
    <x v="8"/>
    <x v="1147"/>
    <x v="3146"/>
    <x v="0"/>
    <x v="0"/>
  </r>
  <r>
    <n v="5480"/>
    <x v="2732"/>
    <x v="691"/>
    <d v="2015-04-04T00:00:00"/>
    <s v="Standard Class"/>
    <x v="208"/>
    <s v="Karen Bern"/>
    <x v="1"/>
    <s v="United States"/>
    <s v="Miami"/>
    <x v="2"/>
    <n v="33180"/>
    <x v="0"/>
    <x v="799"/>
    <x v="1"/>
    <x v="8"/>
    <x v="797"/>
    <x v="3842"/>
    <x v="10"/>
    <x v="2"/>
  </r>
  <r>
    <n v="5481"/>
    <x v="2733"/>
    <x v="1048"/>
    <d v="2018-10-14T00:00:00"/>
    <s v="Standard Class"/>
    <x v="294"/>
    <s v="Chris Selesnick"/>
    <x v="1"/>
    <s v="United States"/>
    <s v="San Diego"/>
    <x v="1"/>
    <n v="92105"/>
    <x v="1"/>
    <x v="957"/>
    <x v="2"/>
    <x v="7"/>
    <x v="950"/>
    <x v="3843"/>
    <x v="2"/>
    <x v="3"/>
  </r>
  <r>
    <n v="5482"/>
    <x v="2733"/>
    <x v="1048"/>
    <d v="2018-10-14T00:00:00"/>
    <s v="Standard Class"/>
    <x v="294"/>
    <s v="Chris Selesnick"/>
    <x v="1"/>
    <s v="United States"/>
    <s v="San Diego"/>
    <x v="1"/>
    <n v="92105"/>
    <x v="1"/>
    <x v="1542"/>
    <x v="2"/>
    <x v="11"/>
    <x v="1530"/>
    <x v="3844"/>
    <x v="2"/>
    <x v="3"/>
  </r>
  <r>
    <n v="5483"/>
    <x v="2733"/>
    <x v="1048"/>
    <d v="2018-10-14T00:00:00"/>
    <s v="Standard Class"/>
    <x v="294"/>
    <s v="Chris Selesnick"/>
    <x v="1"/>
    <s v="United States"/>
    <s v="San Diego"/>
    <x v="1"/>
    <n v="92105"/>
    <x v="1"/>
    <x v="603"/>
    <x v="2"/>
    <x v="11"/>
    <x v="603"/>
    <x v="3612"/>
    <x v="2"/>
    <x v="3"/>
  </r>
  <r>
    <n v="5484"/>
    <x v="2733"/>
    <x v="1048"/>
    <d v="2018-10-14T00:00:00"/>
    <s v="Standard Class"/>
    <x v="294"/>
    <s v="Chris Selesnick"/>
    <x v="1"/>
    <s v="United States"/>
    <s v="San Diego"/>
    <x v="1"/>
    <n v="92105"/>
    <x v="1"/>
    <x v="1512"/>
    <x v="1"/>
    <x v="4"/>
    <x v="1499"/>
    <x v="1374"/>
    <x v="2"/>
    <x v="3"/>
  </r>
  <r>
    <n v="5485"/>
    <x v="2734"/>
    <x v="289"/>
    <d v="2018-02-04T00:00:00"/>
    <s v="Standard Class"/>
    <x v="12"/>
    <s v="Emily Burns"/>
    <x v="0"/>
    <s v="United States"/>
    <s v="Miami"/>
    <x v="2"/>
    <n v="33142"/>
    <x v="0"/>
    <x v="1745"/>
    <x v="0"/>
    <x v="1"/>
    <x v="1734"/>
    <x v="3344"/>
    <x v="9"/>
    <x v="3"/>
  </r>
  <r>
    <n v="5486"/>
    <x v="2735"/>
    <x v="432"/>
    <d v="2015-12-17T00:00:00"/>
    <s v="Standard Class"/>
    <x v="171"/>
    <s v="Philip Brown"/>
    <x v="0"/>
    <s v="United States"/>
    <s v="Miami"/>
    <x v="2"/>
    <n v="33178"/>
    <x v="0"/>
    <x v="706"/>
    <x v="1"/>
    <x v="12"/>
    <x v="153"/>
    <x v="2953"/>
    <x v="4"/>
    <x v="2"/>
  </r>
  <r>
    <n v="5487"/>
    <x v="2736"/>
    <x v="1040"/>
    <d v="2016-10-29T00:00:00"/>
    <s v="Standard Class"/>
    <x v="192"/>
    <s v="Michelle Tran"/>
    <x v="2"/>
    <s v="United States"/>
    <s v="San Antonio"/>
    <x v="5"/>
    <n v="78207"/>
    <x v="2"/>
    <x v="307"/>
    <x v="1"/>
    <x v="8"/>
    <x v="307"/>
    <x v="3183"/>
    <x v="2"/>
    <x v="1"/>
  </r>
  <r>
    <n v="5488"/>
    <x v="2737"/>
    <x v="719"/>
    <d v="2018-04-04T00:00:00"/>
    <s v="Second Class"/>
    <x v="292"/>
    <s v="Barry Französisch"/>
    <x v="1"/>
    <s v="United States"/>
    <s v="Jacksonville"/>
    <x v="2"/>
    <n v="32216"/>
    <x v="0"/>
    <x v="1136"/>
    <x v="2"/>
    <x v="7"/>
    <x v="1124"/>
    <x v="112"/>
    <x v="3"/>
    <x v="3"/>
  </r>
  <r>
    <n v="5489"/>
    <x v="2737"/>
    <x v="719"/>
    <d v="2018-04-04T00:00:00"/>
    <s v="Second Class"/>
    <x v="292"/>
    <s v="Barry Französisch"/>
    <x v="1"/>
    <s v="United States"/>
    <s v="Jacksonville"/>
    <x v="2"/>
    <n v="32216"/>
    <x v="0"/>
    <x v="948"/>
    <x v="1"/>
    <x v="2"/>
    <x v="941"/>
    <x v="301"/>
    <x v="3"/>
    <x v="3"/>
  </r>
  <r>
    <n v="5490"/>
    <x v="2737"/>
    <x v="719"/>
    <d v="2018-04-04T00:00:00"/>
    <s v="Second Class"/>
    <x v="292"/>
    <s v="Barry Französisch"/>
    <x v="1"/>
    <s v="United States"/>
    <s v="Jacksonville"/>
    <x v="2"/>
    <n v="32216"/>
    <x v="0"/>
    <x v="1295"/>
    <x v="1"/>
    <x v="9"/>
    <x v="360"/>
    <x v="3160"/>
    <x v="3"/>
    <x v="3"/>
  </r>
  <r>
    <n v="5491"/>
    <x v="2737"/>
    <x v="719"/>
    <d v="2018-04-04T00:00:00"/>
    <s v="Second Class"/>
    <x v="292"/>
    <s v="Barry Französisch"/>
    <x v="1"/>
    <s v="United States"/>
    <s v="Jacksonville"/>
    <x v="2"/>
    <n v="32216"/>
    <x v="0"/>
    <x v="1209"/>
    <x v="0"/>
    <x v="1"/>
    <x v="1194"/>
    <x v="286"/>
    <x v="3"/>
    <x v="3"/>
  </r>
  <r>
    <n v="5492"/>
    <x v="2738"/>
    <x v="795"/>
    <d v="2018-01-27T00:00:00"/>
    <s v="First Class"/>
    <x v="0"/>
    <s v="Claire Gute"/>
    <x v="0"/>
    <s v="United States"/>
    <s v="Houston"/>
    <x v="5"/>
    <n v="77070"/>
    <x v="2"/>
    <x v="75"/>
    <x v="1"/>
    <x v="4"/>
    <x v="75"/>
    <x v="1318"/>
    <x v="9"/>
    <x v="3"/>
  </r>
  <r>
    <n v="5493"/>
    <x v="2739"/>
    <x v="683"/>
    <d v="2015-11-28T00:00:00"/>
    <s v="Same Day"/>
    <x v="723"/>
    <s v="Duane Huffman"/>
    <x v="2"/>
    <s v="United States"/>
    <s v="San Francisco"/>
    <x v="1"/>
    <n v="94122"/>
    <x v="1"/>
    <x v="327"/>
    <x v="1"/>
    <x v="14"/>
    <x v="327"/>
    <x v="348"/>
    <x v="0"/>
    <x v="2"/>
  </r>
  <r>
    <n v="5494"/>
    <x v="2739"/>
    <x v="683"/>
    <d v="2015-11-28T00:00:00"/>
    <s v="Same Day"/>
    <x v="723"/>
    <s v="Duane Huffman"/>
    <x v="2"/>
    <s v="United States"/>
    <s v="San Francisco"/>
    <x v="1"/>
    <n v="94122"/>
    <x v="1"/>
    <x v="254"/>
    <x v="1"/>
    <x v="2"/>
    <x v="255"/>
    <x v="1399"/>
    <x v="0"/>
    <x v="2"/>
  </r>
  <r>
    <n v="5495"/>
    <x v="2739"/>
    <x v="683"/>
    <d v="2015-11-28T00:00:00"/>
    <s v="Same Day"/>
    <x v="723"/>
    <s v="Duane Huffman"/>
    <x v="2"/>
    <s v="United States"/>
    <s v="San Francisco"/>
    <x v="1"/>
    <n v="94122"/>
    <x v="1"/>
    <x v="1119"/>
    <x v="0"/>
    <x v="0"/>
    <x v="1107"/>
    <x v="1504"/>
    <x v="0"/>
    <x v="2"/>
  </r>
  <r>
    <n v="5496"/>
    <x v="2740"/>
    <x v="406"/>
    <d v="2016-09-08T00:00:00"/>
    <s v="Standard Class"/>
    <x v="464"/>
    <s v="Shaun Chance"/>
    <x v="1"/>
    <s v="United States"/>
    <s v="Philadelphia"/>
    <x v="9"/>
    <n v="19140"/>
    <x v="3"/>
    <x v="1206"/>
    <x v="1"/>
    <x v="8"/>
    <x v="1191"/>
    <x v="2976"/>
    <x v="8"/>
    <x v="1"/>
  </r>
  <r>
    <n v="5497"/>
    <x v="2741"/>
    <x v="492"/>
    <d v="2018-06-16T00:00:00"/>
    <s v="Standard Class"/>
    <x v="643"/>
    <s v="Hunter Glantz"/>
    <x v="0"/>
    <s v="United States"/>
    <s v="Marion"/>
    <x v="24"/>
    <n v="43302"/>
    <x v="3"/>
    <x v="240"/>
    <x v="2"/>
    <x v="11"/>
    <x v="241"/>
    <x v="3201"/>
    <x v="1"/>
    <x v="3"/>
  </r>
  <r>
    <n v="5498"/>
    <x v="2742"/>
    <x v="663"/>
    <d v="2018-07-18T00:00:00"/>
    <s v="Second Class"/>
    <x v="514"/>
    <s v="Michelle Moray"/>
    <x v="0"/>
    <s v="United States"/>
    <s v="New York City"/>
    <x v="15"/>
    <n v="10024"/>
    <x v="3"/>
    <x v="1241"/>
    <x v="1"/>
    <x v="6"/>
    <x v="1224"/>
    <x v="2578"/>
    <x v="7"/>
    <x v="3"/>
  </r>
  <r>
    <n v="5499"/>
    <x v="2742"/>
    <x v="663"/>
    <d v="2018-07-18T00:00:00"/>
    <s v="Second Class"/>
    <x v="514"/>
    <s v="Michelle Moray"/>
    <x v="0"/>
    <s v="United States"/>
    <s v="New York City"/>
    <x v="15"/>
    <n v="10024"/>
    <x v="3"/>
    <x v="286"/>
    <x v="1"/>
    <x v="2"/>
    <x v="286"/>
    <x v="1484"/>
    <x v="7"/>
    <x v="3"/>
  </r>
  <r>
    <n v="5500"/>
    <x v="2742"/>
    <x v="663"/>
    <d v="2018-07-18T00:00:00"/>
    <s v="Second Class"/>
    <x v="514"/>
    <s v="Michelle Moray"/>
    <x v="0"/>
    <s v="United States"/>
    <s v="New York City"/>
    <x v="15"/>
    <n v="10024"/>
    <x v="3"/>
    <x v="341"/>
    <x v="2"/>
    <x v="11"/>
    <x v="341"/>
    <x v="362"/>
    <x v="7"/>
    <x v="3"/>
  </r>
  <r>
    <n v="5501"/>
    <x v="2742"/>
    <x v="663"/>
    <d v="2018-07-18T00:00:00"/>
    <s v="Second Class"/>
    <x v="514"/>
    <s v="Michelle Moray"/>
    <x v="0"/>
    <s v="United States"/>
    <s v="New York City"/>
    <x v="15"/>
    <n v="10024"/>
    <x v="3"/>
    <x v="1265"/>
    <x v="0"/>
    <x v="1"/>
    <x v="1249"/>
    <x v="3845"/>
    <x v="7"/>
    <x v="3"/>
  </r>
  <r>
    <n v="5502"/>
    <x v="2742"/>
    <x v="663"/>
    <d v="2018-07-18T00:00:00"/>
    <s v="Second Class"/>
    <x v="514"/>
    <s v="Michelle Moray"/>
    <x v="0"/>
    <s v="United States"/>
    <s v="New York City"/>
    <x v="15"/>
    <n v="10024"/>
    <x v="3"/>
    <x v="1056"/>
    <x v="1"/>
    <x v="10"/>
    <x v="1045"/>
    <x v="2431"/>
    <x v="7"/>
    <x v="3"/>
  </r>
  <r>
    <n v="5503"/>
    <x v="2743"/>
    <x v="808"/>
    <d v="2018-11-06T00:00:00"/>
    <s v="Standard Class"/>
    <x v="764"/>
    <s v="Thea Hudgings"/>
    <x v="1"/>
    <s v="United States"/>
    <s v="Philadelphia"/>
    <x v="9"/>
    <n v="19140"/>
    <x v="3"/>
    <x v="1379"/>
    <x v="0"/>
    <x v="5"/>
    <x v="1364"/>
    <x v="3846"/>
    <x v="0"/>
    <x v="3"/>
  </r>
  <r>
    <n v="5504"/>
    <x v="2743"/>
    <x v="808"/>
    <d v="2018-11-06T00:00:00"/>
    <s v="Standard Class"/>
    <x v="764"/>
    <s v="Thea Hudgings"/>
    <x v="1"/>
    <s v="United States"/>
    <s v="Philadelphia"/>
    <x v="9"/>
    <n v="19140"/>
    <x v="3"/>
    <x v="1612"/>
    <x v="1"/>
    <x v="9"/>
    <x v="1603"/>
    <x v="3847"/>
    <x v="0"/>
    <x v="3"/>
  </r>
  <r>
    <n v="5505"/>
    <x v="2743"/>
    <x v="808"/>
    <d v="2018-11-06T00:00:00"/>
    <s v="Standard Class"/>
    <x v="764"/>
    <s v="Thea Hudgings"/>
    <x v="1"/>
    <s v="United States"/>
    <s v="Philadelphia"/>
    <x v="9"/>
    <n v="19140"/>
    <x v="3"/>
    <x v="436"/>
    <x v="1"/>
    <x v="12"/>
    <x v="436"/>
    <x v="3096"/>
    <x v="0"/>
    <x v="3"/>
  </r>
  <r>
    <n v="5506"/>
    <x v="2743"/>
    <x v="808"/>
    <d v="2018-11-06T00:00:00"/>
    <s v="Standard Class"/>
    <x v="764"/>
    <s v="Thea Hudgings"/>
    <x v="1"/>
    <s v="United States"/>
    <s v="Philadelphia"/>
    <x v="9"/>
    <n v="19140"/>
    <x v="3"/>
    <x v="1118"/>
    <x v="2"/>
    <x v="7"/>
    <x v="1106"/>
    <x v="3848"/>
    <x v="0"/>
    <x v="3"/>
  </r>
  <r>
    <n v="5507"/>
    <x v="2744"/>
    <x v="750"/>
    <d v="2017-10-08T00:00:00"/>
    <s v="Same Day"/>
    <x v="32"/>
    <s v="Joel Eaton"/>
    <x v="0"/>
    <s v="United States"/>
    <s v="Los Angeles"/>
    <x v="1"/>
    <n v="90036"/>
    <x v="1"/>
    <x v="1090"/>
    <x v="1"/>
    <x v="10"/>
    <x v="1080"/>
    <x v="1156"/>
    <x v="2"/>
    <x v="0"/>
  </r>
  <r>
    <n v="5508"/>
    <x v="2745"/>
    <x v="143"/>
    <d v="2017-04-14T00:00:00"/>
    <s v="Standard Class"/>
    <x v="310"/>
    <s v="Patrick Gardner"/>
    <x v="0"/>
    <s v="United States"/>
    <s v="Smyrna"/>
    <x v="32"/>
    <n v="30080"/>
    <x v="0"/>
    <x v="1343"/>
    <x v="1"/>
    <x v="12"/>
    <x v="1328"/>
    <x v="1411"/>
    <x v="3"/>
    <x v="0"/>
  </r>
  <r>
    <n v="5509"/>
    <x v="2746"/>
    <x v="1049"/>
    <d v="2016-10-12T00:00:00"/>
    <s v="Standard Class"/>
    <x v="93"/>
    <s v="Maria Bertelson"/>
    <x v="0"/>
    <s v="United States"/>
    <s v="San Francisco"/>
    <x v="1"/>
    <n v="94122"/>
    <x v="1"/>
    <x v="287"/>
    <x v="0"/>
    <x v="5"/>
    <x v="287"/>
    <x v="1213"/>
    <x v="2"/>
    <x v="1"/>
  </r>
  <r>
    <n v="5510"/>
    <x v="2747"/>
    <x v="356"/>
    <d v="2018-05-20T00:00:00"/>
    <s v="Standard Class"/>
    <x v="557"/>
    <s v="Joy Daniels"/>
    <x v="0"/>
    <s v="United States"/>
    <s v="Chicago"/>
    <x v="10"/>
    <n v="60653"/>
    <x v="2"/>
    <x v="129"/>
    <x v="1"/>
    <x v="10"/>
    <x v="130"/>
    <x v="3849"/>
    <x v="5"/>
    <x v="3"/>
  </r>
  <r>
    <n v="5511"/>
    <x v="2747"/>
    <x v="356"/>
    <d v="2018-05-20T00:00:00"/>
    <s v="Standard Class"/>
    <x v="557"/>
    <s v="Joy Daniels"/>
    <x v="0"/>
    <s v="United States"/>
    <s v="Chicago"/>
    <x v="10"/>
    <n v="60653"/>
    <x v="2"/>
    <x v="1091"/>
    <x v="2"/>
    <x v="7"/>
    <x v="1081"/>
    <x v="1731"/>
    <x v="5"/>
    <x v="3"/>
  </r>
  <r>
    <n v="5512"/>
    <x v="2748"/>
    <x v="1050"/>
    <d v="2015-03-02T00:00:00"/>
    <s v="Standard Class"/>
    <x v="371"/>
    <s v="Jennifer Halladay"/>
    <x v="0"/>
    <s v="United States"/>
    <s v="Medford"/>
    <x v="21"/>
    <n v="97504"/>
    <x v="1"/>
    <x v="1536"/>
    <x v="1"/>
    <x v="10"/>
    <x v="1524"/>
    <x v="2668"/>
    <x v="11"/>
    <x v="2"/>
  </r>
  <r>
    <n v="5513"/>
    <x v="2748"/>
    <x v="1050"/>
    <d v="2015-03-02T00:00:00"/>
    <s v="Standard Class"/>
    <x v="371"/>
    <s v="Jennifer Halladay"/>
    <x v="0"/>
    <s v="United States"/>
    <s v="Medford"/>
    <x v="21"/>
    <n v="97504"/>
    <x v="1"/>
    <x v="1587"/>
    <x v="1"/>
    <x v="10"/>
    <x v="1578"/>
    <x v="3850"/>
    <x v="11"/>
    <x v="2"/>
  </r>
  <r>
    <n v="5514"/>
    <x v="2749"/>
    <x v="1051"/>
    <d v="2016-06-01T00:00:00"/>
    <s v="First Class"/>
    <x v="633"/>
    <s v="Edward Nazzal"/>
    <x v="0"/>
    <s v="United States"/>
    <s v="New York City"/>
    <x v="15"/>
    <n v="10009"/>
    <x v="3"/>
    <x v="647"/>
    <x v="2"/>
    <x v="7"/>
    <x v="1735"/>
    <x v="758"/>
    <x v="5"/>
    <x v="1"/>
  </r>
  <r>
    <n v="5515"/>
    <x v="2749"/>
    <x v="1051"/>
    <d v="2016-06-01T00:00:00"/>
    <s v="First Class"/>
    <x v="633"/>
    <s v="Edward Nazzal"/>
    <x v="0"/>
    <s v="United States"/>
    <s v="New York City"/>
    <x v="15"/>
    <n v="10009"/>
    <x v="3"/>
    <x v="1317"/>
    <x v="1"/>
    <x v="9"/>
    <x v="1303"/>
    <x v="1953"/>
    <x v="5"/>
    <x v="1"/>
  </r>
  <r>
    <n v="5516"/>
    <x v="2749"/>
    <x v="1051"/>
    <d v="2016-06-01T00:00:00"/>
    <s v="First Class"/>
    <x v="633"/>
    <s v="Edward Nazzal"/>
    <x v="0"/>
    <s v="United States"/>
    <s v="New York City"/>
    <x v="15"/>
    <n v="10009"/>
    <x v="3"/>
    <x v="1300"/>
    <x v="2"/>
    <x v="7"/>
    <x v="1285"/>
    <x v="3565"/>
    <x v="5"/>
    <x v="1"/>
  </r>
  <r>
    <n v="5517"/>
    <x v="2750"/>
    <x v="741"/>
    <d v="2017-11-21T00:00:00"/>
    <s v="Second Class"/>
    <x v="346"/>
    <s v="Karen Carlisle"/>
    <x v="1"/>
    <s v="United States"/>
    <s v="Huntsville"/>
    <x v="19"/>
    <n v="35810"/>
    <x v="0"/>
    <x v="1738"/>
    <x v="2"/>
    <x v="11"/>
    <x v="1727"/>
    <x v="3851"/>
    <x v="0"/>
    <x v="0"/>
  </r>
  <r>
    <n v="5518"/>
    <x v="2751"/>
    <x v="769"/>
    <d v="2018-12-09T00:00:00"/>
    <s v="Standard Class"/>
    <x v="99"/>
    <s v="Michael Stewart"/>
    <x v="1"/>
    <s v="United States"/>
    <s v="Philadelphia"/>
    <x v="9"/>
    <n v="19134"/>
    <x v="3"/>
    <x v="877"/>
    <x v="0"/>
    <x v="1"/>
    <x v="871"/>
    <x v="3612"/>
    <x v="4"/>
    <x v="3"/>
  </r>
  <r>
    <n v="5519"/>
    <x v="2751"/>
    <x v="769"/>
    <d v="2018-12-09T00:00:00"/>
    <s v="Standard Class"/>
    <x v="99"/>
    <s v="Michael Stewart"/>
    <x v="1"/>
    <s v="United States"/>
    <s v="Philadelphia"/>
    <x v="9"/>
    <n v="19134"/>
    <x v="3"/>
    <x v="1182"/>
    <x v="0"/>
    <x v="5"/>
    <x v="1168"/>
    <x v="3852"/>
    <x v="4"/>
    <x v="3"/>
  </r>
  <r>
    <n v="5520"/>
    <x v="2751"/>
    <x v="769"/>
    <d v="2018-12-09T00:00:00"/>
    <s v="Standard Class"/>
    <x v="99"/>
    <s v="Michael Stewart"/>
    <x v="1"/>
    <s v="United States"/>
    <s v="Philadelphia"/>
    <x v="9"/>
    <n v="19134"/>
    <x v="3"/>
    <x v="796"/>
    <x v="1"/>
    <x v="6"/>
    <x v="794"/>
    <x v="2513"/>
    <x v="4"/>
    <x v="3"/>
  </r>
  <r>
    <n v="5521"/>
    <x v="2751"/>
    <x v="769"/>
    <d v="2018-12-09T00:00:00"/>
    <s v="Standard Class"/>
    <x v="99"/>
    <s v="Michael Stewart"/>
    <x v="1"/>
    <s v="United States"/>
    <s v="Philadelphia"/>
    <x v="9"/>
    <n v="19134"/>
    <x v="3"/>
    <x v="1679"/>
    <x v="1"/>
    <x v="10"/>
    <x v="1667"/>
    <x v="100"/>
    <x v="4"/>
    <x v="3"/>
  </r>
  <r>
    <n v="5522"/>
    <x v="2751"/>
    <x v="769"/>
    <d v="2018-12-09T00:00:00"/>
    <s v="Standard Class"/>
    <x v="99"/>
    <s v="Michael Stewart"/>
    <x v="1"/>
    <s v="United States"/>
    <s v="Philadelphia"/>
    <x v="9"/>
    <n v="19134"/>
    <x v="3"/>
    <x v="914"/>
    <x v="2"/>
    <x v="11"/>
    <x v="906"/>
    <x v="1294"/>
    <x v="4"/>
    <x v="3"/>
  </r>
  <r>
    <n v="5523"/>
    <x v="2752"/>
    <x v="410"/>
    <d v="2017-06-07T00:00:00"/>
    <s v="First Class"/>
    <x v="237"/>
    <s v="Chloris Kastensmidt"/>
    <x v="0"/>
    <s v="United States"/>
    <s v="Santa Clara"/>
    <x v="1"/>
    <n v="95051"/>
    <x v="1"/>
    <x v="1366"/>
    <x v="1"/>
    <x v="8"/>
    <x v="307"/>
    <x v="3853"/>
    <x v="1"/>
    <x v="0"/>
  </r>
  <r>
    <n v="5524"/>
    <x v="2752"/>
    <x v="410"/>
    <d v="2017-06-07T00:00:00"/>
    <s v="First Class"/>
    <x v="237"/>
    <s v="Chloris Kastensmidt"/>
    <x v="0"/>
    <s v="United States"/>
    <s v="Santa Clara"/>
    <x v="1"/>
    <n v="95051"/>
    <x v="1"/>
    <x v="937"/>
    <x v="1"/>
    <x v="9"/>
    <x v="930"/>
    <x v="2218"/>
    <x v="1"/>
    <x v="0"/>
  </r>
  <r>
    <n v="5525"/>
    <x v="2753"/>
    <x v="107"/>
    <d v="2017-12-12T00:00:00"/>
    <s v="First Class"/>
    <x v="319"/>
    <s v="Sanjit Jacobs"/>
    <x v="2"/>
    <s v="United States"/>
    <s v="Long Beach"/>
    <x v="1"/>
    <n v="90805"/>
    <x v="1"/>
    <x v="1070"/>
    <x v="1"/>
    <x v="10"/>
    <x v="1059"/>
    <x v="3854"/>
    <x v="4"/>
    <x v="0"/>
  </r>
  <r>
    <n v="5526"/>
    <x v="2754"/>
    <x v="504"/>
    <d v="2018-05-05T00:00:00"/>
    <s v="Standard Class"/>
    <x v="105"/>
    <s v="Erin Ashbrook"/>
    <x v="1"/>
    <s v="United States"/>
    <s v="Los Angeles"/>
    <x v="1"/>
    <n v="90008"/>
    <x v="1"/>
    <x v="282"/>
    <x v="1"/>
    <x v="6"/>
    <x v="282"/>
    <x v="3855"/>
    <x v="3"/>
    <x v="3"/>
  </r>
  <r>
    <n v="5527"/>
    <x v="2755"/>
    <x v="558"/>
    <d v="2018-04-28T00:00:00"/>
    <s v="Standard Class"/>
    <x v="450"/>
    <s v="Michael Granlund"/>
    <x v="2"/>
    <s v="United States"/>
    <s v="Santa Barbara"/>
    <x v="1"/>
    <n v="93101"/>
    <x v="1"/>
    <x v="1088"/>
    <x v="1"/>
    <x v="13"/>
    <x v="1078"/>
    <x v="2663"/>
    <x v="3"/>
    <x v="3"/>
  </r>
  <r>
    <n v="5528"/>
    <x v="2756"/>
    <x v="412"/>
    <d v="2016-05-10T00:00:00"/>
    <s v="First Class"/>
    <x v="437"/>
    <s v="Alejandro Ballentine"/>
    <x v="2"/>
    <s v="United States"/>
    <s v="New York City"/>
    <x v="15"/>
    <n v="10009"/>
    <x v="3"/>
    <x v="423"/>
    <x v="1"/>
    <x v="10"/>
    <x v="423"/>
    <x v="2428"/>
    <x v="5"/>
    <x v="1"/>
  </r>
  <r>
    <n v="5529"/>
    <x v="2757"/>
    <x v="1052"/>
    <d v="2016-04-04T00:00:00"/>
    <s v="Standard Class"/>
    <x v="609"/>
    <s v="Scott Cohen"/>
    <x v="1"/>
    <s v="United States"/>
    <s v="Jacksonville"/>
    <x v="2"/>
    <n v="32216"/>
    <x v="0"/>
    <x v="222"/>
    <x v="2"/>
    <x v="7"/>
    <x v="223"/>
    <x v="1095"/>
    <x v="10"/>
    <x v="1"/>
  </r>
  <r>
    <n v="5530"/>
    <x v="2758"/>
    <x v="634"/>
    <d v="2018-08-11T00:00:00"/>
    <s v="Standard Class"/>
    <x v="422"/>
    <s v="Todd Boyes"/>
    <x v="1"/>
    <s v="United States"/>
    <s v="Cedar Hill"/>
    <x v="5"/>
    <n v="75104"/>
    <x v="2"/>
    <x v="1696"/>
    <x v="1"/>
    <x v="10"/>
    <x v="1684"/>
    <x v="905"/>
    <x v="6"/>
    <x v="3"/>
  </r>
  <r>
    <n v="5531"/>
    <x v="2759"/>
    <x v="574"/>
    <d v="2018-12-06T00:00:00"/>
    <s v="Standard Class"/>
    <x v="765"/>
    <s v="Juliana Krohn"/>
    <x v="0"/>
    <s v="United States"/>
    <s v="Omaha"/>
    <x v="8"/>
    <n v="68104"/>
    <x v="2"/>
    <x v="647"/>
    <x v="2"/>
    <x v="7"/>
    <x v="647"/>
    <x v="3856"/>
    <x v="4"/>
    <x v="3"/>
  </r>
  <r>
    <n v="5532"/>
    <x v="2760"/>
    <x v="112"/>
    <d v="2017-06-07T00:00:00"/>
    <s v="First Class"/>
    <x v="242"/>
    <s v="Clytie Kelty"/>
    <x v="0"/>
    <s v="United States"/>
    <s v="Little Rock"/>
    <x v="36"/>
    <n v="72209"/>
    <x v="0"/>
    <x v="1016"/>
    <x v="2"/>
    <x v="11"/>
    <x v="1007"/>
    <x v="3857"/>
    <x v="1"/>
    <x v="0"/>
  </r>
  <r>
    <n v="5533"/>
    <x v="2760"/>
    <x v="112"/>
    <d v="2017-06-07T00:00:00"/>
    <s v="First Class"/>
    <x v="242"/>
    <s v="Clytie Kelty"/>
    <x v="0"/>
    <s v="United States"/>
    <s v="Little Rock"/>
    <x v="36"/>
    <n v="72209"/>
    <x v="0"/>
    <x v="1044"/>
    <x v="2"/>
    <x v="11"/>
    <x v="1033"/>
    <x v="3858"/>
    <x v="1"/>
    <x v="0"/>
  </r>
  <r>
    <n v="5534"/>
    <x v="2760"/>
    <x v="112"/>
    <d v="2017-06-07T00:00:00"/>
    <s v="First Class"/>
    <x v="242"/>
    <s v="Clytie Kelty"/>
    <x v="0"/>
    <s v="United States"/>
    <s v="Little Rock"/>
    <x v="36"/>
    <n v="72209"/>
    <x v="0"/>
    <x v="619"/>
    <x v="2"/>
    <x v="11"/>
    <x v="619"/>
    <x v="2242"/>
    <x v="1"/>
    <x v="0"/>
  </r>
  <r>
    <n v="5535"/>
    <x v="2760"/>
    <x v="112"/>
    <d v="2017-06-07T00:00:00"/>
    <s v="First Class"/>
    <x v="242"/>
    <s v="Clytie Kelty"/>
    <x v="0"/>
    <s v="United States"/>
    <s v="Little Rock"/>
    <x v="36"/>
    <n v="72209"/>
    <x v="0"/>
    <x v="368"/>
    <x v="1"/>
    <x v="10"/>
    <x v="369"/>
    <x v="725"/>
    <x v="1"/>
    <x v="0"/>
  </r>
  <r>
    <n v="5536"/>
    <x v="2760"/>
    <x v="112"/>
    <d v="2017-06-07T00:00:00"/>
    <s v="First Class"/>
    <x v="242"/>
    <s v="Clytie Kelty"/>
    <x v="0"/>
    <s v="United States"/>
    <s v="Little Rock"/>
    <x v="36"/>
    <n v="72209"/>
    <x v="0"/>
    <x v="94"/>
    <x v="1"/>
    <x v="8"/>
    <x v="94"/>
    <x v="2161"/>
    <x v="1"/>
    <x v="0"/>
  </r>
  <r>
    <n v="5537"/>
    <x v="2760"/>
    <x v="112"/>
    <d v="2017-06-07T00:00:00"/>
    <s v="First Class"/>
    <x v="242"/>
    <s v="Clytie Kelty"/>
    <x v="0"/>
    <s v="United States"/>
    <s v="Little Rock"/>
    <x v="36"/>
    <n v="72209"/>
    <x v="0"/>
    <x v="1065"/>
    <x v="1"/>
    <x v="8"/>
    <x v="1054"/>
    <x v="1345"/>
    <x v="1"/>
    <x v="0"/>
  </r>
  <r>
    <n v="5538"/>
    <x v="2760"/>
    <x v="112"/>
    <d v="2017-06-07T00:00:00"/>
    <s v="First Class"/>
    <x v="242"/>
    <s v="Clytie Kelty"/>
    <x v="0"/>
    <s v="United States"/>
    <s v="Little Rock"/>
    <x v="36"/>
    <n v="72209"/>
    <x v="0"/>
    <x v="1483"/>
    <x v="1"/>
    <x v="10"/>
    <x v="1470"/>
    <x v="91"/>
    <x v="1"/>
    <x v="0"/>
  </r>
  <r>
    <n v="5539"/>
    <x v="2761"/>
    <x v="657"/>
    <d v="2016-04-20T00:00:00"/>
    <s v="Standard Class"/>
    <x v="196"/>
    <s v="Sonia Sunley"/>
    <x v="0"/>
    <s v="United States"/>
    <s v="Norfolk"/>
    <x v="8"/>
    <n v="68701"/>
    <x v="2"/>
    <x v="699"/>
    <x v="1"/>
    <x v="8"/>
    <x v="699"/>
    <x v="1139"/>
    <x v="3"/>
    <x v="1"/>
  </r>
  <r>
    <n v="5540"/>
    <x v="2762"/>
    <x v="1053"/>
    <d v="2018-05-26T00:00:00"/>
    <s v="Standard Class"/>
    <x v="97"/>
    <s v="Laurel Elliston"/>
    <x v="0"/>
    <s v="United States"/>
    <s v="Chicago"/>
    <x v="10"/>
    <n v="60653"/>
    <x v="2"/>
    <x v="70"/>
    <x v="0"/>
    <x v="1"/>
    <x v="70"/>
    <x v="2086"/>
    <x v="5"/>
    <x v="3"/>
  </r>
  <r>
    <n v="5541"/>
    <x v="2762"/>
    <x v="1053"/>
    <d v="2018-05-26T00:00:00"/>
    <s v="Standard Class"/>
    <x v="97"/>
    <s v="Laurel Elliston"/>
    <x v="0"/>
    <s v="United States"/>
    <s v="Chicago"/>
    <x v="10"/>
    <n v="60653"/>
    <x v="2"/>
    <x v="122"/>
    <x v="1"/>
    <x v="8"/>
    <x v="122"/>
    <x v="3859"/>
    <x v="5"/>
    <x v="3"/>
  </r>
  <r>
    <n v="5542"/>
    <x v="2762"/>
    <x v="1053"/>
    <d v="2018-05-26T00:00:00"/>
    <s v="Standard Class"/>
    <x v="97"/>
    <s v="Laurel Elliston"/>
    <x v="0"/>
    <s v="United States"/>
    <s v="Chicago"/>
    <x v="10"/>
    <n v="60653"/>
    <x v="2"/>
    <x v="660"/>
    <x v="1"/>
    <x v="14"/>
    <x v="660"/>
    <x v="3860"/>
    <x v="5"/>
    <x v="3"/>
  </r>
  <r>
    <n v="5543"/>
    <x v="2763"/>
    <x v="1054"/>
    <d v="2017-12-25T00:00:00"/>
    <s v="Standard Class"/>
    <x v="20"/>
    <s v="Erin Smith"/>
    <x v="1"/>
    <s v="United States"/>
    <s v="Tucson"/>
    <x v="16"/>
    <n v="85705"/>
    <x v="1"/>
    <x v="1746"/>
    <x v="0"/>
    <x v="3"/>
    <x v="1736"/>
    <x v="3861"/>
    <x v="4"/>
    <x v="0"/>
  </r>
  <r>
    <n v="5544"/>
    <x v="2763"/>
    <x v="1054"/>
    <d v="2017-12-25T00:00:00"/>
    <s v="Standard Class"/>
    <x v="20"/>
    <s v="Erin Smith"/>
    <x v="1"/>
    <s v="United States"/>
    <s v="Tucson"/>
    <x v="16"/>
    <n v="85705"/>
    <x v="1"/>
    <x v="1458"/>
    <x v="1"/>
    <x v="8"/>
    <x v="1444"/>
    <x v="822"/>
    <x v="4"/>
    <x v="0"/>
  </r>
  <r>
    <n v="5545"/>
    <x v="2763"/>
    <x v="1054"/>
    <d v="2017-12-25T00:00:00"/>
    <s v="Standard Class"/>
    <x v="20"/>
    <s v="Erin Smith"/>
    <x v="1"/>
    <s v="United States"/>
    <s v="Tucson"/>
    <x v="16"/>
    <n v="85705"/>
    <x v="1"/>
    <x v="530"/>
    <x v="1"/>
    <x v="8"/>
    <x v="530"/>
    <x v="3862"/>
    <x v="4"/>
    <x v="0"/>
  </r>
  <r>
    <n v="5546"/>
    <x v="2764"/>
    <x v="585"/>
    <d v="2018-09-26T00:00:00"/>
    <s v="Standard Class"/>
    <x v="450"/>
    <s v="Michael Granlund"/>
    <x v="2"/>
    <s v="United States"/>
    <s v="Concord"/>
    <x v="38"/>
    <n v="3301"/>
    <x v="3"/>
    <x v="146"/>
    <x v="1"/>
    <x v="4"/>
    <x v="147"/>
    <x v="3863"/>
    <x v="8"/>
    <x v="3"/>
  </r>
  <r>
    <n v="5547"/>
    <x v="2765"/>
    <x v="210"/>
    <d v="2018-09-08T00:00:00"/>
    <s v="First Class"/>
    <x v="594"/>
    <s v="Justin MacKendrick"/>
    <x v="0"/>
    <s v="United States"/>
    <s v="Draper"/>
    <x v="7"/>
    <n v="84020"/>
    <x v="1"/>
    <x v="1598"/>
    <x v="0"/>
    <x v="5"/>
    <x v="1590"/>
    <x v="2783"/>
    <x v="8"/>
    <x v="3"/>
  </r>
  <r>
    <n v="5548"/>
    <x v="2765"/>
    <x v="210"/>
    <d v="2018-09-08T00:00:00"/>
    <s v="First Class"/>
    <x v="594"/>
    <s v="Justin MacKendrick"/>
    <x v="0"/>
    <s v="United States"/>
    <s v="Draper"/>
    <x v="7"/>
    <n v="84020"/>
    <x v="1"/>
    <x v="1255"/>
    <x v="2"/>
    <x v="7"/>
    <x v="1239"/>
    <x v="3864"/>
    <x v="8"/>
    <x v="3"/>
  </r>
  <r>
    <n v="5549"/>
    <x v="2766"/>
    <x v="683"/>
    <d v="2015-12-01T00:00:00"/>
    <s v="First Class"/>
    <x v="495"/>
    <s v="Sheri Gordon"/>
    <x v="0"/>
    <s v="United States"/>
    <s v="San Francisco"/>
    <x v="1"/>
    <n v="94109"/>
    <x v="1"/>
    <x v="937"/>
    <x v="1"/>
    <x v="9"/>
    <x v="930"/>
    <x v="2834"/>
    <x v="0"/>
    <x v="2"/>
  </r>
  <r>
    <n v="5550"/>
    <x v="2766"/>
    <x v="683"/>
    <d v="2015-12-01T00:00:00"/>
    <s v="First Class"/>
    <x v="495"/>
    <s v="Sheri Gordon"/>
    <x v="0"/>
    <s v="United States"/>
    <s v="San Francisco"/>
    <x v="1"/>
    <n v="94109"/>
    <x v="1"/>
    <x v="808"/>
    <x v="2"/>
    <x v="11"/>
    <x v="806"/>
    <x v="3865"/>
    <x v="0"/>
    <x v="2"/>
  </r>
  <r>
    <n v="5551"/>
    <x v="2767"/>
    <x v="607"/>
    <d v="2015-11-16T00:00:00"/>
    <s v="Standard Class"/>
    <x v="715"/>
    <s v="Darren Budd"/>
    <x v="1"/>
    <s v="United States"/>
    <s v="Houston"/>
    <x v="5"/>
    <n v="77036"/>
    <x v="2"/>
    <x v="1412"/>
    <x v="1"/>
    <x v="6"/>
    <x v="1399"/>
    <x v="2743"/>
    <x v="0"/>
    <x v="2"/>
  </r>
  <r>
    <n v="5552"/>
    <x v="2767"/>
    <x v="607"/>
    <d v="2015-11-16T00:00:00"/>
    <s v="Standard Class"/>
    <x v="715"/>
    <s v="Darren Budd"/>
    <x v="1"/>
    <s v="United States"/>
    <s v="Houston"/>
    <x v="5"/>
    <n v="77036"/>
    <x v="2"/>
    <x v="1567"/>
    <x v="1"/>
    <x v="14"/>
    <x v="1558"/>
    <x v="3866"/>
    <x v="0"/>
    <x v="2"/>
  </r>
  <r>
    <n v="5553"/>
    <x v="2767"/>
    <x v="607"/>
    <d v="2015-11-16T00:00:00"/>
    <s v="Standard Class"/>
    <x v="715"/>
    <s v="Darren Budd"/>
    <x v="1"/>
    <s v="United States"/>
    <s v="Houston"/>
    <x v="5"/>
    <n v="77036"/>
    <x v="2"/>
    <x v="217"/>
    <x v="2"/>
    <x v="11"/>
    <x v="463"/>
    <x v="2179"/>
    <x v="0"/>
    <x v="2"/>
  </r>
  <r>
    <n v="5554"/>
    <x v="2767"/>
    <x v="607"/>
    <d v="2015-11-16T00:00:00"/>
    <s v="Standard Class"/>
    <x v="715"/>
    <s v="Darren Budd"/>
    <x v="1"/>
    <s v="United States"/>
    <s v="Houston"/>
    <x v="5"/>
    <n v="77036"/>
    <x v="2"/>
    <x v="260"/>
    <x v="1"/>
    <x v="10"/>
    <x v="260"/>
    <x v="1566"/>
    <x v="0"/>
    <x v="2"/>
  </r>
  <r>
    <n v="5555"/>
    <x v="2767"/>
    <x v="607"/>
    <d v="2015-11-16T00:00:00"/>
    <s v="Standard Class"/>
    <x v="715"/>
    <s v="Darren Budd"/>
    <x v="1"/>
    <s v="United States"/>
    <s v="Houston"/>
    <x v="5"/>
    <n v="77036"/>
    <x v="2"/>
    <x v="899"/>
    <x v="0"/>
    <x v="0"/>
    <x v="892"/>
    <x v="3867"/>
    <x v="0"/>
    <x v="2"/>
  </r>
  <r>
    <n v="5556"/>
    <x v="2768"/>
    <x v="280"/>
    <d v="2018-10-06T00:00:00"/>
    <s v="Second Class"/>
    <x v="478"/>
    <s v="Jane Waco"/>
    <x v="1"/>
    <s v="United States"/>
    <s v="Montgomery"/>
    <x v="19"/>
    <n v="36116"/>
    <x v="0"/>
    <x v="1524"/>
    <x v="0"/>
    <x v="5"/>
    <x v="1511"/>
    <x v="1007"/>
    <x v="2"/>
    <x v="3"/>
  </r>
  <r>
    <n v="5557"/>
    <x v="2769"/>
    <x v="639"/>
    <d v="2016-12-18T00:00:00"/>
    <s v="Standard Class"/>
    <x v="470"/>
    <s v="Keith Dawkins"/>
    <x v="1"/>
    <s v="United States"/>
    <s v="Jackson"/>
    <x v="35"/>
    <n v="39212"/>
    <x v="0"/>
    <x v="1392"/>
    <x v="0"/>
    <x v="5"/>
    <x v="1378"/>
    <x v="51"/>
    <x v="4"/>
    <x v="1"/>
  </r>
  <r>
    <n v="5558"/>
    <x v="2769"/>
    <x v="639"/>
    <d v="2016-12-18T00:00:00"/>
    <s v="Standard Class"/>
    <x v="470"/>
    <s v="Keith Dawkins"/>
    <x v="1"/>
    <s v="United States"/>
    <s v="Jackson"/>
    <x v="35"/>
    <n v="39212"/>
    <x v="0"/>
    <x v="1473"/>
    <x v="1"/>
    <x v="6"/>
    <x v="1460"/>
    <x v="2420"/>
    <x v="4"/>
    <x v="1"/>
  </r>
  <r>
    <n v="5559"/>
    <x v="2770"/>
    <x v="401"/>
    <d v="2016-12-10T00:00:00"/>
    <s v="Standard Class"/>
    <x v="582"/>
    <s v="Ivan Liston"/>
    <x v="0"/>
    <s v="United States"/>
    <s v="North Las Vegas"/>
    <x v="33"/>
    <n v="89031"/>
    <x v="1"/>
    <x v="1747"/>
    <x v="1"/>
    <x v="10"/>
    <x v="1737"/>
    <x v="90"/>
    <x v="4"/>
    <x v="1"/>
  </r>
  <r>
    <n v="5560"/>
    <x v="2770"/>
    <x v="401"/>
    <d v="2016-12-10T00:00:00"/>
    <s v="Standard Class"/>
    <x v="582"/>
    <s v="Ivan Liston"/>
    <x v="0"/>
    <s v="United States"/>
    <s v="North Las Vegas"/>
    <x v="33"/>
    <n v="89031"/>
    <x v="1"/>
    <x v="1244"/>
    <x v="1"/>
    <x v="4"/>
    <x v="1227"/>
    <x v="2184"/>
    <x v="4"/>
    <x v="1"/>
  </r>
  <r>
    <n v="5561"/>
    <x v="2770"/>
    <x v="401"/>
    <d v="2016-12-10T00:00:00"/>
    <s v="Standard Class"/>
    <x v="582"/>
    <s v="Ivan Liston"/>
    <x v="0"/>
    <s v="United States"/>
    <s v="North Las Vegas"/>
    <x v="33"/>
    <n v="89031"/>
    <x v="1"/>
    <x v="690"/>
    <x v="1"/>
    <x v="2"/>
    <x v="690"/>
    <x v="1801"/>
    <x v="4"/>
    <x v="1"/>
  </r>
  <r>
    <n v="5562"/>
    <x v="2771"/>
    <x v="185"/>
    <d v="2018-04-02T00:00:00"/>
    <s v="Second Class"/>
    <x v="531"/>
    <s v="Jim Epp"/>
    <x v="1"/>
    <s v="United States"/>
    <s v="Atlanta"/>
    <x v="32"/>
    <n v="30318"/>
    <x v="0"/>
    <x v="303"/>
    <x v="1"/>
    <x v="8"/>
    <x v="303"/>
    <x v="3868"/>
    <x v="10"/>
    <x v="3"/>
  </r>
  <r>
    <n v="5563"/>
    <x v="2771"/>
    <x v="185"/>
    <d v="2018-04-02T00:00:00"/>
    <s v="Second Class"/>
    <x v="531"/>
    <s v="Jim Epp"/>
    <x v="1"/>
    <s v="United States"/>
    <s v="Atlanta"/>
    <x v="32"/>
    <n v="30318"/>
    <x v="0"/>
    <x v="306"/>
    <x v="2"/>
    <x v="16"/>
    <x v="306"/>
    <x v="487"/>
    <x v="10"/>
    <x v="3"/>
  </r>
  <r>
    <n v="5564"/>
    <x v="2771"/>
    <x v="185"/>
    <d v="2018-04-02T00:00:00"/>
    <s v="Second Class"/>
    <x v="531"/>
    <s v="Jim Epp"/>
    <x v="1"/>
    <s v="United States"/>
    <s v="Atlanta"/>
    <x v="32"/>
    <n v="30318"/>
    <x v="0"/>
    <x v="27"/>
    <x v="1"/>
    <x v="8"/>
    <x v="27"/>
    <x v="3869"/>
    <x v="10"/>
    <x v="3"/>
  </r>
  <r>
    <n v="5565"/>
    <x v="2772"/>
    <x v="677"/>
    <d v="2018-03-13T00:00:00"/>
    <s v="Same Day"/>
    <x v="711"/>
    <s v="Stephanie Ulpright"/>
    <x v="2"/>
    <s v="United States"/>
    <s v="Chicago"/>
    <x v="10"/>
    <n v="60610"/>
    <x v="2"/>
    <x v="1515"/>
    <x v="1"/>
    <x v="6"/>
    <x v="1502"/>
    <x v="526"/>
    <x v="10"/>
    <x v="3"/>
  </r>
  <r>
    <n v="5566"/>
    <x v="2772"/>
    <x v="677"/>
    <d v="2018-03-13T00:00:00"/>
    <s v="Same Day"/>
    <x v="711"/>
    <s v="Stephanie Ulpright"/>
    <x v="2"/>
    <s v="United States"/>
    <s v="Chicago"/>
    <x v="10"/>
    <n v="60610"/>
    <x v="2"/>
    <x v="1748"/>
    <x v="2"/>
    <x v="15"/>
    <x v="1738"/>
    <x v="3870"/>
    <x v="10"/>
    <x v="3"/>
  </r>
  <r>
    <n v="5567"/>
    <x v="2772"/>
    <x v="677"/>
    <d v="2018-03-13T00:00:00"/>
    <s v="Same Day"/>
    <x v="711"/>
    <s v="Stephanie Ulpright"/>
    <x v="2"/>
    <s v="United States"/>
    <s v="Chicago"/>
    <x v="10"/>
    <n v="60610"/>
    <x v="2"/>
    <x v="1453"/>
    <x v="1"/>
    <x v="6"/>
    <x v="1439"/>
    <x v="3871"/>
    <x v="10"/>
    <x v="3"/>
  </r>
  <r>
    <n v="5568"/>
    <x v="2772"/>
    <x v="677"/>
    <d v="2018-03-13T00:00:00"/>
    <s v="Same Day"/>
    <x v="711"/>
    <s v="Stephanie Ulpright"/>
    <x v="2"/>
    <s v="United States"/>
    <s v="Chicago"/>
    <x v="10"/>
    <n v="60610"/>
    <x v="2"/>
    <x v="1584"/>
    <x v="0"/>
    <x v="1"/>
    <x v="1575"/>
    <x v="3872"/>
    <x v="10"/>
    <x v="3"/>
  </r>
  <r>
    <n v="5569"/>
    <x v="2772"/>
    <x v="677"/>
    <d v="2018-03-13T00:00:00"/>
    <s v="Same Day"/>
    <x v="711"/>
    <s v="Stephanie Ulpright"/>
    <x v="2"/>
    <s v="United States"/>
    <s v="Chicago"/>
    <x v="10"/>
    <n v="60610"/>
    <x v="2"/>
    <x v="306"/>
    <x v="2"/>
    <x v="16"/>
    <x v="306"/>
    <x v="321"/>
    <x v="10"/>
    <x v="3"/>
  </r>
  <r>
    <n v="5570"/>
    <x v="2772"/>
    <x v="677"/>
    <d v="2018-03-13T00:00:00"/>
    <s v="Same Day"/>
    <x v="711"/>
    <s v="Stephanie Ulpright"/>
    <x v="2"/>
    <s v="United States"/>
    <s v="Chicago"/>
    <x v="10"/>
    <n v="60610"/>
    <x v="2"/>
    <x v="548"/>
    <x v="1"/>
    <x v="10"/>
    <x v="548"/>
    <x v="12"/>
    <x v="10"/>
    <x v="3"/>
  </r>
  <r>
    <n v="5571"/>
    <x v="2772"/>
    <x v="677"/>
    <d v="2018-03-13T00:00:00"/>
    <s v="Same Day"/>
    <x v="711"/>
    <s v="Stephanie Ulpright"/>
    <x v="2"/>
    <s v="United States"/>
    <s v="Chicago"/>
    <x v="10"/>
    <n v="60610"/>
    <x v="2"/>
    <x v="1300"/>
    <x v="2"/>
    <x v="7"/>
    <x v="1285"/>
    <x v="3873"/>
    <x v="10"/>
    <x v="3"/>
  </r>
  <r>
    <n v="5572"/>
    <x v="2773"/>
    <x v="29"/>
    <d v="2015-12-09T00:00:00"/>
    <s v="Standard Class"/>
    <x v="105"/>
    <s v="Erin Ashbrook"/>
    <x v="1"/>
    <s v="United States"/>
    <s v="Columbus"/>
    <x v="24"/>
    <n v="43229"/>
    <x v="3"/>
    <x v="1522"/>
    <x v="1"/>
    <x v="10"/>
    <x v="1509"/>
    <x v="3874"/>
    <x v="4"/>
    <x v="2"/>
  </r>
  <r>
    <n v="5573"/>
    <x v="2773"/>
    <x v="29"/>
    <d v="2015-12-09T00:00:00"/>
    <s v="Standard Class"/>
    <x v="105"/>
    <s v="Erin Ashbrook"/>
    <x v="1"/>
    <s v="United States"/>
    <s v="Columbus"/>
    <x v="24"/>
    <n v="43229"/>
    <x v="3"/>
    <x v="691"/>
    <x v="1"/>
    <x v="8"/>
    <x v="691"/>
    <x v="3875"/>
    <x v="4"/>
    <x v="2"/>
  </r>
  <r>
    <n v="5574"/>
    <x v="2773"/>
    <x v="29"/>
    <d v="2015-12-09T00:00:00"/>
    <s v="Standard Class"/>
    <x v="105"/>
    <s v="Erin Ashbrook"/>
    <x v="1"/>
    <s v="United States"/>
    <s v="Columbus"/>
    <x v="24"/>
    <n v="43229"/>
    <x v="3"/>
    <x v="1749"/>
    <x v="1"/>
    <x v="10"/>
    <x v="1739"/>
    <x v="1121"/>
    <x v="4"/>
    <x v="2"/>
  </r>
  <r>
    <n v="5575"/>
    <x v="2773"/>
    <x v="29"/>
    <d v="2015-12-09T00:00:00"/>
    <s v="Standard Class"/>
    <x v="105"/>
    <s v="Erin Ashbrook"/>
    <x v="1"/>
    <s v="United States"/>
    <s v="Columbus"/>
    <x v="24"/>
    <n v="43229"/>
    <x v="3"/>
    <x v="1750"/>
    <x v="2"/>
    <x v="7"/>
    <x v="1740"/>
    <x v="3876"/>
    <x v="4"/>
    <x v="2"/>
  </r>
  <r>
    <n v="5576"/>
    <x v="2773"/>
    <x v="29"/>
    <d v="2015-12-09T00:00:00"/>
    <s v="Standard Class"/>
    <x v="105"/>
    <s v="Erin Ashbrook"/>
    <x v="1"/>
    <s v="United States"/>
    <s v="Columbus"/>
    <x v="24"/>
    <n v="43229"/>
    <x v="3"/>
    <x v="1187"/>
    <x v="2"/>
    <x v="7"/>
    <x v="1173"/>
    <x v="3857"/>
    <x v="4"/>
    <x v="2"/>
  </r>
  <r>
    <n v="5577"/>
    <x v="2774"/>
    <x v="939"/>
    <d v="2017-12-16T00:00:00"/>
    <s v="Standard Class"/>
    <x v="167"/>
    <s v="Roy Französisch"/>
    <x v="0"/>
    <s v="United States"/>
    <s v="Pasadena"/>
    <x v="1"/>
    <n v="91104"/>
    <x v="1"/>
    <x v="441"/>
    <x v="0"/>
    <x v="5"/>
    <x v="441"/>
    <x v="3877"/>
    <x v="4"/>
    <x v="0"/>
  </r>
  <r>
    <n v="5578"/>
    <x v="2774"/>
    <x v="939"/>
    <d v="2017-12-16T00:00:00"/>
    <s v="Standard Class"/>
    <x v="167"/>
    <s v="Roy Französisch"/>
    <x v="0"/>
    <s v="United States"/>
    <s v="Pasadena"/>
    <x v="1"/>
    <n v="91104"/>
    <x v="1"/>
    <x v="551"/>
    <x v="1"/>
    <x v="9"/>
    <x v="550"/>
    <x v="3012"/>
    <x v="4"/>
    <x v="0"/>
  </r>
  <r>
    <n v="5579"/>
    <x v="2775"/>
    <x v="428"/>
    <d v="2018-09-14T00:00:00"/>
    <s v="Second Class"/>
    <x v="702"/>
    <s v="Liz Carlisle"/>
    <x v="0"/>
    <s v="United States"/>
    <s v="Los Angeles"/>
    <x v="1"/>
    <n v="90004"/>
    <x v="1"/>
    <x v="950"/>
    <x v="1"/>
    <x v="6"/>
    <x v="943"/>
    <x v="2578"/>
    <x v="8"/>
    <x v="3"/>
  </r>
  <r>
    <n v="5580"/>
    <x v="2775"/>
    <x v="428"/>
    <d v="2018-09-14T00:00:00"/>
    <s v="Second Class"/>
    <x v="702"/>
    <s v="Liz Carlisle"/>
    <x v="0"/>
    <s v="United States"/>
    <s v="Los Angeles"/>
    <x v="1"/>
    <n v="90004"/>
    <x v="1"/>
    <x v="1225"/>
    <x v="0"/>
    <x v="1"/>
    <x v="1209"/>
    <x v="3501"/>
    <x v="8"/>
    <x v="3"/>
  </r>
  <r>
    <n v="5581"/>
    <x v="2775"/>
    <x v="428"/>
    <d v="2018-09-14T00:00:00"/>
    <s v="Second Class"/>
    <x v="702"/>
    <s v="Liz Carlisle"/>
    <x v="0"/>
    <s v="United States"/>
    <s v="Los Angeles"/>
    <x v="1"/>
    <n v="90004"/>
    <x v="1"/>
    <x v="1714"/>
    <x v="1"/>
    <x v="10"/>
    <x v="1701"/>
    <x v="3878"/>
    <x v="8"/>
    <x v="3"/>
  </r>
  <r>
    <n v="5582"/>
    <x v="2776"/>
    <x v="1055"/>
    <d v="2018-10-08T00:00:00"/>
    <s v="Standard Class"/>
    <x v="28"/>
    <s v="Paul Stevenson"/>
    <x v="2"/>
    <s v="United States"/>
    <s v="Clinton"/>
    <x v="39"/>
    <n v="20735"/>
    <x v="3"/>
    <x v="891"/>
    <x v="0"/>
    <x v="5"/>
    <x v="884"/>
    <x v="1016"/>
    <x v="2"/>
    <x v="3"/>
  </r>
  <r>
    <n v="5583"/>
    <x v="2777"/>
    <x v="195"/>
    <d v="2017-05-13T00:00:00"/>
    <s v="Standard Class"/>
    <x v="28"/>
    <s v="Paul Stevenson"/>
    <x v="2"/>
    <s v="United States"/>
    <s v="New York City"/>
    <x v="15"/>
    <n v="10024"/>
    <x v="3"/>
    <x v="902"/>
    <x v="1"/>
    <x v="6"/>
    <x v="894"/>
    <x v="3778"/>
    <x v="5"/>
    <x v="0"/>
  </r>
  <r>
    <n v="5584"/>
    <x v="2778"/>
    <x v="534"/>
    <d v="2015-12-19T00:00:00"/>
    <s v="Second Class"/>
    <x v="123"/>
    <s v="Jas O'Carroll"/>
    <x v="0"/>
    <s v="United States"/>
    <s v="San Diego"/>
    <x v="1"/>
    <n v="92037"/>
    <x v="1"/>
    <x v="1392"/>
    <x v="0"/>
    <x v="5"/>
    <x v="1378"/>
    <x v="51"/>
    <x v="4"/>
    <x v="2"/>
  </r>
  <r>
    <n v="5585"/>
    <x v="2779"/>
    <x v="329"/>
    <d v="2018-12-04T00:00:00"/>
    <s v="Standard Class"/>
    <x v="163"/>
    <s v="Victor Preis"/>
    <x v="2"/>
    <s v="United States"/>
    <s v="New York City"/>
    <x v="15"/>
    <n v="10011"/>
    <x v="3"/>
    <x v="1751"/>
    <x v="1"/>
    <x v="4"/>
    <x v="1741"/>
    <x v="3879"/>
    <x v="0"/>
    <x v="3"/>
  </r>
  <r>
    <n v="5586"/>
    <x v="2779"/>
    <x v="329"/>
    <d v="2018-12-04T00:00:00"/>
    <s v="Standard Class"/>
    <x v="163"/>
    <s v="Victor Preis"/>
    <x v="2"/>
    <s v="United States"/>
    <s v="New York City"/>
    <x v="15"/>
    <n v="10011"/>
    <x v="3"/>
    <x v="1752"/>
    <x v="2"/>
    <x v="7"/>
    <x v="1742"/>
    <x v="3880"/>
    <x v="0"/>
    <x v="3"/>
  </r>
  <r>
    <n v="5587"/>
    <x v="2779"/>
    <x v="329"/>
    <d v="2018-12-04T00:00:00"/>
    <s v="Standard Class"/>
    <x v="163"/>
    <s v="Victor Preis"/>
    <x v="2"/>
    <s v="United States"/>
    <s v="New York City"/>
    <x v="15"/>
    <n v="10011"/>
    <x v="3"/>
    <x v="435"/>
    <x v="1"/>
    <x v="4"/>
    <x v="435"/>
    <x v="2020"/>
    <x v="0"/>
    <x v="3"/>
  </r>
  <r>
    <n v="5588"/>
    <x v="2780"/>
    <x v="531"/>
    <d v="2016-03-20T00:00:00"/>
    <s v="First Class"/>
    <x v="315"/>
    <s v="Guy Armstrong"/>
    <x v="0"/>
    <s v="United States"/>
    <s v="Lancaster"/>
    <x v="1"/>
    <n v="93534"/>
    <x v="1"/>
    <x v="845"/>
    <x v="1"/>
    <x v="13"/>
    <x v="839"/>
    <x v="2868"/>
    <x v="10"/>
    <x v="1"/>
  </r>
  <r>
    <n v="5589"/>
    <x v="2781"/>
    <x v="866"/>
    <d v="2015-07-24T00:00:00"/>
    <s v="Standard Class"/>
    <x v="670"/>
    <s v="Eugene Moren"/>
    <x v="2"/>
    <s v="United States"/>
    <s v="Great Falls"/>
    <x v="37"/>
    <n v="59405"/>
    <x v="1"/>
    <x v="733"/>
    <x v="1"/>
    <x v="8"/>
    <x v="732"/>
    <x v="855"/>
    <x v="7"/>
    <x v="2"/>
  </r>
  <r>
    <n v="5590"/>
    <x v="2782"/>
    <x v="16"/>
    <d v="2017-12-11T00:00:00"/>
    <s v="Second Class"/>
    <x v="140"/>
    <s v="Doug Bickford"/>
    <x v="0"/>
    <s v="United States"/>
    <s v="San Francisco"/>
    <x v="1"/>
    <n v="94110"/>
    <x v="1"/>
    <x v="75"/>
    <x v="1"/>
    <x v="4"/>
    <x v="75"/>
    <x v="3881"/>
    <x v="4"/>
    <x v="0"/>
  </r>
  <r>
    <n v="5591"/>
    <x v="2782"/>
    <x v="16"/>
    <d v="2017-12-11T00:00:00"/>
    <s v="Second Class"/>
    <x v="140"/>
    <s v="Doug Bickford"/>
    <x v="0"/>
    <s v="United States"/>
    <s v="San Francisco"/>
    <x v="1"/>
    <n v="94110"/>
    <x v="1"/>
    <x v="718"/>
    <x v="1"/>
    <x v="4"/>
    <x v="717"/>
    <x v="830"/>
    <x v="4"/>
    <x v="0"/>
  </r>
  <r>
    <n v="5592"/>
    <x v="2783"/>
    <x v="303"/>
    <d v="2015-10-18T00:00:00"/>
    <s v="Second Class"/>
    <x v="504"/>
    <s v="Marina Lichtenstein"/>
    <x v="1"/>
    <s v="United States"/>
    <s v="Lakewood"/>
    <x v="30"/>
    <n v="8701"/>
    <x v="3"/>
    <x v="812"/>
    <x v="0"/>
    <x v="1"/>
    <x v="809"/>
    <x v="3882"/>
    <x v="2"/>
    <x v="2"/>
  </r>
  <r>
    <n v="5593"/>
    <x v="2783"/>
    <x v="303"/>
    <d v="2015-10-18T00:00:00"/>
    <s v="Second Class"/>
    <x v="504"/>
    <s v="Marina Lichtenstein"/>
    <x v="1"/>
    <s v="United States"/>
    <s v="Lakewood"/>
    <x v="30"/>
    <n v="8701"/>
    <x v="3"/>
    <x v="92"/>
    <x v="1"/>
    <x v="8"/>
    <x v="92"/>
    <x v="3883"/>
    <x v="2"/>
    <x v="2"/>
  </r>
  <r>
    <n v="5594"/>
    <x v="2784"/>
    <x v="123"/>
    <d v="2018-11-25T00:00:00"/>
    <s v="Standard Class"/>
    <x v="371"/>
    <s v="Jennifer Halladay"/>
    <x v="0"/>
    <s v="United States"/>
    <s v="Cleveland"/>
    <x v="24"/>
    <n v="44105"/>
    <x v="3"/>
    <x v="697"/>
    <x v="1"/>
    <x v="8"/>
    <x v="697"/>
    <x v="3884"/>
    <x v="0"/>
    <x v="3"/>
  </r>
  <r>
    <n v="5595"/>
    <x v="2785"/>
    <x v="241"/>
    <d v="2018-09-24T00:00:00"/>
    <s v="Same Day"/>
    <x v="162"/>
    <s v="Bart Pistole"/>
    <x v="1"/>
    <s v="United States"/>
    <s v="Lawrence"/>
    <x v="31"/>
    <n v="1841"/>
    <x v="3"/>
    <x v="469"/>
    <x v="2"/>
    <x v="7"/>
    <x v="470"/>
    <x v="3627"/>
    <x v="8"/>
    <x v="3"/>
  </r>
  <r>
    <n v="5596"/>
    <x v="2785"/>
    <x v="241"/>
    <d v="2018-09-24T00:00:00"/>
    <s v="Same Day"/>
    <x v="162"/>
    <s v="Bart Pistole"/>
    <x v="1"/>
    <s v="United States"/>
    <s v="Lawrence"/>
    <x v="31"/>
    <n v="1841"/>
    <x v="3"/>
    <x v="1285"/>
    <x v="2"/>
    <x v="7"/>
    <x v="1271"/>
    <x v="1876"/>
    <x v="8"/>
    <x v="3"/>
  </r>
  <r>
    <n v="5597"/>
    <x v="2786"/>
    <x v="12"/>
    <d v="2016-09-29T00:00:00"/>
    <s v="Standard Class"/>
    <x v="766"/>
    <s v="Sarah Brown"/>
    <x v="0"/>
    <s v="United States"/>
    <s v="Concord"/>
    <x v="38"/>
    <n v="3301"/>
    <x v="3"/>
    <x v="141"/>
    <x v="1"/>
    <x v="8"/>
    <x v="142"/>
    <x v="3885"/>
    <x v="8"/>
    <x v="1"/>
  </r>
  <r>
    <n v="5598"/>
    <x v="2787"/>
    <x v="778"/>
    <d v="2018-02-20T00:00:00"/>
    <s v="Standard Class"/>
    <x v="647"/>
    <s v="Stewart Visinsky"/>
    <x v="0"/>
    <s v="United States"/>
    <s v="Baltimore"/>
    <x v="39"/>
    <n v="21215"/>
    <x v="3"/>
    <x v="1059"/>
    <x v="1"/>
    <x v="14"/>
    <x v="1048"/>
    <x v="3357"/>
    <x v="11"/>
    <x v="3"/>
  </r>
  <r>
    <n v="5599"/>
    <x v="2787"/>
    <x v="778"/>
    <d v="2018-02-20T00:00:00"/>
    <s v="Standard Class"/>
    <x v="647"/>
    <s v="Stewart Visinsky"/>
    <x v="0"/>
    <s v="United States"/>
    <s v="Baltimore"/>
    <x v="39"/>
    <n v="21215"/>
    <x v="3"/>
    <x v="1742"/>
    <x v="1"/>
    <x v="6"/>
    <x v="1731"/>
    <x v="3822"/>
    <x v="11"/>
    <x v="3"/>
  </r>
  <r>
    <n v="5600"/>
    <x v="2788"/>
    <x v="462"/>
    <d v="2015-10-03T00:00:00"/>
    <s v="Same Day"/>
    <x v="157"/>
    <s v="Denny Ordway"/>
    <x v="0"/>
    <s v="United States"/>
    <s v="Columbus"/>
    <x v="24"/>
    <n v="43229"/>
    <x v="3"/>
    <x v="1753"/>
    <x v="1"/>
    <x v="6"/>
    <x v="1743"/>
    <x v="3886"/>
    <x v="2"/>
    <x v="2"/>
  </r>
  <r>
    <n v="5601"/>
    <x v="2788"/>
    <x v="462"/>
    <d v="2015-10-03T00:00:00"/>
    <s v="Same Day"/>
    <x v="157"/>
    <s v="Denny Ordway"/>
    <x v="0"/>
    <s v="United States"/>
    <s v="Columbus"/>
    <x v="24"/>
    <n v="43229"/>
    <x v="3"/>
    <x v="135"/>
    <x v="1"/>
    <x v="12"/>
    <x v="136"/>
    <x v="3108"/>
    <x v="2"/>
    <x v="2"/>
  </r>
  <r>
    <n v="5602"/>
    <x v="2788"/>
    <x v="462"/>
    <d v="2015-10-03T00:00:00"/>
    <s v="Same Day"/>
    <x v="157"/>
    <s v="Denny Ordway"/>
    <x v="0"/>
    <s v="United States"/>
    <s v="Columbus"/>
    <x v="24"/>
    <n v="43229"/>
    <x v="3"/>
    <x v="1089"/>
    <x v="2"/>
    <x v="11"/>
    <x v="1079"/>
    <x v="3887"/>
    <x v="2"/>
    <x v="2"/>
  </r>
  <r>
    <n v="5603"/>
    <x v="2789"/>
    <x v="278"/>
    <d v="2017-08-29T00:00:00"/>
    <s v="Second Class"/>
    <x v="422"/>
    <s v="Todd Boyes"/>
    <x v="1"/>
    <s v="United States"/>
    <s v="Houston"/>
    <x v="5"/>
    <n v="77041"/>
    <x v="2"/>
    <x v="1754"/>
    <x v="1"/>
    <x v="4"/>
    <x v="1744"/>
    <x v="1802"/>
    <x v="6"/>
    <x v="0"/>
  </r>
  <r>
    <n v="5604"/>
    <x v="2789"/>
    <x v="278"/>
    <d v="2017-08-29T00:00:00"/>
    <s v="Second Class"/>
    <x v="422"/>
    <s v="Todd Boyes"/>
    <x v="1"/>
    <s v="United States"/>
    <s v="Houston"/>
    <x v="5"/>
    <n v="77041"/>
    <x v="2"/>
    <x v="1673"/>
    <x v="1"/>
    <x v="10"/>
    <x v="1661"/>
    <x v="705"/>
    <x v="6"/>
    <x v="0"/>
  </r>
  <r>
    <n v="5605"/>
    <x v="2790"/>
    <x v="155"/>
    <d v="2016-12-07T00:00:00"/>
    <s v="Standard Class"/>
    <x v="510"/>
    <s v="Bill Stewart"/>
    <x v="1"/>
    <s v="United States"/>
    <s v="New York City"/>
    <x v="15"/>
    <n v="10011"/>
    <x v="3"/>
    <x v="1681"/>
    <x v="1"/>
    <x v="8"/>
    <x v="1669"/>
    <x v="3356"/>
    <x v="4"/>
    <x v="1"/>
  </r>
  <r>
    <n v="5606"/>
    <x v="2791"/>
    <x v="873"/>
    <d v="2017-09-25T00:00:00"/>
    <s v="Standard Class"/>
    <x v="524"/>
    <s v="Filia McAdams"/>
    <x v="1"/>
    <s v="United States"/>
    <s v="Greensboro"/>
    <x v="3"/>
    <n v="27405"/>
    <x v="0"/>
    <x v="1445"/>
    <x v="0"/>
    <x v="5"/>
    <x v="1432"/>
    <x v="1217"/>
    <x v="8"/>
    <x v="0"/>
  </r>
  <r>
    <n v="5607"/>
    <x v="2791"/>
    <x v="873"/>
    <d v="2017-09-25T00:00:00"/>
    <s v="Standard Class"/>
    <x v="524"/>
    <s v="Filia McAdams"/>
    <x v="1"/>
    <s v="United States"/>
    <s v="Greensboro"/>
    <x v="3"/>
    <n v="27405"/>
    <x v="0"/>
    <x v="812"/>
    <x v="0"/>
    <x v="1"/>
    <x v="809"/>
    <x v="3888"/>
    <x v="8"/>
    <x v="0"/>
  </r>
  <r>
    <n v="5608"/>
    <x v="2792"/>
    <x v="613"/>
    <d v="2018-03-31T00:00:00"/>
    <s v="Standard Class"/>
    <x v="252"/>
    <s v="John Lee"/>
    <x v="0"/>
    <s v="United States"/>
    <s v="New York City"/>
    <x v="15"/>
    <n v="10024"/>
    <x v="3"/>
    <x v="147"/>
    <x v="1"/>
    <x v="6"/>
    <x v="148"/>
    <x v="3889"/>
    <x v="10"/>
    <x v="3"/>
  </r>
  <r>
    <n v="5609"/>
    <x v="2793"/>
    <x v="401"/>
    <d v="2016-12-11T00:00:00"/>
    <s v="Standard Class"/>
    <x v="578"/>
    <s v="Art Ferguson"/>
    <x v="0"/>
    <s v="United States"/>
    <s v="San Francisco"/>
    <x v="1"/>
    <n v="94109"/>
    <x v="1"/>
    <x v="1034"/>
    <x v="1"/>
    <x v="9"/>
    <x v="1025"/>
    <x v="3890"/>
    <x v="4"/>
    <x v="1"/>
  </r>
  <r>
    <n v="5610"/>
    <x v="2794"/>
    <x v="515"/>
    <d v="2018-09-05T00:00:00"/>
    <s v="Standard Class"/>
    <x v="767"/>
    <s v="Barry Gonzalez"/>
    <x v="0"/>
    <s v="United States"/>
    <s v="Monroe"/>
    <x v="28"/>
    <n v="71203"/>
    <x v="0"/>
    <x v="764"/>
    <x v="2"/>
    <x v="11"/>
    <x v="763"/>
    <x v="2963"/>
    <x v="6"/>
    <x v="3"/>
  </r>
  <r>
    <n v="5611"/>
    <x v="2795"/>
    <x v="348"/>
    <d v="2016-10-07T00:00:00"/>
    <s v="First Class"/>
    <x v="93"/>
    <s v="Maria Bertelson"/>
    <x v="0"/>
    <s v="United States"/>
    <s v="Cincinnati"/>
    <x v="24"/>
    <n v="45231"/>
    <x v="3"/>
    <x v="176"/>
    <x v="2"/>
    <x v="11"/>
    <x v="177"/>
    <x v="3891"/>
    <x v="2"/>
    <x v="1"/>
  </r>
  <r>
    <n v="5612"/>
    <x v="2796"/>
    <x v="238"/>
    <d v="2018-08-22T00:00:00"/>
    <s v="Standard Class"/>
    <x v="304"/>
    <s v="Helen Wasserman"/>
    <x v="1"/>
    <s v="United States"/>
    <s v="Seattle"/>
    <x v="4"/>
    <n v="98105"/>
    <x v="1"/>
    <x v="695"/>
    <x v="2"/>
    <x v="11"/>
    <x v="1062"/>
    <x v="3892"/>
    <x v="6"/>
    <x v="3"/>
  </r>
  <r>
    <n v="5613"/>
    <x v="2796"/>
    <x v="238"/>
    <d v="2018-08-22T00:00:00"/>
    <s v="Standard Class"/>
    <x v="304"/>
    <s v="Helen Wasserman"/>
    <x v="1"/>
    <s v="United States"/>
    <s v="Seattle"/>
    <x v="4"/>
    <n v="98105"/>
    <x v="1"/>
    <x v="577"/>
    <x v="2"/>
    <x v="11"/>
    <x v="577"/>
    <x v="3893"/>
    <x v="6"/>
    <x v="3"/>
  </r>
  <r>
    <n v="5614"/>
    <x v="2797"/>
    <x v="1056"/>
    <d v="2017-02-07T00:00:00"/>
    <s v="Standard Class"/>
    <x v="455"/>
    <s v="Adrian Barton"/>
    <x v="0"/>
    <s v="United States"/>
    <s v="New York City"/>
    <x v="15"/>
    <n v="10011"/>
    <x v="3"/>
    <x v="1755"/>
    <x v="1"/>
    <x v="4"/>
    <x v="1745"/>
    <x v="3894"/>
    <x v="11"/>
    <x v="0"/>
  </r>
  <r>
    <n v="5615"/>
    <x v="2798"/>
    <x v="828"/>
    <d v="2017-08-27T00:00:00"/>
    <s v="Standard Class"/>
    <x v="687"/>
    <s v="Jennifer Patt"/>
    <x v="1"/>
    <s v="United States"/>
    <s v="New York City"/>
    <x v="15"/>
    <n v="10035"/>
    <x v="3"/>
    <x v="319"/>
    <x v="1"/>
    <x v="6"/>
    <x v="319"/>
    <x v="3895"/>
    <x v="6"/>
    <x v="0"/>
  </r>
  <r>
    <n v="5616"/>
    <x v="2798"/>
    <x v="828"/>
    <d v="2017-08-27T00:00:00"/>
    <s v="Standard Class"/>
    <x v="687"/>
    <s v="Jennifer Patt"/>
    <x v="1"/>
    <s v="United States"/>
    <s v="New York City"/>
    <x v="15"/>
    <n v="10035"/>
    <x v="3"/>
    <x v="77"/>
    <x v="1"/>
    <x v="9"/>
    <x v="77"/>
    <x v="3896"/>
    <x v="6"/>
    <x v="0"/>
  </r>
  <r>
    <n v="5617"/>
    <x v="2798"/>
    <x v="828"/>
    <d v="2017-08-27T00:00:00"/>
    <s v="Standard Class"/>
    <x v="687"/>
    <s v="Jennifer Patt"/>
    <x v="1"/>
    <s v="United States"/>
    <s v="New York City"/>
    <x v="15"/>
    <n v="10035"/>
    <x v="3"/>
    <x v="563"/>
    <x v="1"/>
    <x v="6"/>
    <x v="563"/>
    <x v="1599"/>
    <x v="6"/>
    <x v="0"/>
  </r>
  <r>
    <n v="5618"/>
    <x v="2799"/>
    <x v="160"/>
    <d v="2018-07-04T00:00:00"/>
    <s v="Standard Class"/>
    <x v="1"/>
    <s v="Darrin Van Huff"/>
    <x v="1"/>
    <s v="United States"/>
    <s v="Memphis"/>
    <x v="18"/>
    <n v="38109"/>
    <x v="0"/>
    <x v="1122"/>
    <x v="0"/>
    <x v="5"/>
    <x v="1110"/>
    <x v="3816"/>
    <x v="1"/>
    <x v="3"/>
  </r>
  <r>
    <n v="5619"/>
    <x v="2800"/>
    <x v="227"/>
    <d v="2016-09-21T00:00:00"/>
    <s v="First Class"/>
    <x v="496"/>
    <s v="Charlotte Melton"/>
    <x v="0"/>
    <s v="United States"/>
    <s v="San Diego"/>
    <x v="1"/>
    <n v="92105"/>
    <x v="1"/>
    <x v="16"/>
    <x v="1"/>
    <x v="4"/>
    <x v="16"/>
    <x v="2293"/>
    <x v="8"/>
    <x v="1"/>
  </r>
  <r>
    <n v="5620"/>
    <x v="2801"/>
    <x v="477"/>
    <d v="2017-09-30T00:00:00"/>
    <s v="Standard Class"/>
    <x v="281"/>
    <s v="Steve Chapman"/>
    <x v="1"/>
    <s v="United States"/>
    <s v="La Crosse"/>
    <x v="6"/>
    <n v="54601"/>
    <x v="2"/>
    <x v="295"/>
    <x v="2"/>
    <x v="11"/>
    <x v="295"/>
    <x v="3897"/>
    <x v="8"/>
    <x v="0"/>
  </r>
  <r>
    <n v="5621"/>
    <x v="2801"/>
    <x v="477"/>
    <d v="2017-09-30T00:00:00"/>
    <s v="Standard Class"/>
    <x v="281"/>
    <s v="Steve Chapman"/>
    <x v="1"/>
    <s v="United States"/>
    <s v="La Crosse"/>
    <x v="6"/>
    <n v="54601"/>
    <x v="2"/>
    <x v="1279"/>
    <x v="1"/>
    <x v="6"/>
    <x v="1264"/>
    <x v="3898"/>
    <x v="8"/>
    <x v="0"/>
  </r>
  <r>
    <n v="5622"/>
    <x v="2801"/>
    <x v="477"/>
    <d v="2017-09-30T00:00:00"/>
    <s v="Standard Class"/>
    <x v="281"/>
    <s v="Steve Chapman"/>
    <x v="1"/>
    <s v="United States"/>
    <s v="La Crosse"/>
    <x v="6"/>
    <n v="54601"/>
    <x v="2"/>
    <x v="38"/>
    <x v="0"/>
    <x v="1"/>
    <x v="38"/>
    <x v="3899"/>
    <x v="8"/>
    <x v="0"/>
  </r>
  <r>
    <n v="5623"/>
    <x v="2801"/>
    <x v="477"/>
    <d v="2017-09-30T00:00:00"/>
    <s v="Standard Class"/>
    <x v="281"/>
    <s v="Steve Chapman"/>
    <x v="1"/>
    <s v="United States"/>
    <s v="La Crosse"/>
    <x v="6"/>
    <n v="54601"/>
    <x v="2"/>
    <x v="1466"/>
    <x v="0"/>
    <x v="5"/>
    <x v="1452"/>
    <x v="3900"/>
    <x v="8"/>
    <x v="0"/>
  </r>
  <r>
    <n v="5624"/>
    <x v="2802"/>
    <x v="1057"/>
    <d v="2017-10-28T00:00:00"/>
    <s v="Second Class"/>
    <x v="100"/>
    <s v="Victoria Wilson"/>
    <x v="1"/>
    <s v="United States"/>
    <s v="Los Angeles"/>
    <x v="1"/>
    <n v="90032"/>
    <x v="1"/>
    <x v="1072"/>
    <x v="2"/>
    <x v="11"/>
    <x v="1061"/>
    <x v="1483"/>
    <x v="2"/>
    <x v="0"/>
  </r>
  <r>
    <n v="5625"/>
    <x v="2802"/>
    <x v="1057"/>
    <d v="2017-10-28T00:00:00"/>
    <s v="Second Class"/>
    <x v="100"/>
    <s v="Victoria Wilson"/>
    <x v="1"/>
    <s v="United States"/>
    <s v="Los Angeles"/>
    <x v="1"/>
    <n v="90032"/>
    <x v="1"/>
    <x v="1332"/>
    <x v="2"/>
    <x v="11"/>
    <x v="1317"/>
    <x v="2622"/>
    <x v="2"/>
    <x v="0"/>
  </r>
  <r>
    <n v="5626"/>
    <x v="2803"/>
    <x v="411"/>
    <d v="2015-10-01T00:00:00"/>
    <s v="Second Class"/>
    <x v="452"/>
    <s v="Paul Prost"/>
    <x v="2"/>
    <s v="United States"/>
    <s v="Seattle"/>
    <x v="4"/>
    <n v="98115"/>
    <x v="1"/>
    <x v="50"/>
    <x v="0"/>
    <x v="5"/>
    <x v="50"/>
    <x v="51"/>
    <x v="8"/>
    <x v="2"/>
  </r>
  <r>
    <n v="5627"/>
    <x v="2803"/>
    <x v="411"/>
    <d v="2015-10-01T00:00:00"/>
    <s v="Second Class"/>
    <x v="452"/>
    <s v="Paul Prost"/>
    <x v="2"/>
    <s v="United States"/>
    <s v="Seattle"/>
    <x v="4"/>
    <n v="98115"/>
    <x v="1"/>
    <x v="971"/>
    <x v="0"/>
    <x v="3"/>
    <x v="965"/>
    <x v="3901"/>
    <x v="8"/>
    <x v="2"/>
  </r>
  <r>
    <n v="5628"/>
    <x v="2804"/>
    <x v="335"/>
    <d v="2018-07-01T00:00:00"/>
    <s v="Standard Class"/>
    <x v="112"/>
    <s v="Dan Reichenbach"/>
    <x v="1"/>
    <s v="United States"/>
    <s v="Miami"/>
    <x v="2"/>
    <n v="33180"/>
    <x v="0"/>
    <x v="264"/>
    <x v="1"/>
    <x v="2"/>
    <x v="264"/>
    <x v="847"/>
    <x v="1"/>
    <x v="3"/>
  </r>
  <r>
    <n v="5629"/>
    <x v="2804"/>
    <x v="335"/>
    <d v="2018-07-01T00:00:00"/>
    <s v="Standard Class"/>
    <x v="112"/>
    <s v="Dan Reichenbach"/>
    <x v="1"/>
    <s v="United States"/>
    <s v="Miami"/>
    <x v="2"/>
    <n v="33180"/>
    <x v="0"/>
    <x v="1756"/>
    <x v="0"/>
    <x v="1"/>
    <x v="1746"/>
    <x v="3902"/>
    <x v="1"/>
    <x v="3"/>
  </r>
  <r>
    <n v="5630"/>
    <x v="2805"/>
    <x v="1036"/>
    <d v="2017-08-23T00:00:00"/>
    <s v="Second Class"/>
    <x v="46"/>
    <s v="Rick Bensley"/>
    <x v="2"/>
    <s v="United States"/>
    <s v="Philadelphia"/>
    <x v="9"/>
    <n v="19143"/>
    <x v="3"/>
    <x v="1000"/>
    <x v="0"/>
    <x v="3"/>
    <x v="992"/>
    <x v="3903"/>
    <x v="6"/>
    <x v="0"/>
  </r>
  <r>
    <n v="5631"/>
    <x v="2806"/>
    <x v="1058"/>
    <d v="2015-02-15T00:00:00"/>
    <s v="Standard Class"/>
    <x v="173"/>
    <s v="Natalie Fritzler"/>
    <x v="0"/>
    <s v="United States"/>
    <s v="Chesapeake"/>
    <x v="17"/>
    <n v="23320"/>
    <x v="0"/>
    <x v="475"/>
    <x v="2"/>
    <x v="11"/>
    <x v="476"/>
    <x v="3904"/>
    <x v="11"/>
    <x v="2"/>
  </r>
  <r>
    <n v="5632"/>
    <x v="2806"/>
    <x v="1058"/>
    <d v="2015-02-15T00:00:00"/>
    <s v="Standard Class"/>
    <x v="173"/>
    <s v="Natalie Fritzler"/>
    <x v="0"/>
    <s v="United States"/>
    <s v="Chesapeake"/>
    <x v="17"/>
    <n v="23320"/>
    <x v="0"/>
    <x v="1021"/>
    <x v="0"/>
    <x v="3"/>
    <x v="1012"/>
    <x v="3905"/>
    <x v="11"/>
    <x v="2"/>
  </r>
  <r>
    <n v="5633"/>
    <x v="2806"/>
    <x v="1058"/>
    <d v="2015-02-15T00:00:00"/>
    <s v="Standard Class"/>
    <x v="173"/>
    <s v="Natalie Fritzler"/>
    <x v="0"/>
    <s v="United States"/>
    <s v="Chesapeake"/>
    <x v="17"/>
    <n v="23320"/>
    <x v="0"/>
    <x v="44"/>
    <x v="1"/>
    <x v="8"/>
    <x v="44"/>
    <x v="45"/>
    <x v="11"/>
    <x v="2"/>
  </r>
  <r>
    <n v="5634"/>
    <x v="2807"/>
    <x v="713"/>
    <d v="2017-09-28T00:00:00"/>
    <s v="Second Class"/>
    <x v="615"/>
    <s v="Clay Rozendal"/>
    <x v="2"/>
    <s v="United States"/>
    <s v="New York City"/>
    <x v="15"/>
    <n v="10009"/>
    <x v="3"/>
    <x v="620"/>
    <x v="1"/>
    <x v="8"/>
    <x v="620"/>
    <x v="3235"/>
    <x v="8"/>
    <x v="0"/>
  </r>
  <r>
    <n v="5635"/>
    <x v="2808"/>
    <x v="901"/>
    <d v="2016-12-06T00:00:00"/>
    <s v="First Class"/>
    <x v="711"/>
    <s v="Stephanie Ulpright"/>
    <x v="2"/>
    <s v="United States"/>
    <s v="Ann Arbor"/>
    <x v="12"/>
    <n v="48104"/>
    <x v="2"/>
    <x v="997"/>
    <x v="1"/>
    <x v="8"/>
    <x v="989"/>
    <x v="3906"/>
    <x v="4"/>
    <x v="1"/>
  </r>
  <r>
    <n v="5636"/>
    <x v="2809"/>
    <x v="213"/>
    <d v="2018-09-08T00:00:00"/>
    <s v="Standard Class"/>
    <x v="337"/>
    <s v="Sample Company A"/>
    <x v="2"/>
    <s v="United States"/>
    <s v="La Mesa"/>
    <x v="1"/>
    <n v="91941"/>
    <x v="1"/>
    <x v="340"/>
    <x v="1"/>
    <x v="8"/>
    <x v="340"/>
    <x v="3907"/>
    <x v="8"/>
    <x v="3"/>
  </r>
  <r>
    <n v="5637"/>
    <x v="2809"/>
    <x v="213"/>
    <d v="2018-09-08T00:00:00"/>
    <s v="Standard Class"/>
    <x v="337"/>
    <s v="Sample Company A"/>
    <x v="2"/>
    <s v="United States"/>
    <s v="La Mesa"/>
    <x v="1"/>
    <n v="91941"/>
    <x v="1"/>
    <x v="1523"/>
    <x v="2"/>
    <x v="11"/>
    <x v="1510"/>
    <x v="3908"/>
    <x v="8"/>
    <x v="3"/>
  </r>
  <r>
    <n v="5638"/>
    <x v="2810"/>
    <x v="606"/>
    <d v="2018-04-02T00:00:00"/>
    <s v="Standard Class"/>
    <x v="614"/>
    <s v="Michelle Lonsdale"/>
    <x v="1"/>
    <s v="United States"/>
    <s v="Dearborn"/>
    <x v="12"/>
    <n v="48126"/>
    <x v="2"/>
    <x v="1757"/>
    <x v="0"/>
    <x v="5"/>
    <x v="1747"/>
    <x v="3909"/>
    <x v="10"/>
    <x v="3"/>
  </r>
  <r>
    <n v="5639"/>
    <x v="2811"/>
    <x v="1059"/>
    <d v="2015-12-27T00:00:00"/>
    <s v="Standard Class"/>
    <x v="306"/>
    <s v="Gary McGarr"/>
    <x v="0"/>
    <s v="United States"/>
    <s v="San Diego"/>
    <x v="1"/>
    <n v="92024"/>
    <x v="1"/>
    <x v="157"/>
    <x v="0"/>
    <x v="1"/>
    <x v="158"/>
    <x v="3579"/>
    <x v="4"/>
    <x v="2"/>
  </r>
  <r>
    <n v="5640"/>
    <x v="2811"/>
    <x v="1059"/>
    <d v="2015-12-27T00:00:00"/>
    <s v="Standard Class"/>
    <x v="306"/>
    <s v="Gary McGarr"/>
    <x v="0"/>
    <s v="United States"/>
    <s v="San Diego"/>
    <x v="1"/>
    <n v="92024"/>
    <x v="1"/>
    <x v="467"/>
    <x v="0"/>
    <x v="1"/>
    <x v="468"/>
    <x v="3064"/>
    <x v="4"/>
    <x v="2"/>
  </r>
  <r>
    <n v="5641"/>
    <x v="2812"/>
    <x v="865"/>
    <d v="2015-09-28T00:00:00"/>
    <s v="Standard Class"/>
    <x v="82"/>
    <s v="Jim Kriz"/>
    <x v="2"/>
    <s v="United States"/>
    <s v="Lakewood"/>
    <x v="24"/>
    <n v="44107"/>
    <x v="3"/>
    <x v="1732"/>
    <x v="1"/>
    <x v="10"/>
    <x v="1720"/>
    <x v="3910"/>
    <x v="8"/>
    <x v="2"/>
  </r>
  <r>
    <n v="5642"/>
    <x v="2813"/>
    <x v="459"/>
    <d v="2018-04-05T00:00:00"/>
    <s v="First Class"/>
    <x v="401"/>
    <s v="Alyssa Tate"/>
    <x v="2"/>
    <s v="United States"/>
    <s v="Meriden"/>
    <x v="29"/>
    <n v="6450"/>
    <x v="3"/>
    <x v="21"/>
    <x v="1"/>
    <x v="6"/>
    <x v="21"/>
    <x v="1731"/>
    <x v="3"/>
    <x v="3"/>
  </r>
  <r>
    <n v="5643"/>
    <x v="2814"/>
    <x v="178"/>
    <d v="2017-04-05T00:00:00"/>
    <s v="Second Class"/>
    <x v="626"/>
    <s v="Daniel Byrd"/>
    <x v="2"/>
    <s v="United States"/>
    <s v="Columbus"/>
    <x v="32"/>
    <n v="31907"/>
    <x v="0"/>
    <x v="247"/>
    <x v="0"/>
    <x v="5"/>
    <x v="248"/>
    <x v="983"/>
    <x v="3"/>
    <x v="0"/>
  </r>
  <r>
    <n v="5644"/>
    <x v="2815"/>
    <x v="1060"/>
    <d v="2016-05-20T00:00:00"/>
    <s v="Second Class"/>
    <x v="706"/>
    <s v="Anna Häberlin"/>
    <x v="1"/>
    <s v="United States"/>
    <s v="Roswell"/>
    <x v="32"/>
    <n v="30076"/>
    <x v="0"/>
    <x v="1303"/>
    <x v="1"/>
    <x v="12"/>
    <x v="1288"/>
    <x v="1444"/>
    <x v="5"/>
    <x v="1"/>
  </r>
  <r>
    <n v="5645"/>
    <x v="2816"/>
    <x v="721"/>
    <d v="2018-03-26T00:00:00"/>
    <s v="First Class"/>
    <x v="319"/>
    <s v="Sanjit Jacobs"/>
    <x v="2"/>
    <s v="United States"/>
    <s v="Seattle"/>
    <x v="4"/>
    <n v="98105"/>
    <x v="1"/>
    <x v="530"/>
    <x v="1"/>
    <x v="8"/>
    <x v="530"/>
    <x v="1577"/>
    <x v="10"/>
    <x v="3"/>
  </r>
  <r>
    <n v="5646"/>
    <x v="2817"/>
    <x v="349"/>
    <d v="2018-04-19T00:00:00"/>
    <s v="Standard Class"/>
    <x v="447"/>
    <s v="Harry Marie"/>
    <x v="1"/>
    <s v="United States"/>
    <s v="Morristown"/>
    <x v="30"/>
    <n v="7960"/>
    <x v="3"/>
    <x v="943"/>
    <x v="0"/>
    <x v="5"/>
    <x v="936"/>
    <x v="3911"/>
    <x v="3"/>
    <x v="3"/>
  </r>
  <r>
    <n v="5647"/>
    <x v="2818"/>
    <x v="1038"/>
    <d v="2016-01-09T00:00:00"/>
    <s v="Standard Class"/>
    <x v="122"/>
    <s v="Andrew Gjertsen"/>
    <x v="1"/>
    <s v="United States"/>
    <s v="Alexandria"/>
    <x v="17"/>
    <n v="22304"/>
    <x v="0"/>
    <x v="1001"/>
    <x v="0"/>
    <x v="5"/>
    <x v="993"/>
    <x v="3912"/>
    <x v="9"/>
    <x v="1"/>
  </r>
  <r>
    <n v="5648"/>
    <x v="2819"/>
    <x v="808"/>
    <d v="2018-11-07T00:00:00"/>
    <s v="Standard Class"/>
    <x v="677"/>
    <s v="Joy Bell-"/>
    <x v="0"/>
    <s v="United States"/>
    <s v="Salt Lake City"/>
    <x v="7"/>
    <n v="84106"/>
    <x v="1"/>
    <x v="585"/>
    <x v="1"/>
    <x v="10"/>
    <x v="585"/>
    <x v="537"/>
    <x v="0"/>
    <x v="3"/>
  </r>
  <r>
    <n v="5649"/>
    <x v="2820"/>
    <x v="729"/>
    <d v="2018-07-19T00:00:00"/>
    <s v="Second Class"/>
    <x v="295"/>
    <s v="Anthony Johnson"/>
    <x v="1"/>
    <s v="United States"/>
    <s v="Apple Valley"/>
    <x v="1"/>
    <n v="92307"/>
    <x v="1"/>
    <x v="1516"/>
    <x v="1"/>
    <x v="10"/>
    <x v="1503"/>
    <x v="56"/>
    <x v="7"/>
    <x v="3"/>
  </r>
  <r>
    <n v="5650"/>
    <x v="2820"/>
    <x v="729"/>
    <d v="2018-07-19T00:00:00"/>
    <s v="Second Class"/>
    <x v="295"/>
    <s v="Anthony Johnson"/>
    <x v="1"/>
    <s v="United States"/>
    <s v="Apple Valley"/>
    <x v="1"/>
    <n v="92307"/>
    <x v="1"/>
    <x v="1758"/>
    <x v="1"/>
    <x v="12"/>
    <x v="1711"/>
    <x v="3913"/>
    <x v="7"/>
    <x v="3"/>
  </r>
  <r>
    <n v="5651"/>
    <x v="2820"/>
    <x v="729"/>
    <d v="2018-07-19T00:00:00"/>
    <s v="Second Class"/>
    <x v="295"/>
    <s v="Anthony Johnson"/>
    <x v="1"/>
    <s v="United States"/>
    <s v="Apple Valley"/>
    <x v="1"/>
    <n v="92307"/>
    <x v="1"/>
    <x v="1505"/>
    <x v="1"/>
    <x v="4"/>
    <x v="1492"/>
    <x v="232"/>
    <x v="7"/>
    <x v="3"/>
  </r>
  <r>
    <n v="5652"/>
    <x v="2820"/>
    <x v="729"/>
    <d v="2018-07-19T00:00:00"/>
    <s v="Second Class"/>
    <x v="295"/>
    <s v="Anthony Johnson"/>
    <x v="1"/>
    <s v="United States"/>
    <s v="Apple Valley"/>
    <x v="1"/>
    <n v="92307"/>
    <x v="1"/>
    <x v="178"/>
    <x v="0"/>
    <x v="0"/>
    <x v="179"/>
    <x v="3914"/>
    <x v="7"/>
    <x v="3"/>
  </r>
  <r>
    <n v="5653"/>
    <x v="2821"/>
    <x v="833"/>
    <d v="2018-10-11T00:00:00"/>
    <s v="Standard Class"/>
    <x v="152"/>
    <s v="Muhammed MacIntyre"/>
    <x v="1"/>
    <s v="United States"/>
    <s v="New York City"/>
    <x v="15"/>
    <n v="10009"/>
    <x v="3"/>
    <x v="1522"/>
    <x v="1"/>
    <x v="10"/>
    <x v="1509"/>
    <x v="1010"/>
    <x v="2"/>
    <x v="3"/>
  </r>
  <r>
    <n v="5654"/>
    <x v="2822"/>
    <x v="130"/>
    <d v="2015-11-11T00:00:00"/>
    <s v="Standard Class"/>
    <x v="260"/>
    <s v="Tiffany House"/>
    <x v="1"/>
    <s v="United States"/>
    <s v="Long Beach"/>
    <x v="1"/>
    <n v="90805"/>
    <x v="1"/>
    <x v="134"/>
    <x v="1"/>
    <x v="6"/>
    <x v="135"/>
    <x v="3915"/>
    <x v="0"/>
    <x v="2"/>
  </r>
  <r>
    <n v="5655"/>
    <x v="2823"/>
    <x v="122"/>
    <d v="2017-12-21T00:00:00"/>
    <s v="First Class"/>
    <x v="571"/>
    <s v="Adrian Hane"/>
    <x v="2"/>
    <s v="United States"/>
    <s v="Salem"/>
    <x v="21"/>
    <n v="97301"/>
    <x v="1"/>
    <x v="443"/>
    <x v="1"/>
    <x v="8"/>
    <x v="443"/>
    <x v="3916"/>
    <x v="4"/>
    <x v="0"/>
  </r>
  <r>
    <n v="5656"/>
    <x v="2823"/>
    <x v="122"/>
    <d v="2017-12-21T00:00:00"/>
    <s v="First Class"/>
    <x v="571"/>
    <s v="Adrian Hane"/>
    <x v="2"/>
    <s v="United States"/>
    <s v="Salem"/>
    <x v="21"/>
    <n v="97301"/>
    <x v="1"/>
    <x v="512"/>
    <x v="1"/>
    <x v="6"/>
    <x v="512"/>
    <x v="3917"/>
    <x v="4"/>
    <x v="0"/>
  </r>
  <r>
    <n v="5657"/>
    <x v="2823"/>
    <x v="122"/>
    <d v="2017-12-21T00:00:00"/>
    <s v="First Class"/>
    <x v="571"/>
    <s v="Adrian Hane"/>
    <x v="2"/>
    <s v="United States"/>
    <s v="Salem"/>
    <x v="21"/>
    <n v="97301"/>
    <x v="1"/>
    <x v="1749"/>
    <x v="1"/>
    <x v="10"/>
    <x v="1739"/>
    <x v="25"/>
    <x v="4"/>
    <x v="0"/>
  </r>
  <r>
    <n v="5658"/>
    <x v="2823"/>
    <x v="122"/>
    <d v="2017-12-21T00:00:00"/>
    <s v="First Class"/>
    <x v="571"/>
    <s v="Adrian Hane"/>
    <x v="2"/>
    <s v="United States"/>
    <s v="Salem"/>
    <x v="21"/>
    <n v="97301"/>
    <x v="1"/>
    <x v="437"/>
    <x v="2"/>
    <x v="11"/>
    <x v="437"/>
    <x v="3918"/>
    <x v="4"/>
    <x v="0"/>
  </r>
  <r>
    <n v="5659"/>
    <x v="2823"/>
    <x v="122"/>
    <d v="2017-12-21T00:00:00"/>
    <s v="First Class"/>
    <x v="571"/>
    <s v="Adrian Hane"/>
    <x v="2"/>
    <s v="United States"/>
    <s v="Salem"/>
    <x v="21"/>
    <n v="97301"/>
    <x v="1"/>
    <x v="1000"/>
    <x v="0"/>
    <x v="3"/>
    <x v="992"/>
    <x v="3919"/>
    <x v="4"/>
    <x v="0"/>
  </r>
  <r>
    <n v="5660"/>
    <x v="2823"/>
    <x v="122"/>
    <d v="2017-12-21T00:00:00"/>
    <s v="First Class"/>
    <x v="571"/>
    <s v="Adrian Hane"/>
    <x v="2"/>
    <s v="United States"/>
    <s v="Salem"/>
    <x v="21"/>
    <n v="97301"/>
    <x v="1"/>
    <x v="1508"/>
    <x v="1"/>
    <x v="2"/>
    <x v="1495"/>
    <x v="795"/>
    <x v="4"/>
    <x v="0"/>
  </r>
  <r>
    <n v="5661"/>
    <x v="2823"/>
    <x v="122"/>
    <d v="2017-12-21T00:00:00"/>
    <s v="First Class"/>
    <x v="571"/>
    <s v="Adrian Hane"/>
    <x v="2"/>
    <s v="United States"/>
    <s v="Salem"/>
    <x v="21"/>
    <n v="97301"/>
    <x v="1"/>
    <x v="1378"/>
    <x v="2"/>
    <x v="7"/>
    <x v="1363"/>
    <x v="3920"/>
    <x v="4"/>
    <x v="0"/>
  </r>
  <r>
    <n v="5662"/>
    <x v="2824"/>
    <x v="446"/>
    <d v="2017-10-01T00:00:00"/>
    <s v="Standard Class"/>
    <x v="642"/>
    <s v="Craig Leslie"/>
    <x v="2"/>
    <s v="United States"/>
    <s v="Aurora"/>
    <x v="22"/>
    <n v="80013"/>
    <x v="1"/>
    <x v="278"/>
    <x v="0"/>
    <x v="5"/>
    <x v="278"/>
    <x v="3921"/>
    <x v="8"/>
    <x v="0"/>
  </r>
  <r>
    <n v="5663"/>
    <x v="2824"/>
    <x v="446"/>
    <d v="2017-10-01T00:00:00"/>
    <s v="Standard Class"/>
    <x v="642"/>
    <s v="Craig Leslie"/>
    <x v="2"/>
    <s v="United States"/>
    <s v="Aurora"/>
    <x v="22"/>
    <n v="80013"/>
    <x v="1"/>
    <x v="1043"/>
    <x v="1"/>
    <x v="4"/>
    <x v="1032"/>
    <x v="3922"/>
    <x v="8"/>
    <x v="0"/>
  </r>
  <r>
    <n v="5664"/>
    <x v="2825"/>
    <x v="658"/>
    <d v="2017-07-21T00:00:00"/>
    <s v="Same Day"/>
    <x v="684"/>
    <s v="Jason Gross"/>
    <x v="1"/>
    <s v="United States"/>
    <s v="Newark"/>
    <x v="24"/>
    <n v="43055"/>
    <x v="3"/>
    <x v="1759"/>
    <x v="1"/>
    <x v="6"/>
    <x v="1748"/>
    <x v="3923"/>
    <x v="7"/>
    <x v="0"/>
  </r>
  <r>
    <n v="5665"/>
    <x v="2825"/>
    <x v="658"/>
    <d v="2017-07-21T00:00:00"/>
    <s v="Same Day"/>
    <x v="684"/>
    <s v="Jason Gross"/>
    <x v="1"/>
    <s v="United States"/>
    <s v="Newark"/>
    <x v="24"/>
    <n v="43055"/>
    <x v="3"/>
    <x v="1085"/>
    <x v="1"/>
    <x v="8"/>
    <x v="1075"/>
    <x v="2186"/>
    <x v="7"/>
    <x v="0"/>
  </r>
  <r>
    <n v="5666"/>
    <x v="2825"/>
    <x v="658"/>
    <d v="2017-07-21T00:00:00"/>
    <s v="Same Day"/>
    <x v="684"/>
    <s v="Jason Gross"/>
    <x v="1"/>
    <s v="United States"/>
    <s v="Newark"/>
    <x v="24"/>
    <n v="43055"/>
    <x v="3"/>
    <x v="225"/>
    <x v="1"/>
    <x v="4"/>
    <x v="226"/>
    <x v="3924"/>
    <x v="7"/>
    <x v="0"/>
  </r>
  <r>
    <n v="5667"/>
    <x v="2825"/>
    <x v="658"/>
    <d v="2017-07-21T00:00:00"/>
    <s v="Same Day"/>
    <x v="684"/>
    <s v="Jason Gross"/>
    <x v="1"/>
    <s v="United States"/>
    <s v="Newark"/>
    <x v="24"/>
    <n v="43055"/>
    <x v="3"/>
    <x v="821"/>
    <x v="1"/>
    <x v="4"/>
    <x v="817"/>
    <x v="3925"/>
    <x v="7"/>
    <x v="0"/>
  </r>
  <r>
    <n v="5668"/>
    <x v="2826"/>
    <x v="725"/>
    <d v="2017-06-15T00:00:00"/>
    <s v="Standard Class"/>
    <x v="339"/>
    <s v="Sanjit Engle"/>
    <x v="0"/>
    <s v="United States"/>
    <s v="Seattle"/>
    <x v="4"/>
    <n v="98103"/>
    <x v="1"/>
    <x v="676"/>
    <x v="1"/>
    <x v="2"/>
    <x v="676"/>
    <x v="2"/>
    <x v="1"/>
    <x v="0"/>
  </r>
  <r>
    <n v="5669"/>
    <x v="2826"/>
    <x v="725"/>
    <d v="2017-06-15T00:00:00"/>
    <s v="Standard Class"/>
    <x v="339"/>
    <s v="Sanjit Engle"/>
    <x v="0"/>
    <s v="United States"/>
    <s v="Seattle"/>
    <x v="4"/>
    <n v="98103"/>
    <x v="1"/>
    <x v="544"/>
    <x v="1"/>
    <x v="8"/>
    <x v="544"/>
    <x v="3926"/>
    <x v="1"/>
    <x v="0"/>
  </r>
  <r>
    <n v="5670"/>
    <x v="2826"/>
    <x v="725"/>
    <d v="2017-06-15T00:00:00"/>
    <s v="Standard Class"/>
    <x v="339"/>
    <s v="Sanjit Engle"/>
    <x v="0"/>
    <s v="United States"/>
    <s v="Seattle"/>
    <x v="4"/>
    <n v="98103"/>
    <x v="1"/>
    <x v="1301"/>
    <x v="2"/>
    <x v="11"/>
    <x v="1286"/>
    <x v="1917"/>
    <x v="1"/>
    <x v="0"/>
  </r>
  <r>
    <n v="5671"/>
    <x v="2827"/>
    <x v="988"/>
    <d v="2016-06-11T00:00:00"/>
    <s v="Second Class"/>
    <x v="228"/>
    <s v="Trudy Glocke"/>
    <x v="0"/>
    <s v="United States"/>
    <s v="Pocatello"/>
    <x v="45"/>
    <n v="83201"/>
    <x v="1"/>
    <x v="1740"/>
    <x v="0"/>
    <x v="5"/>
    <x v="1729"/>
    <x v="3927"/>
    <x v="1"/>
    <x v="1"/>
  </r>
  <r>
    <n v="5672"/>
    <x v="2827"/>
    <x v="988"/>
    <d v="2016-06-11T00:00:00"/>
    <s v="Second Class"/>
    <x v="228"/>
    <s v="Trudy Glocke"/>
    <x v="0"/>
    <s v="United States"/>
    <s v="Pocatello"/>
    <x v="45"/>
    <n v="83201"/>
    <x v="1"/>
    <x v="1717"/>
    <x v="2"/>
    <x v="7"/>
    <x v="1704"/>
    <x v="3928"/>
    <x v="1"/>
    <x v="1"/>
  </r>
  <r>
    <n v="5673"/>
    <x v="2828"/>
    <x v="855"/>
    <d v="2018-11-03T00:00:00"/>
    <s v="Standard Class"/>
    <x v="64"/>
    <s v="Sally Hughsby"/>
    <x v="1"/>
    <s v="United States"/>
    <s v="Dallas"/>
    <x v="5"/>
    <n v="75081"/>
    <x v="2"/>
    <x v="1652"/>
    <x v="1"/>
    <x v="12"/>
    <x v="1641"/>
    <x v="3329"/>
    <x v="2"/>
    <x v="3"/>
  </r>
  <r>
    <n v="5674"/>
    <x v="2828"/>
    <x v="855"/>
    <d v="2018-11-03T00:00:00"/>
    <s v="Standard Class"/>
    <x v="64"/>
    <s v="Sally Hughsby"/>
    <x v="1"/>
    <s v="United States"/>
    <s v="Dallas"/>
    <x v="5"/>
    <n v="75081"/>
    <x v="2"/>
    <x v="523"/>
    <x v="1"/>
    <x v="10"/>
    <x v="523"/>
    <x v="578"/>
    <x v="2"/>
    <x v="3"/>
  </r>
  <r>
    <n v="5675"/>
    <x v="2829"/>
    <x v="115"/>
    <d v="2017-01-27T00:00:00"/>
    <s v="Standard Class"/>
    <x v="507"/>
    <s v="Marc Crier"/>
    <x v="0"/>
    <s v="United States"/>
    <s v="Seattle"/>
    <x v="4"/>
    <n v="98105"/>
    <x v="1"/>
    <x v="644"/>
    <x v="1"/>
    <x v="10"/>
    <x v="644"/>
    <x v="91"/>
    <x v="9"/>
    <x v="0"/>
  </r>
  <r>
    <n v="5676"/>
    <x v="2830"/>
    <x v="1061"/>
    <d v="2015-06-02T00:00:00"/>
    <s v="Standard Class"/>
    <x v="601"/>
    <s v="Patrick Jones"/>
    <x v="1"/>
    <s v="United States"/>
    <s v="Seattle"/>
    <x v="4"/>
    <n v="98115"/>
    <x v="1"/>
    <x v="179"/>
    <x v="2"/>
    <x v="7"/>
    <x v="180"/>
    <x v="3929"/>
    <x v="5"/>
    <x v="2"/>
  </r>
  <r>
    <n v="5677"/>
    <x v="2830"/>
    <x v="1061"/>
    <d v="2015-06-02T00:00:00"/>
    <s v="Standard Class"/>
    <x v="601"/>
    <s v="Patrick Jones"/>
    <x v="1"/>
    <s v="United States"/>
    <s v="Seattle"/>
    <x v="4"/>
    <n v="98115"/>
    <x v="1"/>
    <x v="1691"/>
    <x v="2"/>
    <x v="11"/>
    <x v="1679"/>
    <x v="3930"/>
    <x v="5"/>
    <x v="2"/>
  </r>
  <r>
    <n v="5678"/>
    <x v="2831"/>
    <x v="282"/>
    <d v="2016-01-05T00:00:00"/>
    <s v="Standard Class"/>
    <x v="233"/>
    <s v="Zuschuss Carroll"/>
    <x v="0"/>
    <s v="United States"/>
    <s v="Chicago"/>
    <x v="10"/>
    <n v="60610"/>
    <x v="2"/>
    <x v="1525"/>
    <x v="0"/>
    <x v="5"/>
    <x v="1512"/>
    <x v="2316"/>
    <x v="4"/>
    <x v="2"/>
  </r>
  <r>
    <n v="5679"/>
    <x v="2832"/>
    <x v="1062"/>
    <d v="2017-08-03T00:00:00"/>
    <s v="Standard Class"/>
    <x v="649"/>
    <s v="Steve Carroll"/>
    <x v="2"/>
    <s v="United States"/>
    <s v="Holland"/>
    <x v="12"/>
    <n v="49423"/>
    <x v="2"/>
    <x v="848"/>
    <x v="1"/>
    <x v="13"/>
    <x v="128"/>
    <x v="3931"/>
    <x v="7"/>
    <x v="0"/>
  </r>
  <r>
    <n v="5680"/>
    <x v="2832"/>
    <x v="1062"/>
    <d v="2017-08-03T00:00:00"/>
    <s v="Standard Class"/>
    <x v="649"/>
    <s v="Steve Carroll"/>
    <x v="2"/>
    <s v="United States"/>
    <s v="Holland"/>
    <x v="12"/>
    <n v="49423"/>
    <x v="2"/>
    <x v="519"/>
    <x v="1"/>
    <x v="10"/>
    <x v="519"/>
    <x v="1427"/>
    <x v="7"/>
    <x v="0"/>
  </r>
  <r>
    <n v="5681"/>
    <x v="2833"/>
    <x v="446"/>
    <d v="2017-09-30T00:00:00"/>
    <s v="Standard Class"/>
    <x v="546"/>
    <s v="Benjamin Patterson"/>
    <x v="0"/>
    <s v="United States"/>
    <s v="Broken Arrow"/>
    <x v="26"/>
    <n v="74012"/>
    <x v="2"/>
    <x v="1206"/>
    <x v="1"/>
    <x v="8"/>
    <x v="1191"/>
    <x v="3932"/>
    <x v="8"/>
    <x v="0"/>
  </r>
  <r>
    <n v="5682"/>
    <x v="2833"/>
    <x v="446"/>
    <d v="2017-09-30T00:00:00"/>
    <s v="Standard Class"/>
    <x v="546"/>
    <s v="Benjamin Patterson"/>
    <x v="0"/>
    <s v="United States"/>
    <s v="Broken Arrow"/>
    <x v="26"/>
    <n v="74012"/>
    <x v="2"/>
    <x v="55"/>
    <x v="1"/>
    <x v="10"/>
    <x v="55"/>
    <x v="90"/>
    <x v="8"/>
    <x v="0"/>
  </r>
  <r>
    <n v="5683"/>
    <x v="2834"/>
    <x v="1063"/>
    <d v="2015-04-08T00:00:00"/>
    <s v="Standard Class"/>
    <x v="361"/>
    <s v="Rob Dowd"/>
    <x v="0"/>
    <s v="United States"/>
    <s v="Athens"/>
    <x v="32"/>
    <n v="30605"/>
    <x v="0"/>
    <x v="1634"/>
    <x v="1"/>
    <x v="10"/>
    <x v="1624"/>
    <x v="3329"/>
    <x v="3"/>
    <x v="2"/>
  </r>
  <r>
    <n v="5684"/>
    <x v="2834"/>
    <x v="1063"/>
    <d v="2015-04-08T00:00:00"/>
    <s v="Standard Class"/>
    <x v="361"/>
    <s v="Rob Dowd"/>
    <x v="0"/>
    <s v="United States"/>
    <s v="Athens"/>
    <x v="32"/>
    <n v="30605"/>
    <x v="0"/>
    <x v="1521"/>
    <x v="2"/>
    <x v="7"/>
    <x v="1508"/>
    <x v="3933"/>
    <x v="3"/>
    <x v="2"/>
  </r>
  <r>
    <n v="5685"/>
    <x v="2834"/>
    <x v="1063"/>
    <d v="2015-04-08T00:00:00"/>
    <s v="Standard Class"/>
    <x v="361"/>
    <s v="Rob Dowd"/>
    <x v="0"/>
    <s v="United States"/>
    <s v="Athens"/>
    <x v="32"/>
    <n v="30605"/>
    <x v="0"/>
    <x v="1271"/>
    <x v="1"/>
    <x v="9"/>
    <x v="1256"/>
    <x v="894"/>
    <x v="3"/>
    <x v="2"/>
  </r>
  <r>
    <n v="5686"/>
    <x v="2835"/>
    <x v="599"/>
    <d v="2016-11-05T00:00:00"/>
    <s v="Same Day"/>
    <x v="107"/>
    <s v="Ken Lonsdale"/>
    <x v="0"/>
    <s v="United States"/>
    <s v="Seattle"/>
    <x v="4"/>
    <n v="98105"/>
    <x v="1"/>
    <x v="102"/>
    <x v="1"/>
    <x v="8"/>
    <x v="102"/>
    <x v="2031"/>
    <x v="0"/>
    <x v="1"/>
  </r>
  <r>
    <n v="5687"/>
    <x v="2836"/>
    <x v="1064"/>
    <d v="2015-07-28T00:00:00"/>
    <s v="Same Day"/>
    <x v="237"/>
    <s v="Chloris Kastensmidt"/>
    <x v="0"/>
    <s v="United States"/>
    <s v="Apopka"/>
    <x v="2"/>
    <n v="32712"/>
    <x v="0"/>
    <x v="110"/>
    <x v="1"/>
    <x v="13"/>
    <x v="110"/>
    <x v="3934"/>
    <x v="7"/>
    <x v="2"/>
  </r>
  <r>
    <n v="5688"/>
    <x v="2836"/>
    <x v="1064"/>
    <d v="2015-07-28T00:00:00"/>
    <s v="Same Day"/>
    <x v="237"/>
    <s v="Chloris Kastensmidt"/>
    <x v="0"/>
    <s v="United States"/>
    <s v="Apopka"/>
    <x v="2"/>
    <n v="32712"/>
    <x v="0"/>
    <x v="1251"/>
    <x v="0"/>
    <x v="5"/>
    <x v="1235"/>
    <x v="3935"/>
    <x v="7"/>
    <x v="2"/>
  </r>
  <r>
    <n v="5689"/>
    <x v="2836"/>
    <x v="1064"/>
    <d v="2015-07-28T00:00:00"/>
    <s v="Same Day"/>
    <x v="237"/>
    <s v="Chloris Kastensmidt"/>
    <x v="0"/>
    <s v="United States"/>
    <s v="Apopka"/>
    <x v="2"/>
    <n v="32712"/>
    <x v="0"/>
    <x v="1214"/>
    <x v="1"/>
    <x v="12"/>
    <x v="753"/>
    <x v="3936"/>
    <x v="7"/>
    <x v="2"/>
  </r>
  <r>
    <n v="5690"/>
    <x v="2837"/>
    <x v="207"/>
    <d v="2016-12-31T00:00:00"/>
    <s v="Standard Class"/>
    <x v="42"/>
    <s v="Roger Barcio"/>
    <x v="2"/>
    <s v="United States"/>
    <s v="Houston"/>
    <x v="5"/>
    <n v="77070"/>
    <x v="2"/>
    <x v="1745"/>
    <x v="0"/>
    <x v="1"/>
    <x v="1734"/>
    <x v="3937"/>
    <x v="4"/>
    <x v="1"/>
  </r>
  <r>
    <n v="5691"/>
    <x v="2838"/>
    <x v="895"/>
    <d v="2016-12-16T00:00:00"/>
    <s v="Standard Class"/>
    <x v="366"/>
    <s v="Kalyca Meade"/>
    <x v="1"/>
    <s v="United States"/>
    <s v="Baltimore"/>
    <x v="39"/>
    <n v="21215"/>
    <x v="3"/>
    <x v="1279"/>
    <x v="1"/>
    <x v="6"/>
    <x v="1264"/>
    <x v="3251"/>
    <x v="4"/>
    <x v="1"/>
  </r>
  <r>
    <n v="5692"/>
    <x v="2838"/>
    <x v="895"/>
    <d v="2016-12-16T00:00:00"/>
    <s v="Standard Class"/>
    <x v="366"/>
    <s v="Kalyca Meade"/>
    <x v="1"/>
    <s v="United States"/>
    <s v="Baltimore"/>
    <x v="39"/>
    <n v="21215"/>
    <x v="3"/>
    <x v="422"/>
    <x v="1"/>
    <x v="10"/>
    <x v="422"/>
    <x v="908"/>
    <x v="4"/>
    <x v="1"/>
  </r>
  <r>
    <n v="5693"/>
    <x v="2838"/>
    <x v="895"/>
    <d v="2016-12-16T00:00:00"/>
    <s v="Standard Class"/>
    <x v="366"/>
    <s v="Kalyca Meade"/>
    <x v="1"/>
    <s v="United States"/>
    <s v="Baltimore"/>
    <x v="39"/>
    <n v="21215"/>
    <x v="3"/>
    <x v="524"/>
    <x v="2"/>
    <x v="7"/>
    <x v="524"/>
    <x v="3938"/>
    <x v="4"/>
    <x v="1"/>
  </r>
  <r>
    <n v="5694"/>
    <x v="2838"/>
    <x v="895"/>
    <d v="2016-12-16T00:00:00"/>
    <s v="Standard Class"/>
    <x v="366"/>
    <s v="Kalyca Meade"/>
    <x v="1"/>
    <s v="United States"/>
    <s v="Baltimore"/>
    <x v="39"/>
    <n v="21215"/>
    <x v="3"/>
    <x v="1714"/>
    <x v="1"/>
    <x v="10"/>
    <x v="1701"/>
    <x v="1579"/>
    <x v="4"/>
    <x v="1"/>
  </r>
  <r>
    <n v="5695"/>
    <x v="2838"/>
    <x v="895"/>
    <d v="2016-12-16T00:00:00"/>
    <s v="Standard Class"/>
    <x v="366"/>
    <s v="Kalyca Meade"/>
    <x v="1"/>
    <s v="United States"/>
    <s v="Baltimore"/>
    <x v="39"/>
    <n v="21215"/>
    <x v="3"/>
    <x v="323"/>
    <x v="0"/>
    <x v="1"/>
    <x v="323"/>
    <x v="3036"/>
    <x v="4"/>
    <x v="1"/>
  </r>
  <r>
    <n v="5696"/>
    <x v="2839"/>
    <x v="465"/>
    <d v="2017-05-07T00:00:00"/>
    <s v="Second Class"/>
    <x v="733"/>
    <s v="Amy Hunt"/>
    <x v="0"/>
    <s v="United States"/>
    <s v="San Francisco"/>
    <x v="1"/>
    <n v="94109"/>
    <x v="1"/>
    <x v="972"/>
    <x v="0"/>
    <x v="3"/>
    <x v="966"/>
    <x v="3939"/>
    <x v="5"/>
    <x v="0"/>
  </r>
  <r>
    <n v="5697"/>
    <x v="2840"/>
    <x v="336"/>
    <d v="2018-10-18T00:00:00"/>
    <s v="Standard Class"/>
    <x v="326"/>
    <s v="Anthony Garverick"/>
    <x v="2"/>
    <s v="United States"/>
    <s v="Chicago"/>
    <x v="10"/>
    <n v="60623"/>
    <x v="2"/>
    <x v="338"/>
    <x v="1"/>
    <x v="8"/>
    <x v="338"/>
    <x v="3940"/>
    <x v="2"/>
    <x v="3"/>
  </r>
  <r>
    <n v="5698"/>
    <x v="2840"/>
    <x v="336"/>
    <d v="2018-10-18T00:00:00"/>
    <s v="Standard Class"/>
    <x v="326"/>
    <s v="Anthony Garverick"/>
    <x v="2"/>
    <s v="United States"/>
    <s v="Chicago"/>
    <x v="10"/>
    <n v="60623"/>
    <x v="2"/>
    <x v="1080"/>
    <x v="1"/>
    <x v="8"/>
    <x v="1070"/>
    <x v="3941"/>
    <x v="2"/>
    <x v="3"/>
  </r>
  <r>
    <n v="5699"/>
    <x v="2841"/>
    <x v="732"/>
    <d v="2017-11-05T00:00:00"/>
    <s v="Same Day"/>
    <x v="432"/>
    <s v="Evan Bailliet"/>
    <x v="0"/>
    <s v="United States"/>
    <s v="Laredo"/>
    <x v="5"/>
    <n v="78041"/>
    <x v="2"/>
    <x v="579"/>
    <x v="1"/>
    <x v="2"/>
    <x v="579"/>
    <x v="1559"/>
    <x v="0"/>
    <x v="0"/>
  </r>
  <r>
    <n v="5700"/>
    <x v="2842"/>
    <x v="132"/>
    <d v="2018-11-08T00:00:00"/>
    <s v="Standard Class"/>
    <x v="38"/>
    <s v="Paul Gonzalez"/>
    <x v="0"/>
    <s v="United States"/>
    <s v="San Francisco"/>
    <x v="1"/>
    <n v="94109"/>
    <x v="1"/>
    <x v="1665"/>
    <x v="1"/>
    <x v="10"/>
    <x v="1653"/>
    <x v="1197"/>
    <x v="0"/>
    <x v="3"/>
  </r>
  <r>
    <n v="5701"/>
    <x v="2843"/>
    <x v="390"/>
    <d v="2017-11-26T00:00:00"/>
    <s v="First Class"/>
    <x v="402"/>
    <s v="Cathy Armstrong"/>
    <x v="2"/>
    <s v="United States"/>
    <s v="Cleveland"/>
    <x v="24"/>
    <n v="44105"/>
    <x v="3"/>
    <x v="618"/>
    <x v="1"/>
    <x v="12"/>
    <x v="618"/>
    <x v="3942"/>
    <x v="0"/>
    <x v="0"/>
  </r>
  <r>
    <n v="5702"/>
    <x v="2843"/>
    <x v="390"/>
    <d v="2017-11-26T00:00:00"/>
    <s v="First Class"/>
    <x v="402"/>
    <s v="Cathy Armstrong"/>
    <x v="2"/>
    <s v="United States"/>
    <s v="Cleveland"/>
    <x v="24"/>
    <n v="44105"/>
    <x v="3"/>
    <x v="1067"/>
    <x v="2"/>
    <x v="11"/>
    <x v="1056"/>
    <x v="3943"/>
    <x v="0"/>
    <x v="0"/>
  </r>
  <r>
    <n v="5703"/>
    <x v="2844"/>
    <x v="637"/>
    <d v="2015-12-21T00:00:00"/>
    <s v="Standard Class"/>
    <x v="286"/>
    <s v="Sung Shariari"/>
    <x v="0"/>
    <s v="United States"/>
    <s v="Marion"/>
    <x v="24"/>
    <n v="43302"/>
    <x v="3"/>
    <x v="950"/>
    <x v="1"/>
    <x v="6"/>
    <x v="943"/>
    <x v="367"/>
    <x v="4"/>
    <x v="2"/>
  </r>
  <r>
    <n v="5704"/>
    <x v="2844"/>
    <x v="637"/>
    <d v="2015-12-21T00:00:00"/>
    <s v="Standard Class"/>
    <x v="286"/>
    <s v="Sung Shariari"/>
    <x v="0"/>
    <s v="United States"/>
    <s v="Marion"/>
    <x v="24"/>
    <n v="43302"/>
    <x v="3"/>
    <x v="1337"/>
    <x v="0"/>
    <x v="3"/>
    <x v="1322"/>
    <x v="3944"/>
    <x v="4"/>
    <x v="2"/>
  </r>
  <r>
    <n v="5705"/>
    <x v="2844"/>
    <x v="637"/>
    <d v="2015-12-21T00:00:00"/>
    <s v="Standard Class"/>
    <x v="286"/>
    <s v="Sung Shariari"/>
    <x v="0"/>
    <s v="United States"/>
    <s v="Marion"/>
    <x v="24"/>
    <n v="43302"/>
    <x v="3"/>
    <x v="764"/>
    <x v="2"/>
    <x v="11"/>
    <x v="763"/>
    <x v="1259"/>
    <x v="4"/>
    <x v="2"/>
  </r>
  <r>
    <n v="5706"/>
    <x v="2845"/>
    <x v="935"/>
    <d v="2015-11-08T00:00:00"/>
    <s v="Standard Class"/>
    <x v="261"/>
    <s v="Resi Pölking"/>
    <x v="0"/>
    <s v="United States"/>
    <s v="Fairfield"/>
    <x v="29"/>
    <n v="6824"/>
    <x v="3"/>
    <x v="1562"/>
    <x v="1"/>
    <x v="14"/>
    <x v="1553"/>
    <x v="3945"/>
    <x v="0"/>
    <x v="2"/>
  </r>
  <r>
    <n v="5707"/>
    <x v="2846"/>
    <x v="585"/>
    <d v="2018-09-25T00:00:00"/>
    <s v="Second Class"/>
    <x v="464"/>
    <s v="Shaun Chance"/>
    <x v="1"/>
    <s v="United States"/>
    <s v="New York City"/>
    <x v="15"/>
    <n v="10009"/>
    <x v="3"/>
    <x v="1595"/>
    <x v="1"/>
    <x v="8"/>
    <x v="1587"/>
    <x v="2943"/>
    <x v="8"/>
    <x v="3"/>
  </r>
  <r>
    <n v="5708"/>
    <x v="2847"/>
    <x v="412"/>
    <d v="2016-05-15T00:00:00"/>
    <s v="Standard Class"/>
    <x v="508"/>
    <s v="Natalie Webber"/>
    <x v="0"/>
    <s v="United States"/>
    <s v="New York City"/>
    <x v="15"/>
    <n v="10024"/>
    <x v="3"/>
    <x v="750"/>
    <x v="0"/>
    <x v="5"/>
    <x v="748"/>
    <x v="3946"/>
    <x v="5"/>
    <x v="1"/>
  </r>
  <r>
    <n v="5709"/>
    <x v="2847"/>
    <x v="412"/>
    <d v="2016-05-15T00:00:00"/>
    <s v="Standard Class"/>
    <x v="508"/>
    <s v="Natalie Webber"/>
    <x v="0"/>
    <s v="United States"/>
    <s v="New York City"/>
    <x v="15"/>
    <n v="10024"/>
    <x v="3"/>
    <x v="1420"/>
    <x v="1"/>
    <x v="14"/>
    <x v="1408"/>
    <x v="3825"/>
    <x v="5"/>
    <x v="1"/>
  </r>
  <r>
    <n v="5710"/>
    <x v="2847"/>
    <x v="412"/>
    <d v="2016-05-15T00:00:00"/>
    <s v="Standard Class"/>
    <x v="508"/>
    <s v="Natalie Webber"/>
    <x v="0"/>
    <s v="United States"/>
    <s v="New York City"/>
    <x v="15"/>
    <n v="10024"/>
    <x v="3"/>
    <x v="474"/>
    <x v="0"/>
    <x v="1"/>
    <x v="475"/>
    <x v="3947"/>
    <x v="5"/>
    <x v="1"/>
  </r>
  <r>
    <n v="5711"/>
    <x v="2847"/>
    <x v="412"/>
    <d v="2016-05-15T00:00:00"/>
    <s v="Standard Class"/>
    <x v="508"/>
    <s v="Natalie Webber"/>
    <x v="0"/>
    <s v="United States"/>
    <s v="New York City"/>
    <x v="15"/>
    <n v="10024"/>
    <x v="3"/>
    <x v="361"/>
    <x v="2"/>
    <x v="16"/>
    <x v="361"/>
    <x v="3948"/>
    <x v="5"/>
    <x v="1"/>
  </r>
  <r>
    <n v="5712"/>
    <x v="2847"/>
    <x v="412"/>
    <d v="2016-05-15T00:00:00"/>
    <s v="Standard Class"/>
    <x v="508"/>
    <s v="Natalie Webber"/>
    <x v="0"/>
    <s v="United States"/>
    <s v="New York City"/>
    <x v="15"/>
    <n v="10024"/>
    <x v="3"/>
    <x v="1541"/>
    <x v="1"/>
    <x v="10"/>
    <x v="1529"/>
    <x v="537"/>
    <x v="5"/>
    <x v="1"/>
  </r>
  <r>
    <n v="5713"/>
    <x v="2848"/>
    <x v="689"/>
    <d v="2018-07-31T00:00:00"/>
    <s v="Same Day"/>
    <x v="147"/>
    <s v="Katrina Willman"/>
    <x v="0"/>
    <s v="United States"/>
    <s v="Chicago"/>
    <x v="10"/>
    <n v="60653"/>
    <x v="2"/>
    <x v="521"/>
    <x v="2"/>
    <x v="7"/>
    <x v="521"/>
    <x v="2163"/>
    <x v="7"/>
    <x v="3"/>
  </r>
  <r>
    <n v="5714"/>
    <x v="2849"/>
    <x v="72"/>
    <d v="2015-03-05T00:00:00"/>
    <s v="Standard Class"/>
    <x v="367"/>
    <s v="Hallie Redmond"/>
    <x v="2"/>
    <s v="United States"/>
    <s v="New York City"/>
    <x v="15"/>
    <n v="10035"/>
    <x v="3"/>
    <x v="869"/>
    <x v="2"/>
    <x v="7"/>
    <x v="863"/>
    <x v="3949"/>
    <x v="10"/>
    <x v="2"/>
  </r>
  <r>
    <n v="5715"/>
    <x v="2850"/>
    <x v="145"/>
    <d v="2018-09-29T00:00:00"/>
    <s v="Standard Class"/>
    <x v="151"/>
    <s v="Arthur Gainer"/>
    <x v="0"/>
    <s v="United States"/>
    <s v="Richmond"/>
    <x v="17"/>
    <n v="23223"/>
    <x v="0"/>
    <x v="841"/>
    <x v="1"/>
    <x v="4"/>
    <x v="835"/>
    <x v="3950"/>
    <x v="8"/>
    <x v="3"/>
  </r>
  <r>
    <n v="5716"/>
    <x v="2851"/>
    <x v="330"/>
    <d v="2016-10-12T00:00:00"/>
    <s v="Second Class"/>
    <x v="312"/>
    <s v="Brian Moss"/>
    <x v="1"/>
    <s v="United States"/>
    <s v="Ann Arbor"/>
    <x v="12"/>
    <n v="48104"/>
    <x v="2"/>
    <x v="695"/>
    <x v="2"/>
    <x v="11"/>
    <x v="695"/>
    <x v="1000"/>
    <x v="2"/>
    <x v="1"/>
  </r>
  <r>
    <n v="5717"/>
    <x v="2851"/>
    <x v="330"/>
    <d v="2016-10-12T00:00:00"/>
    <s v="Second Class"/>
    <x v="312"/>
    <s v="Brian Moss"/>
    <x v="1"/>
    <s v="United States"/>
    <s v="Ann Arbor"/>
    <x v="12"/>
    <n v="48104"/>
    <x v="2"/>
    <x v="119"/>
    <x v="2"/>
    <x v="7"/>
    <x v="119"/>
    <x v="2421"/>
    <x v="2"/>
    <x v="1"/>
  </r>
  <r>
    <n v="5718"/>
    <x v="2851"/>
    <x v="330"/>
    <d v="2016-10-12T00:00:00"/>
    <s v="Second Class"/>
    <x v="312"/>
    <s v="Brian Moss"/>
    <x v="1"/>
    <s v="United States"/>
    <s v="Ann Arbor"/>
    <x v="12"/>
    <n v="48104"/>
    <x v="2"/>
    <x v="1451"/>
    <x v="1"/>
    <x v="12"/>
    <x v="153"/>
    <x v="3951"/>
    <x v="2"/>
    <x v="1"/>
  </r>
  <r>
    <n v="5719"/>
    <x v="2851"/>
    <x v="330"/>
    <d v="2016-10-12T00:00:00"/>
    <s v="Second Class"/>
    <x v="312"/>
    <s v="Brian Moss"/>
    <x v="1"/>
    <s v="United States"/>
    <s v="Ann Arbor"/>
    <x v="12"/>
    <n v="48104"/>
    <x v="2"/>
    <x v="930"/>
    <x v="1"/>
    <x v="9"/>
    <x v="923"/>
    <x v="3952"/>
    <x v="2"/>
    <x v="1"/>
  </r>
  <r>
    <n v="5720"/>
    <x v="2852"/>
    <x v="1065"/>
    <d v="2018-04-02T00:00:00"/>
    <s v="Second Class"/>
    <x v="742"/>
    <s v="Roger Demir"/>
    <x v="0"/>
    <s v="United States"/>
    <s v="Lafayette"/>
    <x v="14"/>
    <n v="47905"/>
    <x v="2"/>
    <x v="1569"/>
    <x v="1"/>
    <x v="4"/>
    <x v="1560"/>
    <x v="3953"/>
    <x v="10"/>
    <x v="3"/>
  </r>
  <r>
    <n v="5721"/>
    <x v="2853"/>
    <x v="717"/>
    <d v="2016-11-17T00:00:00"/>
    <s v="First Class"/>
    <x v="10"/>
    <s v="Ken Black"/>
    <x v="1"/>
    <s v="United States"/>
    <s v="Springfield"/>
    <x v="21"/>
    <n v="97477"/>
    <x v="1"/>
    <x v="52"/>
    <x v="1"/>
    <x v="13"/>
    <x v="52"/>
    <x v="521"/>
    <x v="0"/>
    <x v="1"/>
  </r>
  <r>
    <n v="5722"/>
    <x v="2853"/>
    <x v="717"/>
    <d v="2016-11-17T00:00:00"/>
    <s v="First Class"/>
    <x v="10"/>
    <s v="Ken Black"/>
    <x v="1"/>
    <s v="United States"/>
    <s v="Springfield"/>
    <x v="21"/>
    <n v="97477"/>
    <x v="1"/>
    <x v="1302"/>
    <x v="2"/>
    <x v="11"/>
    <x v="1287"/>
    <x v="3954"/>
    <x v="0"/>
    <x v="1"/>
  </r>
  <r>
    <n v="5723"/>
    <x v="2853"/>
    <x v="717"/>
    <d v="2016-11-17T00:00:00"/>
    <s v="First Class"/>
    <x v="10"/>
    <s v="Ken Black"/>
    <x v="1"/>
    <s v="United States"/>
    <s v="Springfield"/>
    <x v="21"/>
    <n v="97477"/>
    <x v="1"/>
    <x v="1233"/>
    <x v="2"/>
    <x v="11"/>
    <x v="1216"/>
    <x v="3955"/>
    <x v="0"/>
    <x v="1"/>
  </r>
  <r>
    <n v="5724"/>
    <x v="2854"/>
    <x v="182"/>
    <d v="2017-09-30T00:00:00"/>
    <s v="Standard Class"/>
    <x v="61"/>
    <s v="Dorothy Wardle"/>
    <x v="1"/>
    <s v="United States"/>
    <s v="San Francisco"/>
    <x v="1"/>
    <n v="94109"/>
    <x v="1"/>
    <x v="832"/>
    <x v="1"/>
    <x v="10"/>
    <x v="827"/>
    <x v="91"/>
    <x v="8"/>
    <x v="0"/>
  </r>
  <r>
    <n v="5725"/>
    <x v="2855"/>
    <x v="358"/>
    <d v="2015-09-27T00:00:00"/>
    <s v="Standard Class"/>
    <x v="500"/>
    <s v="Vivek Grady"/>
    <x v="1"/>
    <s v="United States"/>
    <s v="Chicago"/>
    <x v="10"/>
    <n v="60653"/>
    <x v="2"/>
    <x v="942"/>
    <x v="1"/>
    <x v="4"/>
    <x v="935"/>
    <x v="3956"/>
    <x v="8"/>
    <x v="2"/>
  </r>
  <r>
    <n v="5726"/>
    <x v="2856"/>
    <x v="12"/>
    <d v="2016-09-27T00:00:00"/>
    <s v="First Class"/>
    <x v="112"/>
    <s v="Dan Reichenbach"/>
    <x v="1"/>
    <s v="United States"/>
    <s v="New York City"/>
    <x v="15"/>
    <n v="10011"/>
    <x v="3"/>
    <x v="1336"/>
    <x v="2"/>
    <x v="11"/>
    <x v="1321"/>
    <x v="435"/>
    <x v="8"/>
    <x v="1"/>
  </r>
  <r>
    <n v="5727"/>
    <x v="2857"/>
    <x v="124"/>
    <d v="2016-05-08T00:00:00"/>
    <s v="Standard Class"/>
    <x v="706"/>
    <s v="Anna Häberlin"/>
    <x v="1"/>
    <s v="United States"/>
    <s v="Houston"/>
    <x v="5"/>
    <n v="77095"/>
    <x v="2"/>
    <x v="981"/>
    <x v="2"/>
    <x v="7"/>
    <x v="974"/>
    <x v="1251"/>
    <x v="5"/>
    <x v="1"/>
  </r>
  <r>
    <n v="5728"/>
    <x v="2858"/>
    <x v="166"/>
    <d v="2018-12-13T00:00:00"/>
    <s v="Standard Class"/>
    <x v="187"/>
    <s v="Jeremy Pistek"/>
    <x v="0"/>
    <s v="United States"/>
    <s v="Madison"/>
    <x v="6"/>
    <n v="53711"/>
    <x v="2"/>
    <x v="1089"/>
    <x v="2"/>
    <x v="11"/>
    <x v="1079"/>
    <x v="3957"/>
    <x v="4"/>
    <x v="3"/>
  </r>
  <r>
    <n v="5729"/>
    <x v="2858"/>
    <x v="166"/>
    <d v="2018-12-13T00:00:00"/>
    <s v="Standard Class"/>
    <x v="187"/>
    <s v="Jeremy Pistek"/>
    <x v="0"/>
    <s v="United States"/>
    <s v="Madison"/>
    <x v="6"/>
    <n v="53711"/>
    <x v="2"/>
    <x v="963"/>
    <x v="1"/>
    <x v="9"/>
    <x v="956"/>
    <x v="1219"/>
    <x v="4"/>
    <x v="3"/>
  </r>
  <r>
    <n v="5730"/>
    <x v="2858"/>
    <x v="166"/>
    <d v="2018-12-13T00:00:00"/>
    <s v="Standard Class"/>
    <x v="187"/>
    <s v="Jeremy Pistek"/>
    <x v="0"/>
    <s v="United States"/>
    <s v="Madison"/>
    <x v="6"/>
    <n v="53711"/>
    <x v="2"/>
    <x v="580"/>
    <x v="1"/>
    <x v="2"/>
    <x v="580"/>
    <x v="3447"/>
    <x v="4"/>
    <x v="3"/>
  </r>
  <r>
    <n v="5731"/>
    <x v="2858"/>
    <x v="166"/>
    <d v="2018-12-13T00:00:00"/>
    <s v="Standard Class"/>
    <x v="187"/>
    <s v="Jeremy Pistek"/>
    <x v="0"/>
    <s v="United States"/>
    <s v="Madison"/>
    <x v="6"/>
    <n v="53711"/>
    <x v="2"/>
    <x v="1121"/>
    <x v="0"/>
    <x v="0"/>
    <x v="1109"/>
    <x v="3958"/>
    <x v="4"/>
    <x v="3"/>
  </r>
  <r>
    <n v="5732"/>
    <x v="2858"/>
    <x v="166"/>
    <d v="2018-12-13T00:00:00"/>
    <s v="Standard Class"/>
    <x v="187"/>
    <s v="Jeremy Pistek"/>
    <x v="0"/>
    <s v="United States"/>
    <s v="Madison"/>
    <x v="6"/>
    <n v="53711"/>
    <x v="2"/>
    <x v="320"/>
    <x v="1"/>
    <x v="10"/>
    <x v="320"/>
    <x v="3959"/>
    <x v="4"/>
    <x v="3"/>
  </r>
  <r>
    <n v="5733"/>
    <x v="2859"/>
    <x v="222"/>
    <d v="2018-07-02T00:00:00"/>
    <s v="First Class"/>
    <x v="112"/>
    <s v="Dan Reichenbach"/>
    <x v="1"/>
    <s v="United States"/>
    <s v="Milford"/>
    <x v="29"/>
    <n v="6460"/>
    <x v="3"/>
    <x v="1531"/>
    <x v="0"/>
    <x v="0"/>
    <x v="1518"/>
    <x v="3083"/>
    <x v="1"/>
    <x v="3"/>
  </r>
  <r>
    <n v="5734"/>
    <x v="2859"/>
    <x v="222"/>
    <d v="2018-07-02T00:00:00"/>
    <s v="First Class"/>
    <x v="112"/>
    <s v="Dan Reichenbach"/>
    <x v="1"/>
    <s v="United States"/>
    <s v="Milford"/>
    <x v="29"/>
    <n v="6460"/>
    <x v="3"/>
    <x v="682"/>
    <x v="1"/>
    <x v="14"/>
    <x v="682"/>
    <x v="3960"/>
    <x v="1"/>
    <x v="3"/>
  </r>
  <r>
    <n v="5735"/>
    <x v="2859"/>
    <x v="222"/>
    <d v="2018-07-02T00:00:00"/>
    <s v="First Class"/>
    <x v="112"/>
    <s v="Dan Reichenbach"/>
    <x v="1"/>
    <s v="United States"/>
    <s v="Milford"/>
    <x v="29"/>
    <n v="6460"/>
    <x v="3"/>
    <x v="980"/>
    <x v="0"/>
    <x v="5"/>
    <x v="973"/>
    <x v="2783"/>
    <x v="1"/>
    <x v="3"/>
  </r>
  <r>
    <n v="5736"/>
    <x v="2860"/>
    <x v="290"/>
    <d v="2015-07-03T00:00:00"/>
    <s v="Standard Class"/>
    <x v="600"/>
    <s v="Jim Karlsson"/>
    <x v="0"/>
    <s v="United States"/>
    <s v="New York City"/>
    <x v="15"/>
    <n v="10024"/>
    <x v="3"/>
    <x v="1458"/>
    <x v="1"/>
    <x v="8"/>
    <x v="1444"/>
    <x v="3961"/>
    <x v="1"/>
    <x v="2"/>
  </r>
  <r>
    <n v="5737"/>
    <x v="2861"/>
    <x v="407"/>
    <d v="2015-01-25T00:00:00"/>
    <s v="Standard Class"/>
    <x v="597"/>
    <s v="Mark Van Huff"/>
    <x v="0"/>
    <s v="United States"/>
    <s v="Los Angeles"/>
    <x v="1"/>
    <n v="90049"/>
    <x v="1"/>
    <x v="364"/>
    <x v="1"/>
    <x v="10"/>
    <x v="364"/>
    <x v="2389"/>
    <x v="9"/>
    <x v="2"/>
  </r>
  <r>
    <n v="5738"/>
    <x v="2861"/>
    <x v="407"/>
    <d v="2015-01-25T00:00:00"/>
    <s v="Standard Class"/>
    <x v="597"/>
    <s v="Mark Van Huff"/>
    <x v="0"/>
    <s v="United States"/>
    <s v="Los Angeles"/>
    <x v="1"/>
    <n v="90049"/>
    <x v="1"/>
    <x v="76"/>
    <x v="0"/>
    <x v="5"/>
    <x v="76"/>
    <x v="78"/>
    <x v="9"/>
    <x v="2"/>
  </r>
  <r>
    <n v="5739"/>
    <x v="2862"/>
    <x v="413"/>
    <d v="2018-01-06T00:00:00"/>
    <s v="Standard Class"/>
    <x v="669"/>
    <s v="Becky Pak"/>
    <x v="0"/>
    <s v="United States"/>
    <s v="San Francisco"/>
    <x v="1"/>
    <n v="94109"/>
    <x v="1"/>
    <x v="1399"/>
    <x v="1"/>
    <x v="8"/>
    <x v="1386"/>
    <x v="3962"/>
    <x v="4"/>
    <x v="0"/>
  </r>
  <r>
    <n v="5740"/>
    <x v="2863"/>
    <x v="615"/>
    <d v="2018-03-31T00:00:00"/>
    <s v="First Class"/>
    <x v="704"/>
    <s v="Dave Hallsten"/>
    <x v="1"/>
    <s v="United States"/>
    <s v="Fairfield"/>
    <x v="1"/>
    <n v="94533"/>
    <x v="1"/>
    <x v="1641"/>
    <x v="1"/>
    <x v="10"/>
    <x v="1631"/>
    <x v="91"/>
    <x v="10"/>
    <x v="3"/>
  </r>
  <r>
    <n v="5741"/>
    <x v="2863"/>
    <x v="615"/>
    <d v="2018-03-31T00:00:00"/>
    <s v="First Class"/>
    <x v="704"/>
    <s v="Dave Hallsten"/>
    <x v="1"/>
    <s v="United States"/>
    <s v="Fairfield"/>
    <x v="1"/>
    <n v="94533"/>
    <x v="1"/>
    <x v="750"/>
    <x v="0"/>
    <x v="5"/>
    <x v="748"/>
    <x v="3963"/>
    <x v="10"/>
    <x v="3"/>
  </r>
  <r>
    <n v="5742"/>
    <x v="2863"/>
    <x v="615"/>
    <d v="2018-03-31T00:00:00"/>
    <s v="First Class"/>
    <x v="704"/>
    <s v="Dave Hallsten"/>
    <x v="1"/>
    <s v="United States"/>
    <s v="Fairfield"/>
    <x v="1"/>
    <n v="94533"/>
    <x v="1"/>
    <x v="1093"/>
    <x v="2"/>
    <x v="15"/>
    <x v="1083"/>
    <x v="3964"/>
    <x v="10"/>
    <x v="3"/>
  </r>
  <r>
    <n v="5743"/>
    <x v="2863"/>
    <x v="615"/>
    <d v="2018-03-31T00:00:00"/>
    <s v="First Class"/>
    <x v="704"/>
    <s v="Dave Hallsten"/>
    <x v="1"/>
    <s v="United States"/>
    <s v="Fairfield"/>
    <x v="1"/>
    <n v="94533"/>
    <x v="1"/>
    <x v="652"/>
    <x v="1"/>
    <x v="10"/>
    <x v="652"/>
    <x v="2979"/>
    <x v="10"/>
    <x v="3"/>
  </r>
  <r>
    <n v="5744"/>
    <x v="2863"/>
    <x v="615"/>
    <d v="2018-03-31T00:00:00"/>
    <s v="First Class"/>
    <x v="704"/>
    <s v="Dave Hallsten"/>
    <x v="1"/>
    <s v="United States"/>
    <s v="Fairfield"/>
    <x v="1"/>
    <n v="94533"/>
    <x v="1"/>
    <x v="578"/>
    <x v="1"/>
    <x v="10"/>
    <x v="578"/>
    <x v="130"/>
    <x v="10"/>
    <x v="3"/>
  </r>
  <r>
    <n v="5745"/>
    <x v="2863"/>
    <x v="615"/>
    <d v="2018-03-31T00:00:00"/>
    <s v="First Class"/>
    <x v="704"/>
    <s v="Dave Hallsten"/>
    <x v="1"/>
    <s v="United States"/>
    <s v="Fairfield"/>
    <x v="1"/>
    <n v="94533"/>
    <x v="1"/>
    <x v="418"/>
    <x v="1"/>
    <x v="4"/>
    <x v="418"/>
    <x v="3965"/>
    <x v="10"/>
    <x v="3"/>
  </r>
  <r>
    <n v="5746"/>
    <x v="2863"/>
    <x v="615"/>
    <d v="2018-03-31T00:00:00"/>
    <s v="First Class"/>
    <x v="704"/>
    <s v="Dave Hallsten"/>
    <x v="1"/>
    <s v="United States"/>
    <s v="Fairfield"/>
    <x v="1"/>
    <n v="94533"/>
    <x v="1"/>
    <x v="1392"/>
    <x v="0"/>
    <x v="5"/>
    <x v="1378"/>
    <x v="742"/>
    <x v="10"/>
    <x v="3"/>
  </r>
  <r>
    <n v="5747"/>
    <x v="2864"/>
    <x v="16"/>
    <d v="2017-12-12T00:00:00"/>
    <s v="Standard Class"/>
    <x v="23"/>
    <s v="Lena Hernandez"/>
    <x v="0"/>
    <s v="United States"/>
    <s v="Greenville"/>
    <x v="3"/>
    <n v="27834"/>
    <x v="0"/>
    <x v="495"/>
    <x v="2"/>
    <x v="7"/>
    <x v="495"/>
    <x v="2475"/>
    <x v="4"/>
    <x v="0"/>
  </r>
  <r>
    <n v="5748"/>
    <x v="2864"/>
    <x v="16"/>
    <d v="2017-12-12T00:00:00"/>
    <s v="Standard Class"/>
    <x v="23"/>
    <s v="Lena Hernandez"/>
    <x v="0"/>
    <s v="United States"/>
    <s v="Greenville"/>
    <x v="3"/>
    <n v="27834"/>
    <x v="0"/>
    <x v="721"/>
    <x v="2"/>
    <x v="11"/>
    <x v="720"/>
    <x v="3065"/>
    <x v="4"/>
    <x v="0"/>
  </r>
  <r>
    <n v="5749"/>
    <x v="2864"/>
    <x v="16"/>
    <d v="2017-12-12T00:00:00"/>
    <s v="Standard Class"/>
    <x v="23"/>
    <s v="Lena Hernandez"/>
    <x v="0"/>
    <s v="United States"/>
    <s v="Greenville"/>
    <x v="3"/>
    <n v="27834"/>
    <x v="0"/>
    <x v="1691"/>
    <x v="2"/>
    <x v="11"/>
    <x v="1679"/>
    <x v="3319"/>
    <x v="4"/>
    <x v="0"/>
  </r>
  <r>
    <n v="5750"/>
    <x v="2865"/>
    <x v="551"/>
    <d v="2018-11-22T00:00:00"/>
    <s v="Standard Class"/>
    <x v="54"/>
    <s v="Dave Kipp"/>
    <x v="0"/>
    <s v="United States"/>
    <s v="Long Beach"/>
    <x v="15"/>
    <n v="11561"/>
    <x v="3"/>
    <x v="1250"/>
    <x v="2"/>
    <x v="7"/>
    <x v="1234"/>
    <x v="3966"/>
    <x v="0"/>
    <x v="3"/>
  </r>
  <r>
    <n v="5751"/>
    <x v="2866"/>
    <x v="992"/>
    <d v="2015-06-05T00:00:00"/>
    <s v="Standard Class"/>
    <x v="757"/>
    <s v="Shahid Shariari"/>
    <x v="0"/>
    <s v="United States"/>
    <s v="Buffalo Grove"/>
    <x v="10"/>
    <n v="60089"/>
    <x v="2"/>
    <x v="10"/>
    <x v="0"/>
    <x v="3"/>
    <x v="10"/>
    <x v="3967"/>
    <x v="5"/>
    <x v="2"/>
  </r>
  <r>
    <n v="5752"/>
    <x v="2867"/>
    <x v="115"/>
    <d v="2017-01-28T00:00:00"/>
    <s v="Standard Class"/>
    <x v="224"/>
    <s v="Frank Preis"/>
    <x v="0"/>
    <s v="United States"/>
    <s v="San Diego"/>
    <x v="1"/>
    <n v="92037"/>
    <x v="1"/>
    <x v="1760"/>
    <x v="1"/>
    <x v="2"/>
    <x v="1749"/>
    <x v="1821"/>
    <x v="9"/>
    <x v="0"/>
  </r>
  <r>
    <n v="5753"/>
    <x v="2867"/>
    <x v="115"/>
    <d v="2017-01-28T00:00:00"/>
    <s v="Standard Class"/>
    <x v="224"/>
    <s v="Frank Preis"/>
    <x v="0"/>
    <s v="United States"/>
    <s v="San Diego"/>
    <x v="1"/>
    <n v="92037"/>
    <x v="1"/>
    <x v="617"/>
    <x v="1"/>
    <x v="2"/>
    <x v="617"/>
    <x v="2740"/>
    <x v="9"/>
    <x v="0"/>
  </r>
  <r>
    <n v="5754"/>
    <x v="2868"/>
    <x v="1066"/>
    <d v="2017-02-10T00:00:00"/>
    <s v="Standard Class"/>
    <x v="702"/>
    <s v="Liz Carlisle"/>
    <x v="0"/>
    <s v="United States"/>
    <s v="Richmond"/>
    <x v="0"/>
    <n v="40475"/>
    <x v="0"/>
    <x v="377"/>
    <x v="0"/>
    <x v="1"/>
    <x v="378"/>
    <x v="402"/>
    <x v="11"/>
    <x v="0"/>
  </r>
  <r>
    <n v="5755"/>
    <x v="2869"/>
    <x v="368"/>
    <d v="2016-04-03T00:00:00"/>
    <s v="Second Class"/>
    <x v="238"/>
    <s v="Alan Shonely"/>
    <x v="0"/>
    <s v="United States"/>
    <s v="Springfield"/>
    <x v="17"/>
    <n v="22153"/>
    <x v="0"/>
    <x v="324"/>
    <x v="1"/>
    <x v="6"/>
    <x v="324"/>
    <x v="345"/>
    <x v="10"/>
    <x v="1"/>
  </r>
  <r>
    <n v="5756"/>
    <x v="2870"/>
    <x v="1005"/>
    <d v="2015-10-18T00:00:00"/>
    <s v="Standard Class"/>
    <x v="643"/>
    <s v="Hunter Glantz"/>
    <x v="0"/>
    <s v="United States"/>
    <s v="Fort Worth"/>
    <x v="5"/>
    <n v="76106"/>
    <x v="2"/>
    <x v="1683"/>
    <x v="1"/>
    <x v="9"/>
    <x v="1671"/>
    <x v="3968"/>
    <x v="2"/>
    <x v="2"/>
  </r>
  <r>
    <n v="5757"/>
    <x v="2870"/>
    <x v="1005"/>
    <d v="2015-10-18T00:00:00"/>
    <s v="Standard Class"/>
    <x v="643"/>
    <s v="Hunter Glantz"/>
    <x v="0"/>
    <s v="United States"/>
    <s v="Fort Worth"/>
    <x v="5"/>
    <n v="76106"/>
    <x v="2"/>
    <x v="615"/>
    <x v="2"/>
    <x v="16"/>
    <x v="615"/>
    <x v="3969"/>
    <x v="2"/>
    <x v="2"/>
  </r>
  <r>
    <n v="5758"/>
    <x v="2871"/>
    <x v="1067"/>
    <d v="2016-08-16T00:00:00"/>
    <s v="Standard Class"/>
    <x v="768"/>
    <s v="Barry Weirich"/>
    <x v="0"/>
    <s v="United States"/>
    <s v="Raleigh"/>
    <x v="3"/>
    <n v="27604"/>
    <x v="0"/>
    <x v="1006"/>
    <x v="0"/>
    <x v="5"/>
    <x v="1381"/>
    <x v="3970"/>
    <x v="6"/>
    <x v="1"/>
  </r>
  <r>
    <n v="5759"/>
    <x v="2872"/>
    <x v="6"/>
    <d v="2016-11-23T00:00:00"/>
    <s v="First Class"/>
    <x v="3"/>
    <s v="Brosina Hoffman"/>
    <x v="0"/>
    <s v="United States"/>
    <s v="Hialeah"/>
    <x v="2"/>
    <n v="33012"/>
    <x v="0"/>
    <x v="1734"/>
    <x v="2"/>
    <x v="15"/>
    <x v="1722"/>
    <x v="3971"/>
    <x v="0"/>
    <x v="1"/>
  </r>
  <r>
    <n v="5760"/>
    <x v="2873"/>
    <x v="945"/>
    <d v="2017-12-30T00:00:00"/>
    <s v="Same Day"/>
    <x v="655"/>
    <s v="Julie Prescott"/>
    <x v="2"/>
    <s v="United States"/>
    <s v="Los Angeles"/>
    <x v="1"/>
    <n v="90032"/>
    <x v="1"/>
    <x v="772"/>
    <x v="1"/>
    <x v="4"/>
    <x v="771"/>
    <x v="2246"/>
    <x v="4"/>
    <x v="0"/>
  </r>
  <r>
    <n v="5761"/>
    <x v="2873"/>
    <x v="945"/>
    <d v="2017-12-30T00:00:00"/>
    <s v="Same Day"/>
    <x v="655"/>
    <s v="Julie Prescott"/>
    <x v="2"/>
    <s v="United States"/>
    <s v="Los Angeles"/>
    <x v="1"/>
    <n v="90032"/>
    <x v="1"/>
    <x v="416"/>
    <x v="1"/>
    <x v="8"/>
    <x v="416"/>
    <x v="3972"/>
    <x v="4"/>
    <x v="0"/>
  </r>
  <r>
    <n v="5762"/>
    <x v="2874"/>
    <x v="801"/>
    <d v="2018-08-15T00:00:00"/>
    <s v="First Class"/>
    <x v="594"/>
    <s v="Justin MacKendrick"/>
    <x v="0"/>
    <s v="United States"/>
    <s v="Lake Forest"/>
    <x v="1"/>
    <n v="92630"/>
    <x v="1"/>
    <x v="1107"/>
    <x v="1"/>
    <x v="9"/>
    <x v="1096"/>
    <x v="3036"/>
    <x v="6"/>
    <x v="3"/>
  </r>
  <r>
    <n v="5763"/>
    <x v="2874"/>
    <x v="801"/>
    <d v="2018-08-15T00:00:00"/>
    <s v="First Class"/>
    <x v="594"/>
    <s v="Justin MacKendrick"/>
    <x v="0"/>
    <s v="United States"/>
    <s v="Lake Forest"/>
    <x v="1"/>
    <n v="92630"/>
    <x v="1"/>
    <x v="1001"/>
    <x v="0"/>
    <x v="5"/>
    <x v="993"/>
    <x v="3471"/>
    <x v="6"/>
    <x v="3"/>
  </r>
  <r>
    <n v="5764"/>
    <x v="2875"/>
    <x v="502"/>
    <d v="2016-11-05T00:00:00"/>
    <s v="First Class"/>
    <x v="92"/>
    <s v="Fred Hopkins"/>
    <x v="1"/>
    <s v="United States"/>
    <s v="Long Beach"/>
    <x v="15"/>
    <n v="11561"/>
    <x v="3"/>
    <x v="1578"/>
    <x v="0"/>
    <x v="1"/>
    <x v="1569"/>
    <x v="3973"/>
    <x v="0"/>
    <x v="1"/>
  </r>
  <r>
    <n v="5765"/>
    <x v="2876"/>
    <x v="229"/>
    <d v="2016-09-12T00:00:00"/>
    <s v="Second Class"/>
    <x v="430"/>
    <s v="Matt Collins"/>
    <x v="0"/>
    <s v="United States"/>
    <s v="Seattle"/>
    <x v="4"/>
    <n v="98103"/>
    <x v="1"/>
    <x v="1755"/>
    <x v="1"/>
    <x v="4"/>
    <x v="1745"/>
    <x v="3974"/>
    <x v="8"/>
    <x v="1"/>
  </r>
  <r>
    <n v="5766"/>
    <x v="2877"/>
    <x v="1068"/>
    <d v="2015-11-14T00:00:00"/>
    <s v="Standard Class"/>
    <x v="12"/>
    <s v="Emily Burns"/>
    <x v="0"/>
    <s v="United States"/>
    <s v="Redding"/>
    <x v="1"/>
    <n v="96003"/>
    <x v="1"/>
    <x v="872"/>
    <x v="2"/>
    <x v="7"/>
    <x v="866"/>
    <x v="3720"/>
    <x v="0"/>
    <x v="2"/>
  </r>
  <r>
    <n v="5767"/>
    <x v="2878"/>
    <x v="750"/>
    <d v="2017-10-15T00:00:00"/>
    <s v="Standard Class"/>
    <x v="327"/>
    <s v="Peter McVee"/>
    <x v="2"/>
    <s v="United States"/>
    <s v="San Antonio"/>
    <x v="5"/>
    <n v="78207"/>
    <x v="2"/>
    <x v="1351"/>
    <x v="1"/>
    <x v="2"/>
    <x v="1337"/>
    <x v="3975"/>
    <x v="2"/>
    <x v="0"/>
  </r>
  <r>
    <n v="5768"/>
    <x v="2879"/>
    <x v="565"/>
    <d v="2018-09-12T00:00:00"/>
    <s v="Second Class"/>
    <x v="753"/>
    <s v="Alex Russell"/>
    <x v="1"/>
    <s v="United States"/>
    <s v="Houston"/>
    <x v="5"/>
    <n v="77070"/>
    <x v="2"/>
    <x v="936"/>
    <x v="2"/>
    <x v="11"/>
    <x v="929"/>
    <x v="3976"/>
    <x v="8"/>
    <x v="3"/>
  </r>
  <r>
    <n v="5769"/>
    <x v="2880"/>
    <x v="1069"/>
    <d v="2016-03-01T00:00:00"/>
    <s v="Standard Class"/>
    <x v="286"/>
    <s v="Sung Shariari"/>
    <x v="0"/>
    <s v="United States"/>
    <s v="Leominster"/>
    <x v="31"/>
    <n v="1453"/>
    <x v="3"/>
    <x v="1042"/>
    <x v="1"/>
    <x v="2"/>
    <x v="1031"/>
    <x v="974"/>
    <x v="11"/>
    <x v="1"/>
  </r>
  <r>
    <n v="5770"/>
    <x v="2880"/>
    <x v="1069"/>
    <d v="2016-03-01T00:00:00"/>
    <s v="Standard Class"/>
    <x v="286"/>
    <s v="Sung Shariari"/>
    <x v="0"/>
    <s v="United States"/>
    <s v="Leominster"/>
    <x v="31"/>
    <n v="1453"/>
    <x v="3"/>
    <x v="126"/>
    <x v="1"/>
    <x v="10"/>
    <x v="562"/>
    <x v="20"/>
    <x v="11"/>
    <x v="1"/>
  </r>
  <r>
    <n v="5771"/>
    <x v="2881"/>
    <x v="496"/>
    <d v="2016-09-28T00:00:00"/>
    <s v="Standard Class"/>
    <x v="464"/>
    <s v="Shaun Chance"/>
    <x v="1"/>
    <s v="United States"/>
    <s v="Los Angeles"/>
    <x v="1"/>
    <n v="90032"/>
    <x v="1"/>
    <x v="527"/>
    <x v="0"/>
    <x v="5"/>
    <x v="527"/>
    <x v="3977"/>
    <x v="8"/>
    <x v="1"/>
  </r>
  <r>
    <n v="5772"/>
    <x v="2881"/>
    <x v="496"/>
    <d v="2016-09-28T00:00:00"/>
    <s v="Standard Class"/>
    <x v="464"/>
    <s v="Shaun Chance"/>
    <x v="1"/>
    <s v="United States"/>
    <s v="Los Angeles"/>
    <x v="1"/>
    <n v="90032"/>
    <x v="1"/>
    <x v="1364"/>
    <x v="1"/>
    <x v="9"/>
    <x v="1350"/>
    <x v="3978"/>
    <x v="8"/>
    <x v="1"/>
  </r>
  <r>
    <n v="5773"/>
    <x v="2882"/>
    <x v="650"/>
    <d v="2016-12-01T00:00:00"/>
    <s v="Standard Class"/>
    <x v="105"/>
    <s v="Erin Ashbrook"/>
    <x v="1"/>
    <s v="United States"/>
    <s v="Springfield"/>
    <x v="25"/>
    <n v="65807"/>
    <x v="2"/>
    <x v="349"/>
    <x v="2"/>
    <x v="16"/>
    <x v="349"/>
    <x v="3979"/>
    <x v="0"/>
    <x v="1"/>
  </r>
  <r>
    <n v="5774"/>
    <x v="2883"/>
    <x v="1070"/>
    <d v="2017-09-06T00:00:00"/>
    <s v="Standard Class"/>
    <x v="236"/>
    <s v="Theone Pippenger"/>
    <x v="0"/>
    <s v="United States"/>
    <s v="Waco"/>
    <x v="5"/>
    <n v="76706"/>
    <x v="2"/>
    <x v="355"/>
    <x v="1"/>
    <x v="4"/>
    <x v="355"/>
    <x v="934"/>
    <x v="6"/>
    <x v="0"/>
  </r>
  <r>
    <n v="5775"/>
    <x v="2884"/>
    <x v="408"/>
    <d v="2017-04-16T00:00:00"/>
    <s v="Standard Class"/>
    <x v="443"/>
    <s v="Beth Paige"/>
    <x v="0"/>
    <s v="United States"/>
    <s v="Los Angeles"/>
    <x v="1"/>
    <n v="90036"/>
    <x v="1"/>
    <x v="1756"/>
    <x v="0"/>
    <x v="1"/>
    <x v="1746"/>
    <x v="3980"/>
    <x v="3"/>
    <x v="0"/>
  </r>
  <r>
    <n v="5776"/>
    <x v="2884"/>
    <x v="408"/>
    <d v="2017-04-16T00:00:00"/>
    <s v="Standard Class"/>
    <x v="443"/>
    <s v="Beth Paige"/>
    <x v="0"/>
    <s v="United States"/>
    <s v="Los Angeles"/>
    <x v="1"/>
    <n v="90036"/>
    <x v="1"/>
    <x v="729"/>
    <x v="1"/>
    <x v="8"/>
    <x v="728"/>
    <x v="3981"/>
    <x v="3"/>
    <x v="0"/>
  </r>
  <r>
    <n v="5777"/>
    <x v="2885"/>
    <x v="429"/>
    <d v="2017-12-08T00:00:00"/>
    <s v="Standard Class"/>
    <x v="215"/>
    <s v="Liz MacKendrick"/>
    <x v="0"/>
    <s v="United States"/>
    <s v="Auburn"/>
    <x v="15"/>
    <n v="13021"/>
    <x v="3"/>
    <x v="625"/>
    <x v="1"/>
    <x v="8"/>
    <x v="625"/>
    <x v="1626"/>
    <x v="4"/>
    <x v="0"/>
  </r>
  <r>
    <n v="5778"/>
    <x v="2886"/>
    <x v="429"/>
    <d v="2017-12-09T00:00:00"/>
    <s v="Standard Class"/>
    <x v="446"/>
    <s v="Kean Takahito"/>
    <x v="0"/>
    <s v="United States"/>
    <s v="San Francisco"/>
    <x v="1"/>
    <n v="94109"/>
    <x v="1"/>
    <x v="921"/>
    <x v="1"/>
    <x v="10"/>
    <x v="913"/>
    <x v="1230"/>
    <x v="4"/>
    <x v="0"/>
  </r>
  <r>
    <n v="5779"/>
    <x v="2887"/>
    <x v="7"/>
    <d v="2015-11-18T00:00:00"/>
    <s v="Standard Class"/>
    <x v="275"/>
    <s v="Arthur Prichep"/>
    <x v="0"/>
    <s v="United States"/>
    <s v="Los Angeles"/>
    <x v="1"/>
    <n v="90008"/>
    <x v="1"/>
    <x v="400"/>
    <x v="1"/>
    <x v="6"/>
    <x v="401"/>
    <x v="426"/>
    <x v="0"/>
    <x v="2"/>
  </r>
  <r>
    <n v="5780"/>
    <x v="2887"/>
    <x v="7"/>
    <d v="2015-11-18T00:00:00"/>
    <s v="Standard Class"/>
    <x v="275"/>
    <s v="Arthur Prichep"/>
    <x v="0"/>
    <s v="United States"/>
    <s v="Los Angeles"/>
    <x v="1"/>
    <n v="90008"/>
    <x v="1"/>
    <x v="1153"/>
    <x v="0"/>
    <x v="1"/>
    <x v="1141"/>
    <x v="3982"/>
    <x v="0"/>
    <x v="2"/>
  </r>
  <r>
    <n v="5781"/>
    <x v="2888"/>
    <x v="788"/>
    <d v="2016-04-09T00:00:00"/>
    <s v="Standard Class"/>
    <x v="479"/>
    <s v="John Dryer"/>
    <x v="0"/>
    <s v="United States"/>
    <s v="Los Angeles"/>
    <x v="1"/>
    <n v="90049"/>
    <x v="1"/>
    <x v="1761"/>
    <x v="2"/>
    <x v="15"/>
    <x v="1750"/>
    <x v="973"/>
    <x v="3"/>
    <x v="1"/>
  </r>
  <r>
    <n v="5782"/>
    <x v="2889"/>
    <x v="295"/>
    <d v="2016-12-16T00:00:00"/>
    <s v="Second Class"/>
    <x v="190"/>
    <s v="Xylona Preis"/>
    <x v="0"/>
    <s v="United States"/>
    <s v="Chico"/>
    <x v="1"/>
    <n v="95928"/>
    <x v="1"/>
    <x v="147"/>
    <x v="1"/>
    <x v="6"/>
    <x v="148"/>
    <x v="3983"/>
    <x v="4"/>
    <x v="1"/>
  </r>
  <r>
    <n v="5783"/>
    <x v="2889"/>
    <x v="295"/>
    <d v="2016-12-16T00:00:00"/>
    <s v="Second Class"/>
    <x v="190"/>
    <s v="Xylona Preis"/>
    <x v="0"/>
    <s v="United States"/>
    <s v="Chico"/>
    <x v="1"/>
    <n v="95928"/>
    <x v="1"/>
    <x v="776"/>
    <x v="1"/>
    <x v="12"/>
    <x v="775"/>
    <x v="2814"/>
    <x v="4"/>
    <x v="1"/>
  </r>
  <r>
    <n v="5784"/>
    <x v="2889"/>
    <x v="295"/>
    <d v="2016-12-16T00:00:00"/>
    <s v="Second Class"/>
    <x v="190"/>
    <s v="Xylona Preis"/>
    <x v="0"/>
    <s v="United States"/>
    <s v="Chico"/>
    <x v="1"/>
    <n v="95928"/>
    <x v="1"/>
    <x v="1346"/>
    <x v="1"/>
    <x v="10"/>
    <x v="1331"/>
    <x v="2900"/>
    <x v="4"/>
    <x v="1"/>
  </r>
  <r>
    <n v="5785"/>
    <x v="2890"/>
    <x v="280"/>
    <d v="2018-10-08T00:00:00"/>
    <s v="Standard Class"/>
    <x v="765"/>
    <s v="Juliana Krohn"/>
    <x v="0"/>
    <s v="United States"/>
    <s v="Springfield"/>
    <x v="21"/>
    <n v="97477"/>
    <x v="1"/>
    <x v="366"/>
    <x v="0"/>
    <x v="0"/>
    <x v="367"/>
    <x v="3984"/>
    <x v="2"/>
    <x v="3"/>
  </r>
  <r>
    <n v="5786"/>
    <x v="2890"/>
    <x v="280"/>
    <d v="2018-10-08T00:00:00"/>
    <s v="Standard Class"/>
    <x v="765"/>
    <s v="Juliana Krohn"/>
    <x v="0"/>
    <s v="United States"/>
    <s v="Springfield"/>
    <x v="21"/>
    <n v="97477"/>
    <x v="1"/>
    <x v="597"/>
    <x v="1"/>
    <x v="14"/>
    <x v="597"/>
    <x v="381"/>
    <x v="2"/>
    <x v="3"/>
  </r>
  <r>
    <n v="5787"/>
    <x v="2890"/>
    <x v="280"/>
    <d v="2018-10-08T00:00:00"/>
    <s v="Standard Class"/>
    <x v="765"/>
    <s v="Juliana Krohn"/>
    <x v="0"/>
    <s v="United States"/>
    <s v="Springfield"/>
    <x v="21"/>
    <n v="97477"/>
    <x v="1"/>
    <x v="828"/>
    <x v="1"/>
    <x v="8"/>
    <x v="824"/>
    <x v="3985"/>
    <x v="2"/>
    <x v="3"/>
  </r>
  <r>
    <n v="5788"/>
    <x v="2890"/>
    <x v="280"/>
    <d v="2018-10-08T00:00:00"/>
    <s v="Standard Class"/>
    <x v="765"/>
    <s v="Juliana Krohn"/>
    <x v="0"/>
    <s v="United States"/>
    <s v="Springfield"/>
    <x v="21"/>
    <n v="97477"/>
    <x v="1"/>
    <x v="1385"/>
    <x v="1"/>
    <x v="6"/>
    <x v="1371"/>
    <x v="3986"/>
    <x v="2"/>
    <x v="3"/>
  </r>
  <r>
    <n v="5789"/>
    <x v="2891"/>
    <x v="318"/>
    <d v="2018-04-14T00:00:00"/>
    <s v="Second Class"/>
    <x v="769"/>
    <s v="Mitch Gastineau"/>
    <x v="1"/>
    <s v="United States"/>
    <s v="Jacksonville"/>
    <x v="2"/>
    <n v="32216"/>
    <x v="0"/>
    <x v="1392"/>
    <x v="0"/>
    <x v="5"/>
    <x v="1378"/>
    <x v="3987"/>
    <x v="3"/>
    <x v="3"/>
  </r>
  <r>
    <n v="5790"/>
    <x v="2891"/>
    <x v="318"/>
    <d v="2018-04-14T00:00:00"/>
    <s v="Second Class"/>
    <x v="769"/>
    <s v="Mitch Gastineau"/>
    <x v="1"/>
    <s v="United States"/>
    <s v="Jacksonville"/>
    <x v="2"/>
    <n v="32216"/>
    <x v="0"/>
    <x v="696"/>
    <x v="1"/>
    <x v="8"/>
    <x v="696"/>
    <x v="2896"/>
    <x v="3"/>
    <x v="3"/>
  </r>
  <r>
    <n v="5791"/>
    <x v="2892"/>
    <x v="365"/>
    <d v="2018-10-02T00:00:00"/>
    <s v="First Class"/>
    <x v="310"/>
    <s v="Patrick Gardner"/>
    <x v="0"/>
    <s v="United States"/>
    <s v="Bakersfield"/>
    <x v="1"/>
    <n v="93309"/>
    <x v="1"/>
    <x v="659"/>
    <x v="1"/>
    <x v="13"/>
    <x v="659"/>
    <x v="762"/>
    <x v="8"/>
    <x v="3"/>
  </r>
  <r>
    <n v="5792"/>
    <x v="2892"/>
    <x v="365"/>
    <d v="2018-10-02T00:00:00"/>
    <s v="First Class"/>
    <x v="310"/>
    <s v="Patrick Gardner"/>
    <x v="0"/>
    <s v="United States"/>
    <s v="Bakersfield"/>
    <x v="1"/>
    <n v="93309"/>
    <x v="1"/>
    <x v="955"/>
    <x v="0"/>
    <x v="1"/>
    <x v="948"/>
    <x v="74"/>
    <x v="8"/>
    <x v="3"/>
  </r>
  <r>
    <n v="5793"/>
    <x v="2892"/>
    <x v="365"/>
    <d v="2018-10-02T00:00:00"/>
    <s v="First Class"/>
    <x v="310"/>
    <s v="Patrick Gardner"/>
    <x v="0"/>
    <s v="United States"/>
    <s v="Bakersfield"/>
    <x v="1"/>
    <n v="93309"/>
    <x v="1"/>
    <x v="414"/>
    <x v="1"/>
    <x v="9"/>
    <x v="414"/>
    <x v="2029"/>
    <x v="8"/>
    <x v="3"/>
  </r>
  <r>
    <n v="5794"/>
    <x v="2892"/>
    <x v="365"/>
    <d v="2018-10-02T00:00:00"/>
    <s v="First Class"/>
    <x v="310"/>
    <s v="Patrick Gardner"/>
    <x v="0"/>
    <s v="United States"/>
    <s v="Bakersfield"/>
    <x v="1"/>
    <n v="93309"/>
    <x v="1"/>
    <x v="28"/>
    <x v="0"/>
    <x v="5"/>
    <x v="28"/>
    <x v="2616"/>
    <x v="8"/>
    <x v="3"/>
  </r>
  <r>
    <n v="5795"/>
    <x v="2892"/>
    <x v="365"/>
    <d v="2018-10-02T00:00:00"/>
    <s v="First Class"/>
    <x v="310"/>
    <s v="Patrick Gardner"/>
    <x v="0"/>
    <s v="United States"/>
    <s v="Bakersfield"/>
    <x v="1"/>
    <n v="93309"/>
    <x v="1"/>
    <x v="705"/>
    <x v="1"/>
    <x v="8"/>
    <x v="705"/>
    <x v="996"/>
    <x v="8"/>
    <x v="3"/>
  </r>
  <r>
    <n v="5796"/>
    <x v="2893"/>
    <x v="411"/>
    <d v="2015-10-03T00:00:00"/>
    <s v="Second Class"/>
    <x v="436"/>
    <s v="Lisa DeCherney"/>
    <x v="0"/>
    <s v="United States"/>
    <s v="New York City"/>
    <x v="15"/>
    <n v="10011"/>
    <x v="3"/>
    <x v="1449"/>
    <x v="1"/>
    <x v="4"/>
    <x v="1436"/>
    <x v="3988"/>
    <x v="8"/>
    <x v="2"/>
  </r>
  <r>
    <n v="5797"/>
    <x v="2893"/>
    <x v="411"/>
    <d v="2015-10-03T00:00:00"/>
    <s v="Second Class"/>
    <x v="436"/>
    <s v="Lisa DeCherney"/>
    <x v="0"/>
    <s v="United States"/>
    <s v="New York City"/>
    <x v="15"/>
    <n v="10011"/>
    <x v="3"/>
    <x v="138"/>
    <x v="0"/>
    <x v="5"/>
    <x v="139"/>
    <x v="3989"/>
    <x v="8"/>
    <x v="2"/>
  </r>
  <r>
    <n v="5798"/>
    <x v="2893"/>
    <x v="411"/>
    <d v="2015-10-03T00:00:00"/>
    <s v="Second Class"/>
    <x v="436"/>
    <s v="Lisa DeCherney"/>
    <x v="0"/>
    <s v="United States"/>
    <s v="New York City"/>
    <x v="15"/>
    <n v="10011"/>
    <x v="3"/>
    <x v="919"/>
    <x v="1"/>
    <x v="2"/>
    <x v="911"/>
    <x v="1365"/>
    <x v="8"/>
    <x v="2"/>
  </r>
  <r>
    <n v="5799"/>
    <x v="2893"/>
    <x v="411"/>
    <d v="2015-10-03T00:00:00"/>
    <s v="Second Class"/>
    <x v="436"/>
    <s v="Lisa DeCherney"/>
    <x v="0"/>
    <s v="United States"/>
    <s v="New York City"/>
    <x v="15"/>
    <n v="10011"/>
    <x v="3"/>
    <x v="968"/>
    <x v="1"/>
    <x v="10"/>
    <x v="961"/>
    <x v="2661"/>
    <x v="8"/>
    <x v="2"/>
  </r>
  <r>
    <n v="5800"/>
    <x v="2894"/>
    <x v="1071"/>
    <d v="2015-08-25T00:00:00"/>
    <s v="Second Class"/>
    <x v="257"/>
    <s v="Craig Reiter"/>
    <x v="0"/>
    <s v="United States"/>
    <s v="Chicago"/>
    <x v="10"/>
    <n v="60610"/>
    <x v="2"/>
    <x v="1496"/>
    <x v="0"/>
    <x v="1"/>
    <x v="1484"/>
    <x v="3990"/>
    <x v="6"/>
    <x v="2"/>
  </r>
  <r>
    <n v="5801"/>
    <x v="2895"/>
    <x v="384"/>
    <d v="2015-07-14T00:00:00"/>
    <s v="First Class"/>
    <x v="438"/>
    <s v="Michael Nguyen"/>
    <x v="0"/>
    <s v="United States"/>
    <s v="El Paso"/>
    <x v="5"/>
    <n v="79907"/>
    <x v="2"/>
    <x v="1149"/>
    <x v="2"/>
    <x v="7"/>
    <x v="1137"/>
    <x v="3991"/>
    <x v="7"/>
    <x v="2"/>
  </r>
  <r>
    <n v="5802"/>
    <x v="2895"/>
    <x v="384"/>
    <d v="2015-07-14T00:00:00"/>
    <s v="First Class"/>
    <x v="438"/>
    <s v="Michael Nguyen"/>
    <x v="0"/>
    <s v="United States"/>
    <s v="El Paso"/>
    <x v="5"/>
    <n v="79907"/>
    <x v="2"/>
    <x v="1553"/>
    <x v="1"/>
    <x v="10"/>
    <x v="1541"/>
    <x v="559"/>
    <x v="7"/>
    <x v="2"/>
  </r>
  <r>
    <n v="5803"/>
    <x v="2896"/>
    <x v="204"/>
    <d v="2016-03-24T00:00:00"/>
    <s v="First Class"/>
    <x v="76"/>
    <s v="Ruben Dartt"/>
    <x v="0"/>
    <s v="United States"/>
    <s v="Thousand Oaks"/>
    <x v="1"/>
    <n v="91360"/>
    <x v="1"/>
    <x v="433"/>
    <x v="2"/>
    <x v="7"/>
    <x v="433"/>
    <x v="2913"/>
    <x v="10"/>
    <x v="1"/>
  </r>
  <r>
    <n v="5804"/>
    <x v="2897"/>
    <x v="605"/>
    <d v="2018-05-19T00:00:00"/>
    <s v="Standard Class"/>
    <x v="655"/>
    <s v="Julie Prescott"/>
    <x v="2"/>
    <s v="United States"/>
    <s v="Springfield"/>
    <x v="24"/>
    <n v="45503"/>
    <x v="3"/>
    <x v="1046"/>
    <x v="1"/>
    <x v="6"/>
    <x v="1035"/>
    <x v="1495"/>
    <x v="5"/>
    <x v="3"/>
  </r>
  <r>
    <n v="5805"/>
    <x v="2898"/>
    <x v="38"/>
    <d v="2018-11-19T00:00:00"/>
    <s v="Standard Class"/>
    <x v="722"/>
    <s v="Katrina Edelman"/>
    <x v="1"/>
    <s v="United States"/>
    <s v="Dallas"/>
    <x v="5"/>
    <n v="75220"/>
    <x v="2"/>
    <x v="1220"/>
    <x v="1"/>
    <x v="4"/>
    <x v="1204"/>
    <x v="1815"/>
    <x v="0"/>
    <x v="3"/>
  </r>
  <r>
    <n v="5806"/>
    <x v="2898"/>
    <x v="38"/>
    <d v="2018-11-19T00:00:00"/>
    <s v="Standard Class"/>
    <x v="722"/>
    <s v="Katrina Edelman"/>
    <x v="1"/>
    <s v="United States"/>
    <s v="Dallas"/>
    <x v="5"/>
    <n v="75220"/>
    <x v="2"/>
    <x v="713"/>
    <x v="0"/>
    <x v="0"/>
    <x v="712"/>
    <x v="3992"/>
    <x v="0"/>
    <x v="3"/>
  </r>
  <r>
    <n v="5807"/>
    <x v="2899"/>
    <x v="913"/>
    <d v="2017-09-07T00:00:00"/>
    <s v="Second Class"/>
    <x v="111"/>
    <s v="Delfina Latchford"/>
    <x v="0"/>
    <s v="United States"/>
    <s v="Knoxville"/>
    <x v="18"/>
    <n v="37918"/>
    <x v="0"/>
    <x v="727"/>
    <x v="1"/>
    <x v="10"/>
    <x v="726"/>
    <x v="848"/>
    <x v="8"/>
    <x v="0"/>
  </r>
  <r>
    <n v="5808"/>
    <x v="2899"/>
    <x v="913"/>
    <d v="2017-09-07T00:00:00"/>
    <s v="Second Class"/>
    <x v="111"/>
    <s v="Delfina Latchford"/>
    <x v="0"/>
    <s v="United States"/>
    <s v="Knoxville"/>
    <x v="18"/>
    <n v="37918"/>
    <x v="0"/>
    <x v="1309"/>
    <x v="1"/>
    <x v="9"/>
    <x v="1294"/>
    <x v="2734"/>
    <x v="8"/>
    <x v="0"/>
  </r>
  <r>
    <n v="5809"/>
    <x v="2899"/>
    <x v="913"/>
    <d v="2017-09-07T00:00:00"/>
    <s v="Second Class"/>
    <x v="111"/>
    <s v="Delfina Latchford"/>
    <x v="0"/>
    <s v="United States"/>
    <s v="Knoxville"/>
    <x v="18"/>
    <n v="37918"/>
    <x v="0"/>
    <x v="1571"/>
    <x v="1"/>
    <x v="6"/>
    <x v="1562"/>
    <x v="3993"/>
    <x v="8"/>
    <x v="0"/>
  </r>
  <r>
    <n v="5810"/>
    <x v="2900"/>
    <x v="1072"/>
    <d v="2017-02-11T00:00:00"/>
    <s v="Standard Class"/>
    <x v="208"/>
    <s v="Karen Bern"/>
    <x v="1"/>
    <s v="United States"/>
    <s v="Chattanooga"/>
    <x v="18"/>
    <n v="37421"/>
    <x v="0"/>
    <x v="479"/>
    <x v="0"/>
    <x v="5"/>
    <x v="480"/>
    <x v="3994"/>
    <x v="11"/>
    <x v="0"/>
  </r>
  <r>
    <n v="5811"/>
    <x v="2901"/>
    <x v="204"/>
    <d v="2016-03-26T00:00:00"/>
    <s v="Standard Class"/>
    <x v="251"/>
    <s v="Justin Deggeller"/>
    <x v="1"/>
    <s v="United States"/>
    <s v="San Diego"/>
    <x v="1"/>
    <n v="92037"/>
    <x v="1"/>
    <x v="813"/>
    <x v="1"/>
    <x v="10"/>
    <x v="33"/>
    <x v="151"/>
    <x v="10"/>
    <x v="1"/>
  </r>
  <r>
    <n v="5812"/>
    <x v="2901"/>
    <x v="204"/>
    <d v="2016-03-26T00:00:00"/>
    <s v="Standard Class"/>
    <x v="251"/>
    <s v="Justin Deggeller"/>
    <x v="1"/>
    <s v="United States"/>
    <s v="San Diego"/>
    <x v="1"/>
    <n v="92037"/>
    <x v="1"/>
    <x v="1762"/>
    <x v="0"/>
    <x v="5"/>
    <x v="1751"/>
    <x v="1361"/>
    <x v="10"/>
    <x v="1"/>
  </r>
  <r>
    <n v="5813"/>
    <x v="2901"/>
    <x v="204"/>
    <d v="2016-03-26T00:00:00"/>
    <s v="Standard Class"/>
    <x v="251"/>
    <s v="Justin Deggeller"/>
    <x v="1"/>
    <s v="United States"/>
    <s v="San Diego"/>
    <x v="1"/>
    <n v="92037"/>
    <x v="1"/>
    <x v="647"/>
    <x v="2"/>
    <x v="7"/>
    <x v="647"/>
    <x v="3995"/>
    <x v="10"/>
    <x v="1"/>
  </r>
  <r>
    <n v="5814"/>
    <x v="2902"/>
    <x v="740"/>
    <d v="2016-07-03T00:00:00"/>
    <s v="First Class"/>
    <x v="256"/>
    <s v="Steven Roelle"/>
    <x v="2"/>
    <s v="United States"/>
    <s v="New York City"/>
    <x v="15"/>
    <n v="10024"/>
    <x v="3"/>
    <x v="1723"/>
    <x v="1"/>
    <x v="10"/>
    <x v="1710"/>
    <x v="537"/>
    <x v="7"/>
    <x v="1"/>
  </r>
  <r>
    <n v="5815"/>
    <x v="2903"/>
    <x v="925"/>
    <d v="2016-06-17T00:00:00"/>
    <s v="First Class"/>
    <x v="549"/>
    <s v="Amy Cox"/>
    <x v="0"/>
    <s v="United States"/>
    <s v="Tampa"/>
    <x v="2"/>
    <n v="33614"/>
    <x v="0"/>
    <x v="1207"/>
    <x v="2"/>
    <x v="11"/>
    <x v="1192"/>
    <x v="3996"/>
    <x v="1"/>
    <x v="1"/>
  </r>
  <r>
    <n v="5816"/>
    <x v="2904"/>
    <x v="35"/>
    <d v="2015-11-26T00:00:00"/>
    <s v="Same Day"/>
    <x v="201"/>
    <s v="Lynn Smith"/>
    <x v="0"/>
    <s v="United States"/>
    <s v="Utica"/>
    <x v="15"/>
    <n v="13501"/>
    <x v="3"/>
    <x v="599"/>
    <x v="2"/>
    <x v="7"/>
    <x v="599"/>
    <x v="460"/>
    <x v="0"/>
    <x v="2"/>
  </r>
  <r>
    <n v="5817"/>
    <x v="2904"/>
    <x v="35"/>
    <d v="2015-11-26T00:00:00"/>
    <s v="Same Day"/>
    <x v="201"/>
    <s v="Lynn Smith"/>
    <x v="0"/>
    <s v="United States"/>
    <s v="Utica"/>
    <x v="15"/>
    <n v="13501"/>
    <x v="3"/>
    <x v="61"/>
    <x v="1"/>
    <x v="8"/>
    <x v="61"/>
    <x v="3997"/>
    <x v="0"/>
    <x v="2"/>
  </r>
  <r>
    <n v="5818"/>
    <x v="2904"/>
    <x v="35"/>
    <d v="2015-11-26T00:00:00"/>
    <s v="Same Day"/>
    <x v="201"/>
    <s v="Lynn Smith"/>
    <x v="0"/>
    <s v="United States"/>
    <s v="Utica"/>
    <x v="15"/>
    <n v="13501"/>
    <x v="3"/>
    <x v="880"/>
    <x v="1"/>
    <x v="8"/>
    <x v="874"/>
    <x v="1217"/>
    <x v="0"/>
    <x v="2"/>
  </r>
  <r>
    <n v="5819"/>
    <x v="2904"/>
    <x v="35"/>
    <d v="2015-11-26T00:00:00"/>
    <s v="Same Day"/>
    <x v="201"/>
    <s v="Lynn Smith"/>
    <x v="0"/>
    <s v="United States"/>
    <s v="Utica"/>
    <x v="15"/>
    <n v="13501"/>
    <x v="3"/>
    <x v="322"/>
    <x v="1"/>
    <x v="2"/>
    <x v="322"/>
    <x v="3998"/>
    <x v="0"/>
    <x v="2"/>
  </r>
  <r>
    <n v="5820"/>
    <x v="2904"/>
    <x v="35"/>
    <d v="2015-11-26T00:00:00"/>
    <s v="Same Day"/>
    <x v="201"/>
    <s v="Lynn Smith"/>
    <x v="0"/>
    <s v="United States"/>
    <s v="Utica"/>
    <x v="15"/>
    <n v="13501"/>
    <x v="3"/>
    <x v="745"/>
    <x v="1"/>
    <x v="2"/>
    <x v="743"/>
    <x v="132"/>
    <x v="0"/>
    <x v="2"/>
  </r>
  <r>
    <n v="5821"/>
    <x v="2905"/>
    <x v="605"/>
    <d v="2018-05-18T00:00:00"/>
    <s v="Standard Class"/>
    <x v="728"/>
    <s v="Charles Sheldon"/>
    <x v="1"/>
    <s v="United States"/>
    <s v="San Francisco"/>
    <x v="1"/>
    <n v="94122"/>
    <x v="1"/>
    <x v="1420"/>
    <x v="1"/>
    <x v="14"/>
    <x v="1408"/>
    <x v="3999"/>
    <x v="5"/>
    <x v="3"/>
  </r>
  <r>
    <n v="5822"/>
    <x v="2905"/>
    <x v="605"/>
    <d v="2018-05-18T00:00:00"/>
    <s v="Standard Class"/>
    <x v="728"/>
    <s v="Charles Sheldon"/>
    <x v="1"/>
    <s v="United States"/>
    <s v="San Francisco"/>
    <x v="1"/>
    <n v="94122"/>
    <x v="1"/>
    <x v="1037"/>
    <x v="1"/>
    <x v="9"/>
    <x v="1027"/>
    <x v="4000"/>
    <x v="5"/>
    <x v="3"/>
  </r>
  <r>
    <n v="5823"/>
    <x v="2905"/>
    <x v="605"/>
    <d v="2018-05-18T00:00:00"/>
    <s v="Standard Class"/>
    <x v="728"/>
    <s v="Charles Sheldon"/>
    <x v="1"/>
    <s v="United States"/>
    <s v="San Francisco"/>
    <x v="1"/>
    <n v="94122"/>
    <x v="1"/>
    <x v="719"/>
    <x v="0"/>
    <x v="3"/>
    <x v="718"/>
    <x v="4001"/>
    <x v="5"/>
    <x v="3"/>
  </r>
  <r>
    <n v="5824"/>
    <x v="2905"/>
    <x v="605"/>
    <d v="2018-05-18T00:00:00"/>
    <s v="Standard Class"/>
    <x v="728"/>
    <s v="Charles Sheldon"/>
    <x v="1"/>
    <s v="United States"/>
    <s v="San Francisco"/>
    <x v="1"/>
    <n v="94122"/>
    <x v="1"/>
    <x v="1120"/>
    <x v="1"/>
    <x v="8"/>
    <x v="1108"/>
    <x v="4002"/>
    <x v="5"/>
    <x v="3"/>
  </r>
  <r>
    <n v="5825"/>
    <x v="2906"/>
    <x v="1073"/>
    <d v="2015-05-02T00:00:00"/>
    <s v="Same Day"/>
    <x v="239"/>
    <s v="Andrew Roberts"/>
    <x v="0"/>
    <s v="United States"/>
    <s v="Columbus"/>
    <x v="24"/>
    <n v="43229"/>
    <x v="3"/>
    <x v="930"/>
    <x v="1"/>
    <x v="9"/>
    <x v="923"/>
    <x v="4003"/>
    <x v="5"/>
    <x v="2"/>
  </r>
  <r>
    <n v="5826"/>
    <x v="2907"/>
    <x v="213"/>
    <d v="2018-09-06T00:00:00"/>
    <s v="Second Class"/>
    <x v="683"/>
    <s v="Katrina Bavinger"/>
    <x v="2"/>
    <s v="United States"/>
    <s v="New York City"/>
    <x v="15"/>
    <n v="10035"/>
    <x v="3"/>
    <x v="976"/>
    <x v="1"/>
    <x v="10"/>
    <x v="970"/>
    <x v="1242"/>
    <x v="8"/>
    <x v="3"/>
  </r>
  <r>
    <n v="5827"/>
    <x v="2907"/>
    <x v="213"/>
    <d v="2018-09-06T00:00:00"/>
    <s v="Second Class"/>
    <x v="683"/>
    <s v="Katrina Bavinger"/>
    <x v="2"/>
    <s v="United States"/>
    <s v="New York City"/>
    <x v="15"/>
    <n v="10035"/>
    <x v="3"/>
    <x v="1719"/>
    <x v="0"/>
    <x v="1"/>
    <x v="1706"/>
    <x v="4004"/>
    <x v="8"/>
    <x v="3"/>
  </r>
  <r>
    <n v="5828"/>
    <x v="2907"/>
    <x v="213"/>
    <d v="2018-09-06T00:00:00"/>
    <s v="Second Class"/>
    <x v="683"/>
    <s v="Katrina Bavinger"/>
    <x v="2"/>
    <s v="United States"/>
    <s v="New York City"/>
    <x v="15"/>
    <n v="10035"/>
    <x v="3"/>
    <x v="211"/>
    <x v="0"/>
    <x v="1"/>
    <x v="212"/>
    <x v="4005"/>
    <x v="8"/>
    <x v="3"/>
  </r>
  <r>
    <n v="5829"/>
    <x v="2907"/>
    <x v="213"/>
    <d v="2018-09-06T00:00:00"/>
    <s v="Second Class"/>
    <x v="683"/>
    <s v="Katrina Bavinger"/>
    <x v="2"/>
    <s v="United States"/>
    <s v="New York City"/>
    <x v="15"/>
    <n v="10035"/>
    <x v="3"/>
    <x v="1061"/>
    <x v="1"/>
    <x v="6"/>
    <x v="1050"/>
    <x v="345"/>
    <x v="8"/>
    <x v="3"/>
  </r>
  <r>
    <n v="5830"/>
    <x v="2908"/>
    <x v="275"/>
    <d v="2017-12-07T00:00:00"/>
    <s v="Standard Class"/>
    <x v="462"/>
    <s v="Michael Moore"/>
    <x v="0"/>
    <s v="United States"/>
    <s v="Richmond"/>
    <x v="14"/>
    <n v="47374"/>
    <x v="2"/>
    <x v="309"/>
    <x v="0"/>
    <x v="3"/>
    <x v="309"/>
    <x v="4006"/>
    <x v="4"/>
    <x v="0"/>
  </r>
  <r>
    <n v="5831"/>
    <x v="2908"/>
    <x v="275"/>
    <d v="2017-12-07T00:00:00"/>
    <s v="Standard Class"/>
    <x v="462"/>
    <s v="Michael Moore"/>
    <x v="0"/>
    <s v="United States"/>
    <s v="Richmond"/>
    <x v="14"/>
    <n v="47374"/>
    <x v="2"/>
    <x v="1144"/>
    <x v="0"/>
    <x v="1"/>
    <x v="1132"/>
    <x v="4007"/>
    <x v="4"/>
    <x v="0"/>
  </r>
  <r>
    <n v="5832"/>
    <x v="2909"/>
    <x v="1074"/>
    <d v="2016-07-22T00:00:00"/>
    <s v="Standard Class"/>
    <x v="288"/>
    <s v="Roland Fjeld"/>
    <x v="0"/>
    <s v="United States"/>
    <s v="San Diego"/>
    <x v="1"/>
    <n v="92105"/>
    <x v="1"/>
    <x v="1301"/>
    <x v="2"/>
    <x v="11"/>
    <x v="1286"/>
    <x v="4008"/>
    <x v="7"/>
    <x v="1"/>
  </r>
  <r>
    <n v="5833"/>
    <x v="2910"/>
    <x v="658"/>
    <d v="2017-07-26T00:00:00"/>
    <s v="Standard Class"/>
    <x v="443"/>
    <s v="Beth Paige"/>
    <x v="0"/>
    <s v="United States"/>
    <s v="Concord"/>
    <x v="3"/>
    <n v="28027"/>
    <x v="0"/>
    <x v="948"/>
    <x v="1"/>
    <x v="2"/>
    <x v="941"/>
    <x v="301"/>
    <x v="7"/>
    <x v="0"/>
  </r>
  <r>
    <n v="5834"/>
    <x v="2910"/>
    <x v="658"/>
    <d v="2017-07-26T00:00:00"/>
    <s v="Standard Class"/>
    <x v="443"/>
    <s v="Beth Paige"/>
    <x v="0"/>
    <s v="United States"/>
    <s v="Concord"/>
    <x v="3"/>
    <n v="28027"/>
    <x v="0"/>
    <x v="955"/>
    <x v="0"/>
    <x v="1"/>
    <x v="948"/>
    <x v="4009"/>
    <x v="7"/>
    <x v="0"/>
  </r>
  <r>
    <n v="5835"/>
    <x v="2911"/>
    <x v="988"/>
    <d v="2016-06-16T00:00:00"/>
    <s v="Standard Class"/>
    <x v="77"/>
    <s v="Max Jones"/>
    <x v="0"/>
    <s v="United States"/>
    <s v="Miami"/>
    <x v="2"/>
    <n v="33178"/>
    <x v="0"/>
    <x v="1636"/>
    <x v="1"/>
    <x v="8"/>
    <x v="1626"/>
    <x v="4010"/>
    <x v="1"/>
    <x v="1"/>
  </r>
  <r>
    <n v="5836"/>
    <x v="2911"/>
    <x v="988"/>
    <d v="2016-06-16T00:00:00"/>
    <s v="Standard Class"/>
    <x v="77"/>
    <s v="Max Jones"/>
    <x v="0"/>
    <s v="United States"/>
    <s v="Miami"/>
    <x v="2"/>
    <n v="33178"/>
    <x v="0"/>
    <x v="1160"/>
    <x v="1"/>
    <x v="8"/>
    <x v="1147"/>
    <x v="1782"/>
    <x v="1"/>
    <x v="1"/>
  </r>
  <r>
    <n v="5837"/>
    <x v="2911"/>
    <x v="988"/>
    <d v="2016-06-16T00:00:00"/>
    <s v="Standard Class"/>
    <x v="77"/>
    <s v="Max Jones"/>
    <x v="0"/>
    <s v="United States"/>
    <s v="Miami"/>
    <x v="2"/>
    <n v="33178"/>
    <x v="0"/>
    <x v="1700"/>
    <x v="2"/>
    <x v="11"/>
    <x v="1688"/>
    <x v="4011"/>
    <x v="1"/>
    <x v="1"/>
  </r>
  <r>
    <n v="5838"/>
    <x v="2912"/>
    <x v="344"/>
    <d v="2018-12-03T00:00:00"/>
    <s v="Standard Class"/>
    <x v="770"/>
    <s v="Doug O'Connell"/>
    <x v="0"/>
    <s v="United States"/>
    <s v="Los Angeles"/>
    <x v="1"/>
    <n v="90036"/>
    <x v="1"/>
    <x v="1763"/>
    <x v="2"/>
    <x v="7"/>
    <x v="1752"/>
    <x v="4012"/>
    <x v="0"/>
    <x v="3"/>
  </r>
  <r>
    <n v="5839"/>
    <x v="2913"/>
    <x v="1075"/>
    <d v="2016-04-03T00:00:00"/>
    <s v="Standard Class"/>
    <x v="597"/>
    <s v="Mark Van Huff"/>
    <x v="0"/>
    <s v="United States"/>
    <s v="Seattle"/>
    <x v="4"/>
    <n v="98115"/>
    <x v="1"/>
    <x v="1764"/>
    <x v="1"/>
    <x v="4"/>
    <x v="1753"/>
    <x v="4013"/>
    <x v="10"/>
    <x v="1"/>
  </r>
  <r>
    <n v="5840"/>
    <x v="2914"/>
    <x v="357"/>
    <d v="2016-09-26T00:00:00"/>
    <s v="Second Class"/>
    <x v="675"/>
    <s v="Michael Grace"/>
    <x v="2"/>
    <s v="United States"/>
    <s v="Arlington"/>
    <x v="17"/>
    <n v="22204"/>
    <x v="0"/>
    <x v="1193"/>
    <x v="1"/>
    <x v="10"/>
    <x v="1178"/>
    <x v="56"/>
    <x v="8"/>
    <x v="1"/>
  </r>
  <r>
    <n v="5841"/>
    <x v="2914"/>
    <x v="357"/>
    <d v="2016-09-26T00:00:00"/>
    <s v="Second Class"/>
    <x v="675"/>
    <s v="Michael Grace"/>
    <x v="2"/>
    <s v="United States"/>
    <s v="Arlington"/>
    <x v="17"/>
    <n v="22204"/>
    <x v="0"/>
    <x v="928"/>
    <x v="0"/>
    <x v="5"/>
    <x v="921"/>
    <x v="3175"/>
    <x v="8"/>
    <x v="1"/>
  </r>
  <r>
    <n v="5842"/>
    <x v="2915"/>
    <x v="972"/>
    <d v="2016-11-21T00:00:00"/>
    <s v="Standard Class"/>
    <x v="574"/>
    <s v="Brian Stugart"/>
    <x v="0"/>
    <s v="United States"/>
    <s v="San Diego"/>
    <x v="1"/>
    <n v="92105"/>
    <x v="1"/>
    <x v="1765"/>
    <x v="2"/>
    <x v="7"/>
    <x v="1754"/>
    <x v="4014"/>
    <x v="0"/>
    <x v="1"/>
  </r>
  <r>
    <n v="5843"/>
    <x v="2915"/>
    <x v="972"/>
    <d v="2016-11-21T00:00:00"/>
    <s v="Standard Class"/>
    <x v="574"/>
    <s v="Brian Stugart"/>
    <x v="0"/>
    <s v="United States"/>
    <s v="San Diego"/>
    <x v="1"/>
    <n v="92105"/>
    <x v="1"/>
    <x v="886"/>
    <x v="1"/>
    <x v="4"/>
    <x v="879"/>
    <x v="4015"/>
    <x v="0"/>
    <x v="1"/>
  </r>
  <r>
    <n v="5844"/>
    <x v="2915"/>
    <x v="972"/>
    <d v="2016-11-21T00:00:00"/>
    <s v="Standard Class"/>
    <x v="574"/>
    <s v="Brian Stugart"/>
    <x v="0"/>
    <s v="United States"/>
    <s v="San Diego"/>
    <x v="1"/>
    <n v="92105"/>
    <x v="1"/>
    <x v="1702"/>
    <x v="0"/>
    <x v="5"/>
    <x v="1691"/>
    <x v="4016"/>
    <x v="0"/>
    <x v="1"/>
  </r>
  <r>
    <n v="5845"/>
    <x v="2915"/>
    <x v="972"/>
    <d v="2016-11-21T00:00:00"/>
    <s v="Standard Class"/>
    <x v="574"/>
    <s v="Brian Stugart"/>
    <x v="0"/>
    <s v="United States"/>
    <s v="San Diego"/>
    <x v="1"/>
    <n v="92105"/>
    <x v="1"/>
    <x v="1667"/>
    <x v="1"/>
    <x v="4"/>
    <x v="1655"/>
    <x v="4017"/>
    <x v="0"/>
    <x v="1"/>
  </r>
  <r>
    <n v="5846"/>
    <x v="2915"/>
    <x v="972"/>
    <d v="2016-11-21T00:00:00"/>
    <s v="Standard Class"/>
    <x v="574"/>
    <s v="Brian Stugart"/>
    <x v="0"/>
    <s v="United States"/>
    <s v="San Diego"/>
    <x v="1"/>
    <n v="92105"/>
    <x v="1"/>
    <x v="988"/>
    <x v="1"/>
    <x v="10"/>
    <x v="981"/>
    <x v="56"/>
    <x v="0"/>
    <x v="1"/>
  </r>
  <r>
    <n v="5847"/>
    <x v="2915"/>
    <x v="972"/>
    <d v="2016-11-21T00:00:00"/>
    <s v="Standard Class"/>
    <x v="574"/>
    <s v="Brian Stugart"/>
    <x v="0"/>
    <s v="United States"/>
    <s v="San Diego"/>
    <x v="1"/>
    <n v="92105"/>
    <x v="1"/>
    <x v="901"/>
    <x v="0"/>
    <x v="1"/>
    <x v="893"/>
    <x v="4018"/>
    <x v="0"/>
    <x v="1"/>
  </r>
  <r>
    <n v="5848"/>
    <x v="2915"/>
    <x v="972"/>
    <d v="2016-11-21T00:00:00"/>
    <s v="Standard Class"/>
    <x v="574"/>
    <s v="Brian Stugart"/>
    <x v="0"/>
    <s v="United States"/>
    <s v="San Diego"/>
    <x v="1"/>
    <n v="92105"/>
    <x v="1"/>
    <x v="1122"/>
    <x v="0"/>
    <x v="5"/>
    <x v="1110"/>
    <x v="3031"/>
    <x v="0"/>
    <x v="1"/>
  </r>
  <r>
    <n v="5849"/>
    <x v="2916"/>
    <x v="113"/>
    <d v="2016-11-14T00:00:00"/>
    <s v="Standard Class"/>
    <x v="178"/>
    <s v="Philisse Overcash"/>
    <x v="2"/>
    <s v="United States"/>
    <s v="Roseville"/>
    <x v="11"/>
    <n v="55113"/>
    <x v="2"/>
    <x v="847"/>
    <x v="1"/>
    <x v="9"/>
    <x v="841"/>
    <x v="4019"/>
    <x v="0"/>
    <x v="1"/>
  </r>
  <r>
    <n v="5850"/>
    <x v="2916"/>
    <x v="113"/>
    <d v="2016-11-14T00:00:00"/>
    <s v="Standard Class"/>
    <x v="178"/>
    <s v="Philisse Overcash"/>
    <x v="2"/>
    <s v="United States"/>
    <s v="Roseville"/>
    <x v="11"/>
    <n v="55113"/>
    <x v="2"/>
    <x v="1244"/>
    <x v="1"/>
    <x v="4"/>
    <x v="1227"/>
    <x v="4020"/>
    <x v="0"/>
    <x v="1"/>
  </r>
  <r>
    <n v="5851"/>
    <x v="2916"/>
    <x v="113"/>
    <d v="2016-11-14T00:00:00"/>
    <s v="Standard Class"/>
    <x v="178"/>
    <s v="Philisse Overcash"/>
    <x v="2"/>
    <s v="United States"/>
    <s v="Roseville"/>
    <x v="11"/>
    <n v="55113"/>
    <x v="2"/>
    <x v="1572"/>
    <x v="2"/>
    <x v="16"/>
    <x v="1563"/>
    <x v="3629"/>
    <x v="0"/>
    <x v="1"/>
  </r>
  <r>
    <n v="5852"/>
    <x v="2916"/>
    <x v="113"/>
    <d v="2016-11-14T00:00:00"/>
    <s v="Standard Class"/>
    <x v="178"/>
    <s v="Philisse Overcash"/>
    <x v="2"/>
    <s v="United States"/>
    <s v="Roseville"/>
    <x v="11"/>
    <n v="55113"/>
    <x v="2"/>
    <x v="444"/>
    <x v="1"/>
    <x v="8"/>
    <x v="444"/>
    <x v="4021"/>
    <x v="0"/>
    <x v="1"/>
  </r>
  <r>
    <n v="5853"/>
    <x v="2916"/>
    <x v="113"/>
    <d v="2016-11-14T00:00:00"/>
    <s v="Standard Class"/>
    <x v="178"/>
    <s v="Philisse Overcash"/>
    <x v="2"/>
    <s v="United States"/>
    <s v="Roseville"/>
    <x v="11"/>
    <n v="55113"/>
    <x v="2"/>
    <x v="221"/>
    <x v="0"/>
    <x v="5"/>
    <x v="222"/>
    <x v="4022"/>
    <x v="0"/>
    <x v="1"/>
  </r>
  <r>
    <n v="5854"/>
    <x v="2917"/>
    <x v="1076"/>
    <d v="2015-09-14T00:00:00"/>
    <s v="Standard Class"/>
    <x v="526"/>
    <s v="Dianna Arnett"/>
    <x v="2"/>
    <s v="United States"/>
    <s v="Virginia Beach"/>
    <x v="17"/>
    <n v="23464"/>
    <x v="0"/>
    <x v="308"/>
    <x v="1"/>
    <x v="8"/>
    <x v="308"/>
    <x v="1313"/>
    <x v="8"/>
    <x v="2"/>
  </r>
  <r>
    <n v="5855"/>
    <x v="2918"/>
    <x v="1077"/>
    <d v="2016-08-11T00:00:00"/>
    <s v="Standard Class"/>
    <x v="706"/>
    <s v="Anna Häberlin"/>
    <x v="1"/>
    <s v="United States"/>
    <s v="Dallas"/>
    <x v="5"/>
    <n v="75220"/>
    <x v="2"/>
    <x v="1198"/>
    <x v="1"/>
    <x v="4"/>
    <x v="1183"/>
    <x v="1383"/>
    <x v="6"/>
    <x v="1"/>
  </r>
  <r>
    <n v="5856"/>
    <x v="2918"/>
    <x v="1077"/>
    <d v="2016-08-11T00:00:00"/>
    <s v="Standard Class"/>
    <x v="706"/>
    <s v="Anna Häberlin"/>
    <x v="1"/>
    <s v="United States"/>
    <s v="Dallas"/>
    <x v="5"/>
    <n v="75220"/>
    <x v="2"/>
    <x v="1511"/>
    <x v="1"/>
    <x v="14"/>
    <x v="1498"/>
    <x v="4023"/>
    <x v="6"/>
    <x v="1"/>
  </r>
  <r>
    <n v="5857"/>
    <x v="2918"/>
    <x v="1077"/>
    <d v="2016-08-11T00:00:00"/>
    <s v="Standard Class"/>
    <x v="706"/>
    <s v="Anna Häberlin"/>
    <x v="1"/>
    <s v="United States"/>
    <s v="Dallas"/>
    <x v="5"/>
    <n v="75220"/>
    <x v="2"/>
    <x v="1282"/>
    <x v="1"/>
    <x v="8"/>
    <x v="1267"/>
    <x v="4024"/>
    <x v="6"/>
    <x v="1"/>
  </r>
  <r>
    <n v="5858"/>
    <x v="2918"/>
    <x v="1077"/>
    <d v="2016-08-11T00:00:00"/>
    <s v="Standard Class"/>
    <x v="706"/>
    <s v="Anna Häberlin"/>
    <x v="1"/>
    <s v="United States"/>
    <s v="Dallas"/>
    <x v="5"/>
    <n v="75220"/>
    <x v="2"/>
    <x v="1256"/>
    <x v="0"/>
    <x v="5"/>
    <x v="1240"/>
    <x v="1787"/>
    <x v="6"/>
    <x v="1"/>
  </r>
  <r>
    <n v="5859"/>
    <x v="2919"/>
    <x v="213"/>
    <d v="2018-09-07T00:00:00"/>
    <s v="Second Class"/>
    <x v="300"/>
    <s v="Joe Kamberova"/>
    <x v="0"/>
    <s v="United States"/>
    <s v="Concord"/>
    <x v="1"/>
    <n v="94521"/>
    <x v="1"/>
    <x v="1601"/>
    <x v="0"/>
    <x v="0"/>
    <x v="1593"/>
    <x v="4025"/>
    <x v="8"/>
    <x v="3"/>
  </r>
  <r>
    <n v="5860"/>
    <x v="2920"/>
    <x v="549"/>
    <d v="2016-11-08T00:00:00"/>
    <s v="Standard Class"/>
    <x v="652"/>
    <s v="MaryBeth Skach"/>
    <x v="0"/>
    <s v="United States"/>
    <s v="Conway"/>
    <x v="36"/>
    <n v="72032"/>
    <x v="0"/>
    <x v="1000"/>
    <x v="0"/>
    <x v="3"/>
    <x v="992"/>
    <x v="85"/>
    <x v="0"/>
    <x v="1"/>
  </r>
  <r>
    <n v="5861"/>
    <x v="2921"/>
    <x v="1078"/>
    <d v="2016-05-04T00:00:00"/>
    <s v="Second Class"/>
    <x v="82"/>
    <s v="Jim Kriz"/>
    <x v="2"/>
    <s v="United States"/>
    <s v="Philadelphia"/>
    <x v="9"/>
    <n v="19120"/>
    <x v="3"/>
    <x v="1050"/>
    <x v="1"/>
    <x v="10"/>
    <x v="1039"/>
    <x v="885"/>
    <x v="3"/>
    <x v="1"/>
  </r>
  <r>
    <n v="5862"/>
    <x v="2922"/>
    <x v="766"/>
    <d v="2017-05-04T00:00:00"/>
    <s v="Second Class"/>
    <x v="632"/>
    <s v="Chris McAfee"/>
    <x v="0"/>
    <s v="United States"/>
    <s v="Little Rock"/>
    <x v="36"/>
    <n v="72209"/>
    <x v="0"/>
    <x v="1766"/>
    <x v="1"/>
    <x v="10"/>
    <x v="1755"/>
    <x v="1427"/>
    <x v="5"/>
    <x v="0"/>
  </r>
  <r>
    <n v="5863"/>
    <x v="2922"/>
    <x v="766"/>
    <d v="2017-05-04T00:00:00"/>
    <s v="Second Class"/>
    <x v="632"/>
    <s v="Chris McAfee"/>
    <x v="0"/>
    <s v="United States"/>
    <s v="Little Rock"/>
    <x v="36"/>
    <n v="72209"/>
    <x v="0"/>
    <x v="1307"/>
    <x v="1"/>
    <x v="10"/>
    <x v="1292"/>
    <x v="537"/>
    <x v="5"/>
    <x v="0"/>
  </r>
  <r>
    <n v="5864"/>
    <x v="2922"/>
    <x v="766"/>
    <d v="2017-05-04T00:00:00"/>
    <s v="Second Class"/>
    <x v="632"/>
    <s v="Chris McAfee"/>
    <x v="0"/>
    <s v="United States"/>
    <s v="Little Rock"/>
    <x v="36"/>
    <n v="72209"/>
    <x v="0"/>
    <x v="796"/>
    <x v="1"/>
    <x v="6"/>
    <x v="794"/>
    <x v="946"/>
    <x v="5"/>
    <x v="0"/>
  </r>
  <r>
    <n v="5865"/>
    <x v="2923"/>
    <x v="79"/>
    <d v="2015-08-07T00:00:00"/>
    <s v="Second Class"/>
    <x v="602"/>
    <s v="Ricardo Sperren"/>
    <x v="1"/>
    <s v="United States"/>
    <s v="Meriden"/>
    <x v="29"/>
    <n v="6450"/>
    <x v="3"/>
    <x v="1276"/>
    <x v="1"/>
    <x v="9"/>
    <x v="1261"/>
    <x v="1941"/>
    <x v="6"/>
    <x v="2"/>
  </r>
  <r>
    <n v="5866"/>
    <x v="2923"/>
    <x v="79"/>
    <d v="2015-08-07T00:00:00"/>
    <s v="Second Class"/>
    <x v="602"/>
    <s v="Ricardo Sperren"/>
    <x v="1"/>
    <s v="United States"/>
    <s v="Meriden"/>
    <x v="29"/>
    <n v="6450"/>
    <x v="3"/>
    <x v="1605"/>
    <x v="1"/>
    <x v="6"/>
    <x v="1597"/>
    <x v="4026"/>
    <x v="6"/>
    <x v="2"/>
  </r>
  <r>
    <n v="5867"/>
    <x v="2923"/>
    <x v="79"/>
    <d v="2015-08-07T00:00:00"/>
    <s v="Second Class"/>
    <x v="602"/>
    <s v="Ricardo Sperren"/>
    <x v="1"/>
    <s v="United States"/>
    <s v="Meriden"/>
    <x v="29"/>
    <n v="6450"/>
    <x v="3"/>
    <x v="629"/>
    <x v="0"/>
    <x v="1"/>
    <x v="629"/>
    <x v="4027"/>
    <x v="6"/>
    <x v="2"/>
  </r>
  <r>
    <n v="5868"/>
    <x v="2924"/>
    <x v="810"/>
    <d v="2017-01-08T00:00:00"/>
    <s v="Standard Class"/>
    <x v="130"/>
    <s v="Ben Peterman"/>
    <x v="1"/>
    <s v="United States"/>
    <s v="Philadelphia"/>
    <x v="9"/>
    <n v="19143"/>
    <x v="3"/>
    <x v="512"/>
    <x v="1"/>
    <x v="6"/>
    <x v="512"/>
    <x v="1081"/>
    <x v="9"/>
    <x v="0"/>
  </r>
  <r>
    <n v="5869"/>
    <x v="2924"/>
    <x v="810"/>
    <d v="2017-01-08T00:00:00"/>
    <s v="Standard Class"/>
    <x v="130"/>
    <s v="Ben Peterman"/>
    <x v="1"/>
    <s v="United States"/>
    <s v="Philadelphia"/>
    <x v="9"/>
    <n v="19143"/>
    <x v="3"/>
    <x v="920"/>
    <x v="1"/>
    <x v="8"/>
    <x v="912"/>
    <x v="4028"/>
    <x v="9"/>
    <x v="0"/>
  </r>
  <r>
    <n v="5870"/>
    <x v="2925"/>
    <x v="77"/>
    <d v="2017-11-12T00:00:00"/>
    <s v="Standard Class"/>
    <x v="671"/>
    <s v="Michelle Arnett"/>
    <x v="2"/>
    <s v="United States"/>
    <s v="Cheyenne"/>
    <x v="47"/>
    <n v="82001"/>
    <x v="1"/>
    <x v="445"/>
    <x v="0"/>
    <x v="1"/>
    <x v="445"/>
    <x v="2311"/>
    <x v="0"/>
    <x v="0"/>
  </r>
  <r>
    <n v="5871"/>
    <x v="2926"/>
    <x v="403"/>
    <d v="2017-06-14T00:00:00"/>
    <s v="Same Day"/>
    <x v="182"/>
    <s v="Ed Braxton"/>
    <x v="1"/>
    <s v="United States"/>
    <s v="Anaheim"/>
    <x v="1"/>
    <n v="92804"/>
    <x v="1"/>
    <x v="1744"/>
    <x v="0"/>
    <x v="3"/>
    <x v="1733"/>
    <x v="4029"/>
    <x v="1"/>
    <x v="0"/>
  </r>
  <r>
    <n v="5872"/>
    <x v="2927"/>
    <x v="446"/>
    <d v="2017-09-28T00:00:00"/>
    <s v="Standard Class"/>
    <x v="76"/>
    <s v="Ruben Dartt"/>
    <x v="0"/>
    <s v="United States"/>
    <s v="Bloomington"/>
    <x v="14"/>
    <n v="47401"/>
    <x v="2"/>
    <x v="101"/>
    <x v="0"/>
    <x v="5"/>
    <x v="101"/>
    <x v="4030"/>
    <x v="8"/>
    <x v="0"/>
  </r>
  <r>
    <n v="5873"/>
    <x v="2928"/>
    <x v="983"/>
    <d v="2018-04-03T00:00:00"/>
    <s v="Standard Class"/>
    <x v="467"/>
    <s v="Maria Etezadi"/>
    <x v="2"/>
    <s v="United States"/>
    <s v="Columbus"/>
    <x v="32"/>
    <n v="31907"/>
    <x v="0"/>
    <x v="42"/>
    <x v="1"/>
    <x v="4"/>
    <x v="42"/>
    <x v="4031"/>
    <x v="10"/>
    <x v="3"/>
  </r>
  <r>
    <n v="5874"/>
    <x v="2929"/>
    <x v="400"/>
    <d v="2018-06-04T00:00:00"/>
    <s v="Same Day"/>
    <x v="382"/>
    <s v="Erica Hernandez"/>
    <x v="2"/>
    <s v="United States"/>
    <s v="Jonesboro"/>
    <x v="36"/>
    <n v="72401"/>
    <x v="0"/>
    <x v="1087"/>
    <x v="1"/>
    <x v="8"/>
    <x v="1077"/>
    <x v="4032"/>
    <x v="1"/>
    <x v="3"/>
  </r>
  <r>
    <n v="5875"/>
    <x v="2929"/>
    <x v="400"/>
    <d v="2018-06-04T00:00:00"/>
    <s v="Same Day"/>
    <x v="382"/>
    <s v="Erica Hernandez"/>
    <x v="2"/>
    <s v="United States"/>
    <s v="Jonesboro"/>
    <x v="36"/>
    <n v="72401"/>
    <x v="0"/>
    <x v="1310"/>
    <x v="1"/>
    <x v="8"/>
    <x v="1296"/>
    <x v="4033"/>
    <x v="1"/>
    <x v="3"/>
  </r>
  <r>
    <n v="5876"/>
    <x v="2930"/>
    <x v="1003"/>
    <d v="2016-04-09T00:00:00"/>
    <s v="First Class"/>
    <x v="86"/>
    <s v="Frank Merwin"/>
    <x v="2"/>
    <s v="United States"/>
    <s v="Philadelphia"/>
    <x v="9"/>
    <n v="19140"/>
    <x v="3"/>
    <x v="563"/>
    <x v="1"/>
    <x v="6"/>
    <x v="563"/>
    <x v="4034"/>
    <x v="3"/>
    <x v="1"/>
  </r>
  <r>
    <n v="5877"/>
    <x v="2931"/>
    <x v="371"/>
    <d v="2015-05-26T00:00:00"/>
    <s v="Standard Class"/>
    <x v="435"/>
    <s v="Frank Gastineau"/>
    <x v="2"/>
    <s v="United States"/>
    <s v="Lawrence"/>
    <x v="31"/>
    <n v="1841"/>
    <x v="3"/>
    <x v="669"/>
    <x v="1"/>
    <x v="8"/>
    <x v="669"/>
    <x v="2456"/>
    <x v="5"/>
    <x v="2"/>
  </r>
  <r>
    <n v="5878"/>
    <x v="2931"/>
    <x v="371"/>
    <d v="2015-05-26T00:00:00"/>
    <s v="Standard Class"/>
    <x v="435"/>
    <s v="Frank Gastineau"/>
    <x v="2"/>
    <s v="United States"/>
    <s v="Lawrence"/>
    <x v="31"/>
    <n v="1841"/>
    <x v="3"/>
    <x v="1665"/>
    <x v="1"/>
    <x v="10"/>
    <x v="1653"/>
    <x v="1444"/>
    <x v="5"/>
    <x v="2"/>
  </r>
  <r>
    <n v="5879"/>
    <x v="2931"/>
    <x v="371"/>
    <d v="2015-05-26T00:00:00"/>
    <s v="Standard Class"/>
    <x v="435"/>
    <s v="Frank Gastineau"/>
    <x v="2"/>
    <s v="United States"/>
    <s v="Lawrence"/>
    <x v="31"/>
    <n v="1841"/>
    <x v="3"/>
    <x v="1360"/>
    <x v="1"/>
    <x v="9"/>
    <x v="1346"/>
    <x v="3496"/>
    <x v="5"/>
    <x v="2"/>
  </r>
  <r>
    <n v="5880"/>
    <x v="2932"/>
    <x v="64"/>
    <d v="2017-09-11T00:00:00"/>
    <s v="Standard Class"/>
    <x v="597"/>
    <s v="Mark Van Huff"/>
    <x v="0"/>
    <s v="United States"/>
    <s v="New York City"/>
    <x v="15"/>
    <n v="10011"/>
    <x v="3"/>
    <x v="1415"/>
    <x v="1"/>
    <x v="10"/>
    <x v="1402"/>
    <x v="801"/>
    <x v="8"/>
    <x v="0"/>
  </r>
  <r>
    <n v="5881"/>
    <x v="2933"/>
    <x v="31"/>
    <d v="2017-09-22T00:00:00"/>
    <s v="Standard Class"/>
    <x v="478"/>
    <s v="Jane Waco"/>
    <x v="1"/>
    <s v="United States"/>
    <s v="San Diego"/>
    <x v="1"/>
    <n v="92105"/>
    <x v="1"/>
    <x v="445"/>
    <x v="0"/>
    <x v="1"/>
    <x v="445"/>
    <x v="476"/>
    <x v="8"/>
    <x v="0"/>
  </r>
  <r>
    <n v="5882"/>
    <x v="2933"/>
    <x v="31"/>
    <d v="2017-09-22T00:00:00"/>
    <s v="Standard Class"/>
    <x v="478"/>
    <s v="Jane Waco"/>
    <x v="1"/>
    <s v="United States"/>
    <s v="San Diego"/>
    <x v="1"/>
    <n v="92105"/>
    <x v="1"/>
    <x v="839"/>
    <x v="1"/>
    <x v="10"/>
    <x v="833"/>
    <x v="1519"/>
    <x v="8"/>
    <x v="0"/>
  </r>
  <r>
    <n v="5883"/>
    <x v="2933"/>
    <x v="31"/>
    <d v="2017-09-22T00:00:00"/>
    <s v="Standard Class"/>
    <x v="478"/>
    <s v="Jane Waco"/>
    <x v="1"/>
    <s v="United States"/>
    <s v="San Diego"/>
    <x v="1"/>
    <n v="92105"/>
    <x v="1"/>
    <x v="812"/>
    <x v="0"/>
    <x v="1"/>
    <x v="809"/>
    <x v="4035"/>
    <x v="8"/>
    <x v="0"/>
  </r>
  <r>
    <n v="5884"/>
    <x v="2934"/>
    <x v="69"/>
    <d v="2017-03-15T00:00:00"/>
    <s v="Second Class"/>
    <x v="553"/>
    <s v="Edward Hooks"/>
    <x v="1"/>
    <s v="United States"/>
    <s v="San Francisco"/>
    <x v="1"/>
    <n v="94109"/>
    <x v="1"/>
    <x v="375"/>
    <x v="0"/>
    <x v="5"/>
    <x v="376"/>
    <x v="4036"/>
    <x v="10"/>
    <x v="0"/>
  </r>
  <r>
    <n v="5885"/>
    <x v="2934"/>
    <x v="69"/>
    <d v="2017-03-15T00:00:00"/>
    <s v="Second Class"/>
    <x v="553"/>
    <s v="Edward Hooks"/>
    <x v="1"/>
    <s v="United States"/>
    <s v="San Francisco"/>
    <x v="1"/>
    <n v="94109"/>
    <x v="1"/>
    <x v="1359"/>
    <x v="1"/>
    <x v="14"/>
    <x v="1345"/>
    <x v="4037"/>
    <x v="10"/>
    <x v="0"/>
  </r>
  <r>
    <n v="5886"/>
    <x v="2935"/>
    <x v="1079"/>
    <d v="2015-10-17T00:00:00"/>
    <s v="Same Day"/>
    <x v="201"/>
    <s v="Lynn Smith"/>
    <x v="0"/>
    <s v="United States"/>
    <s v="San Francisco"/>
    <x v="1"/>
    <n v="94110"/>
    <x v="1"/>
    <x v="952"/>
    <x v="1"/>
    <x v="8"/>
    <x v="945"/>
    <x v="642"/>
    <x v="2"/>
    <x v="2"/>
  </r>
  <r>
    <n v="5887"/>
    <x v="2935"/>
    <x v="1079"/>
    <d v="2015-10-17T00:00:00"/>
    <s v="Same Day"/>
    <x v="201"/>
    <s v="Lynn Smith"/>
    <x v="0"/>
    <s v="United States"/>
    <s v="San Francisco"/>
    <x v="1"/>
    <n v="94110"/>
    <x v="1"/>
    <x v="603"/>
    <x v="2"/>
    <x v="11"/>
    <x v="603"/>
    <x v="686"/>
    <x v="2"/>
    <x v="2"/>
  </r>
  <r>
    <n v="5888"/>
    <x v="2936"/>
    <x v="1048"/>
    <d v="2018-10-11T00:00:00"/>
    <s v="First Class"/>
    <x v="771"/>
    <s v="Barry Pond"/>
    <x v="1"/>
    <s v="United States"/>
    <s v="Cranston"/>
    <x v="34"/>
    <n v="2920"/>
    <x v="3"/>
    <x v="1354"/>
    <x v="1"/>
    <x v="4"/>
    <x v="1340"/>
    <x v="3802"/>
    <x v="2"/>
    <x v="3"/>
  </r>
  <r>
    <n v="5889"/>
    <x v="2937"/>
    <x v="820"/>
    <d v="2016-05-12T00:00:00"/>
    <s v="Standard Class"/>
    <x v="417"/>
    <s v="Chris Cortes"/>
    <x v="0"/>
    <s v="United States"/>
    <s v="Owensboro"/>
    <x v="0"/>
    <n v="42301"/>
    <x v="0"/>
    <x v="1767"/>
    <x v="1"/>
    <x v="10"/>
    <x v="1756"/>
    <x v="1816"/>
    <x v="5"/>
    <x v="1"/>
  </r>
  <r>
    <n v="5890"/>
    <x v="2938"/>
    <x v="167"/>
    <d v="2017-04-17T00:00:00"/>
    <s v="First Class"/>
    <x v="758"/>
    <s v="Jill Matthias"/>
    <x v="0"/>
    <s v="United States"/>
    <s v="Baltimore"/>
    <x v="39"/>
    <n v="21215"/>
    <x v="3"/>
    <x v="1095"/>
    <x v="1"/>
    <x v="8"/>
    <x v="1085"/>
    <x v="2910"/>
    <x v="3"/>
    <x v="0"/>
  </r>
  <r>
    <n v="5891"/>
    <x v="2939"/>
    <x v="831"/>
    <d v="2017-11-26T00:00:00"/>
    <s v="Standard Class"/>
    <x v="742"/>
    <s v="Roger Demir"/>
    <x v="0"/>
    <s v="United States"/>
    <s v="Chicago"/>
    <x v="10"/>
    <n v="60610"/>
    <x v="2"/>
    <x v="694"/>
    <x v="1"/>
    <x v="10"/>
    <x v="694"/>
    <x v="4038"/>
    <x v="0"/>
    <x v="0"/>
  </r>
  <r>
    <n v="5892"/>
    <x v="2939"/>
    <x v="831"/>
    <d v="2017-11-26T00:00:00"/>
    <s v="Standard Class"/>
    <x v="742"/>
    <s v="Roger Demir"/>
    <x v="0"/>
    <s v="United States"/>
    <s v="Chicago"/>
    <x v="10"/>
    <n v="60610"/>
    <x v="2"/>
    <x v="146"/>
    <x v="1"/>
    <x v="4"/>
    <x v="147"/>
    <x v="4039"/>
    <x v="0"/>
    <x v="0"/>
  </r>
  <r>
    <n v="5893"/>
    <x v="2939"/>
    <x v="831"/>
    <d v="2017-11-26T00:00:00"/>
    <s v="Standard Class"/>
    <x v="742"/>
    <s v="Roger Demir"/>
    <x v="0"/>
    <s v="United States"/>
    <s v="Chicago"/>
    <x v="10"/>
    <n v="60610"/>
    <x v="2"/>
    <x v="151"/>
    <x v="2"/>
    <x v="11"/>
    <x v="152"/>
    <x v="4040"/>
    <x v="0"/>
    <x v="0"/>
  </r>
  <r>
    <n v="5894"/>
    <x v="2940"/>
    <x v="18"/>
    <d v="2018-09-14T00:00:00"/>
    <s v="Standard Class"/>
    <x v="757"/>
    <s v="Shahid Shariari"/>
    <x v="0"/>
    <s v="United States"/>
    <s v="Atlanta"/>
    <x v="32"/>
    <n v="30318"/>
    <x v="0"/>
    <x v="994"/>
    <x v="1"/>
    <x v="8"/>
    <x v="986"/>
    <x v="1094"/>
    <x v="8"/>
    <x v="3"/>
  </r>
  <r>
    <n v="5895"/>
    <x v="2941"/>
    <x v="428"/>
    <d v="2018-09-14T00:00:00"/>
    <s v="Standard Class"/>
    <x v="470"/>
    <s v="Keith Dawkins"/>
    <x v="1"/>
    <s v="United States"/>
    <s v="Los Angeles"/>
    <x v="1"/>
    <n v="90036"/>
    <x v="1"/>
    <x v="1291"/>
    <x v="1"/>
    <x v="4"/>
    <x v="1277"/>
    <x v="4041"/>
    <x v="8"/>
    <x v="3"/>
  </r>
  <r>
    <n v="5896"/>
    <x v="2942"/>
    <x v="301"/>
    <d v="2015-11-08T00:00:00"/>
    <s v="Standard Class"/>
    <x v="484"/>
    <s v="Paul Lucas"/>
    <x v="2"/>
    <s v="United States"/>
    <s v="Los Angeles"/>
    <x v="1"/>
    <n v="90049"/>
    <x v="1"/>
    <x v="1760"/>
    <x v="1"/>
    <x v="2"/>
    <x v="1749"/>
    <x v="1821"/>
    <x v="0"/>
    <x v="2"/>
  </r>
  <r>
    <n v="5897"/>
    <x v="2942"/>
    <x v="301"/>
    <d v="2015-11-08T00:00:00"/>
    <s v="Standard Class"/>
    <x v="484"/>
    <s v="Paul Lucas"/>
    <x v="2"/>
    <s v="United States"/>
    <s v="Los Angeles"/>
    <x v="1"/>
    <n v="90049"/>
    <x v="1"/>
    <x v="1115"/>
    <x v="1"/>
    <x v="10"/>
    <x v="33"/>
    <x v="1567"/>
    <x v="0"/>
    <x v="2"/>
  </r>
  <r>
    <n v="5898"/>
    <x v="2943"/>
    <x v="1015"/>
    <d v="2017-04-09T00:00:00"/>
    <s v="Standard Class"/>
    <x v="9"/>
    <s v="Zuschuss Donatelli"/>
    <x v="0"/>
    <s v="United States"/>
    <s v="Richmond"/>
    <x v="14"/>
    <n v="47374"/>
    <x v="2"/>
    <x v="90"/>
    <x v="0"/>
    <x v="5"/>
    <x v="90"/>
    <x v="4042"/>
    <x v="3"/>
    <x v="0"/>
  </r>
  <r>
    <n v="5899"/>
    <x v="2943"/>
    <x v="1015"/>
    <d v="2017-04-09T00:00:00"/>
    <s v="Standard Class"/>
    <x v="9"/>
    <s v="Zuschuss Donatelli"/>
    <x v="0"/>
    <s v="United States"/>
    <s v="Richmond"/>
    <x v="14"/>
    <n v="47374"/>
    <x v="2"/>
    <x v="1417"/>
    <x v="2"/>
    <x v="7"/>
    <x v="1405"/>
    <x v="4043"/>
    <x v="3"/>
    <x v="0"/>
  </r>
  <r>
    <n v="5900"/>
    <x v="2944"/>
    <x v="602"/>
    <d v="2018-01-16T00:00:00"/>
    <s v="Standard Class"/>
    <x v="322"/>
    <s v="Linda Southworth"/>
    <x v="1"/>
    <s v="United States"/>
    <s v="San Francisco"/>
    <x v="1"/>
    <n v="94110"/>
    <x v="1"/>
    <x v="1170"/>
    <x v="1"/>
    <x v="12"/>
    <x v="153"/>
    <x v="3855"/>
    <x v="9"/>
    <x v="3"/>
  </r>
  <r>
    <n v="5901"/>
    <x v="2945"/>
    <x v="312"/>
    <d v="2016-11-24T00:00:00"/>
    <s v="Standard Class"/>
    <x v="583"/>
    <s v="Patrick Bzostek"/>
    <x v="2"/>
    <s v="United States"/>
    <s v="San Francisco"/>
    <x v="1"/>
    <n v="94122"/>
    <x v="1"/>
    <x v="472"/>
    <x v="1"/>
    <x v="8"/>
    <x v="473"/>
    <x v="4044"/>
    <x v="0"/>
    <x v="1"/>
  </r>
  <r>
    <n v="5902"/>
    <x v="2946"/>
    <x v="581"/>
    <d v="2017-12-02T00:00:00"/>
    <s v="Standard Class"/>
    <x v="331"/>
    <s v="Pamela Coakley"/>
    <x v="1"/>
    <s v="United States"/>
    <s v="Westfield"/>
    <x v="30"/>
    <n v="7090"/>
    <x v="3"/>
    <x v="1172"/>
    <x v="0"/>
    <x v="5"/>
    <x v="1158"/>
    <x v="610"/>
    <x v="0"/>
    <x v="0"/>
  </r>
  <r>
    <n v="5903"/>
    <x v="2947"/>
    <x v="44"/>
    <d v="2018-11-06T00:00:00"/>
    <s v="Same Day"/>
    <x v="86"/>
    <s v="Frank Merwin"/>
    <x v="2"/>
    <s v="United States"/>
    <s v="San Francisco"/>
    <x v="1"/>
    <n v="94122"/>
    <x v="1"/>
    <x v="368"/>
    <x v="1"/>
    <x v="10"/>
    <x v="369"/>
    <x v="725"/>
    <x v="0"/>
    <x v="3"/>
  </r>
  <r>
    <n v="5904"/>
    <x v="2947"/>
    <x v="44"/>
    <d v="2018-11-06T00:00:00"/>
    <s v="Same Day"/>
    <x v="86"/>
    <s v="Frank Merwin"/>
    <x v="2"/>
    <s v="United States"/>
    <s v="San Francisco"/>
    <x v="1"/>
    <n v="94122"/>
    <x v="1"/>
    <x v="1713"/>
    <x v="1"/>
    <x v="10"/>
    <x v="33"/>
    <x v="1544"/>
    <x v="0"/>
    <x v="3"/>
  </r>
  <r>
    <n v="5905"/>
    <x v="2947"/>
    <x v="44"/>
    <d v="2018-11-06T00:00:00"/>
    <s v="Same Day"/>
    <x v="86"/>
    <s v="Frank Merwin"/>
    <x v="2"/>
    <s v="United States"/>
    <s v="San Francisco"/>
    <x v="1"/>
    <n v="94122"/>
    <x v="1"/>
    <x v="1714"/>
    <x v="1"/>
    <x v="10"/>
    <x v="1701"/>
    <x v="1579"/>
    <x v="0"/>
    <x v="3"/>
  </r>
  <r>
    <n v="5906"/>
    <x v="2947"/>
    <x v="44"/>
    <d v="2018-11-06T00:00:00"/>
    <s v="Same Day"/>
    <x v="86"/>
    <s v="Frank Merwin"/>
    <x v="2"/>
    <s v="United States"/>
    <s v="San Francisco"/>
    <x v="1"/>
    <n v="94122"/>
    <x v="1"/>
    <x v="1655"/>
    <x v="1"/>
    <x v="2"/>
    <x v="1643"/>
    <x v="1399"/>
    <x v="0"/>
    <x v="3"/>
  </r>
  <r>
    <n v="5907"/>
    <x v="2947"/>
    <x v="44"/>
    <d v="2018-11-06T00:00:00"/>
    <s v="Same Day"/>
    <x v="86"/>
    <s v="Frank Merwin"/>
    <x v="2"/>
    <s v="United States"/>
    <s v="San Francisco"/>
    <x v="1"/>
    <n v="94122"/>
    <x v="1"/>
    <x v="658"/>
    <x v="2"/>
    <x v="11"/>
    <x v="658"/>
    <x v="4045"/>
    <x v="0"/>
    <x v="3"/>
  </r>
  <r>
    <n v="5908"/>
    <x v="2948"/>
    <x v="499"/>
    <d v="2017-12-07T00:00:00"/>
    <s v="Standard Class"/>
    <x v="470"/>
    <s v="Keith Dawkins"/>
    <x v="1"/>
    <s v="United States"/>
    <s v="San Jose"/>
    <x v="1"/>
    <n v="95123"/>
    <x v="1"/>
    <x v="1087"/>
    <x v="1"/>
    <x v="8"/>
    <x v="1077"/>
    <x v="4046"/>
    <x v="4"/>
    <x v="0"/>
  </r>
  <r>
    <n v="5909"/>
    <x v="2948"/>
    <x v="499"/>
    <d v="2017-12-07T00:00:00"/>
    <s v="Standard Class"/>
    <x v="470"/>
    <s v="Keith Dawkins"/>
    <x v="1"/>
    <s v="United States"/>
    <s v="San Jose"/>
    <x v="1"/>
    <n v="95123"/>
    <x v="1"/>
    <x v="941"/>
    <x v="1"/>
    <x v="9"/>
    <x v="934"/>
    <x v="3263"/>
    <x v="4"/>
    <x v="0"/>
  </r>
  <r>
    <n v="5910"/>
    <x v="2948"/>
    <x v="499"/>
    <d v="2017-12-07T00:00:00"/>
    <s v="Standard Class"/>
    <x v="470"/>
    <s v="Keith Dawkins"/>
    <x v="1"/>
    <s v="United States"/>
    <s v="San Jose"/>
    <x v="1"/>
    <n v="95123"/>
    <x v="1"/>
    <x v="1573"/>
    <x v="0"/>
    <x v="5"/>
    <x v="1564"/>
    <x v="1582"/>
    <x v="4"/>
    <x v="0"/>
  </r>
  <r>
    <n v="5911"/>
    <x v="2948"/>
    <x v="499"/>
    <d v="2017-12-07T00:00:00"/>
    <s v="Standard Class"/>
    <x v="470"/>
    <s v="Keith Dawkins"/>
    <x v="1"/>
    <s v="United States"/>
    <s v="San Jose"/>
    <x v="1"/>
    <n v="95123"/>
    <x v="1"/>
    <x v="1311"/>
    <x v="1"/>
    <x v="8"/>
    <x v="1297"/>
    <x v="4047"/>
    <x v="4"/>
    <x v="0"/>
  </r>
  <r>
    <n v="5912"/>
    <x v="2949"/>
    <x v="907"/>
    <d v="2017-12-22T00:00:00"/>
    <s v="Standard Class"/>
    <x v="649"/>
    <s v="Steve Carroll"/>
    <x v="2"/>
    <s v="United States"/>
    <s v="Seattle"/>
    <x v="4"/>
    <n v="98115"/>
    <x v="1"/>
    <x v="177"/>
    <x v="1"/>
    <x v="4"/>
    <x v="178"/>
    <x v="2028"/>
    <x v="4"/>
    <x v="0"/>
  </r>
  <r>
    <n v="5913"/>
    <x v="2950"/>
    <x v="829"/>
    <d v="2015-08-26T00:00:00"/>
    <s v="Second Class"/>
    <x v="61"/>
    <s v="Dorothy Wardle"/>
    <x v="1"/>
    <s v="United States"/>
    <s v="Owensboro"/>
    <x v="0"/>
    <n v="42301"/>
    <x v="0"/>
    <x v="1768"/>
    <x v="1"/>
    <x v="14"/>
    <x v="1757"/>
    <x v="4048"/>
    <x v="6"/>
    <x v="2"/>
  </r>
  <r>
    <n v="5914"/>
    <x v="2951"/>
    <x v="14"/>
    <d v="2016-09-23T00:00:00"/>
    <s v="Standard Class"/>
    <x v="724"/>
    <s v="Peter Fuller"/>
    <x v="0"/>
    <s v="United States"/>
    <s v="New York City"/>
    <x v="15"/>
    <n v="10035"/>
    <x v="3"/>
    <x v="383"/>
    <x v="1"/>
    <x v="4"/>
    <x v="384"/>
    <x v="81"/>
    <x v="8"/>
    <x v="1"/>
  </r>
  <r>
    <n v="5915"/>
    <x v="2951"/>
    <x v="14"/>
    <d v="2016-09-23T00:00:00"/>
    <s v="Standard Class"/>
    <x v="724"/>
    <s v="Peter Fuller"/>
    <x v="0"/>
    <s v="United States"/>
    <s v="New York City"/>
    <x v="15"/>
    <n v="10035"/>
    <x v="3"/>
    <x v="49"/>
    <x v="1"/>
    <x v="2"/>
    <x v="49"/>
    <x v="2041"/>
    <x v="8"/>
    <x v="1"/>
  </r>
  <r>
    <n v="5916"/>
    <x v="2951"/>
    <x v="14"/>
    <d v="2016-09-23T00:00:00"/>
    <s v="Standard Class"/>
    <x v="724"/>
    <s v="Peter Fuller"/>
    <x v="0"/>
    <s v="United States"/>
    <s v="New York City"/>
    <x v="15"/>
    <n v="10035"/>
    <x v="3"/>
    <x v="913"/>
    <x v="0"/>
    <x v="1"/>
    <x v="905"/>
    <x v="4049"/>
    <x v="8"/>
    <x v="1"/>
  </r>
  <r>
    <n v="5917"/>
    <x v="2951"/>
    <x v="14"/>
    <d v="2016-09-23T00:00:00"/>
    <s v="Standard Class"/>
    <x v="724"/>
    <s v="Peter Fuller"/>
    <x v="0"/>
    <s v="United States"/>
    <s v="New York City"/>
    <x v="15"/>
    <n v="10035"/>
    <x v="3"/>
    <x v="392"/>
    <x v="1"/>
    <x v="4"/>
    <x v="393"/>
    <x v="4050"/>
    <x v="8"/>
    <x v="1"/>
  </r>
  <r>
    <n v="5918"/>
    <x v="2951"/>
    <x v="14"/>
    <d v="2016-09-23T00:00:00"/>
    <s v="Standard Class"/>
    <x v="724"/>
    <s v="Peter Fuller"/>
    <x v="0"/>
    <s v="United States"/>
    <s v="New York City"/>
    <x v="15"/>
    <n v="10035"/>
    <x v="3"/>
    <x v="26"/>
    <x v="0"/>
    <x v="0"/>
    <x v="26"/>
    <x v="4051"/>
    <x v="8"/>
    <x v="1"/>
  </r>
  <r>
    <n v="5919"/>
    <x v="2951"/>
    <x v="14"/>
    <d v="2016-09-23T00:00:00"/>
    <s v="Standard Class"/>
    <x v="724"/>
    <s v="Peter Fuller"/>
    <x v="0"/>
    <s v="United States"/>
    <s v="New York City"/>
    <x v="15"/>
    <n v="10035"/>
    <x v="3"/>
    <x v="1248"/>
    <x v="0"/>
    <x v="0"/>
    <x v="1232"/>
    <x v="4052"/>
    <x v="8"/>
    <x v="1"/>
  </r>
  <r>
    <n v="5920"/>
    <x v="2951"/>
    <x v="14"/>
    <d v="2016-09-23T00:00:00"/>
    <s v="Standard Class"/>
    <x v="724"/>
    <s v="Peter Fuller"/>
    <x v="0"/>
    <s v="United States"/>
    <s v="New York City"/>
    <x v="15"/>
    <n v="10035"/>
    <x v="3"/>
    <x v="599"/>
    <x v="2"/>
    <x v="7"/>
    <x v="599"/>
    <x v="2713"/>
    <x v="8"/>
    <x v="1"/>
  </r>
  <r>
    <n v="5921"/>
    <x v="2951"/>
    <x v="14"/>
    <d v="2016-09-23T00:00:00"/>
    <s v="Standard Class"/>
    <x v="724"/>
    <s v="Peter Fuller"/>
    <x v="0"/>
    <s v="United States"/>
    <s v="New York City"/>
    <x v="15"/>
    <n v="10035"/>
    <x v="3"/>
    <x v="764"/>
    <x v="2"/>
    <x v="11"/>
    <x v="763"/>
    <x v="2963"/>
    <x v="8"/>
    <x v="1"/>
  </r>
  <r>
    <n v="5922"/>
    <x v="2951"/>
    <x v="14"/>
    <d v="2016-09-23T00:00:00"/>
    <s v="Standard Class"/>
    <x v="724"/>
    <s v="Peter Fuller"/>
    <x v="0"/>
    <s v="United States"/>
    <s v="New York City"/>
    <x v="15"/>
    <n v="10035"/>
    <x v="3"/>
    <x v="417"/>
    <x v="1"/>
    <x v="10"/>
    <x v="417"/>
    <x v="168"/>
    <x v="8"/>
    <x v="1"/>
  </r>
  <r>
    <n v="5923"/>
    <x v="2951"/>
    <x v="14"/>
    <d v="2016-09-23T00:00:00"/>
    <s v="Standard Class"/>
    <x v="724"/>
    <s v="Peter Fuller"/>
    <x v="0"/>
    <s v="United States"/>
    <s v="New York City"/>
    <x v="15"/>
    <n v="10035"/>
    <x v="3"/>
    <x v="1049"/>
    <x v="2"/>
    <x v="7"/>
    <x v="1038"/>
    <x v="760"/>
    <x v="8"/>
    <x v="1"/>
  </r>
  <r>
    <n v="5924"/>
    <x v="2952"/>
    <x v="491"/>
    <d v="2017-11-30T00:00:00"/>
    <s v="Second Class"/>
    <x v="158"/>
    <s v="Dean Katz"/>
    <x v="1"/>
    <s v="United States"/>
    <s v="New York City"/>
    <x v="15"/>
    <n v="10011"/>
    <x v="3"/>
    <x v="971"/>
    <x v="0"/>
    <x v="3"/>
    <x v="965"/>
    <x v="4053"/>
    <x v="0"/>
    <x v="0"/>
  </r>
  <r>
    <n v="5925"/>
    <x v="2953"/>
    <x v="123"/>
    <d v="2018-11-22T00:00:00"/>
    <s v="Second Class"/>
    <x v="579"/>
    <s v="Richard Bierner"/>
    <x v="0"/>
    <s v="United States"/>
    <s v="Springfield"/>
    <x v="17"/>
    <n v="22153"/>
    <x v="0"/>
    <x v="1241"/>
    <x v="1"/>
    <x v="6"/>
    <x v="1224"/>
    <x v="1003"/>
    <x v="0"/>
    <x v="3"/>
  </r>
  <r>
    <n v="5926"/>
    <x v="2954"/>
    <x v="95"/>
    <d v="2018-06-08T00:00:00"/>
    <s v="Standard Class"/>
    <x v="241"/>
    <s v="Giulietta Dortch"/>
    <x v="1"/>
    <s v="United States"/>
    <s v="Bellingham"/>
    <x v="4"/>
    <n v="98226"/>
    <x v="1"/>
    <x v="989"/>
    <x v="2"/>
    <x v="11"/>
    <x v="982"/>
    <x v="4054"/>
    <x v="1"/>
    <x v="3"/>
  </r>
  <r>
    <n v="5927"/>
    <x v="2955"/>
    <x v="918"/>
    <d v="2015-04-12T00:00:00"/>
    <s v="Standard Class"/>
    <x v="19"/>
    <s v="Ruben Ausman"/>
    <x v="1"/>
    <s v="United States"/>
    <s v="Decatur"/>
    <x v="19"/>
    <n v="35601"/>
    <x v="0"/>
    <x v="1746"/>
    <x v="0"/>
    <x v="3"/>
    <x v="1736"/>
    <x v="4055"/>
    <x v="3"/>
    <x v="2"/>
  </r>
  <r>
    <n v="5928"/>
    <x v="2956"/>
    <x v="856"/>
    <d v="2015-10-15T00:00:00"/>
    <s v="Standard Class"/>
    <x v="587"/>
    <s v="Dorothy Badders"/>
    <x v="1"/>
    <s v="United States"/>
    <s v="Fayetteville"/>
    <x v="36"/>
    <n v="72701"/>
    <x v="0"/>
    <x v="2"/>
    <x v="1"/>
    <x v="2"/>
    <x v="2"/>
    <x v="2026"/>
    <x v="2"/>
    <x v="2"/>
  </r>
  <r>
    <n v="5929"/>
    <x v="2956"/>
    <x v="856"/>
    <d v="2015-10-15T00:00:00"/>
    <s v="Standard Class"/>
    <x v="587"/>
    <s v="Dorothy Badders"/>
    <x v="1"/>
    <s v="United States"/>
    <s v="Fayetteville"/>
    <x v="36"/>
    <n v="72701"/>
    <x v="0"/>
    <x v="1348"/>
    <x v="0"/>
    <x v="5"/>
    <x v="1333"/>
    <x v="4056"/>
    <x v="2"/>
    <x v="2"/>
  </r>
  <r>
    <n v="5930"/>
    <x v="2957"/>
    <x v="437"/>
    <d v="2018-07-09T00:00:00"/>
    <s v="First Class"/>
    <x v="210"/>
    <s v="Rob Lucas"/>
    <x v="0"/>
    <s v="United States"/>
    <s v="Philadelphia"/>
    <x v="9"/>
    <n v="19120"/>
    <x v="3"/>
    <x v="672"/>
    <x v="0"/>
    <x v="0"/>
    <x v="672"/>
    <x v="4057"/>
    <x v="7"/>
    <x v="3"/>
  </r>
  <r>
    <n v="5931"/>
    <x v="2957"/>
    <x v="437"/>
    <d v="2018-07-09T00:00:00"/>
    <s v="First Class"/>
    <x v="210"/>
    <s v="Rob Lucas"/>
    <x v="0"/>
    <s v="United States"/>
    <s v="Philadelphia"/>
    <x v="9"/>
    <n v="19120"/>
    <x v="3"/>
    <x v="260"/>
    <x v="1"/>
    <x v="10"/>
    <x v="260"/>
    <x v="12"/>
    <x v="7"/>
    <x v="3"/>
  </r>
  <r>
    <n v="5932"/>
    <x v="2957"/>
    <x v="437"/>
    <d v="2018-07-09T00:00:00"/>
    <s v="First Class"/>
    <x v="210"/>
    <s v="Rob Lucas"/>
    <x v="0"/>
    <s v="United States"/>
    <s v="Philadelphia"/>
    <x v="9"/>
    <n v="19120"/>
    <x v="3"/>
    <x v="432"/>
    <x v="2"/>
    <x v="7"/>
    <x v="432"/>
    <x v="4058"/>
    <x v="7"/>
    <x v="3"/>
  </r>
  <r>
    <n v="5933"/>
    <x v="2957"/>
    <x v="437"/>
    <d v="2018-07-09T00:00:00"/>
    <s v="First Class"/>
    <x v="210"/>
    <s v="Rob Lucas"/>
    <x v="0"/>
    <s v="United States"/>
    <s v="Philadelphia"/>
    <x v="9"/>
    <n v="19120"/>
    <x v="3"/>
    <x v="1427"/>
    <x v="1"/>
    <x v="4"/>
    <x v="1415"/>
    <x v="2513"/>
    <x v="7"/>
    <x v="3"/>
  </r>
  <r>
    <n v="5934"/>
    <x v="2957"/>
    <x v="437"/>
    <d v="2018-07-09T00:00:00"/>
    <s v="First Class"/>
    <x v="210"/>
    <s v="Rob Lucas"/>
    <x v="0"/>
    <s v="United States"/>
    <s v="Philadelphia"/>
    <x v="9"/>
    <n v="19120"/>
    <x v="3"/>
    <x v="1695"/>
    <x v="2"/>
    <x v="11"/>
    <x v="1683"/>
    <x v="3549"/>
    <x v="7"/>
    <x v="3"/>
  </r>
  <r>
    <n v="5935"/>
    <x v="2957"/>
    <x v="437"/>
    <d v="2018-07-09T00:00:00"/>
    <s v="First Class"/>
    <x v="210"/>
    <s v="Rob Lucas"/>
    <x v="0"/>
    <s v="United States"/>
    <s v="Philadelphia"/>
    <x v="9"/>
    <n v="19120"/>
    <x v="3"/>
    <x v="764"/>
    <x v="2"/>
    <x v="11"/>
    <x v="763"/>
    <x v="4059"/>
    <x v="7"/>
    <x v="3"/>
  </r>
  <r>
    <n v="5936"/>
    <x v="2958"/>
    <x v="975"/>
    <d v="2017-07-04T00:00:00"/>
    <s v="Same Day"/>
    <x v="46"/>
    <s v="Rick Bensley"/>
    <x v="2"/>
    <s v="United States"/>
    <s v="Seattle"/>
    <x v="4"/>
    <n v="98103"/>
    <x v="1"/>
    <x v="534"/>
    <x v="0"/>
    <x v="5"/>
    <x v="534"/>
    <x v="3286"/>
    <x v="7"/>
    <x v="0"/>
  </r>
  <r>
    <n v="5937"/>
    <x v="2958"/>
    <x v="975"/>
    <d v="2017-07-04T00:00:00"/>
    <s v="Same Day"/>
    <x v="46"/>
    <s v="Rick Bensley"/>
    <x v="2"/>
    <s v="United States"/>
    <s v="Seattle"/>
    <x v="4"/>
    <n v="98103"/>
    <x v="1"/>
    <x v="1192"/>
    <x v="2"/>
    <x v="7"/>
    <x v="1177"/>
    <x v="1637"/>
    <x v="7"/>
    <x v="0"/>
  </r>
  <r>
    <n v="5938"/>
    <x v="2958"/>
    <x v="975"/>
    <d v="2017-07-04T00:00:00"/>
    <s v="Same Day"/>
    <x v="46"/>
    <s v="Rick Bensley"/>
    <x v="2"/>
    <s v="United States"/>
    <s v="Seattle"/>
    <x v="4"/>
    <n v="98103"/>
    <x v="1"/>
    <x v="993"/>
    <x v="2"/>
    <x v="7"/>
    <x v="985"/>
    <x v="973"/>
    <x v="7"/>
    <x v="0"/>
  </r>
  <r>
    <n v="5939"/>
    <x v="2959"/>
    <x v="240"/>
    <d v="2018-05-25T00:00:00"/>
    <s v="Standard Class"/>
    <x v="639"/>
    <s v="Jason Fortune-"/>
    <x v="0"/>
    <s v="United States"/>
    <s v="Plano"/>
    <x v="5"/>
    <n v="75023"/>
    <x v="2"/>
    <x v="1211"/>
    <x v="2"/>
    <x v="7"/>
    <x v="1196"/>
    <x v="4060"/>
    <x v="5"/>
    <x v="3"/>
  </r>
  <r>
    <n v="5940"/>
    <x v="2959"/>
    <x v="240"/>
    <d v="2018-05-25T00:00:00"/>
    <s v="Standard Class"/>
    <x v="639"/>
    <s v="Jason Fortune-"/>
    <x v="0"/>
    <s v="United States"/>
    <s v="Plano"/>
    <x v="5"/>
    <n v="75023"/>
    <x v="2"/>
    <x v="1722"/>
    <x v="1"/>
    <x v="2"/>
    <x v="1709"/>
    <x v="1145"/>
    <x v="5"/>
    <x v="3"/>
  </r>
  <r>
    <n v="5941"/>
    <x v="2960"/>
    <x v="386"/>
    <d v="2018-10-14T00:00:00"/>
    <s v="Second Class"/>
    <x v="355"/>
    <s v="Robert Waldorf"/>
    <x v="0"/>
    <s v="United States"/>
    <s v="Los Angeles"/>
    <x v="1"/>
    <n v="90049"/>
    <x v="1"/>
    <x v="477"/>
    <x v="2"/>
    <x v="11"/>
    <x v="478"/>
    <x v="4061"/>
    <x v="2"/>
    <x v="3"/>
  </r>
  <r>
    <n v="5942"/>
    <x v="2960"/>
    <x v="386"/>
    <d v="2018-10-14T00:00:00"/>
    <s v="Second Class"/>
    <x v="355"/>
    <s v="Robert Waldorf"/>
    <x v="0"/>
    <s v="United States"/>
    <s v="Los Angeles"/>
    <x v="1"/>
    <n v="90049"/>
    <x v="1"/>
    <x v="134"/>
    <x v="1"/>
    <x v="6"/>
    <x v="135"/>
    <x v="486"/>
    <x v="2"/>
    <x v="3"/>
  </r>
  <r>
    <n v="5943"/>
    <x v="2961"/>
    <x v="876"/>
    <d v="2017-08-13T00:00:00"/>
    <s v="Standard Class"/>
    <x v="364"/>
    <s v="Vivek Gonzalez"/>
    <x v="0"/>
    <s v="United States"/>
    <s v="Los Angeles"/>
    <x v="1"/>
    <n v="90032"/>
    <x v="1"/>
    <x v="194"/>
    <x v="2"/>
    <x v="7"/>
    <x v="195"/>
    <x v="1972"/>
    <x v="6"/>
    <x v="0"/>
  </r>
  <r>
    <n v="5944"/>
    <x v="2962"/>
    <x v="55"/>
    <d v="2015-08-29T00:00:00"/>
    <s v="Standard Class"/>
    <x v="25"/>
    <s v="Janet Molinari"/>
    <x v="1"/>
    <s v="United States"/>
    <s v="Los Angeles"/>
    <x v="1"/>
    <n v="90036"/>
    <x v="1"/>
    <x v="1448"/>
    <x v="0"/>
    <x v="5"/>
    <x v="1435"/>
    <x v="2933"/>
    <x v="6"/>
    <x v="2"/>
  </r>
  <r>
    <n v="5945"/>
    <x v="2962"/>
    <x v="55"/>
    <d v="2015-08-29T00:00:00"/>
    <s v="Standard Class"/>
    <x v="25"/>
    <s v="Janet Molinari"/>
    <x v="1"/>
    <s v="United States"/>
    <s v="Los Angeles"/>
    <x v="1"/>
    <n v="90036"/>
    <x v="1"/>
    <x v="452"/>
    <x v="2"/>
    <x v="11"/>
    <x v="453"/>
    <x v="2016"/>
    <x v="6"/>
    <x v="2"/>
  </r>
  <r>
    <n v="5946"/>
    <x v="2962"/>
    <x v="55"/>
    <d v="2015-08-29T00:00:00"/>
    <s v="Standard Class"/>
    <x v="25"/>
    <s v="Janet Molinari"/>
    <x v="1"/>
    <s v="United States"/>
    <s v="Los Angeles"/>
    <x v="1"/>
    <n v="90036"/>
    <x v="1"/>
    <x v="1347"/>
    <x v="1"/>
    <x v="10"/>
    <x v="1332"/>
    <x v="233"/>
    <x v="6"/>
    <x v="2"/>
  </r>
  <r>
    <n v="5947"/>
    <x v="2962"/>
    <x v="55"/>
    <d v="2015-08-29T00:00:00"/>
    <s v="Standard Class"/>
    <x v="25"/>
    <s v="Janet Molinari"/>
    <x v="1"/>
    <s v="United States"/>
    <s v="Los Angeles"/>
    <x v="1"/>
    <n v="90036"/>
    <x v="1"/>
    <x v="762"/>
    <x v="1"/>
    <x v="4"/>
    <x v="761"/>
    <x v="4062"/>
    <x v="6"/>
    <x v="2"/>
  </r>
  <r>
    <n v="5948"/>
    <x v="2963"/>
    <x v="471"/>
    <d v="2016-09-18T00:00:00"/>
    <s v="Second Class"/>
    <x v="534"/>
    <s v="Brad Eason"/>
    <x v="2"/>
    <s v="United States"/>
    <s v="Des Moines"/>
    <x v="23"/>
    <n v="50315"/>
    <x v="2"/>
    <x v="1499"/>
    <x v="1"/>
    <x v="8"/>
    <x v="1487"/>
    <x v="4063"/>
    <x v="8"/>
    <x v="1"/>
  </r>
  <r>
    <n v="5949"/>
    <x v="2964"/>
    <x v="916"/>
    <d v="2018-03-05T00:00:00"/>
    <s v="Same Day"/>
    <x v="118"/>
    <s v="Claudia Bergmann"/>
    <x v="1"/>
    <s v="United States"/>
    <s v="Southaven"/>
    <x v="35"/>
    <n v="38671"/>
    <x v="0"/>
    <x v="761"/>
    <x v="1"/>
    <x v="12"/>
    <x v="760"/>
    <x v="4064"/>
    <x v="10"/>
    <x v="3"/>
  </r>
  <r>
    <n v="5950"/>
    <x v="2964"/>
    <x v="916"/>
    <d v="2018-03-05T00:00:00"/>
    <s v="Same Day"/>
    <x v="118"/>
    <s v="Claudia Bergmann"/>
    <x v="1"/>
    <s v="United States"/>
    <s v="Southaven"/>
    <x v="35"/>
    <n v="38671"/>
    <x v="0"/>
    <x v="409"/>
    <x v="2"/>
    <x v="11"/>
    <x v="409"/>
    <x v="670"/>
    <x v="10"/>
    <x v="3"/>
  </r>
  <r>
    <n v="5951"/>
    <x v="2964"/>
    <x v="916"/>
    <d v="2018-03-05T00:00:00"/>
    <s v="Same Day"/>
    <x v="118"/>
    <s v="Claudia Bergmann"/>
    <x v="1"/>
    <s v="United States"/>
    <s v="Southaven"/>
    <x v="35"/>
    <n v="38671"/>
    <x v="0"/>
    <x v="164"/>
    <x v="1"/>
    <x v="9"/>
    <x v="165"/>
    <x v="2664"/>
    <x v="10"/>
    <x v="3"/>
  </r>
  <r>
    <n v="5952"/>
    <x v="2964"/>
    <x v="916"/>
    <d v="2018-03-05T00:00:00"/>
    <s v="Same Day"/>
    <x v="118"/>
    <s v="Claudia Bergmann"/>
    <x v="1"/>
    <s v="United States"/>
    <s v="Southaven"/>
    <x v="35"/>
    <n v="38671"/>
    <x v="0"/>
    <x v="920"/>
    <x v="1"/>
    <x v="8"/>
    <x v="1758"/>
    <x v="4065"/>
    <x v="10"/>
    <x v="3"/>
  </r>
  <r>
    <n v="5953"/>
    <x v="2965"/>
    <x v="4"/>
    <d v="2018-04-21T00:00:00"/>
    <s v="Standard Class"/>
    <x v="174"/>
    <s v="Shirley Daniels"/>
    <x v="2"/>
    <s v="United States"/>
    <s v="Houston"/>
    <x v="5"/>
    <n v="77041"/>
    <x v="2"/>
    <x v="1769"/>
    <x v="1"/>
    <x v="10"/>
    <x v="1759"/>
    <x v="557"/>
    <x v="3"/>
    <x v="3"/>
  </r>
  <r>
    <n v="5954"/>
    <x v="2966"/>
    <x v="809"/>
    <d v="2015-03-31T00:00:00"/>
    <s v="First Class"/>
    <x v="737"/>
    <s v="Susan Gilcrest"/>
    <x v="1"/>
    <s v="United States"/>
    <s v="New York City"/>
    <x v="15"/>
    <n v="10009"/>
    <x v="3"/>
    <x v="1706"/>
    <x v="1"/>
    <x v="6"/>
    <x v="1695"/>
    <x v="4066"/>
    <x v="10"/>
    <x v="2"/>
  </r>
  <r>
    <n v="5955"/>
    <x v="2967"/>
    <x v="7"/>
    <d v="2015-11-15T00:00:00"/>
    <s v="Second Class"/>
    <x v="747"/>
    <s v="Tom Stivers"/>
    <x v="1"/>
    <s v="United States"/>
    <s v="Reading"/>
    <x v="9"/>
    <n v="19601"/>
    <x v="3"/>
    <x v="1442"/>
    <x v="0"/>
    <x v="5"/>
    <x v="1430"/>
    <x v="934"/>
    <x v="0"/>
    <x v="2"/>
  </r>
  <r>
    <n v="5956"/>
    <x v="2967"/>
    <x v="7"/>
    <d v="2015-11-15T00:00:00"/>
    <s v="Second Class"/>
    <x v="747"/>
    <s v="Tom Stivers"/>
    <x v="1"/>
    <s v="United States"/>
    <s v="Reading"/>
    <x v="9"/>
    <n v="19601"/>
    <x v="3"/>
    <x v="37"/>
    <x v="0"/>
    <x v="0"/>
    <x v="37"/>
    <x v="3431"/>
    <x v="0"/>
    <x v="2"/>
  </r>
  <r>
    <n v="5957"/>
    <x v="2968"/>
    <x v="299"/>
    <d v="2017-03-15T00:00:00"/>
    <s v="Second Class"/>
    <x v="158"/>
    <s v="Dean Katz"/>
    <x v="1"/>
    <s v="United States"/>
    <s v="San Francisco"/>
    <x v="1"/>
    <n v="94109"/>
    <x v="1"/>
    <x v="273"/>
    <x v="1"/>
    <x v="4"/>
    <x v="273"/>
    <x v="4067"/>
    <x v="10"/>
    <x v="0"/>
  </r>
  <r>
    <n v="5958"/>
    <x v="2968"/>
    <x v="299"/>
    <d v="2017-03-15T00:00:00"/>
    <s v="Second Class"/>
    <x v="158"/>
    <s v="Dean Katz"/>
    <x v="1"/>
    <s v="United States"/>
    <s v="San Francisco"/>
    <x v="1"/>
    <n v="94109"/>
    <x v="1"/>
    <x v="1271"/>
    <x v="1"/>
    <x v="9"/>
    <x v="1256"/>
    <x v="894"/>
    <x v="10"/>
    <x v="0"/>
  </r>
  <r>
    <n v="5959"/>
    <x v="2968"/>
    <x v="299"/>
    <d v="2017-03-15T00:00:00"/>
    <s v="Second Class"/>
    <x v="158"/>
    <s v="Dean Katz"/>
    <x v="1"/>
    <s v="United States"/>
    <s v="San Francisco"/>
    <x v="1"/>
    <n v="94109"/>
    <x v="1"/>
    <x v="661"/>
    <x v="1"/>
    <x v="12"/>
    <x v="661"/>
    <x v="2433"/>
    <x v="10"/>
    <x v="0"/>
  </r>
  <r>
    <n v="5960"/>
    <x v="2968"/>
    <x v="299"/>
    <d v="2017-03-15T00:00:00"/>
    <s v="Second Class"/>
    <x v="158"/>
    <s v="Dean Katz"/>
    <x v="1"/>
    <s v="United States"/>
    <s v="San Francisco"/>
    <x v="1"/>
    <n v="94109"/>
    <x v="1"/>
    <x v="623"/>
    <x v="0"/>
    <x v="1"/>
    <x v="623"/>
    <x v="4068"/>
    <x v="10"/>
    <x v="0"/>
  </r>
  <r>
    <n v="5961"/>
    <x v="2969"/>
    <x v="839"/>
    <d v="2018-02-14T00:00:00"/>
    <s v="Second Class"/>
    <x v="504"/>
    <s v="Marina Lichtenstein"/>
    <x v="1"/>
    <s v="United States"/>
    <s v="Los Angeles"/>
    <x v="1"/>
    <n v="90045"/>
    <x v="1"/>
    <x v="1226"/>
    <x v="0"/>
    <x v="5"/>
    <x v="1210"/>
    <x v="3051"/>
    <x v="11"/>
    <x v="3"/>
  </r>
  <r>
    <n v="5962"/>
    <x v="2970"/>
    <x v="7"/>
    <d v="2015-11-13T00:00:00"/>
    <s v="Second Class"/>
    <x v="15"/>
    <s v="Matt Abelman"/>
    <x v="2"/>
    <s v="United States"/>
    <s v="Los Angeles"/>
    <x v="1"/>
    <n v="90004"/>
    <x v="1"/>
    <x v="516"/>
    <x v="2"/>
    <x v="7"/>
    <x v="516"/>
    <x v="4069"/>
    <x v="0"/>
    <x v="2"/>
  </r>
  <r>
    <n v="5963"/>
    <x v="2970"/>
    <x v="7"/>
    <d v="2015-11-13T00:00:00"/>
    <s v="Second Class"/>
    <x v="15"/>
    <s v="Matt Abelman"/>
    <x v="2"/>
    <s v="United States"/>
    <s v="Los Angeles"/>
    <x v="1"/>
    <n v="90004"/>
    <x v="1"/>
    <x v="1034"/>
    <x v="1"/>
    <x v="9"/>
    <x v="1025"/>
    <x v="3890"/>
    <x v="0"/>
    <x v="2"/>
  </r>
  <r>
    <n v="5964"/>
    <x v="2970"/>
    <x v="7"/>
    <d v="2015-11-13T00:00:00"/>
    <s v="Second Class"/>
    <x v="15"/>
    <s v="Matt Abelman"/>
    <x v="2"/>
    <s v="United States"/>
    <s v="Los Angeles"/>
    <x v="1"/>
    <n v="90004"/>
    <x v="1"/>
    <x v="759"/>
    <x v="1"/>
    <x v="10"/>
    <x v="757"/>
    <x v="1832"/>
    <x v="0"/>
    <x v="2"/>
  </r>
  <r>
    <n v="5965"/>
    <x v="2971"/>
    <x v="648"/>
    <d v="2018-08-25T00:00:00"/>
    <s v="Standard Class"/>
    <x v="756"/>
    <s v="Lisa Ryan"/>
    <x v="1"/>
    <s v="United States"/>
    <s v="San Francisco"/>
    <x v="1"/>
    <n v="94109"/>
    <x v="1"/>
    <x v="1322"/>
    <x v="1"/>
    <x v="14"/>
    <x v="1308"/>
    <x v="1683"/>
    <x v="6"/>
    <x v="3"/>
  </r>
  <r>
    <n v="5966"/>
    <x v="2971"/>
    <x v="648"/>
    <d v="2018-08-25T00:00:00"/>
    <s v="Standard Class"/>
    <x v="756"/>
    <s v="Lisa Ryan"/>
    <x v="1"/>
    <s v="United States"/>
    <s v="San Francisco"/>
    <x v="1"/>
    <n v="94109"/>
    <x v="1"/>
    <x v="117"/>
    <x v="1"/>
    <x v="4"/>
    <x v="117"/>
    <x v="118"/>
    <x v="6"/>
    <x v="3"/>
  </r>
  <r>
    <n v="5967"/>
    <x v="2971"/>
    <x v="648"/>
    <d v="2018-08-25T00:00:00"/>
    <s v="Standard Class"/>
    <x v="756"/>
    <s v="Lisa Ryan"/>
    <x v="1"/>
    <s v="United States"/>
    <s v="San Francisco"/>
    <x v="1"/>
    <n v="94109"/>
    <x v="1"/>
    <x v="1517"/>
    <x v="2"/>
    <x v="7"/>
    <x v="1504"/>
    <x v="4070"/>
    <x v="6"/>
    <x v="3"/>
  </r>
  <r>
    <n v="5968"/>
    <x v="2972"/>
    <x v="804"/>
    <d v="2017-01-17T00:00:00"/>
    <s v="First Class"/>
    <x v="336"/>
    <s v="Bill Eplett"/>
    <x v="2"/>
    <s v="United States"/>
    <s v="New York City"/>
    <x v="15"/>
    <n v="10009"/>
    <x v="3"/>
    <x v="1522"/>
    <x v="1"/>
    <x v="10"/>
    <x v="1509"/>
    <x v="2597"/>
    <x v="9"/>
    <x v="0"/>
  </r>
  <r>
    <n v="5969"/>
    <x v="2973"/>
    <x v="836"/>
    <d v="2015-07-22T00:00:00"/>
    <s v="First Class"/>
    <x v="230"/>
    <s v="Charles Crestani"/>
    <x v="0"/>
    <s v="United States"/>
    <s v="San Diego"/>
    <x v="1"/>
    <n v="92105"/>
    <x v="1"/>
    <x v="976"/>
    <x v="1"/>
    <x v="10"/>
    <x v="970"/>
    <x v="1230"/>
    <x v="7"/>
    <x v="2"/>
  </r>
  <r>
    <n v="5970"/>
    <x v="2973"/>
    <x v="836"/>
    <d v="2015-07-22T00:00:00"/>
    <s v="First Class"/>
    <x v="230"/>
    <s v="Charles Crestani"/>
    <x v="0"/>
    <s v="United States"/>
    <s v="San Diego"/>
    <x v="1"/>
    <n v="92105"/>
    <x v="1"/>
    <x v="304"/>
    <x v="1"/>
    <x v="8"/>
    <x v="304"/>
    <x v="4071"/>
    <x v="7"/>
    <x v="2"/>
  </r>
  <r>
    <n v="5971"/>
    <x v="2973"/>
    <x v="836"/>
    <d v="2015-07-22T00:00:00"/>
    <s v="First Class"/>
    <x v="230"/>
    <s v="Charles Crestani"/>
    <x v="0"/>
    <s v="United States"/>
    <s v="San Diego"/>
    <x v="1"/>
    <n v="92105"/>
    <x v="1"/>
    <x v="388"/>
    <x v="1"/>
    <x v="10"/>
    <x v="389"/>
    <x v="544"/>
    <x v="7"/>
    <x v="2"/>
  </r>
  <r>
    <n v="5972"/>
    <x v="2973"/>
    <x v="836"/>
    <d v="2015-07-22T00:00:00"/>
    <s v="First Class"/>
    <x v="230"/>
    <s v="Charles Crestani"/>
    <x v="0"/>
    <s v="United States"/>
    <s v="San Diego"/>
    <x v="1"/>
    <n v="92105"/>
    <x v="1"/>
    <x v="613"/>
    <x v="0"/>
    <x v="5"/>
    <x v="613"/>
    <x v="4072"/>
    <x v="7"/>
    <x v="2"/>
  </r>
  <r>
    <n v="5973"/>
    <x v="2974"/>
    <x v="695"/>
    <d v="2018-02-11T00:00:00"/>
    <s v="Standard Class"/>
    <x v="420"/>
    <s v="Bryan Davis"/>
    <x v="0"/>
    <s v="United States"/>
    <s v="New York City"/>
    <x v="15"/>
    <n v="10024"/>
    <x v="3"/>
    <x v="789"/>
    <x v="0"/>
    <x v="0"/>
    <x v="787"/>
    <x v="2949"/>
    <x v="11"/>
    <x v="3"/>
  </r>
  <r>
    <n v="5974"/>
    <x v="2975"/>
    <x v="707"/>
    <d v="2016-12-29T00:00:00"/>
    <s v="Standard Class"/>
    <x v="82"/>
    <s v="Jim Kriz"/>
    <x v="2"/>
    <s v="United States"/>
    <s v="New York City"/>
    <x v="15"/>
    <n v="10011"/>
    <x v="3"/>
    <x v="1470"/>
    <x v="1"/>
    <x v="9"/>
    <x v="1457"/>
    <x v="4073"/>
    <x v="4"/>
    <x v="1"/>
  </r>
  <r>
    <n v="5975"/>
    <x v="2976"/>
    <x v="750"/>
    <d v="2017-10-13T00:00:00"/>
    <s v="Standard Class"/>
    <x v="140"/>
    <s v="Doug Bickford"/>
    <x v="0"/>
    <s v="United States"/>
    <s v="Charlotte"/>
    <x v="3"/>
    <n v="28205"/>
    <x v="0"/>
    <x v="887"/>
    <x v="1"/>
    <x v="4"/>
    <x v="880"/>
    <x v="4074"/>
    <x v="2"/>
    <x v="0"/>
  </r>
  <r>
    <n v="5976"/>
    <x v="2977"/>
    <x v="1002"/>
    <d v="2018-07-17T00:00:00"/>
    <s v="Standard Class"/>
    <x v="645"/>
    <s v="Rick Reed"/>
    <x v="1"/>
    <s v="United States"/>
    <s v="Overland Park"/>
    <x v="41"/>
    <n v="66212"/>
    <x v="2"/>
    <x v="734"/>
    <x v="1"/>
    <x v="4"/>
    <x v="733"/>
    <x v="2861"/>
    <x v="7"/>
    <x v="3"/>
  </r>
  <r>
    <n v="5977"/>
    <x v="2977"/>
    <x v="1002"/>
    <d v="2018-07-17T00:00:00"/>
    <s v="Standard Class"/>
    <x v="645"/>
    <s v="Rick Reed"/>
    <x v="1"/>
    <s v="United States"/>
    <s v="Overland Park"/>
    <x v="41"/>
    <n v="66212"/>
    <x v="2"/>
    <x v="987"/>
    <x v="1"/>
    <x v="10"/>
    <x v="980"/>
    <x v="4075"/>
    <x v="7"/>
    <x v="3"/>
  </r>
  <r>
    <n v="5978"/>
    <x v="2978"/>
    <x v="558"/>
    <d v="2018-04-25T00:00:00"/>
    <s v="First Class"/>
    <x v="603"/>
    <s v="Susan Vittorini"/>
    <x v="0"/>
    <s v="United States"/>
    <s v="Mesa"/>
    <x v="16"/>
    <n v="85204"/>
    <x v="1"/>
    <x v="302"/>
    <x v="2"/>
    <x v="7"/>
    <x v="302"/>
    <x v="4076"/>
    <x v="3"/>
    <x v="3"/>
  </r>
  <r>
    <n v="5979"/>
    <x v="2979"/>
    <x v="557"/>
    <d v="2015-09-13T00:00:00"/>
    <s v="Standard Class"/>
    <x v="46"/>
    <s v="Rick Bensley"/>
    <x v="2"/>
    <s v="United States"/>
    <s v="Tulsa"/>
    <x v="26"/>
    <n v="74133"/>
    <x v="2"/>
    <x v="977"/>
    <x v="0"/>
    <x v="3"/>
    <x v="832"/>
    <x v="4077"/>
    <x v="8"/>
    <x v="2"/>
  </r>
  <r>
    <n v="5980"/>
    <x v="2979"/>
    <x v="557"/>
    <d v="2015-09-13T00:00:00"/>
    <s v="Standard Class"/>
    <x v="46"/>
    <s v="Rick Bensley"/>
    <x v="2"/>
    <s v="United States"/>
    <s v="Tulsa"/>
    <x v="26"/>
    <n v="74133"/>
    <x v="2"/>
    <x v="27"/>
    <x v="1"/>
    <x v="8"/>
    <x v="27"/>
    <x v="4078"/>
    <x v="8"/>
    <x v="2"/>
  </r>
  <r>
    <n v="5981"/>
    <x v="2979"/>
    <x v="557"/>
    <d v="2015-09-13T00:00:00"/>
    <s v="Standard Class"/>
    <x v="46"/>
    <s v="Rick Bensley"/>
    <x v="2"/>
    <s v="United States"/>
    <s v="Tulsa"/>
    <x v="26"/>
    <n v="74133"/>
    <x v="2"/>
    <x v="167"/>
    <x v="0"/>
    <x v="1"/>
    <x v="168"/>
    <x v="4079"/>
    <x v="8"/>
    <x v="2"/>
  </r>
  <r>
    <n v="5982"/>
    <x v="2979"/>
    <x v="557"/>
    <d v="2015-09-13T00:00:00"/>
    <s v="Standard Class"/>
    <x v="46"/>
    <s v="Rick Bensley"/>
    <x v="2"/>
    <s v="United States"/>
    <s v="Tulsa"/>
    <x v="26"/>
    <n v="74133"/>
    <x v="2"/>
    <x v="337"/>
    <x v="1"/>
    <x v="4"/>
    <x v="337"/>
    <x v="4080"/>
    <x v="8"/>
    <x v="2"/>
  </r>
  <r>
    <n v="5983"/>
    <x v="2980"/>
    <x v="831"/>
    <d v="2017-11-28T00:00:00"/>
    <s v="Standard Class"/>
    <x v="160"/>
    <s v="Mike Vittorini"/>
    <x v="0"/>
    <s v="United States"/>
    <s v="New York City"/>
    <x v="15"/>
    <n v="10035"/>
    <x v="3"/>
    <x v="1641"/>
    <x v="1"/>
    <x v="10"/>
    <x v="1631"/>
    <x v="91"/>
    <x v="0"/>
    <x v="0"/>
  </r>
  <r>
    <n v="5984"/>
    <x v="2981"/>
    <x v="118"/>
    <d v="2018-09-18T00:00:00"/>
    <s v="Second Class"/>
    <x v="699"/>
    <s v="Evan Henry"/>
    <x v="0"/>
    <s v="United States"/>
    <s v="Philadelphia"/>
    <x v="9"/>
    <n v="19143"/>
    <x v="3"/>
    <x v="630"/>
    <x v="1"/>
    <x v="10"/>
    <x v="630"/>
    <x v="3236"/>
    <x v="8"/>
    <x v="3"/>
  </r>
  <r>
    <n v="5985"/>
    <x v="2982"/>
    <x v="1080"/>
    <d v="2017-07-25T00:00:00"/>
    <s v="Standard Class"/>
    <x v="559"/>
    <s v="Joy Smith"/>
    <x v="0"/>
    <s v="United States"/>
    <s v="Hattiesburg"/>
    <x v="35"/>
    <n v="39401"/>
    <x v="0"/>
    <x v="1435"/>
    <x v="0"/>
    <x v="5"/>
    <x v="1423"/>
    <x v="2280"/>
    <x v="7"/>
    <x v="0"/>
  </r>
  <r>
    <n v="5986"/>
    <x v="2982"/>
    <x v="1080"/>
    <d v="2017-07-25T00:00:00"/>
    <s v="Standard Class"/>
    <x v="559"/>
    <s v="Joy Smith"/>
    <x v="0"/>
    <s v="United States"/>
    <s v="Hattiesburg"/>
    <x v="35"/>
    <n v="39401"/>
    <x v="0"/>
    <x v="1561"/>
    <x v="1"/>
    <x v="8"/>
    <x v="1551"/>
    <x v="4081"/>
    <x v="7"/>
    <x v="0"/>
  </r>
  <r>
    <n v="5987"/>
    <x v="2982"/>
    <x v="1080"/>
    <d v="2017-07-25T00:00:00"/>
    <s v="Standard Class"/>
    <x v="559"/>
    <s v="Joy Smith"/>
    <x v="0"/>
    <s v="United States"/>
    <s v="Hattiesburg"/>
    <x v="35"/>
    <n v="39401"/>
    <x v="0"/>
    <x v="210"/>
    <x v="1"/>
    <x v="4"/>
    <x v="211"/>
    <x v="1177"/>
    <x v="7"/>
    <x v="0"/>
  </r>
  <r>
    <n v="5988"/>
    <x v="2982"/>
    <x v="1080"/>
    <d v="2017-07-25T00:00:00"/>
    <s v="Standard Class"/>
    <x v="559"/>
    <s v="Joy Smith"/>
    <x v="0"/>
    <s v="United States"/>
    <s v="Hattiesburg"/>
    <x v="35"/>
    <n v="39401"/>
    <x v="0"/>
    <x v="1522"/>
    <x v="1"/>
    <x v="10"/>
    <x v="1509"/>
    <x v="4082"/>
    <x v="7"/>
    <x v="0"/>
  </r>
  <r>
    <n v="5989"/>
    <x v="2982"/>
    <x v="1080"/>
    <d v="2017-07-25T00:00:00"/>
    <s v="Standard Class"/>
    <x v="559"/>
    <s v="Joy Smith"/>
    <x v="0"/>
    <s v="United States"/>
    <s v="Hattiesburg"/>
    <x v="35"/>
    <n v="39401"/>
    <x v="0"/>
    <x v="480"/>
    <x v="1"/>
    <x v="8"/>
    <x v="481"/>
    <x v="4083"/>
    <x v="7"/>
    <x v="0"/>
  </r>
  <r>
    <n v="5990"/>
    <x v="2982"/>
    <x v="1080"/>
    <d v="2017-07-25T00:00:00"/>
    <s v="Standard Class"/>
    <x v="559"/>
    <s v="Joy Smith"/>
    <x v="0"/>
    <s v="United States"/>
    <s v="Hattiesburg"/>
    <x v="35"/>
    <n v="39401"/>
    <x v="0"/>
    <x v="1659"/>
    <x v="0"/>
    <x v="0"/>
    <x v="1647"/>
    <x v="2414"/>
    <x v="7"/>
    <x v="0"/>
  </r>
  <r>
    <n v="5991"/>
    <x v="2983"/>
    <x v="175"/>
    <d v="2018-09-21T00:00:00"/>
    <s v="Standard Class"/>
    <x v="301"/>
    <s v="Erica Smith"/>
    <x v="0"/>
    <s v="United States"/>
    <s v="Los Angeles"/>
    <x v="1"/>
    <n v="90049"/>
    <x v="1"/>
    <x v="1178"/>
    <x v="1"/>
    <x v="8"/>
    <x v="1164"/>
    <x v="4084"/>
    <x v="8"/>
    <x v="3"/>
  </r>
  <r>
    <n v="5992"/>
    <x v="2983"/>
    <x v="175"/>
    <d v="2018-09-21T00:00:00"/>
    <s v="Standard Class"/>
    <x v="301"/>
    <s v="Erica Smith"/>
    <x v="0"/>
    <s v="United States"/>
    <s v="Los Angeles"/>
    <x v="1"/>
    <n v="90049"/>
    <x v="1"/>
    <x v="194"/>
    <x v="2"/>
    <x v="7"/>
    <x v="195"/>
    <x v="4085"/>
    <x v="8"/>
    <x v="3"/>
  </r>
  <r>
    <n v="5993"/>
    <x v="2983"/>
    <x v="175"/>
    <d v="2018-09-21T00:00:00"/>
    <s v="Standard Class"/>
    <x v="301"/>
    <s v="Erica Smith"/>
    <x v="0"/>
    <s v="United States"/>
    <s v="Los Angeles"/>
    <x v="1"/>
    <n v="90049"/>
    <x v="1"/>
    <x v="389"/>
    <x v="0"/>
    <x v="1"/>
    <x v="390"/>
    <x v="4086"/>
    <x v="8"/>
    <x v="3"/>
  </r>
  <r>
    <n v="5994"/>
    <x v="2984"/>
    <x v="25"/>
    <d v="2017-12-11T00:00:00"/>
    <s v="Same Day"/>
    <x v="374"/>
    <s v="Noel Staavos"/>
    <x v="1"/>
    <s v="United States"/>
    <s v="Columbus"/>
    <x v="24"/>
    <n v="43229"/>
    <x v="3"/>
    <x v="720"/>
    <x v="1"/>
    <x v="4"/>
    <x v="719"/>
    <x v="643"/>
    <x v="4"/>
    <x v="0"/>
  </r>
  <r>
    <n v="5995"/>
    <x v="2984"/>
    <x v="25"/>
    <d v="2017-12-11T00:00:00"/>
    <s v="Same Day"/>
    <x v="374"/>
    <s v="Noel Staavos"/>
    <x v="1"/>
    <s v="United States"/>
    <s v="Columbus"/>
    <x v="24"/>
    <n v="43229"/>
    <x v="3"/>
    <x v="1566"/>
    <x v="1"/>
    <x v="14"/>
    <x v="1557"/>
    <x v="1902"/>
    <x v="4"/>
    <x v="0"/>
  </r>
  <r>
    <n v="5996"/>
    <x v="2984"/>
    <x v="25"/>
    <d v="2017-12-11T00:00:00"/>
    <s v="Same Day"/>
    <x v="374"/>
    <s v="Noel Staavos"/>
    <x v="1"/>
    <s v="United States"/>
    <s v="Columbus"/>
    <x v="24"/>
    <n v="43229"/>
    <x v="3"/>
    <x v="1585"/>
    <x v="0"/>
    <x v="1"/>
    <x v="1576"/>
    <x v="4087"/>
    <x v="4"/>
    <x v="0"/>
  </r>
  <r>
    <n v="5997"/>
    <x v="2984"/>
    <x v="25"/>
    <d v="2017-12-11T00:00:00"/>
    <s v="Same Day"/>
    <x v="374"/>
    <s v="Noel Staavos"/>
    <x v="1"/>
    <s v="United States"/>
    <s v="Columbus"/>
    <x v="24"/>
    <n v="43229"/>
    <x v="3"/>
    <x v="643"/>
    <x v="1"/>
    <x v="9"/>
    <x v="850"/>
    <x v="2342"/>
    <x v="4"/>
    <x v="0"/>
  </r>
  <r>
    <n v="5998"/>
    <x v="2984"/>
    <x v="25"/>
    <d v="2017-12-11T00:00:00"/>
    <s v="Same Day"/>
    <x v="374"/>
    <s v="Noel Staavos"/>
    <x v="1"/>
    <s v="United States"/>
    <s v="Columbus"/>
    <x v="24"/>
    <n v="43229"/>
    <x v="3"/>
    <x v="962"/>
    <x v="0"/>
    <x v="3"/>
    <x v="955"/>
    <x v="4088"/>
    <x v="4"/>
    <x v="0"/>
  </r>
  <r>
    <n v="5999"/>
    <x v="2985"/>
    <x v="325"/>
    <d v="2015-12-14T00:00:00"/>
    <s v="Standard Class"/>
    <x v="64"/>
    <s v="Sally Hughsby"/>
    <x v="1"/>
    <s v="United States"/>
    <s v="Caldwell"/>
    <x v="45"/>
    <n v="83605"/>
    <x v="1"/>
    <x v="901"/>
    <x v="0"/>
    <x v="1"/>
    <x v="893"/>
    <x v="4089"/>
    <x v="4"/>
    <x v="2"/>
  </r>
  <r>
    <n v="6000"/>
    <x v="2985"/>
    <x v="325"/>
    <d v="2015-12-14T00:00:00"/>
    <s v="Standard Class"/>
    <x v="64"/>
    <s v="Sally Hughsby"/>
    <x v="1"/>
    <s v="United States"/>
    <s v="Caldwell"/>
    <x v="45"/>
    <n v="83605"/>
    <x v="1"/>
    <x v="712"/>
    <x v="1"/>
    <x v="10"/>
    <x v="711"/>
    <x v="233"/>
    <x v="4"/>
    <x v="2"/>
  </r>
  <r>
    <n v="6001"/>
    <x v="2985"/>
    <x v="325"/>
    <d v="2015-12-14T00:00:00"/>
    <s v="Standard Class"/>
    <x v="64"/>
    <s v="Sally Hughsby"/>
    <x v="1"/>
    <s v="United States"/>
    <s v="Caldwell"/>
    <x v="45"/>
    <n v="83605"/>
    <x v="1"/>
    <x v="393"/>
    <x v="1"/>
    <x v="10"/>
    <x v="394"/>
    <x v="419"/>
    <x v="4"/>
    <x v="2"/>
  </r>
  <r>
    <n v="6002"/>
    <x v="2986"/>
    <x v="736"/>
    <d v="2015-12-17T00:00:00"/>
    <s v="Standard Class"/>
    <x v="575"/>
    <s v="Randy Ferguson"/>
    <x v="1"/>
    <s v="United States"/>
    <s v="Phoenix"/>
    <x v="16"/>
    <n v="85023"/>
    <x v="1"/>
    <x v="1142"/>
    <x v="0"/>
    <x v="5"/>
    <x v="1130"/>
    <x v="2839"/>
    <x v="4"/>
    <x v="2"/>
  </r>
  <r>
    <n v="6003"/>
    <x v="2986"/>
    <x v="736"/>
    <d v="2015-12-17T00:00:00"/>
    <s v="Standard Class"/>
    <x v="575"/>
    <s v="Randy Ferguson"/>
    <x v="1"/>
    <s v="United States"/>
    <s v="Phoenix"/>
    <x v="16"/>
    <n v="85023"/>
    <x v="1"/>
    <x v="530"/>
    <x v="1"/>
    <x v="8"/>
    <x v="530"/>
    <x v="3862"/>
    <x v="4"/>
    <x v="2"/>
  </r>
  <r>
    <n v="6004"/>
    <x v="2987"/>
    <x v="296"/>
    <d v="2018-09-27T00:00:00"/>
    <s v="Standard Class"/>
    <x v="297"/>
    <s v="Dan Lawera"/>
    <x v="0"/>
    <s v="United States"/>
    <s v="Miami"/>
    <x v="2"/>
    <n v="33142"/>
    <x v="0"/>
    <x v="102"/>
    <x v="1"/>
    <x v="8"/>
    <x v="102"/>
    <x v="4090"/>
    <x v="8"/>
    <x v="3"/>
  </r>
  <r>
    <n v="6005"/>
    <x v="2988"/>
    <x v="210"/>
    <d v="2018-09-11T00:00:00"/>
    <s v="Standard Class"/>
    <x v="369"/>
    <s v="Allen Goldenen"/>
    <x v="0"/>
    <s v="United States"/>
    <s v="Los Angeles"/>
    <x v="1"/>
    <n v="90004"/>
    <x v="1"/>
    <x v="627"/>
    <x v="0"/>
    <x v="5"/>
    <x v="627"/>
    <x v="2354"/>
    <x v="8"/>
    <x v="3"/>
  </r>
  <r>
    <n v="6006"/>
    <x v="2989"/>
    <x v="121"/>
    <d v="2016-11-07T00:00:00"/>
    <s v="Standard Class"/>
    <x v="573"/>
    <s v="Scot Wooten"/>
    <x v="0"/>
    <s v="United States"/>
    <s v="Troy"/>
    <x v="15"/>
    <n v="12180"/>
    <x v="3"/>
    <x v="1534"/>
    <x v="0"/>
    <x v="1"/>
    <x v="1522"/>
    <x v="4091"/>
    <x v="0"/>
    <x v="1"/>
  </r>
  <r>
    <n v="6007"/>
    <x v="2990"/>
    <x v="157"/>
    <d v="2018-12-18T00:00:00"/>
    <s v="Standard Class"/>
    <x v="471"/>
    <s v="Katherine Nockton"/>
    <x v="1"/>
    <s v="United States"/>
    <s v="New Bedford"/>
    <x v="31"/>
    <n v="2740"/>
    <x v="3"/>
    <x v="1300"/>
    <x v="2"/>
    <x v="7"/>
    <x v="1285"/>
    <x v="3565"/>
    <x v="4"/>
    <x v="3"/>
  </r>
  <r>
    <n v="6008"/>
    <x v="2991"/>
    <x v="719"/>
    <d v="2018-04-03T00:00:00"/>
    <s v="First Class"/>
    <x v="334"/>
    <s v="George Bell"/>
    <x v="1"/>
    <s v="United States"/>
    <s v="Florence"/>
    <x v="20"/>
    <n v="29501"/>
    <x v="0"/>
    <x v="101"/>
    <x v="0"/>
    <x v="5"/>
    <x v="101"/>
    <x v="4030"/>
    <x v="3"/>
    <x v="3"/>
  </r>
  <r>
    <n v="6009"/>
    <x v="2992"/>
    <x v="1081"/>
    <d v="2017-01-03T00:00:00"/>
    <s v="Standard Class"/>
    <x v="52"/>
    <s v="Clay Ludtke"/>
    <x v="0"/>
    <s v="United States"/>
    <s v="Los Angeles"/>
    <x v="1"/>
    <n v="90049"/>
    <x v="1"/>
    <x v="1138"/>
    <x v="1"/>
    <x v="10"/>
    <x v="1126"/>
    <x v="4092"/>
    <x v="4"/>
    <x v="1"/>
  </r>
  <r>
    <n v="6010"/>
    <x v="2992"/>
    <x v="1081"/>
    <d v="2017-01-03T00:00:00"/>
    <s v="Standard Class"/>
    <x v="52"/>
    <s v="Clay Ludtke"/>
    <x v="0"/>
    <s v="United States"/>
    <s v="Los Angeles"/>
    <x v="1"/>
    <n v="90049"/>
    <x v="1"/>
    <x v="352"/>
    <x v="1"/>
    <x v="4"/>
    <x v="352"/>
    <x v="4093"/>
    <x v="4"/>
    <x v="1"/>
  </r>
  <r>
    <n v="6011"/>
    <x v="2992"/>
    <x v="1081"/>
    <d v="2017-01-03T00:00:00"/>
    <s v="Standard Class"/>
    <x v="52"/>
    <s v="Clay Ludtke"/>
    <x v="0"/>
    <s v="United States"/>
    <s v="Los Angeles"/>
    <x v="1"/>
    <n v="90049"/>
    <x v="1"/>
    <x v="668"/>
    <x v="2"/>
    <x v="15"/>
    <x v="668"/>
    <x v="4094"/>
    <x v="4"/>
    <x v="1"/>
  </r>
  <r>
    <n v="6012"/>
    <x v="2992"/>
    <x v="1081"/>
    <d v="2017-01-03T00:00:00"/>
    <s v="Standard Class"/>
    <x v="52"/>
    <s v="Clay Ludtke"/>
    <x v="0"/>
    <s v="United States"/>
    <s v="Los Angeles"/>
    <x v="1"/>
    <n v="90049"/>
    <x v="1"/>
    <x v="231"/>
    <x v="1"/>
    <x v="12"/>
    <x v="232"/>
    <x v="3341"/>
    <x v="4"/>
    <x v="1"/>
  </r>
  <r>
    <n v="6013"/>
    <x v="2992"/>
    <x v="1081"/>
    <d v="2017-01-03T00:00:00"/>
    <s v="Standard Class"/>
    <x v="52"/>
    <s v="Clay Ludtke"/>
    <x v="0"/>
    <s v="United States"/>
    <s v="Los Angeles"/>
    <x v="1"/>
    <n v="90049"/>
    <x v="1"/>
    <x v="1191"/>
    <x v="2"/>
    <x v="7"/>
    <x v="1176"/>
    <x v="4095"/>
    <x v="4"/>
    <x v="1"/>
  </r>
  <r>
    <n v="6014"/>
    <x v="2993"/>
    <x v="612"/>
    <d v="2017-03-11T00:00:00"/>
    <s v="First Class"/>
    <x v="580"/>
    <s v="Karen Ferguson"/>
    <x v="2"/>
    <s v="United States"/>
    <s v="Los Angeles"/>
    <x v="1"/>
    <n v="90008"/>
    <x v="1"/>
    <x v="1102"/>
    <x v="1"/>
    <x v="10"/>
    <x v="1091"/>
    <x v="81"/>
    <x v="10"/>
    <x v="0"/>
  </r>
  <r>
    <n v="6015"/>
    <x v="2993"/>
    <x v="612"/>
    <d v="2017-03-11T00:00:00"/>
    <s v="First Class"/>
    <x v="580"/>
    <s v="Karen Ferguson"/>
    <x v="2"/>
    <s v="United States"/>
    <s v="Los Angeles"/>
    <x v="1"/>
    <n v="90008"/>
    <x v="1"/>
    <x v="1148"/>
    <x v="2"/>
    <x v="7"/>
    <x v="1136"/>
    <x v="4096"/>
    <x v="10"/>
    <x v="0"/>
  </r>
  <r>
    <n v="6016"/>
    <x v="2994"/>
    <x v="322"/>
    <d v="2015-04-12T00:00:00"/>
    <s v="Standard Class"/>
    <x v="672"/>
    <s v="Andy Yotov"/>
    <x v="1"/>
    <s v="United States"/>
    <s v="Los Angeles"/>
    <x v="1"/>
    <n v="90049"/>
    <x v="1"/>
    <x v="1762"/>
    <x v="0"/>
    <x v="5"/>
    <x v="1751"/>
    <x v="1361"/>
    <x v="3"/>
    <x v="2"/>
  </r>
  <r>
    <n v="6017"/>
    <x v="2994"/>
    <x v="322"/>
    <d v="2015-04-12T00:00:00"/>
    <s v="Standard Class"/>
    <x v="672"/>
    <s v="Andy Yotov"/>
    <x v="1"/>
    <s v="United States"/>
    <s v="Los Angeles"/>
    <x v="1"/>
    <n v="90049"/>
    <x v="1"/>
    <x v="283"/>
    <x v="0"/>
    <x v="5"/>
    <x v="283"/>
    <x v="900"/>
    <x v="3"/>
    <x v="2"/>
  </r>
  <r>
    <n v="6018"/>
    <x v="2994"/>
    <x v="322"/>
    <d v="2015-04-12T00:00:00"/>
    <s v="Standard Class"/>
    <x v="672"/>
    <s v="Andy Yotov"/>
    <x v="1"/>
    <s v="United States"/>
    <s v="Los Angeles"/>
    <x v="1"/>
    <n v="90049"/>
    <x v="1"/>
    <x v="1165"/>
    <x v="1"/>
    <x v="10"/>
    <x v="1152"/>
    <x v="537"/>
    <x v="3"/>
    <x v="2"/>
  </r>
  <r>
    <n v="6019"/>
    <x v="2994"/>
    <x v="322"/>
    <d v="2015-04-12T00:00:00"/>
    <s v="Standard Class"/>
    <x v="672"/>
    <s v="Andy Yotov"/>
    <x v="1"/>
    <s v="United States"/>
    <s v="Los Angeles"/>
    <x v="1"/>
    <n v="90049"/>
    <x v="1"/>
    <x v="1486"/>
    <x v="1"/>
    <x v="10"/>
    <x v="1473"/>
    <x v="444"/>
    <x v="3"/>
    <x v="2"/>
  </r>
  <r>
    <n v="6020"/>
    <x v="2995"/>
    <x v="1082"/>
    <d v="2015-10-10T00:00:00"/>
    <s v="Second Class"/>
    <x v="631"/>
    <s v="Brian Derr"/>
    <x v="0"/>
    <s v="United States"/>
    <s v="Columbus"/>
    <x v="24"/>
    <n v="43229"/>
    <x v="3"/>
    <x v="9"/>
    <x v="1"/>
    <x v="9"/>
    <x v="9"/>
    <x v="2784"/>
    <x v="2"/>
    <x v="2"/>
  </r>
  <r>
    <n v="6021"/>
    <x v="2996"/>
    <x v="572"/>
    <d v="2017-08-13T00:00:00"/>
    <s v="Same Day"/>
    <x v="643"/>
    <s v="Hunter Glantz"/>
    <x v="0"/>
    <s v="United States"/>
    <s v="Kenner"/>
    <x v="28"/>
    <n v="70065"/>
    <x v="0"/>
    <x v="1295"/>
    <x v="1"/>
    <x v="9"/>
    <x v="360"/>
    <x v="1686"/>
    <x v="6"/>
    <x v="0"/>
  </r>
  <r>
    <n v="6022"/>
    <x v="2996"/>
    <x v="572"/>
    <d v="2017-08-13T00:00:00"/>
    <s v="Same Day"/>
    <x v="643"/>
    <s v="Hunter Glantz"/>
    <x v="0"/>
    <s v="United States"/>
    <s v="Kenner"/>
    <x v="28"/>
    <n v="70065"/>
    <x v="0"/>
    <x v="357"/>
    <x v="2"/>
    <x v="11"/>
    <x v="357"/>
    <x v="2215"/>
    <x v="6"/>
    <x v="0"/>
  </r>
  <r>
    <n v="6023"/>
    <x v="2997"/>
    <x v="664"/>
    <d v="2015-11-21T00:00:00"/>
    <s v="Standard Class"/>
    <x v="90"/>
    <s v="Cassandra Brandow"/>
    <x v="0"/>
    <s v="United States"/>
    <s v="Cedar Hill"/>
    <x v="5"/>
    <n v="75104"/>
    <x v="2"/>
    <x v="111"/>
    <x v="1"/>
    <x v="12"/>
    <x v="111"/>
    <x v="906"/>
    <x v="0"/>
    <x v="2"/>
  </r>
  <r>
    <n v="6024"/>
    <x v="2998"/>
    <x v="558"/>
    <d v="2018-04-27T00:00:00"/>
    <s v="First Class"/>
    <x v="322"/>
    <s v="Linda Southworth"/>
    <x v="1"/>
    <s v="United States"/>
    <s v="Providence"/>
    <x v="34"/>
    <n v="2908"/>
    <x v="3"/>
    <x v="1067"/>
    <x v="2"/>
    <x v="11"/>
    <x v="1056"/>
    <x v="3401"/>
    <x v="3"/>
    <x v="3"/>
  </r>
  <r>
    <n v="6025"/>
    <x v="2999"/>
    <x v="1043"/>
    <d v="2018-08-26T00:00:00"/>
    <s v="Second Class"/>
    <x v="661"/>
    <s v="Darrin Martin"/>
    <x v="0"/>
    <s v="United States"/>
    <s v="Lancaster"/>
    <x v="24"/>
    <n v="43130"/>
    <x v="3"/>
    <x v="1725"/>
    <x v="1"/>
    <x v="9"/>
    <x v="1712"/>
    <x v="4097"/>
    <x v="6"/>
    <x v="3"/>
  </r>
  <r>
    <n v="6026"/>
    <x v="2999"/>
    <x v="1043"/>
    <d v="2018-08-26T00:00:00"/>
    <s v="Second Class"/>
    <x v="661"/>
    <s v="Darrin Martin"/>
    <x v="0"/>
    <s v="United States"/>
    <s v="Lancaster"/>
    <x v="24"/>
    <n v="43130"/>
    <x v="3"/>
    <x v="727"/>
    <x v="1"/>
    <x v="10"/>
    <x v="1552"/>
    <x v="559"/>
    <x v="6"/>
    <x v="3"/>
  </r>
  <r>
    <n v="6027"/>
    <x v="3000"/>
    <x v="660"/>
    <d v="2018-03-02T00:00:00"/>
    <s v="Standard Class"/>
    <x v="556"/>
    <s v="Ann Chong"/>
    <x v="1"/>
    <s v="United States"/>
    <s v="Seattle"/>
    <x v="4"/>
    <n v="98115"/>
    <x v="1"/>
    <x v="1471"/>
    <x v="1"/>
    <x v="13"/>
    <x v="1458"/>
    <x v="3566"/>
    <x v="11"/>
    <x v="3"/>
  </r>
  <r>
    <n v="6028"/>
    <x v="3000"/>
    <x v="660"/>
    <d v="2018-03-02T00:00:00"/>
    <s v="Standard Class"/>
    <x v="556"/>
    <s v="Ann Chong"/>
    <x v="1"/>
    <s v="United States"/>
    <s v="Seattle"/>
    <x v="4"/>
    <n v="98115"/>
    <x v="1"/>
    <x v="831"/>
    <x v="2"/>
    <x v="7"/>
    <x v="826"/>
    <x v="994"/>
    <x v="11"/>
    <x v="3"/>
  </r>
  <r>
    <n v="6029"/>
    <x v="3001"/>
    <x v="258"/>
    <d v="2017-11-21T00:00:00"/>
    <s v="First Class"/>
    <x v="299"/>
    <s v="Liz Thompson"/>
    <x v="0"/>
    <s v="United States"/>
    <s v="Jacksonville"/>
    <x v="3"/>
    <n v="28540"/>
    <x v="0"/>
    <x v="684"/>
    <x v="1"/>
    <x v="6"/>
    <x v="684"/>
    <x v="4098"/>
    <x v="0"/>
    <x v="0"/>
  </r>
  <r>
    <n v="6030"/>
    <x v="3002"/>
    <x v="696"/>
    <d v="2017-11-15T00:00:00"/>
    <s v="First Class"/>
    <x v="621"/>
    <s v="Tim Brockman"/>
    <x v="0"/>
    <s v="United States"/>
    <s v="Los Angeles"/>
    <x v="1"/>
    <n v="90049"/>
    <x v="1"/>
    <x v="950"/>
    <x v="1"/>
    <x v="6"/>
    <x v="943"/>
    <x v="294"/>
    <x v="0"/>
    <x v="0"/>
  </r>
  <r>
    <n v="6031"/>
    <x v="3003"/>
    <x v="91"/>
    <d v="2018-07-06T00:00:00"/>
    <s v="Same Day"/>
    <x v="738"/>
    <s v="Angele Hood"/>
    <x v="0"/>
    <s v="United States"/>
    <s v="Miami"/>
    <x v="2"/>
    <n v="33142"/>
    <x v="0"/>
    <x v="1180"/>
    <x v="0"/>
    <x v="1"/>
    <x v="1166"/>
    <x v="4099"/>
    <x v="7"/>
    <x v="3"/>
  </r>
  <r>
    <n v="6032"/>
    <x v="3004"/>
    <x v="591"/>
    <d v="2018-01-01T00:00:00"/>
    <s v="Standard Class"/>
    <x v="164"/>
    <s v="Saphhira Shifley"/>
    <x v="1"/>
    <s v="United States"/>
    <s v="Nashua"/>
    <x v="38"/>
    <n v="3060"/>
    <x v="3"/>
    <x v="1226"/>
    <x v="0"/>
    <x v="5"/>
    <x v="1210"/>
    <x v="3051"/>
    <x v="4"/>
    <x v="0"/>
  </r>
  <r>
    <n v="6033"/>
    <x v="3005"/>
    <x v="756"/>
    <d v="2018-04-25T00:00:00"/>
    <s v="First Class"/>
    <x v="143"/>
    <s v="Tamara Dahlen"/>
    <x v="0"/>
    <s v="United States"/>
    <s v="New York City"/>
    <x v="15"/>
    <n v="10011"/>
    <x v="3"/>
    <x v="133"/>
    <x v="1"/>
    <x v="14"/>
    <x v="134"/>
    <x v="2735"/>
    <x v="3"/>
    <x v="3"/>
  </r>
  <r>
    <n v="6034"/>
    <x v="3006"/>
    <x v="639"/>
    <d v="2016-12-18T00:00:00"/>
    <s v="Standard Class"/>
    <x v="452"/>
    <s v="Paul Prost"/>
    <x v="2"/>
    <s v="United States"/>
    <s v="Los Angeles"/>
    <x v="1"/>
    <n v="90036"/>
    <x v="1"/>
    <x v="1524"/>
    <x v="0"/>
    <x v="5"/>
    <x v="1511"/>
    <x v="593"/>
    <x v="4"/>
    <x v="1"/>
  </r>
  <r>
    <n v="6035"/>
    <x v="3007"/>
    <x v="1083"/>
    <d v="2016-04-25T00:00:00"/>
    <s v="Standard Class"/>
    <x v="310"/>
    <s v="Patrick Gardner"/>
    <x v="0"/>
    <s v="United States"/>
    <s v="Carrollton"/>
    <x v="5"/>
    <n v="75007"/>
    <x v="2"/>
    <x v="414"/>
    <x v="1"/>
    <x v="9"/>
    <x v="414"/>
    <x v="4100"/>
    <x v="3"/>
    <x v="1"/>
  </r>
  <r>
    <n v="6036"/>
    <x v="3007"/>
    <x v="1083"/>
    <d v="2016-04-25T00:00:00"/>
    <s v="Standard Class"/>
    <x v="310"/>
    <s v="Patrick Gardner"/>
    <x v="0"/>
    <s v="United States"/>
    <s v="Carrollton"/>
    <x v="5"/>
    <n v="75007"/>
    <x v="2"/>
    <x v="760"/>
    <x v="1"/>
    <x v="8"/>
    <x v="758"/>
    <x v="4101"/>
    <x v="3"/>
    <x v="1"/>
  </r>
  <r>
    <n v="6037"/>
    <x v="3008"/>
    <x v="913"/>
    <d v="2017-09-08T00:00:00"/>
    <s v="Standard Class"/>
    <x v="731"/>
    <s v="Anna Andreadi"/>
    <x v="0"/>
    <s v="United States"/>
    <s v="Georgetown"/>
    <x v="0"/>
    <n v="40324"/>
    <x v="0"/>
    <x v="378"/>
    <x v="0"/>
    <x v="5"/>
    <x v="379"/>
    <x v="528"/>
    <x v="8"/>
    <x v="0"/>
  </r>
  <r>
    <n v="6038"/>
    <x v="3008"/>
    <x v="913"/>
    <d v="2017-09-08T00:00:00"/>
    <s v="Standard Class"/>
    <x v="731"/>
    <s v="Anna Andreadi"/>
    <x v="0"/>
    <s v="United States"/>
    <s v="Georgetown"/>
    <x v="0"/>
    <n v="40324"/>
    <x v="0"/>
    <x v="412"/>
    <x v="1"/>
    <x v="8"/>
    <x v="412"/>
    <x v="3273"/>
    <x v="8"/>
    <x v="0"/>
  </r>
  <r>
    <n v="6039"/>
    <x v="3008"/>
    <x v="913"/>
    <d v="2017-09-08T00:00:00"/>
    <s v="Standard Class"/>
    <x v="731"/>
    <s v="Anna Andreadi"/>
    <x v="0"/>
    <s v="United States"/>
    <s v="Georgetown"/>
    <x v="0"/>
    <n v="40324"/>
    <x v="0"/>
    <x v="571"/>
    <x v="1"/>
    <x v="4"/>
    <x v="571"/>
    <x v="677"/>
    <x v="8"/>
    <x v="0"/>
  </r>
  <r>
    <n v="6040"/>
    <x v="3008"/>
    <x v="913"/>
    <d v="2017-09-08T00:00:00"/>
    <s v="Standard Class"/>
    <x v="731"/>
    <s v="Anna Andreadi"/>
    <x v="0"/>
    <s v="United States"/>
    <s v="Georgetown"/>
    <x v="0"/>
    <n v="40324"/>
    <x v="0"/>
    <x v="1273"/>
    <x v="1"/>
    <x v="6"/>
    <x v="1258"/>
    <x v="266"/>
    <x v="8"/>
    <x v="0"/>
  </r>
  <r>
    <n v="6041"/>
    <x v="3009"/>
    <x v="241"/>
    <d v="2018-09-29T00:00:00"/>
    <s v="Standard Class"/>
    <x v="135"/>
    <s v="Frank Atkinson"/>
    <x v="1"/>
    <s v="United States"/>
    <s v="Los Angeles"/>
    <x v="1"/>
    <n v="90008"/>
    <x v="1"/>
    <x v="1118"/>
    <x v="2"/>
    <x v="7"/>
    <x v="1106"/>
    <x v="3848"/>
    <x v="8"/>
    <x v="3"/>
  </r>
  <r>
    <n v="6042"/>
    <x v="3009"/>
    <x v="241"/>
    <d v="2018-09-29T00:00:00"/>
    <s v="Standard Class"/>
    <x v="135"/>
    <s v="Frank Atkinson"/>
    <x v="1"/>
    <s v="United States"/>
    <s v="Los Angeles"/>
    <x v="1"/>
    <n v="90008"/>
    <x v="1"/>
    <x v="1770"/>
    <x v="2"/>
    <x v="15"/>
    <x v="1760"/>
    <x v="4102"/>
    <x v="8"/>
    <x v="3"/>
  </r>
  <r>
    <n v="6043"/>
    <x v="3010"/>
    <x v="1084"/>
    <d v="2017-02-08T00:00:00"/>
    <s v="Standard Class"/>
    <x v="14"/>
    <s v="Tracy Blumstein"/>
    <x v="0"/>
    <s v="United States"/>
    <s v="Sierra Vista"/>
    <x v="16"/>
    <n v="85635"/>
    <x v="1"/>
    <x v="1104"/>
    <x v="0"/>
    <x v="5"/>
    <x v="1093"/>
    <x v="322"/>
    <x v="11"/>
    <x v="0"/>
  </r>
  <r>
    <n v="6044"/>
    <x v="3011"/>
    <x v="240"/>
    <d v="2018-05-24T00:00:00"/>
    <s v="Second Class"/>
    <x v="340"/>
    <s v="Adam Hart"/>
    <x v="1"/>
    <s v="United States"/>
    <s v="Knoxville"/>
    <x v="18"/>
    <n v="37918"/>
    <x v="0"/>
    <x v="541"/>
    <x v="0"/>
    <x v="1"/>
    <x v="541"/>
    <x v="2317"/>
    <x v="5"/>
    <x v="3"/>
  </r>
  <r>
    <n v="6045"/>
    <x v="3011"/>
    <x v="240"/>
    <d v="2018-05-24T00:00:00"/>
    <s v="Second Class"/>
    <x v="340"/>
    <s v="Adam Hart"/>
    <x v="1"/>
    <s v="United States"/>
    <s v="Knoxville"/>
    <x v="18"/>
    <n v="37918"/>
    <x v="0"/>
    <x v="1050"/>
    <x v="1"/>
    <x v="10"/>
    <x v="1039"/>
    <x v="2825"/>
    <x v="5"/>
    <x v="3"/>
  </r>
  <r>
    <n v="6046"/>
    <x v="3012"/>
    <x v="37"/>
    <d v="2016-09-08T00:00:00"/>
    <s v="Standard Class"/>
    <x v="434"/>
    <s v="Cathy Prescott"/>
    <x v="1"/>
    <s v="United States"/>
    <s v="Tucson"/>
    <x v="16"/>
    <n v="85705"/>
    <x v="1"/>
    <x v="1071"/>
    <x v="0"/>
    <x v="5"/>
    <x v="1060"/>
    <x v="4103"/>
    <x v="8"/>
    <x v="1"/>
  </r>
  <r>
    <n v="6047"/>
    <x v="3013"/>
    <x v="632"/>
    <d v="2017-06-16T00:00:00"/>
    <s v="Standard Class"/>
    <x v="682"/>
    <s v="Benjamin Farhat"/>
    <x v="2"/>
    <s v="United States"/>
    <s v="Minneapolis"/>
    <x v="11"/>
    <n v="55407"/>
    <x v="2"/>
    <x v="1744"/>
    <x v="0"/>
    <x v="3"/>
    <x v="1733"/>
    <x v="4104"/>
    <x v="1"/>
    <x v="0"/>
  </r>
  <r>
    <n v="6048"/>
    <x v="3014"/>
    <x v="209"/>
    <d v="2016-11-11T00:00:00"/>
    <s v="Standard Class"/>
    <x v="291"/>
    <s v="Christine Phan"/>
    <x v="1"/>
    <s v="United States"/>
    <s v="Miami"/>
    <x v="2"/>
    <n v="33142"/>
    <x v="0"/>
    <x v="570"/>
    <x v="1"/>
    <x v="8"/>
    <x v="570"/>
    <x v="4105"/>
    <x v="0"/>
    <x v="1"/>
  </r>
  <r>
    <n v="6049"/>
    <x v="3014"/>
    <x v="209"/>
    <d v="2016-11-11T00:00:00"/>
    <s v="Standard Class"/>
    <x v="291"/>
    <s v="Christine Phan"/>
    <x v="1"/>
    <s v="United States"/>
    <s v="Miami"/>
    <x v="2"/>
    <n v="33142"/>
    <x v="0"/>
    <x v="1176"/>
    <x v="1"/>
    <x v="8"/>
    <x v="1162"/>
    <x v="4106"/>
    <x v="0"/>
    <x v="1"/>
  </r>
  <r>
    <n v="6050"/>
    <x v="3015"/>
    <x v="1085"/>
    <d v="2017-06-18T00:00:00"/>
    <s v="First Class"/>
    <x v="201"/>
    <s v="Lynn Smith"/>
    <x v="0"/>
    <s v="United States"/>
    <s v="Houston"/>
    <x v="5"/>
    <n v="77036"/>
    <x v="2"/>
    <x v="1693"/>
    <x v="1"/>
    <x v="10"/>
    <x v="1681"/>
    <x v="4107"/>
    <x v="1"/>
    <x v="0"/>
  </r>
  <r>
    <n v="6051"/>
    <x v="3016"/>
    <x v="334"/>
    <d v="2016-04-30T00:00:00"/>
    <s v="Standard Class"/>
    <x v="772"/>
    <s v="Trudy Schmidt"/>
    <x v="0"/>
    <s v="United States"/>
    <s v="Milwaukee"/>
    <x v="6"/>
    <n v="53209"/>
    <x v="2"/>
    <x v="332"/>
    <x v="1"/>
    <x v="6"/>
    <x v="332"/>
    <x v="2444"/>
    <x v="3"/>
    <x v="1"/>
  </r>
  <r>
    <n v="6052"/>
    <x v="3016"/>
    <x v="334"/>
    <d v="2016-04-30T00:00:00"/>
    <s v="Standard Class"/>
    <x v="772"/>
    <s v="Trudy Schmidt"/>
    <x v="0"/>
    <s v="United States"/>
    <s v="Milwaukee"/>
    <x v="6"/>
    <n v="53209"/>
    <x v="2"/>
    <x v="1309"/>
    <x v="1"/>
    <x v="9"/>
    <x v="1294"/>
    <x v="4108"/>
    <x v="3"/>
    <x v="1"/>
  </r>
  <r>
    <n v="6053"/>
    <x v="3017"/>
    <x v="713"/>
    <d v="2017-09-26T00:00:00"/>
    <s v="Second Class"/>
    <x v="185"/>
    <s v="Joni Sundaresam"/>
    <x v="2"/>
    <s v="United States"/>
    <s v="Lancaster"/>
    <x v="24"/>
    <n v="43130"/>
    <x v="3"/>
    <x v="1025"/>
    <x v="1"/>
    <x v="10"/>
    <x v="1016"/>
    <x v="1627"/>
    <x v="8"/>
    <x v="0"/>
  </r>
  <r>
    <n v="6054"/>
    <x v="3017"/>
    <x v="713"/>
    <d v="2017-09-26T00:00:00"/>
    <s v="Second Class"/>
    <x v="185"/>
    <s v="Joni Sundaresam"/>
    <x v="2"/>
    <s v="United States"/>
    <s v="Lancaster"/>
    <x v="24"/>
    <n v="43130"/>
    <x v="3"/>
    <x v="1457"/>
    <x v="0"/>
    <x v="5"/>
    <x v="1443"/>
    <x v="4109"/>
    <x v="8"/>
    <x v="0"/>
  </r>
  <r>
    <n v="6055"/>
    <x v="3017"/>
    <x v="713"/>
    <d v="2017-09-26T00:00:00"/>
    <s v="Second Class"/>
    <x v="185"/>
    <s v="Joni Sundaresam"/>
    <x v="2"/>
    <s v="United States"/>
    <s v="Lancaster"/>
    <x v="24"/>
    <n v="43130"/>
    <x v="3"/>
    <x v="699"/>
    <x v="1"/>
    <x v="8"/>
    <x v="699"/>
    <x v="4110"/>
    <x v="8"/>
    <x v="0"/>
  </r>
  <r>
    <n v="6056"/>
    <x v="3018"/>
    <x v="298"/>
    <d v="2017-08-20T00:00:00"/>
    <s v="First Class"/>
    <x v="173"/>
    <s v="Natalie Fritzler"/>
    <x v="0"/>
    <s v="United States"/>
    <s v="Edinburg"/>
    <x v="5"/>
    <n v="78539"/>
    <x v="2"/>
    <x v="1339"/>
    <x v="1"/>
    <x v="8"/>
    <x v="1324"/>
    <x v="4111"/>
    <x v="6"/>
    <x v="0"/>
  </r>
  <r>
    <n v="6057"/>
    <x v="3018"/>
    <x v="298"/>
    <d v="2017-08-20T00:00:00"/>
    <s v="First Class"/>
    <x v="173"/>
    <s v="Natalie Fritzler"/>
    <x v="0"/>
    <s v="United States"/>
    <s v="Edinburg"/>
    <x v="5"/>
    <n v="78539"/>
    <x v="2"/>
    <x v="1402"/>
    <x v="1"/>
    <x v="10"/>
    <x v="1389"/>
    <x v="1332"/>
    <x v="6"/>
    <x v="0"/>
  </r>
  <r>
    <n v="6058"/>
    <x v="3019"/>
    <x v="1086"/>
    <d v="2015-03-08T00:00:00"/>
    <s v="Standard Class"/>
    <x v="607"/>
    <s v="Kristina Nunn"/>
    <x v="2"/>
    <s v="United States"/>
    <s v="New York City"/>
    <x v="15"/>
    <n v="10009"/>
    <x v="3"/>
    <x v="152"/>
    <x v="1"/>
    <x v="12"/>
    <x v="153"/>
    <x v="710"/>
    <x v="10"/>
    <x v="2"/>
  </r>
  <r>
    <n v="6059"/>
    <x v="3019"/>
    <x v="1086"/>
    <d v="2015-03-08T00:00:00"/>
    <s v="Standard Class"/>
    <x v="607"/>
    <s v="Kristina Nunn"/>
    <x v="2"/>
    <s v="United States"/>
    <s v="New York City"/>
    <x v="15"/>
    <n v="10009"/>
    <x v="3"/>
    <x v="57"/>
    <x v="1"/>
    <x v="10"/>
    <x v="57"/>
    <x v="3343"/>
    <x v="10"/>
    <x v="2"/>
  </r>
  <r>
    <n v="6060"/>
    <x v="3020"/>
    <x v="125"/>
    <d v="2016-01-03T00:00:00"/>
    <s v="Standard Class"/>
    <x v="315"/>
    <s v="Guy Armstrong"/>
    <x v="0"/>
    <s v="United States"/>
    <s v="Philadelphia"/>
    <x v="9"/>
    <n v="19120"/>
    <x v="3"/>
    <x v="1563"/>
    <x v="2"/>
    <x v="11"/>
    <x v="1554"/>
    <x v="886"/>
    <x v="4"/>
    <x v="2"/>
  </r>
  <r>
    <n v="6061"/>
    <x v="3021"/>
    <x v="889"/>
    <d v="2016-04-16T00:00:00"/>
    <s v="Standard Class"/>
    <x v="258"/>
    <s v="Eugene Hildebrand"/>
    <x v="2"/>
    <s v="United States"/>
    <s v="Rochester"/>
    <x v="15"/>
    <n v="14609"/>
    <x v="3"/>
    <x v="841"/>
    <x v="1"/>
    <x v="4"/>
    <x v="835"/>
    <x v="4112"/>
    <x v="3"/>
    <x v="1"/>
  </r>
  <r>
    <n v="6062"/>
    <x v="3021"/>
    <x v="889"/>
    <d v="2016-04-16T00:00:00"/>
    <s v="Standard Class"/>
    <x v="258"/>
    <s v="Eugene Hildebrand"/>
    <x v="2"/>
    <s v="United States"/>
    <s v="Rochester"/>
    <x v="15"/>
    <n v="14609"/>
    <x v="3"/>
    <x v="282"/>
    <x v="1"/>
    <x v="6"/>
    <x v="282"/>
    <x v="1835"/>
    <x v="3"/>
    <x v="1"/>
  </r>
  <r>
    <n v="6063"/>
    <x v="3022"/>
    <x v="707"/>
    <d v="2016-12-30T00:00:00"/>
    <s v="Second Class"/>
    <x v="267"/>
    <s v="Ralph Arnett"/>
    <x v="0"/>
    <s v="United States"/>
    <s v="San Diego"/>
    <x v="1"/>
    <n v="92037"/>
    <x v="1"/>
    <x v="851"/>
    <x v="2"/>
    <x v="16"/>
    <x v="844"/>
    <x v="4113"/>
    <x v="4"/>
    <x v="1"/>
  </r>
  <r>
    <n v="6064"/>
    <x v="3022"/>
    <x v="707"/>
    <d v="2016-12-30T00:00:00"/>
    <s v="Second Class"/>
    <x v="267"/>
    <s v="Ralph Arnett"/>
    <x v="0"/>
    <s v="United States"/>
    <s v="San Diego"/>
    <x v="1"/>
    <n v="92037"/>
    <x v="1"/>
    <x v="794"/>
    <x v="1"/>
    <x v="10"/>
    <x v="792"/>
    <x v="2336"/>
    <x v="4"/>
    <x v="1"/>
  </r>
  <r>
    <n v="6065"/>
    <x v="3022"/>
    <x v="707"/>
    <d v="2016-12-30T00:00:00"/>
    <s v="Second Class"/>
    <x v="267"/>
    <s v="Ralph Arnett"/>
    <x v="0"/>
    <s v="United States"/>
    <s v="San Diego"/>
    <x v="1"/>
    <n v="92037"/>
    <x v="1"/>
    <x v="457"/>
    <x v="1"/>
    <x v="10"/>
    <x v="458"/>
    <x v="1444"/>
    <x v="4"/>
    <x v="1"/>
  </r>
  <r>
    <n v="6066"/>
    <x v="3023"/>
    <x v="57"/>
    <d v="2016-04-07T00:00:00"/>
    <s v="First Class"/>
    <x v="74"/>
    <s v="Ted Trevino"/>
    <x v="0"/>
    <s v="United States"/>
    <s v="Philadelphia"/>
    <x v="9"/>
    <n v="19120"/>
    <x v="3"/>
    <x v="639"/>
    <x v="1"/>
    <x v="2"/>
    <x v="639"/>
    <x v="4114"/>
    <x v="3"/>
    <x v="1"/>
  </r>
  <r>
    <n v="6067"/>
    <x v="3024"/>
    <x v="184"/>
    <d v="2016-01-23T00:00:00"/>
    <s v="Standard Class"/>
    <x v="733"/>
    <s v="Amy Hunt"/>
    <x v="0"/>
    <s v="United States"/>
    <s v="Bartlett"/>
    <x v="18"/>
    <n v="38134"/>
    <x v="0"/>
    <x v="1205"/>
    <x v="1"/>
    <x v="14"/>
    <x v="1190"/>
    <x v="4115"/>
    <x v="9"/>
    <x v="1"/>
  </r>
  <r>
    <n v="6068"/>
    <x v="3025"/>
    <x v="968"/>
    <d v="2018-05-24T00:00:00"/>
    <s v="Standard Class"/>
    <x v="254"/>
    <s v="Chuck Clark"/>
    <x v="2"/>
    <s v="United States"/>
    <s v="Lakewood"/>
    <x v="1"/>
    <n v="90712"/>
    <x v="1"/>
    <x v="405"/>
    <x v="0"/>
    <x v="1"/>
    <x v="406"/>
    <x v="4116"/>
    <x v="5"/>
    <x v="3"/>
  </r>
  <r>
    <n v="6069"/>
    <x v="3025"/>
    <x v="968"/>
    <d v="2018-05-24T00:00:00"/>
    <s v="Standard Class"/>
    <x v="254"/>
    <s v="Chuck Clark"/>
    <x v="2"/>
    <s v="United States"/>
    <s v="Lakewood"/>
    <x v="1"/>
    <n v="90712"/>
    <x v="1"/>
    <x v="770"/>
    <x v="0"/>
    <x v="5"/>
    <x v="769"/>
    <x v="4117"/>
    <x v="5"/>
    <x v="3"/>
  </r>
  <r>
    <n v="6070"/>
    <x v="3025"/>
    <x v="968"/>
    <d v="2018-05-24T00:00:00"/>
    <s v="Standard Class"/>
    <x v="254"/>
    <s v="Chuck Clark"/>
    <x v="2"/>
    <s v="United States"/>
    <s v="Lakewood"/>
    <x v="1"/>
    <n v="90712"/>
    <x v="1"/>
    <x v="1771"/>
    <x v="2"/>
    <x v="15"/>
    <x v="1761"/>
    <x v="4118"/>
    <x v="5"/>
    <x v="3"/>
  </r>
  <r>
    <n v="6071"/>
    <x v="3026"/>
    <x v="802"/>
    <d v="2018-08-20T00:00:00"/>
    <s v="Standard Class"/>
    <x v="470"/>
    <s v="Keith Dawkins"/>
    <x v="1"/>
    <s v="United States"/>
    <s v="Philadelphia"/>
    <x v="9"/>
    <n v="19120"/>
    <x v="3"/>
    <x v="676"/>
    <x v="1"/>
    <x v="2"/>
    <x v="676"/>
    <x v="1569"/>
    <x v="6"/>
    <x v="3"/>
  </r>
  <r>
    <n v="6072"/>
    <x v="3027"/>
    <x v="620"/>
    <d v="2017-01-04T00:00:00"/>
    <s v="Standard Class"/>
    <x v="767"/>
    <s v="Barry Gonzalez"/>
    <x v="0"/>
    <s v="United States"/>
    <s v="Austin"/>
    <x v="5"/>
    <n v="78745"/>
    <x v="2"/>
    <x v="621"/>
    <x v="1"/>
    <x v="4"/>
    <x v="621"/>
    <x v="4119"/>
    <x v="4"/>
    <x v="1"/>
  </r>
  <r>
    <n v="6073"/>
    <x v="3027"/>
    <x v="620"/>
    <d v="2017-01-04T00:00:00"/>
    <s v="Standard Class"/>
    <x v="767"/>
    <s v="Barry Gonzalez"/>
    <x v="0"/>
    <s v="United States"/>
    <s v="Austin"/>
    <x v="5"/>
    <n v="78745"/>
    <x v="2"/>
    <x v="845"/>
    <x v="1"/>
    <x v="13"/>
    <x v="839"/>
    <x v="4120"/>
    <x v="4"/>
    <x v="1"/>
  </r>
  <r>
    <n v="6074"/>
    <x v="3027"/>
    <x v="620"/>
    <d v="2017-01-04T00:00:00"/>
    <s v="Standard Class"/>
    <x v="767"/>
    <s v="Barry Gonzalez"/>
    <x v="0"/>
    <s v="United States"/>
    <s v="Austin"/>
    <x v="5"/>
    <n v="78745"/>
    <x v="2"/>
    <x v="327"/>
    <x v="1"/>
    <x v="14"/>
    <x v="327"/>
    <x v="4121"/>
    <x v="4"/>
    <x v="1"/>
  </r>
  <r>
    <n v="6075"/>
    <x v="3028"/>
    <x v="53"/>
    <d v="2018-12-29T00:00:00"/>
    <s v="Standard Class"/>
    <x v="92"/>
    <s v="Fred Hopkins"/>
    <x v="1"/>
    <s v="United States"/>
    <s v="Los Angeles"/>
    <x v="1"/>
    <n v="90008"/>
    <x v="1"/>
    <x v="1242"/>
    <x v="1"/>
    <x v="8"/>
    <x v="1225"/>
    <x v="1830"/>
    <x v="4"/>
    <x v="3"/>
  </r>
  <r>
    <n v="6076"/>
    <x v="3028"/>
    <x v="53"/>
    <d v="2018-12-29T00:00:00"/>
    <s v="Standard Class"/>
    <x v="92"/>
    <s v="Fred Hopkins"/>
    <x v="1"/>
    <s v="United States"/>
    <s v="Los Angeles"/>
    <x v="1"/>
    <n v="90008"/>
    <x v="1"/>
    <x v="273"/>
    <x v="1"/>
    <x v="4"/>
    <x v="273"/>
    <x v="4122"/>
    <x v="4"/>
    <x v="3"/>
  </r>
  <r>
    <n v="6077"/>
    <x v="3029"/>
    <x v="142"/>
    <d v="2017-09-07T00:00:00"/>
    <s v="Standard Class"/>
    <x v="310"/>
    <s v="Patrick Gardner"/>
    <x v="0"/>
    <s v="United States"/>
    <s v="New York City"/>
    <x v="15"/>
    <n v="10011"/>
    <x v="3"/>
    <x v="475"/>
    <x v="2"/>
    <x v="11"/>
    <x v="476"/>
    <x v="511"/>
    <x v="8"/>
    <x v="0"/>
  </r>
  <r>
    <n v="6078"/>
    <x v="3029"/>
    <x v="142"/>
    <d v="2017-09-07T00:00:00"/>
    <s v="Standard Class"/>
    <x v="310"/>
    <s v="Patrick Gardner"/>
    <x v="0"/>
    <s v="United States"/>
    <s v="New York City"/>
    <x v="15"/>
    <n v="10011"/>
    <x v="3"/>
    <x v="1519"/>
    <x v="2"/>
    <x v="11"/>
    <x v="1506"/>
    <x v="4123"/>
    <x v="8"/>
    <x v="0"/>
  </r>
  <r>
    <n v="6079"/>
    <x v="3029"/>
    <x v="142"/>
    <d v="2017-09-07T00:00:00"/>
    <s v="Standard Class"/>
    <x v="310"/>
    <s v="Patrick Gardner"/>
    <x v="0"/>
    <s v="United States"/>
    <s v="New York City"/>
    <x v="15"/>
    <n v="10011"/>
    <x v="3"/>
    <x v="503"/>
    <x v="1"/>
    <x v="14"/>
    <x v="503"/>
    <x v="1023"/>
    <x v="8"/>
    <x v="0"/>
  </r>
  <r>
    <n v="6080"/>
    <x v="3029"/>
    <x v="142"/>
    <d v="2017-09-07T00:00:00"/>
    <s v="Standard Class"/>
    <x v="310"/>
    <s v="Patrick Gardner"/>
    <x v="0"/>
    <s v="United States"/>
    <s v="New York City"/>
    <x v="15"/>
    <n v="10011"/>
    <x v="3"/>
    <x v="441"/>
    <x v="0"/>
    <x v="5"/>
    <x v="441"/>
    <x v="1838"/>
    <x v="8"/>
    <x v="0"/>
  </r>
  <r>
    <n v="6081"/>
    <x v="3030"/>
    <x v="485"/>
    <d v="2018-08-08T00:00:00"/>
    <s v="First Class"/>
    <x v="125"/>
    <s v="Nick Zandusky"/>
    <x v="2"/>
    <s v="United States"/>
    <s v="Houston"/>
    <x v="5"/>
    <n v="77070"/>
    <x v="2"/>
    <x v="1222"/>
    <x v="1"/>
    <x v="4"/>
    <x v="1206"/>
    <x v="4124"/>
    <x v="6"/>
    <x v="3"/>
  </r>
  <r>
    <n v="6082"/>
    <x v="3031"/>
    <x v="1087"/>
    <d v="2015-02-18T00:00:00"/>
    <s v="Same Day"/>
    <x v="180"/>
    <s v="Troy Blackwell"/>
    <x v="0"/>
    <s v="United States"/>
    <s v="Lubbock"/>
    <x v="5"/>
    <n v="79424"/>
    <x v="2"/>
    <x v="1598"/>
    <x v="0"/>
    <x v="5"/>
    <x v="1590"/>
    <x v="2783"/>
    <x v="11"/>
    <x v="2"/>
  </r>
  <r>
    <n v="6083"/>
    <x v="3032"/>
    <x v="441"/>
    <d v="2017-11-27T00:00:00"/>
    <s v="Standard Class"/>
    <x v="188"/>
    <s v="Jeremy Ellison"/>
    <x v="0"/>
    <s v="United States"/>
    <s v="Houston"/>
    <x v="5"/>
    <n v="77095"/>
    <x v="2"/>
    <x v="1499"/>
    <x v="1"/>
    <x v="8"/>
    <x v="1487"/>
    <x v="3812"/>
    <x v="0"/>
    <x v="0"/>
  </r>
  <r>
    <n v="6084"/>
    <x v="3032"/>
    <x v="441"/>
    <d v="2017-11-27T00:00:00"/>
    <s v="Standard Class"/>
    <x v="188"/>
    <s v="Jeremy Ellison"/>
    <x v="0"/>
    <s v="United States"/>
    <s v="Houston"/>
    <x v="5"/>
    <n v="77095"/>
    <x v="2"/>
    <x v="1609"/>
    <x v="1"/>
    <x v="6"/>
    <x v="1600"/>
    <x v="3353"/>
    <x v="0"/>
    <x v="0"/>
  </r>
  <r>
    <n v="6085"/>
    <x v="3032"/>
    <x v="441"/>
    <d v="2017-11-27T00:00:00"/>
    <s v="Standard Class"/>
    <x v="188"/>
    <s v="Jeremy Ellison"/>
    <x v="0"/>
    <s v="United States"/>
    <s v="Houston"/>
    <x v="5"/>
    <n v="77095"/>
    <x v="2"/>
    <x v="1374"/>
    <x v="2"/>
    <x v="11"/>
    <x v="1359"/>
    <x v="4125"/>
    <x v="0"/>
    <x v="0"/>
  </r>
  <r>
    <n v="6086"/>
    <x v="3032"/>
    <x v="441"/>
    <d v="2017-11-27T00:00:00"/>
    <s v="Standard Class"/>
    <x v="188"/>
    <s v="Jeremy Ellison"/>
    <x v="0"/>
    <s v="United States"/>
    <s v="Houston"/>
    <x v="5"/>
    <n v="77095"/>
    <x v="2"/>
    <x v="948"/>
    <x v="1"/>
    <x v="2"/>
    <x v="941"/>
    <x v="4126"/>
    <x v="0"/>
    <x v="0"/>
  </r>
  <r>
    <n v="6087"/>
    <x v="3032"/>
    <x v="441"/>
    <d v="2017-11-27T00:00:00"/>
    <s v="Standard Class"/>
    <x v="188"/>
    <s v="Jeremy Ellison"/>
    <x v="0"/>
    <s v="United States"/>
    <s v="Houston"/>
    <x v="5"/>
    <n v="77095"/>
    <x v="2"/>
    <x v="1390"/>
    <x v="1"/>
    <x v="8"/>
    <x v="1376"/>
    <x v="4127"/>
    <x v="0"/>
    <x v="0"/>
  </r>
  <r>
    <n v="6088"/>
    <x v="3033"/>
    <x v="639"/>
    <d v="2016-12-18T00:00:00"/>
    <s v="Standard Class"/>
    <x v="13"/>
    <s v="Eric Hoffmann"/>
    <x v="0"/>
    <s v="United States"/>
    <s v="Costa Mesa"/>
    <x v="1"/>
    <n v="92627"/>
    <x v="1"/>
    <x v="221"/>
    <x v="0"/>
    <x v="5"/>
    <x v="222"/>
    <x v="4022"/>
    <x v="4"/>
    <x v="1"/>
  </r>
  <r>
    <n v="6089"/>
    <x v="3034"/>
    <x v="385"/>
    <d v="2016-06-17T00:00:00"/>
    <s v="Standard Class"/>
    <x v="541"/>
    <s v="Barbara Fisher"/>
    <x v="1"/>
    <s v="United States"/>
    <s v="Roswell"/>
    <x v="32"/>
    <n v="30076"/>
    <x v="0"/>
    <x v="680"/>
    <x v="1"/>
    <x v="10"/>
    <x v="680"/>
    <x v="90"/>
    <x v="1"/>
    <x v="1"/>
  </r>
  <r>
    <n v="6090"/>
    <x v="3035"/>
    <x v="116"/>
    <d v="2018-12-31T00:00:00"/>
    <s v="Second Class"/>
    <x v="331"/>
    <s v="Pamela Coakley"/>
    <x v="1"/>
    <s v="United States"/>
    <s v="Loveland"/>
    <x v="22"/>
    <n v="80538"/>
    <x v="1"/>
    <x v="922"/>
    <x v="1"/>
    <x v="8"/>
    <x v="914"/>
    <x v="1452"/>
    <x v="4"/>
    <x v="3"/>
  </r>
  <r>
    <n v="6091"/>
    <x v="3036"/>
    <x v="1088"/>
    <d v="2018-09-26T00:00:00"/>
    <s v="Standard Class"/>
    <x v="277"/>
    <s v="Seth Vernon"/>
    <x v="0"/>
    <s v="United States"/>
    <s v="New York City"/>
    <x v="15"/>
    <n v="10035"/>
    <x v="3"/>
    <x v="931"/>
    <x v="0"/>
    <x v="1"/>
    <x v="924"/>
    <x v="4128"/>
    <x v="8"/>
    <x v="3"/>
  </r>
  <r>
    <n v="6092"/>
    <x v="3036"/>
    <x v="1088"/>
    <d v="2018-09-26T00:00:00"/>
    <s v="Standard Class"/>
    <x v="277"/>
    <s v="Seth Vernon"/>
    <x v="0"/>
    <s v="United States"/>
    <s v="New York City"/>
    <x v="15"/>
    <n v="10035"/>
    <x v="3"/>
    <x v="1772"/>
    <x v="2"/>
    <x v="11"/>
    <x v="1762"/>
    <x v="4129"/>
    <x v="8"/>
    <x v="3"/>
  </r>
  <r>
    <n v="6093"/>
    <x v="3036"/>
    <x v="1088"/>
    <d v="2018-09-26T00:00:00"/>
    <s v="Standard Class"/>
    <x v="277"/>
    <s v="Seth Vernon"/>
    <x v="0"/>
    <s v="United States"/>
    <s v="New York City"/>
    <x v="15"/>
    <n v="10035"/>
    <x v="3"/>
    <x v="1671"/>
    <x v="1"/>
    <x v="10"/>
    <x v="1659"/>
    <x v="1782"/>
    <x v="8"/>
    <x v="3"/>
  </r>
  <r>
    <n v="6094"/>
    <x v="3036"/>
    <x v="1088"/>
    <d v="2018-09-26T00:00:00"/>
    <s v="Standard Class"/>
    <x v="277"/>
    <s v="Seth Vernon"/>
    <x v="0"/>
    <s v="United States"/>
    <s v="New York City"/>
    <x v="15"/>
    <n v="10035"/>
    <x v="3"/>
    <x v="477"/>
    <x v="2"/>
    <x v="11"/>
    <x v="478"/>
    <x v="3605"/>
    <x v="8"/>
    <x v="3"/>
  </r>
  <r>
    <n v="6095"/>
    <x v="3036"/>
    <x v="1088"/>
    <d v="2018-09-26T00:00:00"/>
    <s v="Standard Class"/>
    <x v="277"/>
    <s v="Seth Vernon"/>
    <x v="0"/>
    <s v="United States"/>
    <s v="New York City"/>
    <x v="15"/>
    <n v="10035"/>
    <x v="3"/>
    <x v="75"/>
    <x v="1"/>
    <x v="4"/>
    <x v="75"/>
    <x v="4130"/>
    <x v="8"/>
    <x v="3"/>
  </r>
  <r>
    <n v="6096"/>
    <x v="3036"/>
    <x v="1088"/>
    <d v="2018-09-26T00:00:00"/>
    <s v="Standard Class"/>
    <x v="277"/>
    <s v="Seth Vernon"/>
    <x v="0"/>
    <s v="United States"/>
    <s v="New York City"/>
    <x v="15"/>
    <n v="10035"/>
    <x v="3"/>
    <x v="320"/>
    <x v="1"/>
    <x v="10"/>
    <x v="320"/>
    <x v="1273"/>
    <x v="8"/>
    <x v="3"/>
  </r>
  <r>
    <n v="6097"/>
    <x v="3036"/>
    <x v="1088"/>
    <d v="2018-09-26T00:00:00"/>
    <s v="Standard Class"/>
    <x v="277"/>
    <s v="Seth Vernon"/>
    <x v="0"/>
    <s v="United States"/>
    <s v="New York City"/>
    <x v="15"/>
    <n v="10035"/>
    <x v="3"/>
    <x v="51"/>
    <x v="0"/>
    <x v="1"/>
    <x v="51"/>
    <x v="4131"/>
    <x v="8"/>
    <x v="3"/>
  </r>
  <r>
    <n v="6098"/>
    <x v="3036"/>
    <x v="1088"/>
    <d v="2018-09-26T00:00:00"/>
    <s v="Standard Class"/>
    <x v="277"/>
    <s v="Seth Vernon"/>
    <x v="0"/>
    <s v="United States"/>
    <s v="New York City"/>
    <x v="15"/>
    <n v="10035"/>
    <x v="3"/>
    <x v="185"/>
    <x v="1"/>
    <x v="8"/>
    <x v="186"/>
    <x v="692"/>
    <x v="8"/>
    <x v="3"/>
  </r>
  <r>
    <n v="6099"/>
    <x v="3036"/>
    <x v="1088"/>
    <d v="2018-09-26T00:00:00"/>
    <s v="Standard Class"/>
    <x v="277"/>
    <s v="Seth Vernon"/>
    <x v="0"/>
    <s v="United States"/>
    <s v="New York City"/>
    <x v="15"/>
    <n v="10035"/>
    <x v="3"/>
    <x v="52"/>
    <x v="1"/>
    <x v="13"/>
    <x v="52"/>
    <x v="1001"/>
    <x v="8"/>
    <x v="3"/>
  </r>
  <r>
    <n v="6100"/>
    <x v="3036"/>
    <x v="1088"/>
    <d v="2018-09-26T00:00:00"/>
    <s v="Standard Class"/>
    <x v="277"/>
    <s v="Seth Vernon"/>
    <x v="0"/>
    <s v="United States"/>
    <s v="New York City"/>
    <x v="15"/>
    <n v="10035"/>
    <x v="3"/>
    <x v="284"/>
    <x v="0"/>
    <x v="1"/>
    <x v="284"/>
    <x v="4132"/>
    <x v="8"/>
    <x v="3"/>
  </r>
  <r>
    <n v="6101"/>
    <x v="3036"/>
    <x v="1088"/>
    <d v="2018-09-26T00:00:00"/>
    <s v="Standard Class"/>
    <x v="277"/>
    <s v="Seth Vernon"/>
    <x v="0"/>
    <s v="United States"/>
    <s v="New York City"/>
    <x v="15"/>
    <n v="10035"/>
    <x v="3"/>
    <x v="1148"/>
    <x v="2"/>
    <x v="7"/>
    <x v="1136"/>
    <x v="4133"/>
    <x v="8"/>
    <x v="3"/>
  </r>
  <r>
    <n v="6102"/>
    <x v="3036"/>
    <x v="1088"/>
    <d v="2018-09-26T00:00:00"/>
    <s v="Standard Class"/>
    <x v="277"/>
    <s v="Seth Vernon"/>
    <x v="0"/>
    <s v="United States"/>
    <s v="New York City"/>
    <x v="15"/>
    <n v="10035"/>
    <x v="3"/>
    <x v="445"/>
    <x v="0"/>
    <x v="1"/>
    <x v="445"/>
    <x v="4134"/>
    <x v="8"/>
    <x v="3"/>
  </r>
  <r>
    <n v="6103"/>
    <x v="3036"/>
    <x v="1088"/>
    <d v="2018-09-26T00:00:00"/>
    <s v="Standard Class"/>
    <x v="277"/>
    <s v="Seth Vernon"/>
    <x v="0"/>
    <s v="United States"/>
    <s v="New York City"/>
    <x v="15"/>
    <n v="10035"/>
    <x v="3"/>
    <x v="139"/>
    <x v="2"/>
    <x v="7"/>
    <x v="140"/>
    <x v="1230"/>
    <x v="8"/>
    <x v="3"/>
  </r>
  <r>
    <n v="6104"/>
    <x v="3036"/>
    <x v="1088"/>
    <d v="2018-09-26T00:00:00"/>
    <s v="Standard Class"/>
    <x v="277"/>
    <s v="Seth Vernon"/>
    <x v="0"/>
    <s v="United States"/>
    <s v="New York City"/>
    <x v="15"/>
    <n v="10035"/>
    <x v="3"/>
    <x v="84"/>
    <x v="2"/>
    <x v="11"/>
    <x v="84"/>
    <x v="127"/>
    <x v="8"/>
    <x v="3"/>
  </r>
  <r>
    <n v="6105"/>
    <x v="3037"/>
    <x v="1029"/>
    <d v="2018-08-24T00:00:00"/>
    <s v="First Class"/>
    <x v="656"/>
    <s v="Dean percer"/>
    <x v="2"/>
    <s v="United States"/>
    <s v="Philadelphia"/>
    <x v="9"/>
    <n v="19143"/>
    <x v="3"/>
    <x v="736"/>
    <x v="0"/>
    <x v="3"/>
    <x v="735"/>
    <x v="4135"/>
    <x v="6"/>
    <x v="3"/>
  </r>
  <r>
    <n v="6106"/>
    <x v="3038"/>
    <x v="652"/>
    <d v="2016-06-22T00:00:00"/>
    <s v="Standard Class"/>
    <x v="403"/>
    <s v="Harold Ryan"/>
    <x v="1"/>
    <s v="United States"/>
    <s v="Miami"/>
    <x v="2"/>
    <n v="33178"/>
    <x v="0"/>
    <x v="319"/>
    <x v="1"/>
    <x v="6"/>
    <x v="319"/>
    <x v="4136"/>
    <x v="1"/>
    <x v="1"/>
  </r>
  <r>
    <n v="6107"/>
    <x v="3039"/>
    <x v="414"/>
    <d v="2015-12-25T00:00:00"/>
    <s v="Standard Class"/>
    <x v="576"/>
    <s v="William Brown"/>
    <x v="0"/>
    <s v="United States"/>
    <s v="Grand Prairie"/>
    <x v="5"/>
    <n v="75051"/>
    <x v="2"/>
    <x v="535"/>
    <x v="1"/>
    <x v="9"/>
    <x v="535"/>
    <x v="4137"/>
    <x v="4"/>
    <x v="2"/>
  </r>
  <r>
    <n v="6108"/>
    <x v="3039"/>
    <x v="414"/>
    <d v="2015-12-25T00:00:00"/>
    <s v="Standard Class"/>
    <x v="576"/>
    <s v="William Brown"/>
    <x v="0"/>
    <s v="United States"/>
    <s v="Grand Prairie"/>
    <x v="5"/>
    <n v="75051"/>
    <x v="2"/>
    <x v="960"/>
    <x v="2"/>
    <x v="11"/>
    <x v="953"/>
    <x v="4138"/>
    <x v="4"/>
    <x v="2"/>
  </r>
  <r>
    <n v="6109"/>
    <x v="3040"/>
    <x v="108"/>
    <d v="2017-09-16T00:00:00"/>
    <s v="Standard Class"/>
    <x v="548"/>
    <s v="Adam Shillingsburg"/>
    <x v="0"/>
    <s v="United States"/>
    <s v="Chicago"/>
    <x v="10"/>
    <n v="60653"/>
    <x v="2"/>
    <x v="1550"/>
    <x v="1"/>
    <x v="2"/>
    <x v="1538"/>
    <x v="1603"/>
    <x v="8"/>
    <x v="0"/>
  </r>
  <r>
    <n v="6110"/>
    <x v="3040"/>
    <x v="108"/>
    <d v="2017-09-16T00:00:00"/>
    <s v="Standard Class"/>
    <x v="548"/>
    <s v="Adam Shillingsburg"/>
    <x v="0"/>
    <s v="United States"/>
    <s v="Chicago"/>
    <x v="10"/>
    <n v="60653"/>
    <x v="2"/>
    <x v="1310"/>
    <x v="1"/>
    <x v="8"/>
    <x v="1296"/>
    <x v="3453"/>
    <x v="8"/>
    <x v="0"/>
  </r>
  <r>
    <n v="6111"/>
    <x v="3041"/>
    <x v="396"/>
    <d v="2017-11-16T00:00:00"/>
    <s v="Standard Class"/>
    <x v="727"/>
    <s v="Susan Pistek"/>
    <x v="0"/>
    <s v="United States"/>
    <s v="Parma"/>
    <x v="24"/>
    <n v="44134"/>
    <x v="3"/>
    <x v="1496"/>
    <x v="0"/>
    <x v="1"/>
    <x v="1484"/>
    <x v="4139"/>
    <x v="0"/>
    <x v="0"/>
  </r>
  <r>
    <n v="6112"/>
    <x v="3041"/>
    <x v="396"/>
    <d v="2017-11-16T00:00:00"/>
    <s v="Standard Class"/>
    <x v="727"/>
    <s v="Susan Pistek"/>
    <x v="0"/>
    <s v="United States"/>
    <s v="Parma"/>
    <x v="24"/>
    <n v="44134"/>
    <x v="3"/>
    <x v="14"/>
    <x v="1"/>
    <x v="9"/>
    <x v="14"/>
    <x v="4140"/>
    <x v="0"/>
    <x v="0"/>
  </r>
  <r>
    <n v="6113"/>
    <x v="3041"/>
    <x v="396"/>
    <d v="2017-11-16T00:00:00"/>
    <s v="Standard Class"/>
    <x v="727"/>
    <s v="Susan Pistek"/>
    <x v="0"/>
    <s v="United States"/>
    <s v="Parma"/>
    <x v="24"/>
    <n v="44134"/>
    <x v="3"/>
    <x v="203"/>
    <x v="1"/>
    <x v="13"/>
    <x v="204"/>
    <x v="4141"/>
    <x v="0"/>
    <x v="0"/>
  </r>
  <r>
    <n v="6114"/>
    <x v="3041"/>
    <x v="396"/>
    <d v="2017-11-16T00:00:00"/>
    <s v="Standard Class"/>
    <x v="727"/>
    <s v="Susan Pistek"/>
    <x v="0"/>
    <s v="United States"/>
    <s v="Parma"/>
    <x v="24"/>
    <n v="44134"/>
    <x v="3"/>
    <x v="1"/>
    <x v="0"/>
    <x v="1"/>
    <x v="1"/>
    <x v="4142"/>
    <x v="0"/>
    <x v="0"/>
  </r>
  <r>
    <n v="6115"/>
    <x v="3041"/>
    <x v="396"/>
    <d v="2017-11-16T00:00:00"/>
    <s v="Standard Class"/>
    <x v="727"/>
    <s v="Susan Pistek"/>
    <x v="0"/>
    <s v="United States"/>
    <s v="Parma"/>
    <x v="24"/>
    <n v="44134"/>
    <x v="3"/>
    <x v="623"/>
    <x v="0"/>
    <x v="1"/>
    <x v="623"/>
    <x v="4143"/>
    <x v="0"/>
    <x v="0"/>
  </r>
  <r>
    <n v="6116"/>
    <x v="3042"/>
    <x v="560"/>
    <d v="2017-03-20T00:00:00"/>
    <s v="Standard Class"/>
    <x v="70"/>
    <s v="Stephanie Phelps"/>
    <x v="1"/>
    <s v="United States"/>
    <s v="Redwood City"/>
    <x v="1"/>
    <n v="94061"/>
    <x v="1"/>
    <x v="44"/>
    <x v="1"/>
    <x v="8"/>
    <x v="44"/>
    <x v="4144"/>
    <x v="10"/>
    <x v="0"/>
  </r>
  <r>
    <n v="6117"/>
    <x v="3043"/>
    <x v="373"/>
    <d v="2017-11-19T00:00:00"/>
    <s v="Standard Class"/>
    <x v="475"/>
    <s v="Corinna Mitchell"/>
    <x v="2"/>
    <s v="United States"/>
    <s v="New York City"/>
    <x v="15"/>
    <n v="10011"/>
    <x v="3"/>
    <x v="1773"/>
    <x v="2"/>
    <x v="7"/>
    <x v="1763"/>
    <x v="4145"/>
    <x v="0"/>
    <x v="0"/>
  </r>
  <r>
    <n v="6118"/>
    <x v="3043"/>
    <x v="373"/>
    <d v="2017-11-19T00:00:00"/>
    <s v="Standard Class"/>
    <x v="475"/>
    <s v="Corinna Mitchell"/>
    <x v="2"/>
    <s v="United States"/>
    <s v="New York City"/>
    <x v="15"/>
    <n v="10011"/>
    <x v="3"/>
    <x v="639"/>
    <x v="1"/>
    <x v="2"/>
    <x v="639"/>
    <x v="1801"/>
    <x v="0"/>
    <x v="0"/>
  </r>
  <r>
    <n v="6119"/>
    <x v="3044"/>
    <x v="20"/>
    <d v="2018-09-25T00:00:00"/>
    <s v="Standard Class"/>
    <x v="335"/>
    <s v="Justin Ritter"/>
    <x v="1"/>
    <s v="United States"/>
    <s v="Springfield"/>
    <x v="21"/>
    <n v="97477"/>
    <x v="1"/>
    <x v="516"/>
    <x v="2"/>
    <x v="7"/>
    <x v="516"/>
    <x v="1807"/>
    <x v="8"/>
    <x v="3"/>
  </r>
  <r>
    <n v="6120"/>
    <x v="3044"/>
    <x v="20"/>
    <d v="2018-09-25T00:00:00"/>
    <s v="Standard Class"/>
    <x v="335"/>
    <s v="Justin Ritter"/>
    <x v="1"/>
    <s v="United States"/>
    <s v="Springfield"/>
    <x v="21"/>
    <n v="97477"/>
    <x v="1"/>
    <x v="1068"/>
    <x v="1"/>
    <x v="6"/>
    <x v="1057"/>
    <x v="358"/>
    <x v="8"/>
    <x v="3"/>
  </r>
  <r>
    <n v="6121"/>
    <x v="3044"/>
    <x v="20"/>
    <d v="2018-09-25T00:00:00"/>
    <s v="Standard Class"/>
    <x v="335"/>
    <s v="Justin Ritter"/>
    <x v="1"/>
    <s v="United States"/>
    <s v="Springfield"/>
    <x v="21"/>
    <n v="97477"/>
    <x v="1"/>
    <x v="441"/>
    <x v="0"/>
    <x v="5"/>
    <x v="441"/>
    <x v="4146"/>
    <x v="8"/>
    <x v="3"/>
  </r>
  <r>
    <n v="6122"/>
    <x v="3044"/>
    <x v="20"/>
    <d v="2018-09-25T00:00:00"/>
    <s v="Standard Class"/>
    <x v="335"/>
    <s v="Justin Ritter"/>
    <x v="1"/>
    <s v="United States"/>
    <s v="Springfield"/>
    <x v="21"/>
    <n v="97477"/>
    <x v="1"/>
    <x v="366"/>
    <x v="0"/>
    <x v="0"/>
    <x v="367"/>
    <x v="1255"/>
    <x v="8"/>
    <x v="3"/>
  </r>
  <r>
    <n v="6123"/>
    <x v="3045"/>
    <x v="769"/>
    <d v="2018-12-09T00:00:00"/>
    <s v="Standard Class"/>
    <x v="558"/>
    <s v="Christy Brittain"/>
    <x v="0"/>
    <s v="United States"/>
    <s v="Chicago"/>
    <x v="10"/>
    <n v="60610"/>
    <x v="2"/>
    <x v="1424"/>
    <x v="1"/>
    <x v="4"/>
    <x v="1412"/>
    <x v="3518"/>
    <x v="4"/>
    <x v="3"/>
  </r>
  <r>
    <n v="6124"/>
    <x v="3046"/>
    <x v="284"/>
    <d v="2016-09-05T00:00:00"/>
    <s v="Standard Class"/>
    <x v="174"/>
    <s v="Shirley Daniels"/>
    <x v="2"/>
    <s v="United States"/>
    <s v="Bedford"/>
    <x v="5"/>
    <n v="76021"/>
    <x v="2"/>
    <x v="1254"/>
    <x v="1"/>
    <x v="10"/>
    <x v="1238"/>
    <x v="3208"/>
    <x v="6"/>
    <x v="1"/>
  </r>
  <r>
    <n v="6125"/>
    <x v="3047"/>
    <x v="95"/>
    <d v="2018-06-07T00:00:00"/>
    <s v="Standard Class"/>
    <x v="164"/>
    <s v="Saphhira Shifley"/>
    <x v="1"/>
    <s v="United States"/>
    <s v="Los Angeles"/>
    <x v="1"/>
    <n v="90036"/>
    <x v="1"/>
    <x v="1044"/>
    <x v="2"/>
    <x v="11"/>
    <x v="1033"/>
    <x v="908"/>
    <x v="1"/>
    <x v="3"/>
  </r>
  <r>
    <n v="6126"/>
    <x v="3047"/>
    <x v="95"/>
    <d v="2018-06-07T00:00:00"/>
    <s v="Standard Class"/>
    <x v="164"/>
    <s v="Saphhira Shifley"/>
    <x v="1"/>
    <s v="United States"/>
    <s v="Los Angeles"/>
    <x v="1"/>
    <n v="90036"/>
    <x v="1"/>
    <x v="1774"/>
    <x v="1"/>
    <x v="10"/>
    <x v="1764"/>
    <x v="489"/>
    <x v="1"/>
    <x v="3"/>
  </r>
  <r>
    <n v="6127"/>
    <x v="3047"/>
    <x v="95"/>
    <d v="2018-06-07T00:00:00"/>
    <s v="Standard Class"/>
    <x v="164"/>
    <s v="Saphhira Shifley"/>
    <x v="1"/>
    <s v="United States"/>
    <s v="Los Angeles"/>
    <x v="1"/>
    <n v="90036"/>
    <x v="1"/>
    <x v="766"/>
    <x v="1"/>
    <x v="8"/>
    <x v="765"/>
    <x v="2893"/>
    <x v="1"/>
    <x v="3"/>
  </r>
  <r>
    <n v="6128"/>
    <x v="3048"/>
    <x v="1044"/>
    <d v="2017-04-06T00:00:00"/>
    <s v="Standard Class"/>
    <x v="552"/>
    <s v="Erica Hackney"/>
    <x v="0"/>
    <s v="United States"/>
    <s v="New York City"/>
    <x v="15"/>
    <n v="10009"/>
    <x v="3"/>
    <x v="163"/>
    <x v="0"/>
    <x v="1"/>
    <x v="164"/>
    <x v="4147"/>
    <x v="10"/>
    <x v="0"/>
  </r>
  <r>
    <n v="6129"/>
    <x v="3049"/>
    <x v="1089"/>
    <d v="2015-10-28T00:00:00"/>
    <s v="First Class"/>
    <x v="692"/>
    <s v="Aaron Hawkins"/>
    <x v="1"/>
    <s v="United States"/>
    <s v="San Francisco"/>
    <x v="1"/>
    <n v="94109"/>
    <x v="1"/>
    <x v="1087"/>
    <x v="1"/>
    <x v="8"/>
    <x v="1077"/>
    <x v="4148"/>
    <x v="2"/>
    <x v="2"/>
  </r>
  <r>
    <n v="6130"/>
    <x v="3050"/>
    <x v="606"/>
    <d v="2018-04-02T00:00:00"/>
    <s v="Standard Class"/>
    <x v="773"/>
    <s v="Evan Minnotte"/>
    <x v="2"/>
    <s v="United States"/>
    <s v="Virginia Beach"/>
    <x v="17"/>
    <n v="23464"/>
    <x v="0"/>
    <x v="936"/>
    <x v="2"/>
    <x v="11"/>
    <x v="929"/>
    <x v="3443"/>
    <x v="10"/>
    <x v="3"/>
  </r>
  <r>
    <n v="6131"/>
    <x v="3050"/>
    <x v="606"/>
    <d v="2018-04-02T00:00:00"/>
    <s v="Standard Class"/>
    <x v="773"/>
    <s v="Evan Minnotte"/>
    <x v="2"/>
    <s v="United States"/>
    <s v="Virginia Beach"/>
    <x v="17"/>
    <n v="23464"/>
    <x v="0"/>
    <x v="1014"/>
    <x v="1"/>
    <x v="13"/>
    <x v="128"/>
    <x v="1053"/>
    <x v="10"/>
    <x v="3"/>
  </r>
  <r>
    <n v="6132"/>
    <x v="3051"/>
    <x v="422"/>
    <d v="2015-12-31T00:00:00"/>
    <s v="Standard Class"/>
    <x v="353"/>
    <s v="Thomas Brumley"/>
    <x v="2"/>
    <s v="United States"/>
    <s v="New York City"/>
    <x v="15"/>
    <n v="10011"/>
    <x v="3"/>
    <x v="212"/>
    <x v="0"/>
    <x v="1"/>
    <x v="213"/>
    <x v="4149"/>
    <x v="4"/>
    <x v="2"/>
  </r>
  <r>
    <n v="6133"/>
    <x v="3052"/>
    <x v="175"/>
    <d v="2018-09-20T00:00:00"/>
    <s v="Standard Class"/>
    <x v="269"/>
    <s v="Alan Barnes"/>
    <x v="0"/>
    <s v="United States"/>
    <s v="Lebanon"/>
    <x v="18"/>
    <n v="37087"/>
    <x v="0"/>
    <x v="1522"/>
    <x v="1"/>
    <x v="10"/>
    <x v="1509"/>
    <x v="2844"/>
    <x v="8"/>
    <x v="3"/>
  </r>
  <r>
    <n v="6134"/>
    <x v="3053"/>
    <x v="765"/>
    <d v="2017-08-19T00:00:00"/>
    <s v="First Class"/>
    <x v="774"/>
    <s v="Anthony O'Donnell"/>
    <x v="1"/>
    <s v="United States"/>
    <s v="Los Angeles"/>
    <x v="1"/>
    <n v="90045"/>
    <x v="1"/>
    <x v="1529"/>
    <x v="0"/>
    <x v="3"/>
    <x v="1516"/>
    <x v="4150"/>
    <x v="6"/>
    <x v="0"/>
  </r>
  <r>
    <n v="6135"/>
    <x v="3054"/>
    <x v="254"/>
    <d v="2017-11-04T00:00:00"/>
    <s v="Same Day"/>
    <x v="627"/>
    <s v="Thomas Thornton"/>
    <x v="0"/>
    <s v="United States"/>
    <s v="Chula Vista"/>
    <x v="1"/>
    <n v="91911"/>
    <x v="1"/>
    <x v="281"/>
    <x v="1"/>
    <x v="6"/>
    <x v="281"/>
    <x v="4151"/>
    <x v="0"/>
    <x v="0"/>
  </r>
  <r>
    <n v="6136"/>
    <x v="3055"/>
    <x v="1090"/>
    <d v="2016-10-22T00:00:00"/>
    <s v="Standard Class"/>
    <x v="607"/>
    <s v="Kristina Nunn"/>
    <x v="2"/>
    <s v="United States"/>
    <s v="Mcallen"/>
    <x v="5"/>
    <n v="78501"/>
    <x v="2"/>
    <x v="1575"/>
    <x v="2"/>
    <x v="11"/>
    <x v="1566"/>
    <x v="3473"/>
    <x v="2"/>
    <x v="1"/>
  </r>
  <r>
    <n v="6137"/>
    <x v="3055"/>
    <x v="1090"/>
    <d v="2016-10-22T00:00:00"/>
    <s v="Standard Class"/>
    <x v="607"/>
    <s v="Kristina Nunn"/>
    <x v="2"/>
    <s v="United States"/>
    <s v="Mcallen"/>
    <x v="5"/>
    <n v="78501"/>
    <x v="2"/>
    <x v="1306"/>
    <x v="1"/>
    <x v="9"/>
    <x v="1291"/>
    <x v="4152"/>
    <x v="2"/>
    <x v="1"/>
  </r>
  <r>
    <n v="6138"/>
    <x v="3056"/>
    <x v="731"/>
    <d v="2017-11-04T00:00:00"/>
    <s v="Second Class"/>
    <x v="383"/>
    <s v="Frank Olsen"/>
    <x v="0"/>
    <s v="United States"/>
    <s v="Hollywood"/>
    <x v="2"/>
    <n v="33021"/>
    <x v="0"/>
    <x v="481"/>
    <x v="1"/>
    <x v="10"/>
    <x v="482"/>
    <x v="164"/>
    <x v="2"/>
    <x v="0"/>
  </r>
  <r>
    <n v="6139"/>
    <x v="3057"/>
    <x v="809"/>
    <d v="2015-04-04T00:00:00"/>
    <s v="Standard Class"/>
    <x v="315"/>
    <s v="Guy Armstrong"/>
    <x v="0"/>
    <s v="United States"/>
    <s v="San Francisco"/>
    <x v="1"/>
    <n v="94110"/>
    <x v="1"/>
    <x v="430"/>
    <x v="0"/>
    <x v="0"/>
    <x v="430"/>
    <x v="4153"/>
    <x v="10"/>
    <x v="2"/>
  </r>
  <r>
    <n v="6140"/>
    <x v="3058"/>
    <x v="24"/>
    <d v="2016-04-20T00:00:00"/>
    <s v="First Class"/>
    <x v="720"/>
    <s v="Nathan Cano"/>
    <x v="0"/>
    <s v="United States"/>
    <s v="Santa Maria"/>
    <x v="1"/>
    <n v="93454"/>
    <x v="1"/>
    <x v="1424"/>
    <x v="1"/>
    <x v="4"/>
    <x v="1412"/>
    <x v="4154"/>
    <x v="3"/>
    <x v="1"/>
  </r>
  <r>
    <n v="6141"/>
    <x v="3059"/>
    <x v="362"/>
    <d v="2018-07-15T00:00:00"/>
    <s v="Standard Class"/>
    <x v="440"/>
    <s v="Jamie Frazer"/>
    <x v="0"/>
    <s v="United States"/>
    <s v="Manchester"/>
    <x v="29"/>
    <n v="6040"/>
    <x v="3"/>
    <x v="1766"/>
    <x v="1"/>
    <x v="10"/>
    <x v="1755"/>
    <x v="4155"/>
    <x v="7"/>
    <x v="3"/>
  </r>
  <r>
    <n v="6142"/>
    <x v="3059"/>
    <x v="362"/>
    <d v="2018-07-15T00:00:00"/>
    <s v="Standard Class"/>
    <x v="440"/>
    <s v="Jamie Frazer"/>
    <x v="0"/>
    <s v="United States"/>
    <s v="Manchester"/>
    <x v="29"/>
    <n v="6040"/>
    <x v="3"/>
    <x v="1166"/>
    <x v="1"/>
    <x v="4"/>
    <x v="1153"/>
    <x v="3483"/>
    <x v="7"/>
    <x v="3"/>
  </r>
  <r>
    <n v="6143"/>
    <x v="3059"/>
    <x v="362"/>
    <d v="2018-07-15T00:00:00"/>
    <s v="Standard Class"/>
    <x v="440"/>
    <s v="Jamie Frazer"/>
    <x v="0"/>
    <s v="United States"/>
    <s v="Manchester"/>
    <x v="29"/>
    <n v="6040"/>
    <x v="3"/>
    <x v="957"/>
    <x v="2"/>
    <x v="7"/>
    <x v="950"/>
    <x v="2018"/>
    <x v="7"/>
    <x v="3"/>
  </r>
  <r>
    <n v="6144"/>
    <x v="3059"/>
    <x v="362"/>
    <d v="2018-07-15T00:00:00"/>
    <s v="Standard Class"/>
    <x v="440"/>
    <s v="Jamie Frazer"/>
    <x v="0"/>
    <s v="United States"/>
    <s v="Manchester"/>
    <x v="29"/>
    <n v="6040"/>
    <x v="3"/>
    <x v="1571"/>
    <x v="1"/>
    <x v="6"/>
    <x v="1562"/>
    <x v="4156"/>
    <x v="7"/>
    <x v="3"/>
  </r>
  <r>
    <n v="6145"/>
    <x v="3060"/>
    <x v="818"/>
    <d v="2018-07-01T00:00:00"/>
    <s v="Standard Class"/>
    <x v="218"/>
    <s v="Greg Tran"/>
    <x v="0"/>
    <s v="United States"/>
    <s v="Omaha"/>
    <x v="8"/>
    <n v="68104"/>
    <x v="2"/>
    <x v="1070"/>
    <x v="1"/>
    <x v="10"/>
    <x v="1059"/>
    <x v="4157"/>
    <x v="1"/>
    <x v="3"/>
  </r>
  <r>
    <n v="6146"/>
    <x v="3061"/>
    <x v="1091"/>
    <d v="2015-12-26T00:00:00"/>
    <s v="Standard Class"/>
    <x v="730"/>
    <s v="Khloe Miller"/>
    <x v="0"/>
    <s v="United States"/>
    <s v="San Jose"/>
    <x v="1"/>
    <n v="95123"/>
    <x v="1"/>
    <x v="501"/>
    <x v="1"/>
    <x v="6"/>
    <x v="501"/>
    <x v="2660"/>
    <x v="4"/>
    <x v="2"/>
  </r>
  <r>
    <n v="6147"/>
    <x v="3062"/>
    <x v="610"/>
    <d v="2018-11-25T00:00:00"/>
    <s v="Standard Class"/>
    <x v="601"/>
    <s v="Patrick Jones"/>
    <x v="1"/>
    <s v="United States"/>
    <s v="San Francisco"/>
    <x v="1"/>
    <n v="94122"/>
    <x v="1"/>
    <x v="501"/>
    <x v="1"/>
    <x v="6"/>
    <x v="501"/>
    <x v="2660"/>
    <x v="0"/>
    <x v="3"/>
  </r>
  <r>
    <n v="6148"/>
    <x v="3062"/>
    <x v="610"/>
    <d v="2018-11-25T00:00:00"/>
    <s v="Standard Class"/>
    <x v="601"/>
    <s v="Patrick Jones"/>
    <x v="1"/>
    <s v="United States"/>
    <s v="San Francisco"/>
    <x v="1"/>
    <n v="94122"/>
    <x v="1"/>
    <x v="986"/>
    <x v="1"/>
    <x v="8"/>
    <x v="979"/>
    <x v="4158"/>
    <x v="0"/>
    <x v="3"/>
  </r>
  <r>
    <n v="6149"/>
    <x v="3063"/>
    <x v="812"/>
    <d v="2017-06-29T00:00:00"/>
    <s v="Second Class"/>
    <x v="663"/>
    <s v="Anna Chung"/>
    <x v="0"/>
    <s v="United States"/>
    <s v="San Francisco"/>
    <x v="1"/>
    <n v="94109"/>
    <x v="1"/>
    <x v="1551"/>
    <x v="2"/>
    <x v="7"/>
    <x v="1539"/>
    <x v="1212"/>
    <x v="1"/>
    <x v="0"/>
  </r>
  <r>
    <n v="6150"/>
    <x v="3064"/>
    <x v="116"/>
    <d v="2018-12-31T00:00:00"/>
    <s v="First Class"/>
    <x v="684"/>
    <s v="Jason Gross"/>
    <x v="1"/>
    <s v="United States"/>
    <s v="Long Beach"/>
    <x v="1"/>
    <n v="90805"/>
    <x v="1"/>
    <x v="56"/>
    <x v="0"/>
    <x v="1"/>
    <x v="56"/>
    <x v="4159"/>
    <x v="4"/>
    <x v="3"/>
  </r>
  <r>
    <n v="6151"/>
    <x v="3065"/>
    <x v="143"/>
    <d v="2017-04-11T00:00:00"/>
    <s v="First Class"/>
    <x v="528"/>
    <s v="Raymond Messe"/>
    <x v="0"/>
    <s v="United States"/>
    <s v="Columbus"/>
    <x v="32"/>
    <n v="31907"/>
    <x v="0"/>
    <x v="1544"/>
    <x v="0"/>
    <x v="0"/>
    <x v="1532"/>
    <x v="1367"/>
    <x v="3"/>
    <x v="0"/>
  </r>
  <r>
    <n v="6152"/>
    <x v="3066"/>
    <x v="772"/>
    <d v="2015-03-21T00:00:00"/>
    <s v="Second Class"/>
    <x v="735"/>
    <s v="Eileen Kiefer"/>
    <x v="2"/>
    <s v="United States"/>
    <s v="San Francisco"/>
    <x v="1"/>
    <n v="94110"/>
    <x v="1"/>
    <x v="1601"/>
    <x v="0"/>
    <x v="0"/>
    <x v="1593"/>
    <x v="4160"/>
    <x v="10"/>
    <x v="2"/>
  </r>
  <r>
    <n v="6153"/>
    <x v="3067"/>
    <x v="445"/>
    <d v="2018-07-08T00:00:00"/>
    <s v="Standard Class"/>
    <x v="361"/>
    <s v="Rob Dowd"/>
    <x v="0"/>
    <s v="United States"/>
    <s v="Los Angeles"/>
    <x v="1"/>
    <n v="90004"/>
    <x v="1"/>
    <x v="210"/>
    <x v="1"/>
    <x v="4"/>
    <x v="211"/>
    <x v="1177"/>
    <x v="7"/>
    <x v="3"/>
  </r>
  <r>
    <n v="6154"/>
    <x v="3068"/>
    <x v="693"/>
    <d v="2018-04-23T00:00:00"/>
    <s v="First Class"/>
    <x v="51"/>
    <s v="Cynthia Voltz"/>
    <x v="1"/>
    <s v="United States"/>
    <s v="Philadelphia"/>
    <x v="9"/>
    <n v="19120"/>
    <x v="3"/>
    <x v="1416"/>
    <x v="0"/>
    <x v="5"/>
    <x v="1403"/>
    <x v="3417"/>
    <x v="3"/>
    <x v="3"/>
  </r>
  <r>
    <n v="6155"/>
    <x v="3068"/>
    <x v="693"/>
    <d v="2018-04-23T00:00:00"/>
    <s v="First Class"/>
    <x v="51"/>
    <s v="Cynthia Voltz"/>
    <x v="1"/>
    <s v="United States"/>
    <s v="Philadelphia"/>
    <x v="9"/>
    <n v="19120"/>
    <x v="3"/>
    <x v="80"/>
    <x v="1"/>
    <x v="4"/>
    <x v="80"/>
    <x v="4161"/>
    <x v="3"/>
    <x v="3"/>
  </r>
  <r>
    <n v="6156"/>
    <x v="3068"/>
    <x v="693"/>
    <d v="2018-04-23T00:00:00"/>
    <s v="First Class"/>
    <x v="51"/>
    <s v="Cynthia Voltz"/>
    <x v="1"/>
    <s v="United States"/>
    <s v="Philadelphia"/>
    <x v="9"/>
    <n v="19120"/>
    <x v="3"/>
    <x v="403"/>
    <x v="1"/>
    <x v="4"/>
    <x v="404"/>
    <x v="4162"/>
    <x v="3"/>
    <x v="3"/>
  </r>
  <r>
    <n v="6157"/>
    <x v="3068"/>
    <x v="693"/>
    <d v="2018-04-23T00:00:00"/>
    <s v="First Class"/>
    <x v="51"/>
    <s v="Cynthia Voltz"/>
    <x v="1"/>
    <s v="United States"/>
    <s v="Philadelphia"/>
    <x v="9"/>
    <n v="19120"/>
    <x v="3"/>
    <x v="1381"/>
    <x v="0"/>
    <x v="5"/>
    <x v="1366"/>
    <x v="4163"/>
    <x v="3"/>
    <x v="3"/>
  </r>
  <r>
    <n v="6158"/>
    <x v="3069"/>
    <x v="1092"/>
    <d v="2017-08-05T00:00:00"/>
    <s v="Second Class"/>
    <x v="743"/>
    <s v="Alex Grayson"/>
    <x v="0"/>
    <s v="United States"/>
    <s v="Tulsa"/>
    <x v="26"/>
    <n v="74133"/>
    <x v="2"/>
    <x v="113"/>
    <x v="1"/>
    <x v="12"/>
    <x v="113"/>
    <x v="2618"/>
    <x v="6"/>
    <x v="0"/>
  </r>
  <r>
    <n v="6159"/>
    <x v="3069"/>
    <x v="1092"/>
    <d v="2017-08-05T00:00:00"/>
    <s v="Second Class"/>
    <x v="743"/>
    <s v="Alex Grayson"/>
    <x v="0"/>
    <s v="United States"/>
    <s v="Tulsa"/>
    <x v="26"/>
    <n v="74133"/>
    <x v="2"/>
    <x v="1775"/>
    <x v="2"/>
    <x v="11"/>
    <x v="1765"/>
    <x v="4164"/>
    <x v="6"/>
    <x v="0"/>
  </r>
  <r>
    <n v="6160"/>
    <x v="3070"/>
    <x v="275"/>
    <d v="2017-12-09T00:00:00"/>
    <s v="Standard Class"/>
    <x v="306"/>
    <s v="Gary McGarr"/>
    <x v="0"/>
    <s v="United States"/>
    <s v="Los Angeles"/>
    <x v="1"/>
    <n v="90049"/>
    <x v="1"/>
    <x v="1662"/>
    <x v="1"/>
    <x v="4"/>
    <x v="1650"/>
    <x v="3404"/>
    <x v="4"/>
    <x v="0"/>
  </r>
  <r>
    <n v="6161"/>
    <x v="3071"/>
    <x v="1093"/>
    <d v="2015-03-21T00:00:00"/>
    <s v="First Class"/>
    <x v="204"/>
    <s v="Matt Connell"/>
    <x v="1"/>
    <s v="United States"/>
    <s v="Lakeland"/>
    <x v="2"/>
    <n v="33801"/>
    <x v="0"/>
    <x v="524"/>
    <x v="2"/>
    <x v="7"/>
    <x v="524"/>
    <x v="824"/>
    <x v="10"/>
    <x v="2"/>
  </r>
  <r>
    <n v="6162"/>
    <x v="3071"/>
    <x v="1093"/>
    <d v="2015-03-21T00:00:00"/>
    <s v="First Class"/>
    <x v="204"/>
    <s v="Matt Connell"/>
    <x v="1"/>
    <s v="United States"/>
    <s v="Lakeland"/>
    <x v="2"/>
    <n v="33801"/>
    <x v="0"/>
    <x v="1139"/>
    <x v="1"/>
    <x v="2"/>
    <x v="1127"/>
    <x v="921"/>
    <x v="10"/>
    <x v="2"/>
  </r>
  <r>
    <n v="6163"/>
    <x v="3071"/>
    <x v="1093"/>
    <d v="2015-03-21T00:00:00"/>
    <s v="First Class"/>
    <x v="204"/>
    <s v="Matt Connell"/>
    <x v="1"/>
    <s v="United States"/>
    <s v="Lakeland"/>
    <x v="2"/>
    <n v="33801"/>
    <x v="0"/>
    <x v="376"/>
    <x v="1"/>
    <x v="4"/>
    <x v="377"/>
    <x v="4165"/>
    <x v="10"/>
    <x v="2"/>
  </r>
  <r>
    <n v="6164"/>
    <x v="3071"/>
    <x v="1093"/>
    <d v="2015-03-21T00:00:00"/>
    <s v="First Class"/>
    <x v="204"/>
    <s v="Matt Connell"/>
    <x v="1"/>
    <s v="United States"/>
    <s v="Lakeland"/>
    <x v="2"/>
    <n v="33801"/>
    <x v="0"/>
    <x v="1403"/>
    <x v="1"/>
    <x v="8"/>
    <x v="1390"/>
    <x v="4166"/>
    <x v="10"/>
    <x v="2"/>
  </r>
  <r>
    <n v="6165"/>
    <x v="3071"/>
    <x v="1093"/>
    <d v="2015-03-21T00:00:00"/>
    <s v="First Class"/>
    <x v="204"/>
    <s v="Matt Connell"/>
    <x v="1"/>
    <s v="United States"/>
    <s v="Lakeland"/>
    <x v="2"/>
    <n v="33801"/>
    <x v="0"/>
    <x v="1035"/>
    <x v="0"/>
    <x v="5"/>
    <x v="325"/>
    <x v="3688"/>
    <x v="10"/>
    <x v="2"/>
  </r>
  <r>
    <n v="6166"/>
    <x v="3071"/>
    <x v="1093"/>
    <d v="2015-03-21T00:00:00"/>
    <s v="First Class"/>
    <x v="204"/>
    <s v="Matt Connell"/>
    <x v="1"/>
    <s v="United States"/>
    <s v="Lakeland"/>
    <x v="2"/>
    <n v="33801"/>
    <x v="0"/>
    <x v="1682"/>
    <x v="0"/>
    <x v="5"/>
    <x v="1670"/>
    <x v="184"/>
    <x v="10"/>
    <x v="2"/>
  </r>
  <r>
    <n v="6167"/>
    <x v="3071"/>
    <x v="1093"/>
    <d v="2015-03-21T00:00:00"/>
    <s v="First Class"/>
    <x v="204"/>
    <s v="Matt Connell"/>
    <x v="1"/>
    <s v="United States"/>
    <s v="Lakeland"/>
    <x v="2"/>
    <n v="33801"/>
    <x v="0"/>
    <x v="1772"/>
    <x v="2"/>
    <x v="11"/>
    <x v="1762"/>
    <x v="4167"/>
    <x v="10"/>
    <x v="2"/>
  </r>
  <r>
    <n v="6168"/>
    <x v="3072"/>
    <x v="704"/>
    <d v="2016-04-25T00:00:00"/>
    <s v="Standard Class"/>
    <x v="301"/>
    <s v="Erica Smith"/>
    <x v="0"/>
    <s v="United States"/>
    <s v="Houston"/>
    <x v="5"/>
    <n v="77036"/>
    <x v="2"/>
    <x v="126"/>
    <x v="1"/>
    <x v="10"/>
    <x v="127"/>
    <x v="4168"/>
    <x v="3"/>
    <x v="1"/>
  </r>
  <r>
    <n v="6169"/>
    <x v="3073"/>
    <x v="444"/>
    <d v="2016-09-22T00:00:00"/>
    <s v="Second Class"/>
    <x v="459"/>
    <s v="Rick Wilson"/>
    <x v="1"/>
    <s v="United States"/>
    <s v="Los Angeles"/>
    <x v="1"/>
    <n v="90008"/>
    <x v="1"/>
    <x v="496"/>
    <x v="1"/>
    <x v="10"/>
    <x v="496"/>
    <x v="1003"/>
    <x v="8"/>
    <x v="1"/>
  </r>
  <r>
    <n v="6170"/>
    <x v="3074"/>
    <x v="9"/>
    <d v="2015-08-30T00:00:00"/>
    <s v="Second Class"/>
    <x v="462"/>
    <s v="Michael Moore"/>
    <x v="0"/>
    <s v="United States"/>
    <s v="Springfield"/>
    <x v="17"/>
    <n v="22153"/>
    <x v="0"/>
    <x v="481"/>
    <x v="1"/>
    <x v="10"/>
    <x v="482"/>
    <x v="518"/>
    <x v="6"/>
    <x v="2"/>
  </r>
  <r>
    <n v="6171"/>
    <x v="3075"/>
    <x v="1054"/>
    <d v="2017-12-24T00:00:00"/>
    <s v="Second Class"/>
    <x v="775"/>
    <s v="Mark Haberlin"/>
    <x v="1"/>
    <s v="United States"/>
    <s v="New York City"/>
    <x v="15"/>
    <n v="10035"/>
    <x v="3"/>
    <x v="1395"/>
    <x v="1"/>
    <x v="8"/>
    <x v="1382"/>
    <x v="4169"/>
    <x v="4"/>
    <x v="0"/>
  </r>
  <r>
    <n v="6172"/>
    <x v="3075"/>
    <x v="1054"/>
    <d v="2017-12-24T00:00:00"/>
    <s v="Second Class"/>
    <x v="775"/>
    <s v="Mark Haberlin"/>
    <x v="1"/>
    <s v="United States"/>
    <s v="New York City"/>
    <x v="15"/>
    <n v="10035"/>
    <x v="3"/>
    <x v="824"/>
    <x v="1"/>
    <x v="6"/>
    <x v="820"/>
    <x v="2799"/>
    <x v="4"/>
    <x v="0"/>
  </r>
  <r>
    <n v="6173"/>
    <x v="3076"/>
    <x v="1094"/>
    <d v="2015-08-08T00:00:00"/>
    <s v="Standard Class"/>
    <x v="125"/>
    <s v="Nick Zandusky"/>
    <x v="2"/>
    <s v="United States"/>
    <s v="Springfield"/>
    <x v="25"/>
    <n v="65807"/>
    <x v="2"/>
    <x v="951"/>
    <x v="1"/>
    <x v="8"/>
    <x v="944"/>
    <x v="4170"/>
    <x v="6"/>
    <x v="2"/>
  </r>
  <r>
    <n v="6174"/>
    <x v="3076"/>
    <x v="1094"/>
    <d v="2015-08-08T00:00:00"/>
    <s v="Standard Class"/>
    <x v="125"/>
    <s v="Nick Zandusky"/>
    <x v="2"/>
    <s v="United States"/>
    <s v="Springfield"/>
    <x v="25"/>
    <n v="65807"/>
    <x v="2"/>
    <x v="1651"/>
    <x v="2"/>
    <x v="11"/>
    <x v="1640"/>
    <x v="4171"/>
    <x v="6"/>
    <x v="2"/>
  </r>
  <r>
    <n v="6175"/>
    <x v="3076"/>
    <x v="1094"/>
    <d v="2015-08-08T00:00:00"/>
    <s v="Standard Class"/>
    <x v="125"/>
    <s v="Nick Zandusky"/>
    <x v="2"/>
    <s v="United States"/>
    <s v="Springfield"/>
    <x v="25"/>
    <n v="65807"/>
    <x v="2"/>
    <x v="1074"/>
    <x v="1"/>
    <x v="4"/>
    <x v="1064"/>
    <x v="4172"/>
    <x v="6"/>
    <x v="2"/>
  </r>
  <r>
    <n v="6176"/>
    <x v="3077"/>
    <x v="481"/>
    <d v="2016-09-26T00:00:00"/>
    <s v="Standard Class"/>
    <x v="673"/>
    <s v="Giulietta Baptist"/>
    <x v="0"/>
    <s v="United States"/>
    <s v="Columbia"/>
    <x v="20"/>
    <n v="29203"/>
    <x v="0"/>
    <x v="774"/>
    <x v="0"/>
    <x v="1"/>
    <x v="773"/>
    <x v="4173"/>
    <x v="8"/>
    <x v="1"/>
  </r>
  <r>
    <n v="6177"/>
    <x v="3077"/>
    <x v="481"/>
    <d v="2016-09-26T00:00:00"/>
    <s v="Standard Class"/>
    <x v="673"/>
    <s v="Giulietta Baptist"/>
    <x v="0"/>
    <s v="United States"/>
    <s v="Columbia"/>
    <x v="20"/>
    <n v="29203"/>
    <x v="0"/>
    <x v="576"/>
    <x v="1"/>
    <x v="4"/>
    <x v="576"/>
    <x v="2937"/>
    <x v="8"/>
    <x v="1"/>
  </r>
  <r>
    <n v="6178"/>
    <x v="3077"/>
    <x v="481"/>
    <d v="2016-09-26T00:00:00"/>
    <s v="Standard Class"/>
    <x v="673"/>
    <s v="Giulietta Baptist"/>
    <x v="0"/>
    <s v="United States"/>
    <s v="Columbia"/>
    <x v="20"/>
    <n v="29203"/>
    <x v="0"/>
    <x v="1697"/>
    <x v="1"/>
    <x v="12"/>
    <x v="1685"/>
    <x v="4174"/>
    <x v="8"/>
    <x v="1"/>
  </r>
  <r>
    <n v="6179"/>
    <x v="3077"/>
    <x v="481"/>
    <d v="2016-09-26T00:00:00"/>
    <s v="Standard Class"/>
    <x v="673"/>
    <s v="Giulietta Baptist"/>
    <x v="0"/>
    <s v="United States"/>
    <s v="Columbia"/>
    <x v="20"/>
    <n v="29203"/>
    <x v="0"/>
    <x v="1776"/>
    <x v="1"/>
    <x v="10"/>
    <x v="1766"/>
    <x v="100"/>
    <x v="8"/>
    <x v="1"/>
  </r>
  <r>
    <n v="6180"/>
    <x v="3077"/>
    <x v="481"/>
    <d v="2016-09-26T00:00:00"/>
    <s v="Standard Class"/>
    <x v="673"/>
    <s v="Giulietta Baptist"/>
    <x v="0"/>
    <s v="United States"/>
    <s v="Columbia"/>
    <x v="20"/>
    <n v="29203"/>
    <x v="0"/>
    <x v="911"/>
    <x v="1"/>
    <x v="4"/>
    <x v="903"/>
    <x v="1458"/>
    <x v="8"/>
    <x v="1"/>
  </r>
  <r>
    <n v="6181"/>
    <x v="3077"/>
    <x v="481"/>
    <d v="2016-09-26T00:00:00"/>
    <s v="Standard Class"/>
    <x v="673"/>
    <s v="Giulietta Baptist"/>
    <x v="0"/>
    <s v="United States"/>
    <s v="Columbia"/>
    <x v="20"/>
    <n v="29203"/>
    <x v="0"/>
    <x v="1370"/>
    <x v="2"/>
    <x v="7"/>
    <x v="1355"/>
    <x v="3125"/>
    <x v="8"/>
    <x v="1"/>
  </r>
  <r>
    <n v="6182"/>
    <x v="3077"/>
    <x v="481"/>
    <d v="2016-09-26T00:00:00"/>
    <s v="Standard Class"/>
    <x v="673"/>
    <s v="Giulietta Baptist"/>
    <x v="0"/>
    <s v="United States"/>
    <s v="Columbia"/>
    <x v="20"/>
    <n v="29203"/>
    <x v="0"/>
    <x v="529"/>
    <x v="2"/>
    <x v="7"/>
    <x v="529"/>
    <x v="4175"/>
    <x v="8"/>
    <x v="1"/>
  </r>
  <r>
    <n v="6183"/>
    <x v="3077"/>
    <x v="481"/>
    <d v="2016-09-26T00:00:00"/>
    <s v="Standard Class"/>
    <x v="673"/>
    <s v="Giulietta Baptist"/>
    <x v="0"/>
    <s v="United States"/>
    <s v="Columbia"/>
    <x v="20"/>
    <n v="29203"/>
    <x v="0"/>
    <x v="347"/>
    <x v="1"/>
    <x v="8"/>
    <x v="347"/>
    <x v="4176"/>
    <x v="8"/>
    <x v="1"/>
  </r>
  <r>
    <n v="6184"/>
    <x v="3077"/>
    <x v="481"/>
    <d v="2016-09-26T00:00:00"/>
    <s v="Standard Class"/>
    <x v="673"/>
    <s v="Giulietta Baptist"/>
    <x v="0"/>
    <s v="United States"/>
    <s v="Columbia"/>
    <x v="20"/>
    <n v="29203"/>
    <x v="0"/>
    <x v="16"/>
    <x v="1"/>
    <x v="4"/>
    <x v="16"/>
    <x v="4177"/>
    <x v="8"/>
    <x v="1"/>
  </r>
  <r>
    <n v="6185"/>
    <x v="3078"/>
    <x v="25"/>
    <d v="2017-12-13T00:00:00"/>
    <s v="First Class"/>
    <x v="489"/>
    <s v="Deborah Brumfield"/>
    <x v="2"/>
    <s v="United States"/>
    <s v="Portland"/>
    <x v="21"/>
    <n v="97206"/>
    <x v="1"/>
    <x v="38"/>
    <x v="0"/>
    <x v="1"/>
    <x v="38"/>
    <x v="4178"/>
    <x v="4"/>
    <x v="0"/>
  </r>
  <r>
    <n v="6186"/>
    <x v="3079"/>
    <x v="976"/>
    <d v="2016-08-12T00:00:00"/>
    <s v="Standard Class"/>
    <x v="600"/>
    <s v="Jim Karlsson"/>
    <x v="0"/>
    <s v="United States"/>
    <s v="Philadelphia"/>
    <x v="9"/>
    <n v="19120"/>
    <x v="3"/>
    <x v="818"/>
    <x v="1"/>
    <x v="6"/>
    <x v="814"/>
    <x v="4179"/>
    <x v="6"/>
    <x v="1"/>
  </r>
  <r>
    <n v="6187"/>
    <x v="3080"/>
    <x v="219"/>
    <d v="2016-11-17T00:00:00"/>
    <s v="First Class"/>
    <x v="186"/>
    <s v="Maya Herman"/>
    <x v="1"/>
    <s v="United States"/>
    <s v="New York City"/>
    <x v="15"/>
    <n v="10035"/>
    <x v="3"/>
    <x v="392"/>
    <x v="1"/>
    <x v="4"/>
    <x v="393"/>
    <x v="418"/>
    <x v="0"/>
    <x v="1"/>
  </r>
  <r>
    <n v="6188"/>
    <x v="3080"/>
    <x v="219"/>
    <d v="2016-11-17T00:00:00"/>
    <s v="First Class"/>
    <x v="186"/>
    <s v="Maya Herman"/>
    <x v="1"/>
    <s v="United States"/>
    <s v="New York City"/>
    <x v="15"/>
    <n v="10035"/>
    <x v="3"/>
    <x v="1344"/>
    <x v="1"/>
    <x v="8"/>
    <x v="1329"/>
    <x v="4180"/>
    <x v="0"/>
    <x v="1"/>
  </r>
  <r>
    <n v="6189"/>
    <x v="3080"/>
    <x v="219"/>
    <d v="2016-11-17T00:00:00"/>
    <s v="First Class"/>
    <x v="186"/>
    <s v="Maya Herman"/>
    <x v="1"/>
    <s v="United States"/>
    <s v="New York City"/>
    <x v="15"/>
    <n v="10035"/>
    <x v="3"/>
    <x v="1041"/>
    <x v="1"/>
    <x v="6"/>
    <x v="1030"/>
    <x v="4156"/>
    <x v="0"/>
    <x v="1"/>
  </r>
  <r>
    <n v="6190"/>
    <x v="3081"/>
    <x v="1095"/>
    <d v="2018-04-08T00:00:00"/>
    <s v="Standard Class"/>
    <x v="562"/>
    <s v="Anne McFarland"/>
    <x v="0"/>
    <s v="United States"/>
    <s v="Des Plaines"/>
    <x v="10"/>
    <n v="60016"/>
    <x v="2"/>
    <x v="1191"/>
    <x v="2"/>
    <x v="7"/>
    <x v="1176"/>
    <x v="4181"/>
    <x v="3"/>
    <x v="3"/>
  </r>
  <r>
    <n v="6191"/>
    <x v="3082"/>
    <x v="435"/>
    <d v="2017-12-28T00:00:00"/>
    <s v="Standard Class"/>
    <x v="341"/>
    <s v="Jessica Myrick"/>
    <x v="0"/>
    <s v="United States"/>
    <s v="New York City"/>
    <x v="15"/>
    <n v="10035"/>
    <x v="3"/>
    <x v="1740"/>
    <x v="0"/>
    <x v="5"/>
    <x v="1729"/>
    <x v="4182"/>
    <x v="4"/>
    <x v="0"/>
  </r>
  <r>
    <n v="6192"/>
    <x v="3083"/>
    <x v="1096"/>
    <d v="2018-12-13T00:00:00"/>
    <s v="Same Day"/>
    <x v="596"/>
    <s v="Mitch Webber"/>
    <x v="0"/>
    <s v="United States"/>
    <s v="Seattle"/>
    <x v="4"/>
    <n v="98103"/>
    <x v="1"/>
    <x v="470"/>
    <x v="1"/>
    <x v="4"/>
    <x v="471"/>
    <x v="966"/>
    <x v="4"/>
    <x v="3"/>
  </r>
  <r>
    <n v="6193"/>
    <x v="3084"/>
    <x v="66"/>
    <d v="2018-12-26T00:00:00"/>
    <s v="Standard Class"/>
    <x v="743"/>
    <s v="Alex Grayson"/>
    <x v="0"/>
    <s v="United States"/>
    <s v="Houston"/>
    <x v="5"/>
    <n v="77095"/>
    <x v="2"/>
    <x v="712"/>
    <x v="1"/>
    <x v="10"/>
    <x v="711"/>
    <x v="233"/>
    <x v="4"/>
    <x v="3"/>
  </r>
  <r>
    <n v="6194"/>
    <x v="3084"/>
    <x v="66"/>
    <d v="2018-12-26T00:00:00"/>
    <s v="Standard Class"/>
    <x v="743"/>
    <s v="Alex Grayson"/>
    <x v="0"/>
    <s v="United States"/>
    <s v="Houston"/>
    <x v="5"/>
    <n v="77095"/>
    <x v="2"/>
    <x v="858"/>
    <x v="1"/>
    <x v="8"/>
    <x v="852"/>
    <x v="4183"/>
    <x v="4"/>
    <x v="3"/>
  </r>
  <r>
    <n v="6195"/>
    <x v="3084"/>
    <x v="66"/>
    <d v="2018-12-26T00:00:00"/>
    <s v="Standard Class"/>
    <x v="743"/>
    <s v="Alex Grayson"/>
    <x v="0"/>
    <s v="United States"/>
    <s v="Houston"/>
    <x v="5"/>
    <n v="77095"/>
    <x v="2"/>
    <x v="640"/>
    <x v="1"/>
    <x v="10"/>
    <x v="640"/>
    <x v="69"/>
    <x v="4"/>
    <x v="3"/>
  </r>
  <r>
    <n v="6196"/>
    <x v="3085"/>
    <x v="208"/>
    <d v="2018-10-28T00:00:00"/>
    <s v="Standard Class"/>
    <x v="380"/>
    <s v="Charles McCrossin"/>
    <x v="0"/>
    <s v="United States"/>
    <s v="Philadelphia"/>
    <x v="9"/>
    <n v="19143"/>
    <x v="3"/>
    <x v="903"/>
    <x v="2"/>
    <x v="7"/>
    <x v="895"/>
    <x v="4184"/>
    <x v="2"/>
    <x v="3"/>
  </r>
  <r>
    <n v="6197"/>
    <x v="3085"/>
    <x v="208"/>
    <d v="2018-10-28T00:00:00"/>
    <s v="Standard Class"/>
    <x v="380"/>
    <s v="Charles McCrossin"/>
    <x v="0"/>
    <s v="United States"/>
    <s v="Philadelphia"/>
    <x v="9"/>
    <n v="19143"/>
    <x v="3"/>
    <x v="1069"/>
    <x v="1"/>
    <x v="4"/>
    <x v="1058"/>
    <x v="4185"/>
    <x v="2"/>
    <x v="3"/>
  </r>
  <r>
    <n v="6198"/>
    <x v="3086"/>
    <x v="50"/>
    <d v="2016-11-17T00:00:00"/>
    <s v="Standard Class"/>
    <x v="154"/>
    <s v="Russell Applegate"/>
    <x v="0"/>
    <s v="United States"/>
    <s v="Columbus"/>
    <x v="14"/>
    <n v="47201"/>
    <x v="2"/>
    <x v="1346"/>
    <x v="1"/>
    <x v="10"/>
    <x v="1331"/>
    <x v="4186"/>
    <x v="0"/>
    <x v="1"/>
  </r>
  <r>
    <n v="6199"/>
    <x v="3086"/>
    <x v="50"/>
    <d v="2016-11-17T00:00:00"/>
    <s v="Standard Class"/>
    <x v="154"/>
    <s v="Russell Applegate"/>
    <x v="0"/>
    <s v="United States"/>
    <s v="Columbus"/>
    <x v="14"/>
    <n v="47201"/>
    <x v="2"/>
    <x v="1259"/>
    <x v="2"/>
    <x v="7"/>
    <x v="1243"/>
    <x v="4187"/>
    <x v="0"/>
    <x v="1"/>
  </r>
  <r>
    <n v="6200"/>
    <x v="3086"/>
    <x v="50"/>
    <d v="2016-11-17T00:00:00"/>
    <s v="Standard Class"/>
    <x v="154"/>
    <s v="Russell Applegate"/>
    <x v="0"/>
    <s v="United States"/>
    <s v="Columbus"/>
    <x v="14"/>
    <n v="47201"/>
    <x v="2"/>
    <x v="694"/>
    <x v="1"/>
    <x v="10"/>
    <x v="694"/>
    <x v="3542"/>
    <x v="0"/>
    <x v="1"/>
  </r>
  <r>
    <n v="6201"/>
    <x v="3087"/>
    <x v="392"/>
    <d v="2016-04-20T00:00:00"/>
    <s v="Standard Class"/>
    <x v="766"/>
    <s v="Sarah Brown"/>
    <x v="0"/>
    <s v="United States"/>
    <s v="Evanston"/>
    <x v="10"/>
    <n v="60201"/>
    <x v="2"/>
    <x v="1077"/>
    <x v="2"/>
    <x v="16"/>
    <x v="1067"/>
    <x v="4188"/>
    <x v="3"/>
    <x v="1"/>
  </r>
  <r>
    <n v="6202"/>
    <x v="3087"/>
    <x v="392"/>
    <d v="2016-04-20T00:00:00"/>
    <s v="Standard Class"/>
    <x v="766"/>
    <s v="Sarah Brown"/>
    <x v="0"/>
    <s v="United States"/>
    <s v="Evanston"/>
    <x v="10"/>
    <n v="60201"/>
    <x v="2"/>
    <x v="1700"/>
    <x v="2"/>
    <x v="11"/>
    <x v="1688"/>
    <x v="1875"/>
    <x v="3"/>
    <x v="1"/>
  </r>
  <r>
    <n v="6203"/>
    <x v="3088"/>
    <x v="186"/>
    <d v="2017-12-23T00:00:00"/>
    <s v="Standard Class"/>
    <x v="7"/>
    <s v="Pete Kriz"/>
    <x v="0"/>
    <s v="United States"/>
    <s v="Apple Valley"/>
    <x v="1"/>
    <n v="92307"/>
    <x v="1"/>
    <x v="901"/>
    <x v="0"/>
    <x v="1"/>
    <x v="893"/>
    <x v="4189"/>
    <x v="4"/>
    <x v="0"/>
  </r>
  <r>
    <n v="6204"/>
    <x v="3089"/>
    <x v="147"/>
    <d v="2017-10-27T00:00:00"/>
    <s v="Standard Class"/>
    <x v="603"/>
    <s v="Susan Vittorini"/>
    <x v="0"/>
    <s v="United States"/>
    <s v="Columbus"/>
    <x v="24"/>
    <n v="43229"/>
    <x v="3"/>
    <x v="1692"/>
    <x v="2"/>
    <x v="7"/>
    <x v="1680"/>
    <x v="4190"/>
    <x v="2"/>
    <x v="0"/>
  </r>
  <r>
    <n v="6205"/>
    <x v="3090"/>
    <x v="96"/>
    <d v="2018-12-03T00:00:00"/>
    <s v="First Class"/>
    <x v="377"/>
    <s v="Matthew Grinstein"/>
    <x v="2"/>
    <s v="United States"/>
    <s v="Marion"/>
    <x v="24"/>
    <n v="43302"/>
    <x v="3"/>
    <x v="763"/>
    <x v="0"/>
    <x v="5"/>
    <x v="762"/>
    <x v="323"/>
    <x v="4"/>
    <x v="3"/>
  </r>
  <r>
    <n v="6206"/>
    <x v="3091"/>
    <x v="201"/>
    <d v="2017-10-24T00:00:00"/>
    <s v="Second Class"/>
    <x v="320"/>
    <s v="Chuck Magee"/>
    <x v="0"/>
    <s v="United States"/>
    <s v="Houston"/>
    <x v="5"/>
    <n v="77095"/>
    <x v="2"/>
    <x v="1346"/>
    <x v="1"/>
    <x v="10"/>
    <x v="1331"/>
    <x v="4191"/>
    <x v="2"/>
    <x v="0"/>
  </r>
  <r>
    <n v="6207"/>
    <x v="3091"/>
    <x v="201"/>
    <d v="2017-10-24T00:00:00"/>
    <s v="Second Class"/>
    <x v="320"/>
    <s v="Chuck Magee"/>
    <x v="0"/>
    <s v="United States"/>
    <s v="Houston"/>
    <x v="5"/>
    <n v="77095"/>
    <x v="2"/>
    <x v="550"/>
    <x v="1"/>
    <x v="13"/>
    <x v="128"/>
    <x v="4192"/>
    <x v="2"/>
    <x v="0"/>
  </r>
  <r>
    <n v="6208"/>
    <x v="3091"/>
    <x v="201"/>
    <d v="2017-10-24T00:00:00"/>
    <s v="Second Class"/>
    <x v="320"/>
    <s v="Chuck Magee"/>
    <x v="0"/>
    <s v="United States"/>
    <s v="Houston"/>
    <x v="5"/>
    <n v="77095"/>
    <x v="2"/>
    <x v="394"/>
    <x v="0"/>
    <x v="1"/>
    <x v="395"/>
    <x v="4193"/>
    <x v="2"/>
    <x v="0"/>
  </r>
  <r>
    <n v="6209"/>
    <x v="3092"/>
    <x v="365"/>
    <d v="2018-10-03T00:00:00"/>
    <s v="Standard Class"/>
    <x v="545"/>
    <s v="Michelle Ellison"/>
    <x v="1"/>
    <s v="United States"/>
    <s v="Marion"/>
    <x v="24"/>
    <n v="43302"/>
    <x v="3"/>
    <x v="911"/>
    <x v="1"/>
    <x v="4"/>
    <x v="903"/>
    <x v="4194"/>
    <x v="8"/>
    <x v="3"/>
  </r>
  <r>
    <n v="6210"/>
    <x v="3093"/>
    <x v="238"/>
    <d v="2018-08-25T00:00:00"/>
    <s v="Standard Class"/>
    <x v="453"/>
    <s v="Yana Sorensen"/>
    <x v="1"/>
    <s v="United States"/>
    <s v="Seattle"/>
    <x v="4"/>
    <n v="98103"/>
    <x v="1"/>
    <x v="760"/>
    <x v="1"/>
    <x v="8"/>
    <x v="758"/>
    <x v="4195"/>
    <x v="6"/>
    <x v="3"/>
  </r>
  <r>
    <n v="6211"/>
    <x v="3093"/>
    <x v="238"/>
    <d v="2018-08-25T00:00:00"/>
    <s v="Standard Class"/>
    <x v="453"/>
    <s v="Yana Sorensen"/>
    <x v="1"/>
    <s v="United States"/>
    <s v="Seattle"/>
    <x v="4"/>
    <n v="98103"/>
    <x v="1"/>
    <x v="384"/>
    <x v="1"/>
    <x v="4"/>
    <x v="385"/>
    <x v="1397"/>
    <x v="6"/>
    <x v="3"/>
  </r>
  <r>
    <n v="6212"/>
    <x v="3093"/>
    <x v="238"/>
    <d v="2018-08-25T00:00:00"/>
    <s v="Standard Class"/>
    <x v="453"/>
    <s v="Yana Sorensen"/>
    <x v="1"/>
    <s v="United States"/>
    <s v="Seattle"/>
    <x v="4"/>
    <n v="98103"/>
    <x v="1"/>
    <x v="504"/>
    <x v="0"/>
    <x v="5"/>
    <x v="504"/>
    <x v="4196"/>
    <x v="6"/>
    <x v="3"/>
  </r>
  <r>
    <n v="6213"/>
    <x v="3094"/>
    <x v="105"/>
    <d v="2018-11-16T00:00:00"/>
    <s v="Second Class"/>
    <x v="93"/>
    <s v="Maria Bertelson"/>
    <x v="0"/>
    <s v="United States"/>
    <s v="Longview"/>
    <x v="4"/>
    <n v="98632"/>
    <x v="1"/>
    <x v="829"/>
    <x v="1"/>
    <x v="13"/>
    <x v="128"/>
    <x v="2556"/>
    <x v="0"/>
    <x v="3"/>
  </r>
  <r>
    <n v="6214"/>
    <x v="3094"/>
    <x v="105"/>
    <d v="2018-11-16T00:00:00"/>
    <s v="Second Class"/>
    <x v="93"/>
    <s v="Maria Bertelson"/>
    <x v="0"/>
    <s v="United States"/>
    <s v="Longview"/>
    <x v="4"/>
    <n v="98632"/>
    <x v="1"/>
    <x v="513"/>
    <x v="1"/>
    <x v="9"/>
    <x v="513"/>
    <x v="562"/>
    <x v="0"/>
    <x v="3"/>
  </r>
  <r>
    <n v="6215"/>
    <x v="3095"/>
    <x v="856"/>
    <d v="2015-10-15T00:00:00"/>
    <s v="Standard Class"/>
    <x v="238"/>
    <s v="Alan Shonely"/>
    <x v="0"/>
    <s v="United States"/>
    <s v="Redondo Beach"/>
    <x v="1"/>
    <n v="90278"/>
    <x v="1"/>
    <x v="588"/>
    <x v="1"/>
    <x v="12"/>
    <x v="588"/>
    <x v="2469"/>
    <x v="2"/>
    <x v="2"/>
  </r>
  <r>
    <n v="6216"/>
    <x v="3096"/>
    <x v="109"/>
    <d v="2016-12-03T00:00:00"/>
    <s v="Standard Class"/>
    <x v="466"/>
    <s v="Mark Cousins"/>
    <x v="1"/>
    <s v="United States"/>
    <s v="New York City"/>
    <x v="15"/>
    <n v="10035"/>
    <x v="3"/>
    <x v="205"/>
    <x v="0"/>
    <x v="5"/>
    <x v="206"/>
    <x v="4197"/>
    <x v="0"/>
    <x v="1"/>
  </r>
  <r>
    <n v="6217"/>
    <x v="3096"/>
    <x v="109"/>
    <d v="2016-12-03T00:00:00"/>
    <s v="Standard Class"/>
    <x v="466"/>
    <s v="Mark Cousins"/>
    <x v="1"/>
    <s v="United States"/>
    <s v="New York City"/>
    <x v="15"/>
    <n v="10035"/>
    <x v="3"/>
    <x v="837"/>
    <x v="1"/>
    <x v="12"/>
    <x v="153"/>
    <x v="2529"/>
    <x v="0"/>
    <x v="1"/>
  </r>
  <r>
    <n v="6218"/>
    <x v="3097"/>
    <x v="1097"/>
    <d v="2016-08-02T00:00:00"/>
    <s v="Standard Class"/>
    <x v="310"/>
    <s v="Patrick Gardner"/>
    <x v="0"/>
    <s v="United States"/>
    <s v="Louisville"/>
    <x v="0"/>
    <n v="40214"/>
    <x v="0"/>
    <x v="1136"/>
    <x v="2"/>
    <x v="7"/>
    <x v="1124"/>
    <x v="2030"/>
    <x v="7"/>
    <x v="1"/>
  </r>
  <r>
    <n v="6219"/>
    <x v="3098"/>
    <x v="201"/>
    <d v="2017-10-26T00:00:00"/>
    <s v="Standard Class"/>
    <x v="559"/>
    <s v="Joy Smith"/>
    <x v="0"/>
    <s v="United States"/>
    <s v="Trenton"/>
    <x v="12"/>
    <n v="48183"/>
    <x v="2"/>
    <x v="1020"/>
    <x v="2"/>
    <x v="7"/>
    <x v="1011"/>
    <x v="4198"/>
    <x v="2"/>
    <x v="0"/>
  </r>
  <r>
    <n v="6220"/>
    <x v="3098"/>
    <x v="201"/>
    <d v="2017-10-26T00:00:00"/>
    <s v="Standard Class"/>
    <x v="559"/>
    <s v="Joy Smith"/>
    <x v="0"/>
    <s v="United States"/>
    <s v="Trenton"/>
    <x v="12"/>
    <n v="48183"/>
    <x v="2"/>
    <x v="664"/>
    <x v="2"/>
    <x v="7"/>
    <x v="664"/>
    <x v="766"/>
    <x v="2"/>
    <x v="0"/>
  </r>
  <r>
    <n v="6221"/>
    <x v="3098"/>
    <x v="201"/>
    <d v="2017-10-26T00:00:00"/>
    <s v="Standard Class"/>
    <x v="559"/>
    <s v="Joy Smith"/>
    <x v="0"/>
    <s v="United States"/>
    <s v="Trenton"/>
    <x v="12"/>
    <n v="48183"/>
    <x v="2"/>
    <x v="383"/>
    <x v="1"/>
    <x v="4"/>
    <x v="384"/>
    <x v="1516"/>
    <x v="2"/>
    <x v="0"/>
  </r>
  <r>
    <n v="6222"/>
    <x v="3099"/>
    <x v="32"/>
    <d v="2018-09-18T00:00:00"/>
    <s v="Second Class"/>
    <x v="677"/>
    <s v="Joy Bell-"/>
    <x v="0"/>
    <s v="United States"/>
    <s v="Los Angeles"/>
    <x v="1"/>
    <n v="90045"/>
    <x v="1"/>
    <x v="919"/>
    <x v="1"/>
    <x v="2"/>
    <x v="911"/>
    <x v="3589"/>
    <x v="8"/>
    <x v="3"/>
  </r>
  <r>
    <n v="6223"/>
    <x v="3100"/>
    <x v="331"/>
    <d v="2018-12-27T00:00:00"/>
    <s v="Standard Class"/>
    <x v="213"/>
    <s v="Darren Koutras"/>
    <x v="0"/>
    <s v="United States"/>
    <s v="Hendersonville"/>
    <x v="18"/>
    <n v="37075"/>
    <x v="0"/>
    <x v="205"/>
    <x v="0"/>
    <x v="5"/>
    <x v="206"/>
    <x v="218"/>
    <x v="4"/>
    <x v="3"/>
  </r>
  <r>
    <n v="6224"/>
    <x v="3100"/>
    <x v="331"/>
    <d v="2018-12-27T00:00:00"/>
    <s v="Standard Class"/>
    <x v="213"/>
    <s v="Darren Koutras"/>
    <x v="0"/>
    <s v="United States"/>
    <s v="Hendersonville"/>
    <x v="18"/>
    <n v="37075"/>
    <x v="0"/>
    <x v="909"/>
    <x v="1"/>
    <x v="6"/>
    <x v="901"/>
    <x v="4199"/>
    <x v="4"/>
    <x v="3"/>
  </r>
  <r>
    <n v="6225"/>
    <x v="3100"/>
    <x v="331"/>
    <d v="2018-12-27T00:00:00"/>
    <s v="Standard Class"/>
    <x v="213"/>
    <s v="Darren Koutras"/>
    <x v="0"/>
    <s v="United States"/>
    <s v="Hendersonville"/>
    <x v="18"/>
    <n v="37075"/>
    <x v="0"/>
    <x v="72"/>
    <x v="1"/>
    <x v="4"/>
    <x v="72"/>
    <x v="286"/>
    <x v="4"/>
    <x v="3"/>
  </r>
  <r>
    <n v="6226"/>
    <x v="3101"/>
    <x v="348"/>
    <d v="2016-10-09T00:00:00"/>
    <s v="Standard Class"/>
    <x v="223"/>
    <s v="Jeremy Farry"/>
    <x v="0"/>
    <s v="United States"/>
    <s v="Portland"/>
    <x v="21"/>
    <n v="97206"/>
    <x v="1"/>
    <x v="1487"/>
    <x v="0"/>
    <x v="0"/>
    <x v="1474"/>
    <x v="4200"/>
    <x v="2"/>
    <x v="1"/>
  </r>
  <r>
    <n v="6227"/>
    <x v="3101"/>
    <x v="348"/>
    <d v="2016-10-09T00:00:00"/>
    <s v="Standard Class"/>
    <x v="223"/>
    <s v="Jeremy Farry"/>
    <x v="0"/>
    <s v="United States"/>
    <s v="Portland"/>
    <x v="21"/>
    <n v="97206"/>
    <x v="1"/>
    <x v="1455"/>
    <x v="0"/>
    <x v="1"/>
    <x v="1441"/>
    <x v="4201"/>
    <x v="2"/>
    <x v="1"/>
  </r>
  <r>
    <n v="6228"/>
    <x v="3102"/>
    <x v="981"/>
    <d v="2015-11-07T00:00:00"/>
    <s v="Standard Class"/>
    <x v="138"/>
    <s v="Patrick O'Brill"/>
    <x v="0"/>
    <s v="United States"/>
    <s v="Irving"/>
    <x v="5"/>
    <n v="75061"/>
    <x v="2"/>
    <x v="687"/>
    <x v="2"/>
    <x v="7"/>
    <x v="687"/>
    <x v="2495"/>
    <x v="0"/>
    <x v="2"/>
  </r>
  <r>
    <n v="6229"/>
    <x v="3103"/>
    <x v="115"/>
    <d v="2017-01-27T00:00:00"/>
    <s v="Standard Class"/>
    <x v="404"/>
    <s v="Bradley Talbott"/>
    <x v="2"/>
    <s v="United States"/>
    <s v="Cleveland"/>
    <x v="24"/>
    <n v="44105"/>
    <x v="3"/>
    <x v="40"/>
    <x v="2"/>
    <x v="7"/>
    <x v="40"/>
    <x v="4202"/>
    <x v="9"/>
    <x v="0"/>
  </r>
  <r>
    <n v="6230"/>
    <x v="3103"/>
    <x v="115"/>
    <d v="2017-01-27T00:00:00"/>
    <s v="Standard Class"/>
    <x v="404"/>
    <s v="Bradley Talbott"/>
    <x v="2"/>
    <s v="United States"/>
    <s v="Cleveland"/>
    <x v="24"/>
    <n v="44105"/>
    <x v="3"/>
    <x v="43"/>
    <x v="2"/>
    <x v="11"/>
    <x v="43"/>
    <x v="494"/>
    <x v="9"/>
    <x v="0"/>
  </r>
  <r>
    <n v="6231"/>
    <x v="3104"/>
    <x v="497"/>
    <d v="2018-07-17T00:00:00"/>
    <s v="Standard Class"/>
    <x v="508"/>
    <s v="Natalie Webber"/>
    <x v="0"/>
    <s v="United States"/>
    <s v="Waterloo"/>
    <x v="23"/>
    <n v="50701"/>
    <x v="2"/>
    <x v="773"/>
    <x v="1"/>
    <x v="6"/>
    <x v="772"/>
    <x v="4203"/>
    <x v="7"/>
    <x v="3"/>
  </r>
  <r>
    <n v="6232"/>
    <x v="3105"/>
    <x v="220"/>
    <d v="2018-09-11T00:00:00"/>
    <s v="Same Day"/>
    <x v="226"/>
    <s v="Jennifer Ferguson"/>
    <x v="0"/>
    <s v="United States"/>
    <s v="Seattle"/>
    <x v="4"/>
    <n v="98105"/>
    <x v="1"/>
    <x v="637"/>
    <x v="0"/>
    <x v="1"/>
    <x v="637"/>
    <x v="2787"/>
    <x v="8"/>
    <x v="3"/>
  </r>
  <r>
    <n v="6233"/>
    <x v="3105"/>
    <x v="220"/>
    <d v="2018-09-11T00:00:00"/>
    <s v="Same Day"/>
    <x v="226"/>
    <s v="Jennifer Ferguson"/>
    <x v="0"/>
    <s v="United States"/>
    <s v="Seattle"/>
    <x v="4"/>
    <n v="98105"/>
    <x v="1"/>
    <x v="510"/>
    <x v="1"/>
    <x v="10"/>
    <x v="510"/>
    <x v="537"/>
    <x v="8"/>
    <x v="3"/>
  </r>
  <r>
    <n v="6234"/>
    <x v="3105"/>
    <x v="220"/>
    <d v="2018-09-11T00:00:00"/>
    <s v="Same Day"/>
    <x v="226"/>
    <s v="Jennifer Ferguson"/>
    <x v="0"/>
    <s v="United States"/>
    <s v="Seattle"/>
    <x v="4"/>
    <n v="98105"/>
    <x v="1"/>
    <x v="511"/>
    <x v="1"/>
    <x v="10"/>
    <x v="511"/>
    <x v="4204"/>
    <x v="8"/>
    <x v="3"/>
  </r>
  <r>
    <n v="6235"/>
    <x v="3105"/>
    <x v="220"/>
    <d v="2018-09-11T00:00:00"/>
    <s v="Same Day"/>
    <x v="226"/>
    <s v="Jennifer Ferguson"/>
    <x v="0"/>
    <s v="United States"/>
    <s v="Seattle"/>
    <x v="4"/>
    <n v="98105"/>
    <x v="1"/>
    <x v="1498"/>
    <x v="1"/>
    <x v="8"/>
    <x v="1486"/>
    <x v="4205"/>
    <x v="8"/>
    <x v="3"/>
  </r>
  <r>
    <n v="6236"/>
    <x v="3105"/>
    <x v="220"/>
    <d v="2018-09-11T00:00:00"/>
    <s v="Same Day"/>
    <x v="226"/>
    <s v="Jennifer Ferguson"/>
    <x v="0"/>
    <s v="United States"/>
    <s v="Seattle"/>
    <x v="4"/>
    <n v="98105"/>
    <x v="1"/>
    <x v="1777"/>
    <x v="2"/>
    <x v="7"/>
    <x v="1767"/>
    <x v="1095"/>
    <x v="8"/>
    <x v="3"/>
  </r>
  <r>
    <n v="6237"/>
    <x v="3106"/>
    <x v="1098"/>
    <d v="2017-02-27T00:00:00"/>
    <s v="Standard Class"/>
    <x v="141"/>
    <s v="Alyssa Crouse"/>
    <x v="1"/>
    <s v="United States"/>
    <s v="Philadelphia"/>
    <x v="9"/>
    <n v="19120"/>
    <x v="3"/>
    <x v="244"/>
    <x v="1"/>
    <x v="12"/>
    <x v="245"/>
    <x v="263"/>
    <x v="11"/>
    <x v="0"/>
  </r>
  <r>
    <n v="6238"/>
    <x v="3107"/>
    <x v="115"/>
    <d v="2017-01-29T00:00:00"/>
    <s v="Standard Class"/>
    <x v="509"/>
    <s v="Toby Braunhardt"/>
    <x v="0"/>
    <s v="United States"/>
    <s v="New York City"/>
    <x v="15"/>
    <n v="10009"/>
    <x v="3"/>
    <x v="1263"/>
    <x v="1"/>
    <x v="8"/>
    <x v="1247"/>
    <x v="4206"/>
    <x v="9"/>
    <x v="0"/>
  </r>
  <r>
    <n v="6239"/>
    <x v="3108"/>
    <x v="295"/>
    <d v="2016-12-16T00:00:00"/>
    <s v="Standard Class"/>
    <x v="456"/>
    <s v="Helen Abelman"/>
    <x v="0"/>
    <s v="United States"/>
    <s v="San Jose"/>
    <x v="1"/>
    <n v="95123"/>
    <x v="1"/>
    <x v="1281"/>
    <x v="0"/>
    <x v="5"/>
    <x v="1266"/>
    <x v="4207"/>
    <x v="4"/>
    <x v="1"/>
  </r>
  <r>
    <n v="6240"/>
    <x v="3108"/>
    <x v="295"/>
    <d v="2016-12-16T00:00:00"/>
    <s v="Standard Class"/>
    <x v="456"/>
    <s v="Helen Abelman"/>
    <x v="0"/>
    <s v="United States"/>
    <s v="San Jose"/>
    <x v="1"/>
    <n v="95123"/>
    <x v="1"/>
    <x v="734"/>
    <x v="1"/>
    <x v="4"/>
    <x v="733"/>
    <x v="2861"/>
    <x v="4"/>
    <x v="1"/>
  </r>
  <r>
    <n v="6241"/>
    <x v="3109"/>
    <x v="517"/>
    <d v="2017-11-01T00:00:00"/>
    <s v="Second Class"/>
    <x v="109"/>
    <s v="Logan Haushalter"/>
    <x v="0"/>
    <s v="United States"/>
    <s v="Los Angeles"/>
    <x v="1"/>
    <n v="90008"/>
    <x v="1"/>
    <x v="908"/>
    <x v="1"/>
    <x v="8"/>
    <x v="900"/>
    <x v="4208"/>
    <x v="2"/>
    <x v="0"/>
  </r>
  <r>
    <n v="6242"/>
    <x v="3110"/>
    <x v="39"/>
    <d v="2018-05-31T00:00:00"/>
    <s v="Second Class"/>
    <x v="628"/>
    <s v="Lori Olson"/>
    <x v="1"/>
    <s v="United States"/>
    <s v="Concord"/>
    <x v="38"/>
    <n v="3301"/>
    <x v="3"/>
    <x v="1435"/>
    <x v="0"/>
    <x v="5"/>
    <x v="1423"/>
    <x v="4209"/>
    <x v="5"/>
    <x v="3"/>
  </r>
  <r>
    <n v="6243"/>
    <x v="3111"/>
    <x v="1059"/>
    <d v="2015-12-28T00:00:00"/>
    <s v="Standard Class"/>
    <x v="503"/>
    <s v="Dennis Pardue"/>
    <x v="2"/>
    <s v="United States"/>
    <s v="Columbia"/>
    <x v="18"/>
    <n v="38401"/>
    <x v="0"/>
    <x v="999"/>
    <x v="1"/>
    <x v="8"/>
    <x v="991"/>
    <x v="2556"/>
    <x v="4"/>
    <x v="2"/>
  </r>
  <r>
    <n v="6244"/>
    <x v="3112"/>
    <x v="390"/>
    <d v="2017-11-28T00:00:00"/>
    <s v="Standard Class"/>
    <x v="615"/>
    <s v="Clay Rozendal"/>
    <x v="2"/>
    <s v="United States"/>
    <s v="Bellevue"/>
    <x v="4"/>
    <n v="98006"/>
    <x v="1"/>
    <x v="1566"/>
    <x v="1"/>
    <x v="14"/>
    <x v="1557"/>
    <x v="3451"/>
    <x v="0"/>
    <x v="0"/>
  </r>
  <r>
    <n v="6245"/>
    <x v="3113"/>
    <x v="312"/>
    <d v="2016-11-25T00:00:00"/>
    <s v="Standard Class"/>
    <x v="683"/>
    <s v="Katrina Bavinger"/>
    <x v="2"/>
    <s v="United States"/>
    <s v="Seattle"/>
    <x v="4"/>
    <n v="98105"/>
    <x v="1"/>
    <x v="1167"/>
    <x v="1"/>
    <x v="6"/>
    <x v="1154"/>
    <x v="4156"/>
    <x v="0"/>
    <x v="1"/>
  </r>
  <r>
    <n v="6246"/>
    <x v="3113"/>
    <x v="312"/>
    <d v="2016-11-25T00:00:00"/>
    <s v="Standard Class"/>
    <x v="683"/>
    <s v="Katrina Bavinger"/>
    <x v="2"/>
    <s v="United States"/>
    <s v="Seattle"/>
    <x v="4"/>
    <n v="98105"/>
    <x v="1"/>
    <x v="1256"/>
    <x v="0"/>
    <x v="5"/>
    <x v="1240"/>
    <x v="2997"/>
    <x v="0"/>
    <x v="1"/>
  </r>
  <r>
    <n v="6247"/>
    <x v="3113"/>
    <x v="312"/>
    <d v="2016-11-25T00:00:00"/>
    <s v="Standard Class"/>
    <x v="683"/>
    <s v="Katrina Bavinger"/>
    <x v="2"/>
    <s v="United States"/>
    <s v="Seattle"/>
    <x v="4"/>
    <n v="98105"/>
    <x v="1"/>
    <x v="1695"/>
    <x v="2"/>
    <x v="11"/>
    <x v="1683"/>
    <x v="62"/>
    <x v="0"/>
    <x v="1"/>
  </r>
  <r>
    <n v="6248"/>
    <x v="3114"/>
    <x v="148"/>
    <d v="2018-06-04T00:00:00"/>
    <s v="Standard Class"/>
    <x v="586"/>
    <s v="Maris LaWare"/>
    <x v="0"/>
    <s v="United States"/>
    <s v="Columbus"/>
    <x v="14"/>
    <n v="47201"/>
    <x v="2"/>
    <x v="1311"/>
    <x v="1"/>
    <x v="8"/>
    <x v="1297"/>
    <x v="4210"/>
    <x v="5"/>
    <x v="3"/>
  </r>
  <r>
    <n v="6249"/>
    <x v="3114"/>
    <x v="148"/>
    <d v="2018-06-04T00:00:00"/>
    <s v="Standard Class"/>
    <x v="586"/>
    <s v="Maris LaWare"/>
    <x v="0"/>
    <s v="United States"/>
    <s v="Columbus"/>
    <x v="14"/>
    <n v="47201"/>
    <x v="2"/>
    <x v="1035"/>
    <x v="0"/>
    <x v="5"/>
    <x v="325"/>
    <x v="869"/>
    <x v="5"/>
    <x v="3"/>
  </r>
  <r>
    <n v="6250"/>
    <x v="3114"/>
    <x v="148"/>
    <d v="2018-06-04T00:00:00"/>
    <s v="Standard Class"/>
    <x v="586"/>
    <s v="Maris LaWare"/>
    <x v="0"/>
    <s v="United States"/>
    <s v="Columbus"/>
    <x v="14"/>
    <n v="47201"/>
    <x v="2"/>
    <x v="1778"/>
    <x v="1"/>
    <x v="9"/>
    <x v="1768"/>
    <x v="4211"/>
    <x v="5"/>
    <x v="3"/>
  </r>
  <r>
    <n v="6251"/>
    <x v="3114"/>
    <x v="148"/>
    <d v="2018-06-04T00:00:00"/>
    <s v="Standard Class"/>
    <x v="586"/>
    <s v="Maris LaWare"/>
    <x v="0"/>
    <s v="United States"/>
    <s v="Columbus"/>
    <x v="14"/>
    <n v="47201"/>
    <x v="2"/>
    <x v="226"/>
    <x v="1"/>
    <x v="10"/>
    <x v="227"/>
    <x v="3277"/>
    <x v="5"/>
    <x v="3"/>
  </r>
  <r>
    <n v="6252"/>
    <x v="3115"/>
    <x v="266"/>
    <d v="2015-12-04T00:00:00"/>
    <s v="First Class"/>
    <x v="430"/>
    <s v="Matt Collins"/>
    <x v="0"/>
    <s v="United States"/>
    <s v="Chicago"/>
    <x v="10"/>
    <n v="60623"/>
    <x v="2"/>
    <x v="360"/>
    <x v="1"/>
    <x v="9"/>
    <x v="360"/>
    <x v="4212"/>
    <x v="4"/>
    <x v="2"/>
  </r>
  <r>
    <n v="6253"/>
    <x v="3116"/>
    <x v="884"/>
    <d v="2015-04-07T00:00:00"/>
    <s v="Same Day"/>
    <x v="91"/>
    <s v="Valerie Mitchum"/>
    <x v="2"/>
    <s v="United States"/>
    <s v="Marietta"/>
    <x v="32"/>
    <n v="30062"/>
    <x v="0"/>
    <x v="490"/>
    <x v="1"/>
    <x v="10"/>
    <x v="490"/>
    <x v="707"/>
    <x v="3"/>
    <x v="2"/>
  </r>
  <r>
    <n v="6254"/>
    <x v="3116"/>
    <x v="884"/>
    <d v="2015-04-07T00:00:00"/>
    <s v="Same Day"/>
    <x v="91"/>
    <s v="Valerie Mitchum"/>
    <x v="2"/>
    <s v="United States"/>
    <s v="Marietta"/>
    <x v="32"/>
    <n v="30062"/>
    <x v="0"/>
    <x v="1086"/>
    <x v="2"/>
    <x v="7"/>
    <x v="1076"/>
    <x v="4213"/>
    <x v="3"/>
    <x v="2"/>
  </r>
  <r>
    <n v="6255"/>
    <x v="3117"/>
    <x v="1014"/>
    <d v="2016-09-14T00:00:00"/>
    <s v="Standard Class"/>
    <x v="100"/>
    <s v="Victoria Wilson"/>
    <x v="1"/>
    <s v="United States"/>
    <s v="Montgomery"/>
    <x v="19"/>
    <n v="36116"/>
    <x v="0"/>
    <x v="1565"/>
    <x v="0"/>
    <x v="5"/>
    <x v="1556"/>
    <x v="788"/>
    <x v="8"/>
    <x v="1"/>
  </r>
  <r>
    <n v="6256"/>
    <x v="3118"/>
    <x v="428"/>
    <d v="2018-09-15T00:00:00"/>
    <s v="Standard Class"/>
    <x v="136"/>
    <s v="Grace Kelly"/>
    <x v="1"/>
    <s v="United States"/>
    <s v="Plano"/>
    <x v="5"/>
    <n v="75023"/>
    <x v="2"/>
    <x v="85"/>
    <x v="1"/>
    <x v="2"/>
    <x v="85"/>
    <x v="4214"/>
    <x v="8"/>
    <x v="3"/>
  </r>
  <r>
    <n v="6257"/>
    <x v="3119"/>
    <x v="684"/>
    <d v="2016-09-08T00:00:00"/>
    <s v="Second Class"/>
    <x v="401"/>
    <s v="Alyssa Tate"/>
    <x v="2"/>
    <s v="United States"/>
    <s v="Tamarac"/>
    <x v="2"/>
    <n v="33319"/>
    <x v="0"/>
    <x v="1426"/>
    <x v="1"/>
    <x v="8"/>
    <x v="1414"/>
    <x v="2689"/>
    <x v="8"/>
    <x v="1"/>
  </r>
  <r>
    <n v="6258"/>
    <x v="3120"/>
    <x v="808"/>
    <d v="2018-11-06T00:00:00"/>
    <s v="Second Class"/>
    <x v="255"/>
    <s v="Anthony Rawles"/>
    <x v="1"/>
    <s v="United States"/>
    <s v="Columbus"/>
    <x v="24"/>
    <n v="43229"/>
    <x v="3"/>
    <x v="262"/>
    <x v="1"/>
    <x v="14"/>
    <x v="262"/>
    <x v="4215"/>
    <x v="0"/>
    <x v="3"/>
  </r>
  <r>
    <n v="6259"/>
    <x v="3121"/>
    <x v="262"/>
    <d v="2016-03-30T00:00:00"/>
    <s v="Second Class"/>
    <x v="581"/>
    <s v="John Huston"/>
    <x v="0"/>
    <s v="United States"/>
    <s v="New York City"/>
    <x v="15"/>
    <n v="10009"/>
    <x v="3"/>
    <x v="661"/>
    <x v="1"/>
    <x v="12"/>
    <x v="661"/>
    <x v="988"/>
    <x v="10"/>
    <x v="1"/>
  </r>
  <r>
    <n v="6260"/>
    <x v="3122"/>
    <x v="863"/>
    <d v="2016-08-17T00:00:00"/>
    <s v="Second Class"/>
    <x v="267"/>
    <s v="Ralph Arnett"/>
    <x v="0"/>
    <s v="United States"/>
    <s v="Richmond"/>
    <x v="14"/>
    <n v="47374"/>
    <x v="2"/>
    <x v="798"/>
    <x v="1"/>
    <x v="8"/>
    <x v="796"/>
    <x v="710"/>
    <x v="6"/>
    <x v="1"/>
  </r>
  <r>
    <n v="6261"/>
    <x v="3123"/>
    <x v="793"/>
    <d v="2016-05-18T00:00:00"/>
    <s v="Standard Class"/>
    <x v="197"/>
    <s v="Rose O'Brian"/>
    <x v="0"/>
    <s v="United States"/>
    <s v="Seattle"/>
    <x v="4"/>
    <n v="98115"/>
    <x v="1"/>
    <x v="525"/>
    <x v="1"/>
    <x v="8"/>
    <x v="525"/>
    <x v="845"/>
    <x v="5"/>
    <x v="1"/>
  </r>
  <r>
    <n v="6262"/>
    <x v="3124"/>
    <x v="283"/>
    <d v="2018-07-27T00:00:00"/>
    <s v="Standard Class"/>
    <x v="756"/>
    <s v="Lisa Ryan"/>
    <x v="1"/>
    <s v="United States"/>
    <s v="Long Beach"/>
    <x v="15"/>
    <n v="11561"/>
    <x v="3"/>
    <x v="322"/>
    <x v="1"/>
    <x v="2"/>
    <x v="322"/>
    <x v="1399"/>
    <x v="7"/>
    <x v="3"/>
  </r>
  <r>
    <n v="6263"/>
    <x v="3125"/>
    <x v="446"/>
    <d v="2017-09-26T00:00:00"/>
    <s v="First Class"/>
    <x v="149"/>
    <s v="Michael Kennedy"/>
    <x v="1"/>
    <s v="United States"/>
    <s v="Rockford"/>
    <x v="10"/>
    <n v="61107"/>
    <x v="2"/>
    <x v="382"/>
    <x v="1"/>
    <x v="8"/>
    <x v="383"/>
    <x v="4216"/>
    <x v="8"/>
    <x v="0"/>
  </r>
  <r>
    <n v="6264"/>
    <x v="3126"/>
    <x v="1024"/>
    <d v="2018-05-10T00:00:00"/>
    <s v="Standard Class"/>
    <x v="453"/>
    <s v="Yana Sorensen"/>
    <x v="1"/>
    <s v="United States"/>
    <s v="Columbus"/>
    <x v="32"/>
    <n v="31907"/>
    <x v="0"/>
    <x v="1023"/>
    <x v="1"/>
    <x v="8"/>
    <x v="1014"/>
    <x v="1323"/>
    <x v="5"/>
    <x v="3"/>
  </r>
  <r>
    <n v="6265"/>
    <x v="3127"/>
    <x v="1099"/>
    <d v="2017-10-06T00:00:00"/>
    <s v="Same Day"/>
    <x v="101"/>
    <s v="Jonathan Howell"/>
    <x v="0"/>
    <s v="United States"/>
    <s v="Tulsa"/>
    <x v="26"/>
    <n v="74133"/>
    <x v="2"/>
    <x v="68"/>
    <x v="1"/>
    <x v="8"/>
    <x v="68"/>
    <x v="4217"/>
    <x v="2"/>
    <x v="0"/>
  </r>
  <r>
    <n v="6266"/>
    <x v="3128"/>
    <x v="935"/>
    <d v="2015-11-08T00:00:00"/>
    <s v="Standard Class"/>
    <x v="247"/>
    <s v="Annie Thurman"/>
    <x v="0"/>
    <s v="United States"/>
    <s v="Nashville"/>
    <x v="18"/>
    <n v="37211"/>
    <x v="0"/>
    <x v="834"/>
    <x v="1"/>
    <x v="10"/>
    <x v="829"/>
    <x v="4120"/>
    <x v="0"/>
    <x v="2"/>
  </r>
  <r>
    <n v="6267"/>
    <x v="3128"/>
    <x v="935"/>
    <d v="2015-11-08T00:00:00"/>
    <s v="Standard Class"/>
    <x v="247"/>
    <s v="Annie Thurman"/>
    <x v="0"/>
    <s v="United States"/>
    <s v="Nashville"/>
    <x v="18"/>
    <n v="37211"/>
    <x v="0"/>
    <x v="681"/>
    <x v="1"/>
    <x v="10"/>
    <x v="681"/>
    <x v="3774"/>
    <x v="0"/>
    <x v="2"/>
  </r>
  <r>
    <n v="6268"/>
    <x v="3129"/>
    <x v="486"/>
    <d v="2016-10-04T00:00:00"/>
    <s v="Second Class"/>
    <x v="84"/>
    <s v="Robert Marley"/>
    <x v="2"/>
    <s v="United States"/>
    <s v="Cambridge"/>
    <x v="31"/>
    <n v="2138"/>
    <x v="3"/>
    <x v="495"/>
    <x v="2"/>
    <x v="7"/>
    <x v="495"/>
    <x v="4218"/>
    <x v="2"/>
    <x v="1"/>
  </r>
  <r>
    <n v="6269"/>
    <x v="3129"/>
    <x v="486"/>
    <d v="2016-10-04T00:00:00"/>
    <s v="Second Class"/>
    <x v="84"/>
    <s v="Robert Marley"/>
    <x v="2"/>
    <s v="United States"/>
    <s v="Cambridge"/>
    <x v="31"/>
    <n v="2138"/>
    <x v="3"/>
    <x v="1366"/>
    <x v="1"/>
    <x v="8"/>
    <x v="307"/>
    <x v="4219"/>
    <x v="2"/>
    <x v="1"/>
  </r>
  <r>
    <n v="6270"/>
    <x v="3130"/>
    <x v="574"/>
    <d v="2018-12-06T00:00:00"/>
    <s v="Standard Class"/>
    <x v="179"/>
    <s v="Brenda Bowman"/>
    <x v="1"/>
    <s v="United States"/>
    <s v="Oakland"/>
    <x v="1"/>
    <n v="94601"/>
    <x v="1"/>
    <x v="140"/>
    <x v="2"/>
    <x v="7"/>
    <x v="141"/>
    <x v="3067"/>
    <x v="4"/>
    <x v="3"/>
  </r>
  <r>
    <n v="6271"/>
    <x v="3130"/>
    <x v="574"/>
    <d v="2018-12-06T00:00:00"/>
    <s v="Standard Class"/>
    <x v="179"/>
    <s v="Brenda Bowman"/>
    <x v="1"/>
    <s v="United States"/>
    <s v="Oakland"/>
    <x v="1"/>
    <n v="94601"/>
    <x v="1"/>
    <x v="1578"/>
    <x v="0"/>
    <x v="1"/>
    <x v="1569"/>
    <x v="4220"/>
    <x v="4"/>
    <x v="3"/>
  </r>
  <r>
    <n v="6272"/>
    <x v="3130"/>
    <x v="574"/>
    <d v="2018-12-06T00:00:00"/>
    <s v="Standard Class"/>
    <x v="179"/>
    <s v="Brenda Bowman"/>
    <x v="1"/>
    <s v="United States"/>
    <s v="Oakland"/>
    <x v="1"/>
    <n v="94601"/>
    <x v="1"/>
    <x v="915"/>
    <x v="1"/>
    <x v="6"/>
    <x v="907"/>
    <x v="4221"/>
    <x v="4"/>
    <x v="3"/>
  </r>
  <r>
    <n v="6273"/>
    <x v="3131"/>
    <x v="157"/>
    <d v="2018-12-12T00:00:00"/>
    <s v="First Class"/>
    <x v="155"/>
    <s v="Alejandro Savely"/>
    <x v="1"/>
    <s v="United States"/>
    <s v="Palatine"/>
    <x v="10"/>
    <n v="60067"/>
    <x v="2"/>
    <x v="1196"/>
    <x v="2"/>
    <x v="11"/>
    <x v="1181"/>
    <x v="4222"/>
    <x v="4"/>
    <x v="3"/>
  </r>
  <r>
    <n v="6274"/>
    <x v="3132"/>
    <x v="19"/>
    <d v="2017-07-22T00:00:00"/>
    <s v="Second Class"/>
    <x v="589"/>
    <s v="Dennis Kane"/>
    <x v="0"/>
    <s v="United States"/>
    <s v="Seattle"/>
    <x v="4"/>
    <n v="98105"/>
    <x v="1"/>
    <x v="1379"/>
    <x v="0"/>
    <x v="5"/>
    <x v="1364"/>
    <x v="2122"/>
    <x v="7"/>
    <x v="0"/>
  </r>
  <r>
    <n v="6275"/>
    <x v="3132"/>
    <x v="19"/>
    <d v="2017-07-22T00:00:00"/>
    <s v="Second Class"/>
    <x v="589"/>
    <s v="Dennis Kane"/>
    <x v="0"/>
    <s v="United States"/>
    <s v="Seattle"/>
    <x v="4"/>
    <n v="98105"/>
    <x v="1"/>
    <x v="1779"/>
    <x v="2"/>
    <x v="11"/>
    <x v="1769"/>
    <x v="4223"/>
    <x v="7"/>
    <x v="0"/>
  </r>
  <r>
    <n v="6276"/>
    <x v="3132"/>
    <x v="19"/>
    <d v="2017-07-22T00:00:00"/>
    <s v="Second Class"/>
    <x v="589"/>
    <s v="Dennis Kane"/>
    <x v="0"/>
    <s v="United States"/>
    <s v="Seattle"/>
    <x v="4"/>
    <n v="98105"/>
    <x v="1"/>
    <x v="1592"/>
    <x v="0"/>
    <x v="5"/>
    <x v="1584"/>
    <x v="4224"/>
    <x v="7"/>
    <x v="0"/>
  </r>
  <r>
    <n v="6277"/>
    <x v="3132"/>
    <x v="19"/>
    <d v="2017-07-22T00:00:00"/>
    <s v="Second Class"/>
    <x v="589"/>
    <s v="Dennis Kane"/>
    <x v="0"/>
    <s v="United States"/>
    <s v="Seattle"/>
    <x v="4"/>
    <n v="98105"/>
    <x v="1"/>
    <x v="300"/>
    <x v="1"/>
    <x v="2"/>
    <x v="300"/>
    <x v="2041"/>
    <x v="7"/>
    <x v="0"/>
  </r>
  <r>
    <n v="6278"/>
    <x v="3132"/>
    <x v="19"/>
    <d v="2017-07-22T00:00:00"/>
    <s v="Second Class"/>
    <x v="589"/>
    <s v="Dennis Kane"/>
    <x v="0"/>
    <s v="United States"/>
    <s v="Seattle"/>
    <x v="4"/>
    <n v="98105"/>
    <x v="1"/>
    <x v="54"/>
    <x v="1"/>
    <x v="4"/>
    <x v="54"/>
    <x v="2803"/>
    <x v="7"/>
    <x v="0"/>
  </r>
  <r>
    <n v="6279"/>
    <x v="3132"/>
    <x v="19"/>
    <d v="2017-07-22T00:00:00"/>
    <s v="Second Class"/>
    <x v="589"/>
    <s v="Dennis Kane"/>
    <x v="0"/>
    <s v="United States"/>
    <s v="Seattle"/>
    <x v="4"/>
    <n v="98105"/>
    <x v="1"/>
    <x v="780"/>
    <x v="2"/>
    <x v="7"/>
    <x v="779"/>
    <x v="4225"/>
    <x v="7"/>
    <x v="0"/>
  </r>
  <r>
    <n v="6280"/>
    <x v="3132"/>
    <x v="19"/>
    <d v="2017-07-22T00:00:00"/>
    <s v="Second Class"/>
    <x v="589"/>
    <s v="Dennis Kane"/>
    <x v="0"/>
    <s v="United States"/>
    <s v="Seattle"/>
    <x v="4"/>
    <n v="98105"/>
    <x v="1"/>
    <x v="961"/>
    <x v="1"/>
    <x v="8"/>
    <x v="954"/>
    <x v="2915"/>
    <x v="7"/>
    <x v="0"/>
  </r>
  <r>
    <n v="6281"/>
    <x v="3133"/>
    <x v="605"/>
    <d v="2018-05-16T00:00:00"/>
    <s v="Standard Class"/>
    <x v="101"/>
    <s v="Jonathan Howell"/>
    <x v="0"/>
    <s v="United States"/>
    <s v="Cincinnati"/>
    <x v="24"/>
    <n v="45231"/>
    <x v="3"/>
    <x v="1139"/>
    <x v="1"/>
    <x v="2"/>
    <x v="1127"/>
    <x v="2144"/>
    <x v="5"/>
    <x v="3"/>
  </r>
  <r>
    <n v="6282"/>
    <x v="3134"/>
    <x v="312"/>
    <d v="2016-11-26T00:00:00"/>
    <s v="Standard Class"/>
    <x v="523"/>
    <s v="Jamie Kunitz"/>
    <x v="0"/>
    <s v="United States"/>
    <s v="Marion"/>
    <x v="24"/>
    <n v="43302"/>
    <x v="3"/>
    <x v="1780"/>
    <x v="0"/>
    <x v="5"/>
    <x v="1770"/>
    <x v="4226"/>
    <x v="0"/>
    <x v="1"/>
  </r>
  <r>
    <n v="6283"/>
    <x v="3134"/>
    <x v="312"/>
    <d v="2016-11-26T00:00:00"/>
    <s v="Standard Class"/>
    <x v="523"/>
    <s v="Jamie Kunitz"/>
    <x v="0"/>
    <s v="United States"/>
    <s v="Marion"/>
    <x v="24"/>
    <n v="43302"/>
    <x v="3"/>
    <x v="1755"/>
    <x v="1"/>
    <x v="4"/>
    <x v="1745"/>
    <x v="4227"/>
    <x v="0"/>
    <x v="1"/>
  </r>
  <r>
    <n v="6284"/>
    <x v="3135"/>
    <x v="446"/>
    <d v="2017-09-28T00:00:00"/>
    <s v="Standard Class"/>
    <x v="553"/>
    <s v="Edward Hooks"/>
    <x v="1"/>
    <s v="United States"/>
    <s v="Los Angeles"/>
    <x v="1"/>
    <n v="90049"/>
    <x v="1"/>
    <x v="1697"/>
    <x v="1"/>
    <x v="12"/>
    <x v="1685"/>
    <x v="4015"/>
    <x v="8"/>
    <x v="0"/>
  </r>
  <r>
    <n v="6285"/>
    <x v="3135"/>
    <x v="446"/>
    <d v="2017-09-28T00:00:00"/>
    <s v="Standard Class"/>
    <x v="553"/>
    <s v="Edward Hooks"/>
    <x v="1"/>
    <s v="United States"/>
    <s v="Los Angeles"/>
    <x v="1"/>
    <n v="90049"/>
    <x v="1"/>
    <x v="1153"/>
    <x v="0"/>
    <x v="1"/>
    <x v="1141"/>
    <x v="4228"/>
    <x v="8"/>
    <x v="0"/>
  </r>
  <r>
    <n v="6286"/>
    <x v="3136"/>
    <x v="147"/>
    <d v="2017-10-26T00:00:00"/>
    <s v="Standard Class"/>
    <x v="100"/>
    <s v="Victoria Wilson"/>
    <x v="1"/>
    <s v="United States"/>
    <s v="Lakewood"/>
    <x v="24"/>
    <n v="44107"/>
    <x v="3"/>
    <x v="1258"/>
    <x v="0"/>
    <x v="3"/>
    <x v="1242"/>
    <x v="4229"/>
    <x v="2"/>
    <x v="0"/>
  </r>
  <r>
    <n v="6287"/>
    <x v="3137"/>
    <x v="1057"/>
    <d v="2017-10-31T00:00:00"/>
    <s v="Standard Class"/>
    <x v="344"/>
    <s v="Catherine Glotzbach"/>
    <x v="2"/>
    <s v="United States"/>
    <s v="Lebanon"/>
    <x v="18"/>
    <n v="37087"/>
    <x v="0"/>
    <x v="835"/>
    <x v="2"/>
    <x v="7"/>
    <x v="830"/>
    <x v="1946"/>
    <x v="2"/>
    <x v="0"/>
  </r>
  <r>
    <n v="6288"/>
    <x v="3138"/>
    <x v="1001"/>
    <d v="2015-07-12T00:00:00"/>
    <s v="Standard Class"/>
    <x v="182"/>
    <s v="Ed Braxton"/>
    <x v="1"/>
    <s v="United States"/>
    <s v="San Francisco"/>
    <x v="1"/>
    <n v="94122"/>
    <x v="1"/>
    <x v="1021"/>
    <x v="0"/>
    <x v="3"/>
    <x v="1012"/>
    <x v="4230"/>
    <x v="7"/>
    <x v="2"/>
  </r>
  <r>
    <n v="6289"/>
    <x v="3138"/>
    <x v="1001"/>
    <d v="2015-07-12T00:00:00"/>
    <s v="Standard Class"/>
    <x v="182"/>
    <s v="Ed Braxton"/>
    <x v="1"/>
    <s v="United States"/>
    <s v="San Francisco"/>
    <x v="1"/>
    <n v="94122"/>
    <x v="1"/>
    <x v="800"/>
    <x v="1"/>
    <x v="8"/>
    <x v="798"/>
    <x v="4231"/>
    <x v="7"/>
    <x v="2"/>
  </r>
  <r>
    <n v="6290"/>
    <x v="3139"/>
    <x v="649"/>
    <d v="2016-03-18T00:00:00"/>
    <s v="Second Class"/>
    <x v="376"/>
    <s v="Nicole Fjeld"/>
    <x v="2"/>
    <s v="United States"/>
    <s v="Chico"/>
    <x v="1"/>
    <n v="95928"/>
    <x v="1"/>
    <x v="120"/>
    <x v="0"/>
    <x v="1"/>
    <x v="120"/>
    <x v="4232"/>
    <x v="10"/>
    <x v="1"/>
  </r>
  <r>
    <n v="6291"/>
    <x v="3139"/>
    <x v="649"/>
    <d v="2016-03-18T00:00:00"/>
    <s v="Second Class"/>
    <x v="376"/>
    <s v="Nicole Fjeld"/>
    <x v="2"/>
    <s v="United States"/>
    <s v="Chico"/>
    <x v="1"/>
    <n v="95928"/>
    <x v="1"/>
    <x v="514"/>
    <x v="0"/>
    <x v="5"/>
    <x v="514"/>
    <x v="564"/>
    <x v="10"/>
    <x v="1"/>
  </r>
  <r>
    <n v="6292"/>
    <x v="3140"/>
    <x v="574"/>
    <d v="2018-12-05T00:00:00"/>
    <s v="First Class"/>
    <x v="250"/>
    <s v="Max Engle"/>
    <x v="0"/>
    <s v="United States"/>
    <s v="Salem"/>
    <x v="17"/>
    <n v="24153"/>
    <x v="0"/>
    <x v="1131"/>
    <x v="0"/>
    <x v="1"/>
    <x v="1119"/>
    <x v="4233"/>
    <x v="4"/>
    <x v="3"/>
  </r>
  <r>
    <n v="6293"/>
    <x v="3141"/>
    <x v="1100"/>
    <d v="2016-04-26T00:00:00"/>
    <s v="Standard Class"/>
    <x v="616"/>
    <s v="Annie Zypern"/>
    <x v="0"/>
    <s v="United States"/>
    <s v="Los Angeles"/>
    <x v="1"/>
    <n v="90008"/>
    <x v="1"/>
    <x v="687"/>
    <x v="2"/>
    <x v="7"/>
    <x v="687"/>
    <x v="2495"/>
    <x v="3"/>
    <x v="1"/>
  </r>
  <r>
    <n v="6294"/>
    <x v="3141"/>
    <x v="1100"/>
    <d v="2016-04-26T00:00:00"/>
    <s v="Standard Class"/>
    <x v="616"/>
    <s v="Annie Zypern"/>
    <x v="0"/>
    <s v="United States"/>
    <s v="Los Angeles"/>
    <x v="1"/>
    <n v="90008"/>
    <x v="1"/>
    <x v="1394"/>
    <x v="1"/>
    <x v="6"/>
    <x v="1380"/>
    <x v="2161"/>
    <x v="3"/>
    <x v="1"/>
  </r>
  <r>
    <n v="6295"/>
    <x v="3142"/>
    <x v="1101"/>
    <d v="2015-09-19T00:00:00"/>
    <s v="First Class"/>
    <x v="575"/>
    <s v="Randy Ferguson"/>
    <x v="1"/>
    <s v="United States"/>
    <s v="New York City"/>
    <x v="15"/>
    <n v="10024"/>
    <x v="3"/>
    <x v="735"/>
    <x v="1"/>
    <x v="8"/>
    <x v="734"/>
    <x v="4234"/>
    <x v="8"/>
    <x v="2"/>
  </r>
  <r>
    <n v="6296"/>
    <x v="3143"/>
    <x v="129"/>
    <d v="2016-01-01T00:00:00"/>
    <s v="Standard Class"/>
    <x v="321"/>
    <s v="Anthony Jacobs"/>
    <x v="1"/>
    <s v="United States"/>
    <s v="Beverly"/>
    <x v="31"/>
    <n v="1915"/>
    <x v="3"/>
    <x v="1364"/>
    <x v="1"/>
    <x v="9"/>
    <x v="1350"/>
    <x v="4235"/>
    <x v="4"/>
    <x v="2"/>
  </r>
  <r>
    <n v="6297"/>
    <x v="3143"/>
    <x v="129"/>
    <d v="2016-01-01T00:00:00"/>
    <s v="Standard Class"/>
    <x v="321"/>
    <s v="Anthony Jacobs"/>
    <x v="1"/>
    <s v="United States"/>
    <s v="Beverly"/>
    <x v="31"/>
    <n v="1915"/>
    <x v="3"/>
    <x v="426"/>
    <x v="1"/>
    <x v="4"/>
    <x v="426"/>
    <x v="454"/>
    <x v="4"/>
    <x v="2"/>
  </r>
  <r>
    <n v="6298"/>
    <x v="3143"/>
    <x v="129"/>
    <d v="2016-01-01T00:00:00"/>
    <s v="Standard Class"/>
    <x v="321"/>
    <s v="Anthony Jacobs"/>
    <x v="1"/>
    <s v="United States"/>
    <s v="Beverly"/>
    <x v="31"/>
    <n v="1915"/>
    <x v="3"/>
    <x v="1733"/>
    <x v="1"/>
    <x v="10"/>
    <x v="1721"/>
    <x v="274"/>
    <x v="4"/>
    <x v="2"/>
  </r>
  <r>
    <n v="6299"/>
    <x v="3144"/>
    <x v="618"/>
    <d v="2015-10-26T00:00:00"/>
    <s v="Standard Class"/>
    <x v="245"/>
    <s v="Sylvia Foulston"/>
    <x v="1"/>
    <s v="United States"/>
    <s v="San Diego"/>
    <x v="1"/>
    <n v="92024"/>
    <x v="1"/>
    <x v="58"/>
    <x v="1"/>
    <x v="8"/>
    <x v="58"/>
    <x v="4236"/>
    <x v="2"/>
    <x v="2"/>
  </r>
  <r>
    <n v="6300"/>
    <x v="3145"/>
    <x v="329"/>
    <d v="2018-12-03T00:00:00"/>
    <s v="First Class"/>
    <x v="595"/>
    <s v="Maria Zettner"/>
    <x v="2"/>
    <s v="United States"/>
    <s v="San Francisco"/>
    <x v="1"/>
    <n v="94109"/>
    <x v="1"/>
    <x v="1781"/>
    <x v="0"/>
    <x v="5"/>
    <x v="1771"/>
    <x v="4237"/>
    <x v="0"/>
    <x v="3"/>
  </r>
  <r>
    <n v="6301"/>
    <x v="3146"/>
    <x v="571"/>
    <d v="2015-06-12T00:00:00"/>
    <s v="Standard Class"/>
    <x v="641"/>
    <s v="Sarah Bern"/>
    <x v="0"/>
    <s v="United States"/>
    <s v="Chicago"/>
    <x v="10"/>
    <n v="60623"/>
    <x v="2"/>
    <x v="102"/>
    <x v="1"/>
    <x v="8"/>
    <x v="102"/>
    <x v="4238"/>
    <x v="1"/>
    <x v="2"/>
  </r>
  <r>
    <n v="6302"/>
    <x v="3146"/>
    <x v="571"/>
    <d v="2015-06-12T00:00:00"/>
    <s v="Standard Class"/>
    <x v="641"/>
    <s v="Sarah Bern"/>
    <x v="0"/>
    <s v="United States"/>
    <s v="Chicago"/>
    <x v="10"/>
    <n v="60623"/>
    <x v="2"/>
    <x v="755"/>
    <x v="1"/>
    <x v="12"/>
    <x v="753"/>
    <x v="4239"/>
    <x v="1"/>
    <x v="2"/>
  </r>
  <r>
    <n v="6303"/>
    <x v="3147"/>
    <x v="51"/>
    <d v="2018-11-27T00:00:00"/>
    <s v="Standard Class"/>
    <x v="117"/>
    <s v="Alan Hwang"/>
    <x v="0"/>
    <s v="United States"/>
    <s v="Dallas"/>
    <x v="5"/>
    <n v="75220"/>
    <x v="2"/>
    <x v="1692"/>
    <x v="2"/>
    <x v="7"/>
    <x v="1680"/>
    <x v="4240"/>
    <x v="0"/>
    <x v="3"/>
  </r>
  <r>
    <n v="6304"/>
    <x v="3148"/>
    <x v="978"/>
    <d v="2018-06-20T00:00:00"/>
    <s v="Second Class"/>
    <x v="71"/>
    <s v="Neil Knudson"/>
    <x v="2"/>
    <s v="United States"/>
    <s v="Corpus Christi"/>
    <x v="5"/>
    <n v="78415"/>
    <x v="2"/>
    <x v="1090"/>
    <x v="1"/>
    <x v="10"/>
    <x v="1080"/>
    <x v="1339"/>
    <x v="1"/>
    <x v="3"/>
  </r>
  <r>
    <n v="6305"/>
    <x v="3149"/>
    <x v="1024"/>
    <d v="2018-05-05T00:00:00"/>
    <s v="Same Day"/>
    <x v="482"/>
    <s v="Arianne Irving"/>
    <x v="0"/>
    <s v="United States"/>
    <s v="New York City"/>
    <x v="15"/>
    <n v="10035"/>
    <x v="3"/>
    <x v="711"/>
    <x v="1"/>
    <x v="10"/>
    <x v="710"/>
    <x v="3763"/>
    <x v="5"/>
    <x v="3"/>
  </r>
  <r>
    <n v="6306"/>
    <x v="3150"/>
    <x v="254"/>
    <d v="2017-11-06T00:00:00"/>
    <s v="Second Class"/>
    <x v="734"/>
    <s v="Tracy Poddar"/>
    <x v="1"/>
    <s v="United States"/>
    <s v="Eugene"/>
    <x v="21"/>
    <n v="97405"/>
    <x v="1"/>
    <x v="1590"/>
    <x v="1"/>
    <x v="14"/>
    <x v="1582"/>
    <x v="4241"/>
    <x v="0"/>
    <x v="0"/>
  </r>
  <r>
    <n v="6307"/>
    <x v="3150"/>
    <x v="254"/>
    <d v="2017-11-06T00:00:00"/>
    <s v="Second Class"/>
    <x v="734"/>
    <s v="Tracy Poddar"/>
    <x v="1"/>
    <s v="United States"/>
    <s v="Eugene"/>
    <x v="21"/>
    <n v="97405"/>
    <x v="1"/>
    <x v="1585"/>
    <x v="0"/>
    <x v="1"/>
    <x v="1576"/>
    <x v="4242"/>
    <x v="0"/>
    <x v="0"/>
  </r>
  <r>
    <n v="6308"/>
    <x v="3150"/>
    <x v="254"/>
    <d v="2017-11-06T00:00:00"/>
    <s v="Second Class"/>
    <x v="734"/>
    <s v="Tracy Poddar"/>
    <x v="1"/>
    <s v="United States"/>
    <s v="Eugene"/>
    <x v="21"/>
    <n v="97405"/>
    <x v="1"/>
    <x v="1673"/>
    <x v="1"/>
    <x v="10"/>
    <x v="1661"/>
    <x v="1097"/>
    <x v="0"/>
    <x v="0"/>
  </r>
  <r>
    <n v="6309"/>
    <x v="3150"/>
    <x v="254"/>
    <d v="2017-11-06T00:00:00"/>
    <s v="Second Class"/>
    <x v="734"/>
    <s v="Tracy Poddar"/>
    <x v="1"/>
    <s v="United States"/>
    <s v="Eugene"/>
    <x v="21"/>
    <n v="97405"/>
    <x v="1"/>
    <x v="1631"/>
    <x v="0"/>
    <x v="1"/>
    <x v="1621"/>
    <x v="4243"/>
    <x v="0"/>
    <x v="0"/>
  </r>
  <r>
    <n v="6310"/>
    <x v="3150"/>
    <x v="254"/>
    <d v="2017-11-06T00:00:00"/>
    <s v="Second Class"/>
    <x v="734"/>
    <s v="Tracy Poddar"/>
    <x v="1"/>
    <s v="United States"/>
    <s v="Eugene"/>
    <x v="21"/>
    <n v="97405"/>
    <x v="1"/>
    <x v="508"/>
    <x v="1"/>
    <x v="2"/>
    <x v="508"/>
    <x v="4244"/>
    <x v="0"/>
    <x v="0"/>
  </r>
  <r>
    <n v="6311"/>
    <x v="3150"/>
    <x v="254"/>
    <d v="2017-11-06T00:00:00"/>
    <s v="Second Class"/>
    <x v="734"/>
    <s v="Tracy Poddar"/>
    <x v="1"/>
    <s v="United States"/>
    <s v="Eugene"/>
    <x v="21"/>
    <n v="97405"/>
    <x v="1"/>
    <x v="640"/>
    <x v="1"/>
    <x v="10"/>
    <x v="640"/>
    <x v="4245"/>
    <x v="0"/>
    <x v="0"/>
  </r>
  <r>
    <n v="6312"/>
    <x v="3151"/>
    <x v="1102"/>
    <d v="2015-09-16T00:00:00"/>
    <s v="Standard Class"/>
    <x v="752"/>
    <s v="Liz Willingham"/>
    <x v="0"/>
    <s v="United States"/>
    <s v="Oxnard"/>
    <x v="1"/>
    <n v="93030"/>
    <x v="1"/>
    <x v="101"/>
    <x v="0"/>
    <x v="5"/>
    <x v="101"/>
    <x v="4030"/>
    <x v="8"/>
    <x v="2"/>
  </r>
  <r>
    <n v="6313"/>
    <x v="3152"/>
    <x v="911"/>
    <d v="2018-02-21T00:00:00"/>
    <s v="Standard Class"/>
    <x v="243"/>
    <s v="Nat Gilpin"/>
    <x v="1"/>
    <s v="United States"/>
    <s v="Fairfield"/>
    <x v="29"/>
    <n v="6824"/>
    <x v="3"/>
    <x v="1662"/>
    <x v="1"/>
    <x v="4"/>
    <x v="1650"/>
    <x v="4246"/>
    <x v="11"/>
    <x v="3"/>
  </r>
  <r>
    <n v="6314"/>
    <x v="3152"/>
    <x v="911"/>
    <d v="2018-02-21T00:00:00"/>
    <s v="Standard Class"/>
    <x v="243"/>
    <s v="Nat Gilpin"/>
    <x v="1"/>
    <s v="United States"/>
    <s v="Fairfield"/>
    <x v="29"/>
    <n v="6824"/>
    <x v="3"/>
    <x v="1250"/>
    <x v="2"/>
    <x v="7"/>
    <x v="1234"/>
    <x v="4247"/>
    <x v="11"/>
    <x v="3"/>
  </r>
  <r>
    <n v="6315"/>
    <x v="3153"/>
    <x v="156"/>
    <d v="2015-11-29T00:00:00"/>
    <s v="Standard Class"/>
    <x v="243"/>
    <s v="Nat Gilpin"/>
    <x v="1"/>
    <s v="United States"/>
    <s v="Jackson"/>
    <x v="12"/>
    <n v="49201"/>
    <x v="2"/>
    <x v="108"/>
    <x v="1"/>
    <x v="6"/>
    <x v="108"/>
    <x v="4248"/>
    <x v="0"/>
    <x v="2"/>
  </r>
  <r>
    <n v="6316"/>
    <x v="3153"/>
    <x v="156"/>
    <d v="2015-11-29T00:00:00"/>
    <s v="Standard Class"/>
    <x v="243"/>
    <s v="Nat Gilpin"/>
    <x v="1"/>
    <s v="United States"/>
    <s v="Jackson"/>
    <x v="12"/>
    <n v="49201"/>
    <x v="2"/>
    <x v="508"/>
    <x v="1"/>
    <x v="2"/>
    <x v="508"/>
    <x v="1440"/>
    <x v="0"/>
    <x v="2"/>
  </r>
  <r>
    <n v="6317"/>
    <x v="3153"/>
    <x v="156"/>
    <d v="2015-11-29T00:00:00"/>
    <s v="Standard Class"/>
    <x v="243"/>
    <s v="Nat Gilpin"/>
    <x v="1"/>
    <s v="United States"/>
    <s v="Jackson"/>
    <x v="12"/>
    <n v="49201"/>
    <x v="2"/>
    <x v="1415"/>
    <x v="1"/>
    <x v="10"/>
    <x v="1402"/>
    <x v="3683"/>
    <x v="0"/>
    <x v="2"/>
  </r>
  <r>
    <n v="6318"/>
    <x v="3153"/>
    <x v="156"/>
    <d v="2015-11-29T00:00:00"/>
    <s v="Standard Class"/>
    <x v="243"/>
    <s v="Nat Gilpin"/>
    <x v="1"/>
    <s v="United States"/>
    <s v="Jackson"/>
    <x v="12"/>
    <n v="49201"/>
    <x v="2"/>
    <x v="226"/>
    <x v="1"/>
    <x v="10"/>
    <x v="227"/>
    <x v="3761"/>
    <x v="0"/>
    <x v="2"/>
  </r>
  <r>
    <n v="6319"/>
    <x v="3154"/>
    <x v="920"/>
    <d v="2018-11-29T00:00:00"/>
    <s v="Second Class"/>
    <x v="494"/>
    <s v="Edward Becker"/>
    <x v="1"/>
    <s v="United States"/>
    <s v="Laguna Niguel"/>
    <x v="1"/>
    <n v="92677"/>
    <x v="1"/>
    <x v="1557"/>
    <x v="2"/>
    <x v="7"/>
    <x v="1546"/>
    <x v="786"/>
    <x v="0"/>
    <x v="3"/>
  </r>
  <r>
    <n v="6320"/>
    <x v="3154"/>
    <x v="920"/>
    <d v="2018-11-29T00:00:00"/>
    <s v="Second Class"/>
    <x v="494"/>
    <s v="Edward Becker"/>
    <x v="1"/>
    <s v="United States"/>
    <s v="Laguna Niguel"/>
    <x v="1"/>
    <n v="92677"/>
    <x v="1"/>
    <x v="126"/>
    <x v="1"/>
    <x v="10"/>
    <x v="562"/>
    <x v="3142"/>
    <x v="0"/>
    <x v="3"/>
  </r>
  <r>
    <n v="6321"/>
    <x v="3155"/>
    <x v="394"/>
    <d v="2018-10-02T00:00:00"/>
    <s v="Standard Class"/>
    <x v="133"/>
    <s v="Sung Pak"/>
    <x v="1"/>
    <s v="United States"/>
    <s v="Jacksonville"/>
    <x v="2"/>
    <n v="32216"/>
    <x v="0"/>
    <x v="585"/>
    <x v="1"/>
    <x v="10"/>
    <x v="585"/>
    <x v="559"/>
    <x v="8"/>
    <x v="3"/>
  </r>
  <r>
    <n v="6322"/>
    <x v="3156"/>
    <x v="303"/>
    <d v="2015-10-17T00:00:00"/>
    <s v="Standard Class"/>
    <x v="259"/>
    <s v="Sibella Parks"/>
    <x v="1"/>
    <s v="United States"/>
    <s v="Mount Vernon"/>
    <x v="15"/>
    <n v="10550"/>
    <x v="3"/>
    <x v="507"/>
    <x v="1"/>
    <x v="8"/>
    <x v="507"/>
    <x v="3203"/>
    <x v="2"/>
    <x v="2"/>
  </r>
  <r>
    <n v="6323"/>
    <x v="3157"/>
    <x v="561"/>
    <d v="2015-06-07T00:00:00"/>
    <s v="Second Class"/>
    <x v="176"/>
    <s v="Ross Baird"/>
    <x v="2"/>
    <s v="United States"/>
    <s v="Midland"/>
    <x v="12"/>
    <n v="48640"/>
    <x v="2"/>
    <x v="661"/>
    <x v="1"/>
    <x v="12"/>
    <x v="661"/>
    <x v="764"/>
    <x v="1"/>
    <x v="2"/>
  </r>
  <r>
    <n v="6324"/>
    <x v="3158"/>
    <x v="1103"/>
    <d v="2015-06-23T00:00:00"/>
    <s v="Standard Class"/>
    <x v="551"/>
    <s v="Duane Benoit"/>
    <x v="0"/>
    <s v="United States"/>
    <s v="Newark"/>
    <x v="13"/>
    <n v="19711"/>
    <x v="3"/>
    <x v="1734"/>
    <x v="2"/>
    <x v="15"/>
    <x v="1722"/>
    <x v="4249"/>
    <x v="1"/>
    <x v="2"/>
  </r>
  <r>
    <n v="6325"/>
    <x v="3159"/>
    <x v="1104"/>
    <d v="2016-11-02T00:00:00"/>
    <s v="Standard Class"/>
    <x v="240"/>
    <s v="Nona Balk"/>
    <x v="1"/>
    <s v="United States"/>
    <s v="San Francisco"/>
    <x v="1"/>
    <n v="94109"/>
    <x v="1"/>
    <x v="481"/>
    <x v="1"/>
    <x v="10"/>
    <x v="482"/>
    <x v="653"/>
    <x v="2"/>
    <x v="1"/>
  </r>
  <r>
    <n v="6326"/>
    <x v="3159"/>
    <x v="1104"/>
    <d v="2016-11-02T00:00:00"/>
    <s v="Standard Class"/>
    <x v="240"/>
    <s v="Nona Balk"/>
    <x v="1"/>
    <s v="United States"/>
    <s v="San Francisco"/>
    <x v="1"/>
    <n v="94109"/>
    <x v="1"/>
    <x v="439"/>
    <x v="1"/>
    <x v="12"/>
    <x v="439"/>
    <x v="4250"/>
    <x v="2"/>
    <x v="1"/>
  </r>
  <r>
    <n v="6327"/>
    <x v="3160"/>
    <x v="407"/>
    <d v="2015-01-26T00:00:00"/>
    <s v="Standard Class"/>
    <x v="190"/>
    <s v="Xylona Preis"/>
    <x v="0"/>
    <s v="United States"/>
    <s v="Westland"/>
    <x v="12"/>
    <n v="48185"/>
    <x v="2"/>
    <x v="4"/>
    <x v="1"/>
    <x v="4"/>
    <x v="4"/>
    <x v="62"/>
    <x v="9"/>
    <x v="2"/>
  </r>
  <r>
    <n v="6328"/>
    <x v="3160"/>
    <x v="407"/>
    <d v="2015-01-26T00:00:00"/>
    <s v="Standard Class"/>
    <x v="190"/>
    <s v="Xylona Preis"/>
    <x v="0"/>
    <s v="United States"/>
    <s v="Westland"/>
    <x v="12"/>
    <n v="48185"/>
    <x v="2"/>
    <x v="269"/>
    <x v="0"/>
    <x v="5"/>
    <x v="269"/>
    <x v="1042"/>
    <x v="9"/>
    <x v="2"/>
  </r>
  <r>
    <n v="6329"/>
    <x v="3160"/>
    <x v="407"/>
    <d v="2015-01-26T00:00:00"/>
    <s v="Standard Class"/>
    <x v="190"/>
    <s v="Xylona Preis"/>
    <x v="0"/>
    <s v="United States"/>
    <s v="Westland"/>
    <x v="12"/>
    <n v="48185"/>
    <x v="2"/>
    <x v="536"/>
    <x v="1"/>
    <x v="8"/>
    <x v="536"/>
    <x v="71"/>
    <x v="9"/>
    <x v="2"/>
  </r>
  <r>
    <n v="6330"/>
    <x v="3160"/>
    <x v="407"/>
    <d v="2015-01-26T00:00:00"/>
    <s v="Standard Class"/>
    <x v="190"/>
    <s v="Xylona Preis"/>
    <x v="0"/>
    <s v="United States"/>
    <s v="Westland"/>
    <x v="12"/>
    <n v="48185"/>
    <x v="2"/>
    <x v="14"/>
    <x v="1"/>
    <x v="9"/>
    <x v="14"/>
    <x v="4251"/>
    <x v="9"/>
    <x v="2"/>
  </r>
  <r>
    <n v="6331"/>
    <x v="3160"/>
    <x v="407"/>
    <d v="2015-01-26T00:00:00"/>
    <s v="Standard Class"/>
    <x v="190"/>
    <s v="Xylona Preis"/>
    <x v="0"/>
    <s v="United States"/>
    <s v="Westland"/>
    <x v="12"/>
    <n v="48185"/>
    <x v="2"/>
    <x v="1291"/>
    <x v="1"/>
    <x v="4"/>
    <x v="1277"/>
    <x v="4252"/>
    <x v="9"/>
    <x v="2"/>
  </r>
  <r>
    <n v="6332"/>
    <x v="3160"/>
    <x v="407"/>
    <d v="2015-01-26T00:00:00"/>
    <s v="Standard Class"/>
    <x v="190"/>
    <s v="Xylona Preis"/>
    <x v="0"/>
    <s v="United States"/>
    <s v="Westland"/>
    <x v="12"/>
    <n v="48185"/>
    <x v="2"/>
    <x v="1064"/>
    <x v="1"/>
    <x v="6"/>
    <x v="1053"/>
    <x v="2836"/>
    <x v="9"/>
    <x v="2"/>
  </r>
  <r>
    <n v="6333"/>
    <x v="3160"/>
    <x v="407"/>
    <d v="2015-01-26T00:00:00"/>
    <s v="Standard Class"/>
    <x v="190"/>
    <s v="Xylona Preis"/>
    <x v="0"/>
    <s v="United States"/>
    <s v="Westland"/>
    <x v="12"/>
    <n v="48185"/>
    <x v="2"/>
    <x v="875"/>
    <x v="0"/>
    <x v="5"/>
    <x v="869"/>
    <x v="1646"/>
    <x v="9"/>
    <x v="2"/>
  </r>
  <r>
    <n v="6334"/>
    <x v="3160"/>
    <x v="407"/>
    <d v="2015-01-26T00:00:00"/>
    <s v="Standard Class"/>
    <x v="190"/>
    <s v="Xylona Preis"/>
    <x v="0"/>
    <s v="United States"/>
    <s v="Westland"/>
    <x v="12"/>
    <n v="48185"/>
    <x v="2"/>
    <x v="990"/>
    <x v="1"/>
    <x v="8"/>
    <x v="305"/>
    <x v="1271"/>
    <x v="9"/>
    <x v="2"/>
  </r>
  <r>
    <n v="6335"/>
    <x v="3161"/>
    <x v="384"/>
    <d v="2015-07-15T00:00:00"/>
    <s v="Standard Class"/>
    <x v="708"/>
    <s v="Mark Hamilton"/>
    <x v="0"/>
    <s v="United States"/>
    <s v="New York City"/>
    <x v="15"/>
    <n v="10011"/>
    <x v="3"/>
    <x v="314"/>
    <x v="1"/>
    <x v="10"/>
    <x v="314"/>
    <x v="335"/>
    <x v="7"/>
    <x v="2"/>
  </r>
  <r>
    <n v="6336"/>
    <x v="3161"/>
    <x v="384"/>
    <d v="2015-07-15T00:00:00"/>
    <s v="Standard Class"/>
    <x v="708"/>
    <s v="Mark Hamilton"/>
    <x v="0"/>
    <s v="United States"/>
    <s v="New York City"/>
    <x v="15"/>
    <n v="10011"/>
    <x v="3"/>
    <x v="1203"/>
    <x v="1"/>
    <x v="8"/>
    <x v="1188"/>
    <x v="717"/>
    <x v="7"/>
    <x v="2"/>
  </r>
  <r>
    <n v="6337"/>
    <x v="3162"/>
    <x v="133"/>
    <d v="2017-09-06T00:00:00"/>
    <s v="Standard Class"/>
    <x v="696"/>
    <s v="Bruce Geld"/>
    <x v="0"/>
    <s v="United States"/>
    <s v="Los Angeles"/>
    <x v="1"/>
    <n v="90008"/>
    <x v="1"/>
    <x v="1530"/>
    <x v="0"/>
    <x v="5"/>
    <x v="1517"/>
    <x v="116"/>
    <x v="6"/>
    <x v="0"/>
  </r>
  <r>
    <n v="6338"/>
    <x v="3162"/>
    <x v="133"/>
    <d v="2017-09-06T00:00:00"/>
    <s v="Standard Class"/>
    <x v="696"/>
    <s v="Bruce Geld"/>
    <x v="0"/>
    <s v="United States"/>
    <s v="Los Angeles"/>
    <x v="1"/>
    <n v="90008"/>
    <x v="1"/>
    <x v="1495"/>
    <x v="2"/>
    <x v="7"/>
    <x v="1483"/>
    <x v="107"/>
    <x v="6"/>
    <x v="0"/>
  </r>
  <r>
    <n v="6339"/>
    <x v="3163"/>
    <x v="361"/>
    <d v="2018-10-09T00:00:00"/>
    <s v="Standard Class"/>
    <x v="477"/>
    <s v="Todd Sumrall"/>
    <x v="1"/>
    <s v="United States"/>
    <s v="New York City"/>
    <x v="15"/>
    <n v="10035"/>
    <x v="3"/>
    <x v="1513"/>
    <x v="2"/>
    <x v="7"/>
    <x v="1500"/>
    <x v="4253"/>
    <x v="2"/>
    <x v="3"/>
  </r>
  <r>
    <n v="6340"/>
    <x v="3163"/>
    <x v="361"/>
    <d v="2018-10-09T00:00:00"/>
    <s v="Standard Class"/>
    <x v="477"/>
    <s v="Todd Sumrall"/>
    <x v="1"/>
    <s v="United States"/>
    <s v="New York City"/>
    <x v="15"/>
    <n v="10035"/>
    <x v="3"/>
    <x v="812"/>
    <x v="0"/>
    <x v="1"/>
    <x v="809"/>
    <x v="4254"/>
    <x v="2"/>
    <x v="3"/>
  </r>
  <r>
    <n v="6341"/>
    <x v="3163"/>
    <x v="361"/>
    <d v="2018-10-09T00:00:00"/>
    <s v="Standard Class"/>
    <x v="477"/>
    <s v="Todd Sumrall"/>
    <x v="1"/>
    <s v="United States"/>
    <s v="New York City"/>
    <x v="15"/>
    <n v="10035"/>
    <x v="3"/>
    <x v="1646"/>
    <x v="2"/>
    <x v="15"/>
    <x v="1635"/>
    <x v="4255"/>
    <x v="2"/>
    <x v="3"/>
  </r>
  <r>
    <n v="6342"/>
    <x v="3164"/>
    <x v="413"/>
    <d v="2018-01-02T00:00:00"/>
    <s v="First Class"/>
    <x v="551"/>
    <s v="Duane Benoit"/>
    <x v="0"/>
    <s v="United States"/>
    <s v="Lancaster"/>
    <x v="24"/>
    <n v="43130"/>
    <x v="3"/>
    <x v="1166"/>
    <x v="1"/>
    <x v="4"/>
    <x v="1153"/>
    <x v="4256"/>
    <x v="4"/>
    <x v="0"/>
  </r>
  <r>
    <n v="6343"/>
    <x v="3165"/>
    <x v="1105"/>
    <d v="2016-03-10T00:00:00"/>
    <s v="First Class"/>
    <x v="670"/>
    <s v="Eugene Moren"/>
    <x v="2"/>
    <s v="United States"/>
    <s v="Newark"/>
    <x v="13"/>
    <n v="19711"/>
    <x v="3"/>
    <x v="240"/>
    <x v="2"/>
    <x v="11"/>
    <x v="241"/>
    <x v="4257"/>
    <x v="10"/>
    <x v="1"/>
  </r>
  <r>
    <n v="6344"/>
    <x v="3165"/>
    <x v="1105"/>
    <d v="2016-03-10T00:00:00"/>
    <s v="First Class"/>
    <x v="670"/>
    <s v="Eugene Moren"/>
    <x v="2"/>
    <s v="United States"/>
    <s v="Newark"/>
    <x v="13"/>
    <n v="19711"/>
    <x v="3"/>
    <x v="338"/>
    <x v="1"/>
    <x v="8"/>
    <x v="338"/>
    <x v="2628"/>
    <x v="10"/>
    <x v="1"/>
  </r>
  <r>
    <n v="6345"/>
    <x v="3165"/>
    <x v="1105"/>
    <d v="2016-03-10T00:00:00"/>
    <s v="First Class"/>
    <x v="670"/>
    <s v="Eugene Moren"/>
    <x v="2"/>
    <s v="United States"/>
    <s v="Newark"/>
    <x v="13"/>
    <n v="19711"/>
    <x v="3"/>
    <x v="1002"/>
    <x v="1"/>
    <x v="8"/>
    <x v="994"/>
    <x v="4258"/>
    <x v="10"/>
    <x v="1"/>
  </r>
  <r>
    <n v="6346"/>
    <x v="3165"/>
    <x v="1105"/>
    <d v="2016-03-10T00:00:00"/>
    <s v="First Class"/>
    <x v="670"/>
    <s v="Eugene Moren"/>
    <x v="2"/>
    <s v="United States"/>
    <s v="Newark"/>
    <x v="13"/>
    <n v="19711"/>
    <x v="3"/>
    <x v="1602"/>
    <x v="2"/>
    <x v="7"/>
    <x v="1594"/>
    <x v="2133"/>
    <x v="10"/>
    <x v="1"/>
  </r>
  <r>
    <n v="6347"/>
    <x v="3166"/>
    <x v="179"/>
    <d v="2018-10-20T00:00:00"/>
    <s v="Same Day"/>
    <x v="46"/>
    <s v="Rick Bensley"/>
    <x v="2"/>
    <s v="United States"/>
    <s v="New York City"/>
    <x v="15"/>
    <n v="10024"/>
    <x v="3"/>
    <x v="1123"/>
    <x v="1"/>
    <x v="2"/>
    <x v="1111"/>
    <x v="4259"/>
    <x v="2"/>
    <x v="3"/>
  </r>
  <r>
    <n v="6348"/>
    <x v="3167"/>
    <x v="489"/>
    <d v="2016-05-06T00:00:00"/>
    <s v="Standard Class"/>
    <x v="138"/>
    <s v="Patrick O'Brill"/>
    <x v="0"/>
    <s v="United States"/>
    <s v="San Francisco"/>
    <x v="1"/>
    <n v="94109"/>
    <x v="1"/>
    <x v="338"/>
    <x v="1"/>
    <x v="8"/>
    <x v="338"/>
    <x v="359"/>
    <x v="5"/>
    <x v="1"/>
  </r>
  <r>
    <n v="6349"/>
    <x v="3167"/>
    <x v="489"/>
    <d v="2016-05-06T00:00:00"/>
    <s v="Standard Class"/>
    <x v="138"/>
    <s v="Patrick O'Brill"/>
    <x v="0"/>
    <s v="United States"/>
    <s v="San Francisco"/>
    <x v="1"/>
    <n v="94109"/>
    <x v="1"/>
    <x v="253"/>
    <x v="1"/>
    <x v="4"/>
    <x v="254"/>
    <x v="2150"/>
    <x v="5"/>
    <x v="1"/>
  </r>
  <r>
    <n v="6350"/>
    <x v="3167"/>
    <x v="489"/>
    <d v="2016-05-06T00:00:00"/>
    <s v="Standard Class"/>
    <x v="138"/>
    <s v="Patrick O'Brill"/>
    <x v="0"/>
    <s v="United States"/>
    <s v="San Francisco"/>
    <x v="1"/>
    <n v="94109"/>
    <x v="1"/>
    <x v="354"/>
    <x v="1"/>
    <x v="14"/>
    <x v="354"/>
    <x v="1507"/>
    <x v="5"/>
    <x v="1"/>
  </r>
  <r>
    <n v="6351"/>
    <x v="3168"/>
    <x v="213"/>
    <d v="2018-09-08T00:00:00"/>
    <s v="Standard Class"/>
    <x v="151"/>
    <s v="Arthur Gainer"/>
    <x v="0"/>
    <s v="United States"/>
    <s v="Dallas"/>
    <x v="5"/>
    <n v="75217"/>
    <x v="2"/>
    <x v="797"/>
    <x v="0"/>
    <x v="5"/>
    <x v="795"/>
    <x v="947"/>
    <x v="8"/>
    <x v="3"/>
  </r>
  <r>
    <n v="6352"/>
    <x v="3169"/>
    <x v="132"/>
    <d v="2018-11-08T00:00:00"/>
    <s v="Standard Class"/>
    <x v="667"/>
    <s v="Beth Fritzler"/>
    <x v="1"/>
    <s v="United States"/>
    <s v="Miami"/>
    <x v="2"/>
    <n v="33178"/>
    <x v="0"/>
    <x v="944"/>
    <x v="2"/>
    <x v="7"/>
    <x v="937"/>
    <x v="3252"/>
    <x v="0"/>
    <x v="3"/>
  </r>
  <r>
    <n v="6353"/>
    <x v="3170"/>
    <x v="1023"/>
    <d v="2016-09-19T00:00:00"/>
    <s v="Standard Class"/>
    <x v="668"/>
    <s v="Harry Greene"/>
    <x v="0"/>
    <s v="United States"/>
    <s v="Philadelphia"/>
    <x v="9"/>
    <n v="19120"/>
    <x v="3"/>
    <x v="1232"/>
    <x v="1"/>
    <x v="8"/>
    <x v="1215"/>
    <x v="4260"/>
    <x v="8"/>
    <x v="1"/>
  </r>
  <r>
    <n v="6354"/>
    <x v="3171"/>
    <x v="684"/>
    <d v="2016-09-12T00:00:00"/>
    <s v="Standard Class"/>
    <x v="29"/>
    <s v="Brendan Sweed"/>
    <x v="1"/>
    <s v="United States"/>
    <s v="New York City"/>
    <x v="15"/>
    <n v="10011"/>
    <x v="3"/>
    <x v="1612"/>
    <x v="1"/>
    <x v="9"/>
    <x v="1603"/>
    <x v="4261"/>
    <x v="8"/>
    <x v="1"/>
  </r>
  <r>
    <n v="6355"/>
    <x v="3171"/>
    <x v="684"/>
    <d v="2016-09-12T00:00:00"/>
    <s v="Standard Class"/>
    <x v="29"/>
    <s v="Brendan Sweed"/>
    <x v="1"/>
    <s v="United States"/>
    <s v="New York City"/>
    <x v="15"/>
    <n v="10011"/>
    <x v="3"/>
    <x v="981"/>
    <x v="2"/>
    <x v="7"/>
    <x v="974"/>
    <x v="4262"/>
    <x v="8"/>
    <x v="1"/>
  </r>
  <r>
    <n v="6356"/>
    <x v="3172"/>
    <x v="191"/>
    <d v="2015-10-13T00:00:00"/>
    <s v="Standard Class"/>
    <x v="557"/>
    <s v="Joy Daniels"/>
    <x v="0"/>
    <s v="United States"/>
    <s v="Philadelphia"/>
    <x v="9"/>
    <n v="19120"/>
    <x v="3"/>
    <x v="193"/>
    <x v="1"/>
    <x v="4"/>
    <x v="194"/>
    <x v="202"/>
    <x v="2"/>
    <x v="2"/>
  </r>
  <r>
    <n v="6357"/>
    <x v="3173"/>
    <x v="205"/>
    <d v="2018-01-28T00:00:00"/>
    <s v="Standard Class"/>
    <x v="294"/>
    <s v="Chris Selesnick"/>
    <x v="1"/>
    <s v="United States"/>
    <s v="Seattle"/>
    <x v="4"/>
    <n v="98103"/>
    <x v="1"/>
    <x v="1181"/>
    <x v="1"/>
    <x v="8"/>
    <x v="1167"/>
    <x v="1195"/>
    <x v="9"/>
    <x v="3"/>
  </r>
  <r>
    <n v="6358"/>
    <x v="3173"/>
    <x v="205"/>
    <d v="2018-01-28T00:00:00"/>
    <s v="Standard Class"/>
    <x v="294"/>
    <s v="Chris Selesnick"/>
    <x v="1"/>
    <s v="United States"/>
    <s v="Seattle"/>
    <x v="4"/>
    <n v="98103"/>
    <x v="1"/>
    <x v="747"/>
    <x v="1"/>
    <x v="10"/>
    <x v="745"/>
    <x v="233"/>
    <x v="9"/>
    <x v="3"/>
  </r>
  <r>
    <n v="6359"/>
    <x v="3173"/>
    <x v="205"/>
    <d v="2018-01-28T00:00:00"/>
    <s v="Standard Class"/>
    <x v="294"/>
    <s v="Chris Selesnick"/>
    <x v="1"/>
    <s v="United States"/>
    <s v="Seattle"/>
    <x v="4"/>
    <n v="98103"/>
    <x v="1"/>
    <x v="1009"/>
    <x v="1"/>
    <x v="10"/>
    <x v="1001"/>
    <x v="90"/>
    <x v="9"/>
    <x v="3"/>
  </r>
  <r>
    <n v="6360"/>
    <x v="3173"/>
    <x v="205"/>
    <d v="2018-01-28T00:00:00"/>
    <s v="Standard Class"/>
    <x v="294"/>
    <s v="Chris Selesnick"/>
    <x v="1"/>
    <s v="United States"/>
    <s v="Seattle"/>
    <x v="4"/>
    <n v="98103"/>
    <x v="1"/>
    <x v="1763"/>
    <x v="2"/>
    <x v="7"/>
    <x v="1752"/>
    <x v="1134"/>
    <x v="9"/>
    <x v="3"/>
  </r>
  <r>
    <n v="6361"/>
    <x v="3174"/>
    <x v="895"/>
    <d v="2016-12-15T00:00:00"/>
    <s v="Standard Class"/>
    <x v="763"/>
    <s v="Frank Carlisle"/>
    <x v="2"/>
    <s v="United States"/>
    <s v="Los Angeles"/>
    <x v="1"/>
    <n v="90032"/>
    <x v="1"/>
    <x v="1473"/>
    <x v="1"/>
    <x v="6"/>
    <x v="1460"/>
    <x v="2420"/>
    <x v="4"/>
    <x v="1"/>
  </r>
  <r>
    <n v="6362"/>
    <x v="3175"/>
    <x v="641"/>
    <d v="2015-11-30T00:00:00"/>
    <s v="Standard Class"/>
    <x v="339"/>
    <s v="Sanjit Engle"/>
    <x v="0"/>
    <s v="United States"/>
    <s v="Springfield"/>
    <x v="21"/>
    <n v="97477"/>
    <x v="1"/>
    <x v="1583"/>
    <x v="1"/>
    <x v="6"/>
    <x v="1574"/>
    <x v="4191"/>
    <x v="0"/>
    <x v="2"/>
  </r>
  <r>
    <n v="6363"/>
    <x v="3176"/>
    <x v="610"/>
    <d v="2018-11-25T00:00:00"/>
    <s v="Standard Class"/>
    <x v="237"/>
    <s v="Chloris Kastensmidt"/>
    <x v="0"/>
    <s v="United States"/>
    <s v="Renton"/>
    <x v="4"/>
    <n v="98059"/>
    <x v="1"/>
    <x v="443"/>
    <x v="1"/>
    <x v="8"/>
    <x v="443"/>
    <x v="4263"/>
    <x v="0"/>
    <x v="3"/>
  </r>
  <r>
    <n v="6364"/>
    <x v="3176"/>
    <x v="610"/>
    <d v="2018-11-25T00:00:00"/>
    <s v="Standard Class"/>
    <x v="237"/>
    <s v="Chloris Kastensmidt"/>
    <x v="0"/>
    <s v="United States"/>
    <s v="Renton"/>
    <x v="4"/>
    <n v="98059"/>
    <x v="1"/>
    <x v="1782"/>
    <x v="2"/>
    <x v="15"/>
    <x v="1772"/>
    <x v="4264"/>
    <x v="0"/>
    <x v="3"/>
  </r>
  <r>
    <n v="6365"/>
    <x v="3176"/>
    <x v="610"/>
    <d v="2018-11-25T00:00:00"/>
    <s v="Standard Class"/>
    <x v="237"/>
    <s v="Chloris Kastensmidt"/>
    <x v="0"/>
    <s v="United States"/>
    <s v="Renton"/>
    <x v="4"/>
    <n v="98059"/>
    <x v="1"/>
    <x v="1723"/>
    <x v="1"/>
    <x v="10"/>
    <x v="1710"/>
    <x v="187"/>
    <x v="0"/>
    <x v="3"/>
  </r>
  <r>
    <n v="6366"/>
    <x v="3177"/>
    <x v="1095"/>
    <d v="2018-04-05T00:00:00"/>
    <s v="First Class"/>
    <x v="284"/>
    <s v="Darrin Sayre"/>
    <x v="2"/>
    <s v="United States"/>
    <s v="New York City"/>
    <x v="15"/>
    <n v="10009"/>
    <x v="3"/>
    <x v="1783"/>
    <x v="2"/>
    <x v="7"/>
    <x v="1773"/>
    <x v="4265"/>
    <x v="3"/>
    <x v="3"/>
  </r>
  <r>
    <n v="6367"/>
    <x v="3177"/>
    <x v="1095"/>
    <d v="2018-04-05T00:00:00"/>
    <s v="First Class"/>
    <x v="284"/>
    <s v="Darrin Sayre"/>
    <x v="2"/>
    <s v="United States"/>
    <s v="New York City"/>
    <x v="15"/>
    <n v="10009"/>
    <x v="3"/>
    <x v="262"/>
    <x v="1"/>
    <x v="14"/>
    <x v="262"/>
    <x v="4266"/>
    <x v="3"/>
    <x v="3"/>
  </r>
  <r>
    <n v="6368"/>
    <x v="3177"/>
    <x v="1095"/>
    <d v="2018-04-05T00:00:00"/>
    <s v="First Class"/>
    <x v="284"/>
    <s v="Darrin Sayre"/>
    <x v="2"/>
    <s v="United States"/>
    <s v="New York City"/>
    <x v="15"/>
    <n v="10009"/>
    <x v="3"/>
    <x v="476"/>
    <x v="2"/>
    <x v="7"/>
    <x v="477"/>
    <x v="4267"/>
    <x v="3"/>
    <x v="3"/>
  </r>
  <r>
    <n v="6369"/>
    <x v="3178"/>
    <x v="240"/>
    <d v="2018-05-24T00:00:00"/>
    <s v="Standard Class"/>
    <x v="193"/>
    <s v="Sue Ann Reed"/>
    <x v="0"/>
    <s v="United States"/>
    <s v="San Jose"/>
    <x v="1"/>
    <n v="95123"/>
    <x v="1"/>
    <x v="1197"/>
    <x v="1"/>
    <x v="8"/>
    <x v="1182"/>
    <x v="4268"/>
    <x v="5"/>
    <x v="3"/>
  </r>
  <r>
    <n v="6370"/>
    <x v="3179"/>
    <x v="339"/>
    <d v="2017-10-07T00:00:00"/>
    <s v="Standard Class"/>
    <x v="734"/>
    <s v="Tracy Poddar"/>
    <x v="1"/>
    <s v="United States"/>
    <s v="Grand Prairie"/>
    <x v="5"/>
    <n v="75051"/>
    <x v="2"/>
    <x v="285"/>
    <x v="0"/>
    <x v="5"/>
    <x v="285"/>
    <x v="4269"/>
    <x v="2"/>
    <x v="0"/>
  </r>
  <r>
    <n v="6371"/>
    <x v="3180"/>
    <x v="831"/>
    <d v="2017-11-21T00:00:00"/>
    <s v="Same Day"/>
    <x v="451"/>
    <s v="Julie Kriz"/>
    <x v="2"/>
    <s v="United States"/>
    <s v="New York City"/>
    <x v="15"/>
    <n v="10009"/>
    <x v="3"/>
    <x v="1531"/>
    <x v="0"/>
    <x v="0"/>
    <x v="1518"/>
    <x v="391"/>
    <x v="0"/>
    <x v="0"/>
  </r>
  <r>
    <n v="6372"/>
    <x v="3181"/>
    <x v="621"/>
    <d v="2018-10-05T00:00:00"/>
    <s v="Second Class"/>
    <x v="254"/>
    <s v="Chuck Clark"/>
    <x v="2"/>
    <s v="United States"/>
    <s v="New York City"/>
    <x v="15"/>
    <n v="10009"/>
    <x v="3"/>
    <x v="107"/>
    <x v="0"/>
    <x v="5"/>
    <x v="107"/>
    <x v="202"/>
    <x v="2"/>
    <x v="3"/>
  </r>
  <r>
    <n v="6373"/>
    <x v="3181"/>
    <x v="621"/>
    <d v="2018-10-05T00:00:00"/>
    <s v="Second Class"/>
    <x v="254"/>
    <s v="Chuck Clark"/>
    <x v="2"/>
    <s v="United States"/>
    <s v="New York City"/>
    <x v="15"/>
    <n v="10009"/>
    <x v="3"/>
    <x v="790"/>
    <x v="1"/>
    <x v="6"/>
    <x v="788"/>
    <x v="153"/>
    <x v="2"/>
    <x v="3"/>
  </r>
  <r>
    <n v="6374"/>
    <x v="3181"/>
    <x v="621"/>
    <d v="2018-10-05T00:00:00"/>
    <s v="Second Class"/>
    <x v="254"/>
    <s v="Chuck Clark"/>
    <x v="2"/>
    <s v="United States"/>
    <s v="New York City"/>
    <x v="15"/>
    <n v="10009"/>
    <x v="3"/>
    <x v="695"/>
    <x v="2"/>
    <x v="11"/>
    <x v="695"/>
    <x v="804"/>
    <x v="2"/>
    <x v="3"/>
  </r>
  <r>
    <n v="6375"/>
    <x v="3182"/>
    <x v="333"/>
    <d v="2015-05-03T00:00:00"/>
    <s v="Standard Class"/>
    <x v="156"/>
    <s v="Laura Armstrong"/>
    <x v="1"/>
    <s v="United States"/>
    <s v="Memphis"/>
    <x v="18"/>
    <n v="38109"/>
    <x v="0"/>
    <x v="654"/>
    <x v="0"/>
    <x v="1"/>
    <x v="654"/>
    <x v="4270"/>
    <x v="3"/>
    <x v="2"/>
  </r>
  <r>
    <n v="6376"/>
    <x v="3182"/>
    <x v="333"/>
    <d v="2015-05-03T00:00:00"/>
    <s v="Standard Class"/>
    <x v="156"/>
    <s v="Laura Armstrong"/>
    <x v="1"/>
    <s v="United States"/>
    <s v="Memphis"/>
    <x v="18"/>
    <n v="38109"/>
    <x v="0"/>
    <x v="352"/>
    <x v="1"/>
    <x v="4"/>
    <x v="352"/>
    <x v="4271"/>
    <x v="3"/>
    <x v="2"/>
  </r>
  <r>
    <n v="6377"/>
    <x v="3183"/>
    <x v="877"/>
    <d v="2017-10-10T00:00:00"/>
    <s v="First Class"/>
    <x v="585"/>
    <s v="Arthur Wiediger"/>
    <x v="2"/>
    <s v="United States"/>
    <s v="Philadelphia"/>
    <x v="9"/>
    <n v="19143"/>
    <x v="3"/>
    <x v="85"/>
    <x v="1"/>
    <x v="2"/>
    <x v="85"/>
    <x v="1253"/>
    <x v="2"/>
    <x v="0"/>
  </r>
  <r>
    <n v="6378"/>
    <x v="3184"/>
    <x v="272"/>
    <d v="2017-12-22T00:00:00"/>
    <s v="Standard Class"/>
    <x v="546"/>
    <s v="Benjamin Patterson"/>
    <x v="0"/>
    <s v="United States"/>
    <s v="Los Angeles"/>
    <x v="1"/>
    <n v="90004"/>
    <x v="1"/>
    <x v="1256"/>
    <x v="0"/>
    <x v="5"/>
    <x v="1240"/>
    <x v="1787"/>
    <x v="4"/>
    <x v="0"/>
  </r>
  <r>
    <n v="6379"/>
    <x v="3185"/>
    <x v="318"/>
    <d v="2018-04-14T00:00:00"/>
    <s v="Standard Class"/>
    <x v="748"/>
    <s v="Dennis Bolton"/>
    <x v="2"/>
    <s v="United States"/>
    <s v="Waterbury"/>
    <x v="29"/>
    <n v="6708"/>
    <x v="3"/>
    <x v="409"/>
    <x v="2"/>
    <x v="11"/>
    <x v="409"/>
    <x v="311"/>
    <x v="3"/>
    <x v="3"/>
  </r>
  <r>
    <n v="6380"/>
    <x v="3185"/>
    <x v="318"/>
    <d v="2018-04-14T00:00:00"/>
    <s v="Standard Class"/>
    <x v="748"/>
    <s v="Dennis Bolton"/>
    <x v="2"/>
    <s v="United States"/>
    <s v="Waterbury"/>
    <x v="29"/>
    <n v="6708"/>
    <x v="3"/>
    <x v="1277"/>
    <x v="1"/>
    <x v="4"/>
    <x v="1262"/>
    <x v="4272"/>
    <x v="3"/>
    <x v="3"/>
  </r>
  <r>
    <n v="6381"/>
    <x v="3186"/>
    <x v="918"/>
    <d v="2015-04-13T00:00:00"/>
    <s v="Standard Class"/>
    <x v="480"/>
    <s v="Pauline Chand"/>
    <x v="2"/>
    <s v="United States"/>
    <s v="Chandler"/>
    <x v="16"/>
    <n v="85224"/>
    <x v="1"/>
    <x v="1506"/>
    <x v="1"/>
    <x v="13"/>
    <x v="1493"/>
    <x v="4273"/>
    <x v="3"/>
    <x v="2"/>
  </r>
  <r>
    <n v="6382"/>
    <x v="3187"/>
    <x v="892"/>
    <d v="2017-04-02T00:00:00"/>
    <s v="Standard Class"/>
    <x v="180"/>
    <s v="Troy Blackwell"/>
    <x v="0"/>
    <s v="United States"/>
    <s v="Springfield"/>
    <x v="24"/>
    <n v="45503"/>
    <x v="3"/>
    <x v="574"/>
    <x v="0"/>
    <x v="0"/>
    <x v="574"/>
    <x v="4274"/>
    <x v="10"/>
    <x v="0"/>
  </r>
  <r>
    <n v="6383"/>
    <x v="3187"/>
    <x v="892"/>
    <d v="2017-04-02T00:00:00"/>
    <s v="Standard Class"/>
    <x v="180"/>
    <s v="Troy Blackwell"/>
    <x v="0"/>
    <s v="United States"/>
    <s v="Springfield"/>
    <x v="24"/>
    <n v="45503"/>
    <x v="3"/>
    <x v="1326"/>
    <x v="2"/>
    <x v="7"/>
    <x v="1312"/>
    <x v="3097"/>
    <x v="10"/>
    <x v="0"/>
  </r>
  <r>
    <n v="6384"/>
    <x v="3188"/>
    <x v="787"/>
    <d v="2018-01-18T00:00:00"/>
    <s v="First Class"/>
    <x v="621"/>
    <s v="Tim Brockman"/>
    <x v="0"/>
    <s v="United States"/>
    <s v="Austin"/>
    <x v="5"/>
    <n v="78745"/>
    <x v="2"/>
    <x v="800"/>
    <x v="1"/>
    <x v="8"/>
    <x v="798"/>
    <x v="2065"/>
    <x v="9"/>
    <x v="3"/>
  </r>
  <r>
    <n v="6385"/>
    <x v="3188"/>
    <x v="787"/>
    <d v="2018-01-18T00:00:00"/>
    <s v="First Class"/>
    <x v="621"/>
    <s v="Tim Brockman"/>
    <x v="0"/>
    <s v="United States"/>
    <s v="Austin"/>
    <x v="5"/>
    <n v="78745"/>
    <x v="2"/>
    <x v="246"/>
    <x v="2"/>
    <x v="11"/>
    <x v="247"/>
    <x v="730"/>
    <x v="9"/>
    <x v="3"/>
  </r>
  <r>
    <n v="6386"/>
    <x v="3188"/>
    <x v="787"/>
    <d v="2018-01-18T00:00:00"/>
    <s v="First Class"/>
    <x v="621"/>
    <s v="Tim Brockman"/>
    <x v="0"/>
    <s v="United States"/>
    <s v="Austin"/>
    <x v="5"/>
    <n v="78745"/>
    <x v="2"/>
    <x v="1599"/>
    <x v="2"/>
    <x v="11"/>
    <x v="1591"/>
    <x v="4275"/>
    <x v="9"/>
    <x v="3"/>
  </r>
  <r>
    <n v="6387"/>
    <x v="3188"/>
    <x v="787"/>
    <d v="2018-01-18T00:00:00"/>
    <s v="First Class"/>
    <x v="621"/>
    <s v="Tim Brockman"/>
    <x v="0"/>
    <s v="United States"/>
    <s v="Austin"/>
    <x v="5"/>
    <n v="78745"/>
    <x v="2"/>
    <x v="410"/>
    <x v="1"/>
    <x v="8"/>
    <x v="410"/>
    <x v="4276"/>
    <x v="9"/>
    <x v="3"/>
  </r>
  <r>
    <n v="6388"/>
    <x v="3189"/>
    <x v="1106"/>
    <d v="2015-02-04T00:00:00"/>
    <s v="Standard Class"/>
    <x v="160"/>
    <s v="Mike Vittorini"/>
    <x v="0"/>
    <s v="United States"/>
    <s v="Detroit"/>
    <x v="12"/>
    <n v="48234"/>
    <x v="2"/>
    <x v="523"/>
    <x v="1"/>
    <x v="10"/>
    <x v="523"/>
    <x v="232"/>
    <x v="9"/>
    <x v="2"/>
  </r>
  <r>
    <n v="6389"/>
    <x v="3189"/>
    <x v="1106"/>
    <d v="2015-02-04T00:00:00"/>
    <s v="Standard Class"/>
    <x v="160"/>
    <s v="Mike Vittorini"/>
    <x v="0"/>
    <s v="United States"/>
    <s v="Detroit"/>
    <x v="12"/>
    <n v="48234"/>
    <x v="2"/>
    <x v="156"/>
    <x v="1"/>
    <x v="4"/>
    <x v="157"/>
    <x v="4277"/>
    <x v="9"/>
    <x v="2"/>
  </r>
  <r>
    <n v="6390"/>
    <x v="3190"/>
    <x v="1107"/>
    <d v="2016-02-11T00:00:00"/>
    <s v="Standard Class"/>
    <x v="460"/>
    <s v="Damala Kotsonis"/>
    <x v="1"/>
    <s v="United States"/>
    <s v="Springfield"/>
    <x v="17"/>
    <n v="22153"/>
    <x v="0"/>
    <x v="633"/>
    <x v="1"/>
    <x v="12"/>
    <x v="633"/>
    <x v="4278"/>
    <x v="11"/>
    <x v="1"/>
  </r>
  <r>
    <n v="6391"/>
    <x v="3190"/>
    <x v="1107"/>
    <d v="2016-02-11T00:00:00"/>
    <s v="Standard Class"/>
    <x v="460"/>
    <s v="Damala Kotsonis"/>
    <x v="1"/>
    <s v="United States"/>
    <s v="Springfield"/>
    <x v="17"/>
    <n v="22153"/>
    <x v="0"/>
    <x v="219"/>
    <x v="1"/>
    <x v="10"/>
    <x v="220"/>
    <x v="91"/>
    <x v="11"/>
    <x v="1"/>
  </r>
  <r>
    <n v="6392"/>
    <x v="3191"/>
    <x v="882"/>
    <d v="2017-12-19T00:00:00"/>
    <s v="Standard Class"/>
    <x v="7"/>
    <s v="Pete Kriz"/>
    <x v="0"/>
    <s v="United States"/>
    <s v="New York City"/>
    <x v="15"/>
    <n v="10011"/>
    <x v="3"/>
    <x v="1490"/>
    <x v="1"/>
    <x v="10"/>
    <x v="1477"/>
    <x v="2"/>
    <x v="4"/>
    <x v="0"/>
  </r>
  <r>
    <n v="6393"/>
    <x v="3191"/>
    <x v="882"/>
    <d v="2017-12-19T00:00:00"/>
    <s v="Standard Class"/>
    <x v="7"/>
    <s v="Pete Kriz"/>
    <x v="0"/>
    <s v="United States"/>
    <s v="New York City"/>
    <x v="15"/>
    <n v="10011"/>
    <x v="3"/>
    <x v="1186"/>
    <x v="1"/>
    <x v="2"/>
    <x v="1172"/>
    <x v="1755"/>
    <x v="4"/>
    <x v="0"/>
  </r>
  <r>
    <n v="6394"/>
    <x v="3191"/>
    <x v="882"/>
    <d v="2017-12-19T00:00:00"/>
    <s v="Standard Class"/>
    <x v="7"/>
    <s v="Pete Kriz"/>
    <x v="0"/>
    <s v="United States"/>
    <s v="New York City"/>
    <x v="15"/>
    <n v="10011"/>
    <x v="3"/>
    <x v="110"/>
    <x v="1"/>
    <x v="13"/>
    <x v="110"/>
    <x v="1369"/>
    <x v="4"/>
    <x v="0"/>
  </r>
  <r>
    <n v="6395"/>
    <x v="3191"/>
    <x v="882"/>
    <d v="2017-12-19T00:00:00"/>
    <s v="Standard Class"/>
    <x v="7"/>
    <s v="Pete Kriz"/>
    <x v="0"/>
    <s v="United States"/>
    <s v="New York City"/>
    <x v="15"/>
    <n v="10011"/>
    <x v="3"/>
    <x v="1071"/>
    <x v="0"/>
    <x v="5"/>
    <x v="1060"/>
    <x v="4279"/>
    <x v="4"/>
    <x v="0"/>
  </r>
  <r>
    <n v="6396"/>
    <x v="3191"/>
    <x v="882"/>
    <d v="2017-12-19T00:00:00"/>
    <s v="Standard Class"/>
    <x v="7"/>
    <s v="Pete Kriz"/>
    <x v="0"/>
    <s v="United States"/>
    <s v="New York City"/>
    <x v="15"/>
    <n v="10011"/>
    <x v="3"/>
    <x v="456"/>
    <x v="1"/>
    <x v="4"/>
    <x v="457"/>
    <x v="4280"/>
    <x v="4"/>
    <x v="0"/>
  </r>
  <r>
    <n v="6397"/>
    <x v="3191"/>
    <x v="882"/>
    <d v="2017-12-19T00:00:00"/>
    <s v="Standard Class"/>
    <x v="7"/>
    <s v="Pete Kriz"/>
    <x v="0"/>
    <s v="United States"/>
    <s v="New York City"/>
    <x v="15"/>
    <n v="10011"/>
    <x v="3"/>
    <x v="1784"/>
    <x v="1"/>
    <x v="8"/>
    <x v="1774"/>
    <x v="1062"/>
    <x v="4"/>
    <x v="0"/>
  </r>
  <r>
    <n v="6398"/>
    <x v="3192"/>
    <x v="1108"/>
    <d v="2018-11-04T00:00:00"/>
    <s v="Standard Class"/>
    <x v="571"/>
    <s v="Adrian Hane"/>
    <x v="2"/>
    <s v="United States"/>
    <s v="Dallas"/>
    <x v="5"/>
    <n v="75217"/>
    <x v="2"/>
    <x v="279"/>
    <x v="1"/>
    <x v="6"/>
    <x v="279"/>
    <x v="791"/>
    <x v="2"/>
    <x v="3"/>
  </r>
  <r>
    <n v="6399"/>
    <x v="3193"/>
    <x v="634"/>
    <d v="2018-08-12T00:00:00"/>
    <s v="Standard Class"/>
    <x v="39"/>
    <s v="Gary Mitchum"/>
    <x v="2"/>
    <s v="United States"/>
    <s v="Concord"/>
    <x v="38"/>
    <n v="3301"/>
    <x v="3"/>
    <x v="1405"/>
    <x v="2"/>
    <x v="7"/>
    <x v="1392"/>
    <x v="4281"/>
    <x v="6"/>
    <x v="3"/>
  </r>
  <r>
    <n v="6400"/>
    <x v="3193"/>
    <x v="634"/>
    <d v="2018-08-12T00:00:00"/>
    <s v="Standard Class"/>
    <x v="39"/>
    <s v="Gary Mitchum"/>
    <x v="2"/>
    <s v="United States"/>
    <s v="Concord"/>
    <x v="38"/>
    <n v="3301"/>
    <x v="3"/>
    <x v="1038"/>
    <x v="1"/>
    <x v="2"/>
    <x v="1028"/>
    <x v="4282"/>
    <x v="6"/>
    <x v="3"/>
  </r>
  <r>
    <n v="6401"/>
    <x v="3193"/>
    <x v="634"/>
    <d v="2018-08-12T00:00:00"/>
    <s v="Standard Class"/>
    <x v="39"/>
    <s v="Gary Mitchum"/>
    <x v="2"/>
    <s v="United States"/>
    <s v="Concord"/>
    <x v="38"/>
    <n v="3301"/>
    <x v="3"/>
    <x v="108"/>
    <x v="1"/>
    <x v="6"/>
    <x v="108"/>
    <x v="4283"/>
    <x v="6"/>
    <x v="3"/>
  </r>
  <r>
    <n v="6402"/>
    <x v="3194"/>
    <x v="1109"/>
    <d v="2018-05-31T00:00:00"/>
    <s v="First Class"/>
    <x v="232"/>
    <s v="Bruce Degenhardt"/>
    <x v="0"/>
    <s v="United States"/>
    <s v="Lafayette"/>
    <x v="28"/>
    <n v="70506"/>
    <x v="0"/>
    <x v="1119"/>
    <x v="0"/>
    <x v="0"/>
    <x v="1107"/>
    <x v="1776"/>
    <x v="5"/>
    <x v="3"/>
  </r>
  <r>
    <n v="6403"/>
    <x v="3194"/>
    <x v="1109"/>
    <d v="2018-05-31T00:00:00"/>
    <s v="First Class"/>
    <x v="232"/>
    <s v="Bruce Degenhardt"/>
    <x v="0"/>
    <s v="United States"/>
    <s v="Lafayette"/>
    <x v="28"/>
    <n v="70506"/>
    <x v="0"/>
    <x v="1065"/>
    <x v="1"/>
    <x v="8"/>
    <x v="1054"/>
    <x v="3731"/>
    <x v="5"/>
    <x v="3"/>
  </r>
  <r>
    <n v="6404"/>
    <x v="3194"/>
    <x v="1109"/>
    <d v="2018-05-31T00:00:00"/>
    <s v="First Class"/>
    <x v="232"/>
    <s v="Bruce Degenhardt"/>
    <x v="0"/>
    <s v="United States"/>
    <s v="Lafayette"/>
    <x v="28"/>
    <n v="70506"/>
    <x v="0"/>
    <x v="1565"/>
    <x v="0"/>
    <x v="5"/>
    <x v="1556"/>
    <x v="4284"/>
    <x v="5"/>
    <x v="3"/>
  </r>
  <r>
    <n v="6405"/>
    <x v="3195"/>
    <x v="672"/>
    <d v="2016-12-05T00:00:00"/>
    <s v="Standard Class"/>
    <x v="528"/>
    <s v="Raymond Messe"/>
    <x v="0"/>
    <s v="United States"/>
    <s v="Raleigh"/>
    <x v="3"/>
    <n v="27604"/>
    <x v="0"/>
    <x v="1192"/>
    <x v="2"/>
    <x v="7"/>
    <x v="1177"/>
    <x v="1637"/>
    <x v="0"/>
    <x v="1"/>
  </r>
  <r>
    <n v="6406"/>
    <x v="3196"/>
    <x v="515"/>
    <d v="2018-09-02T00:00:00"/>
    <s v="Second Class"/>
    <x v="308"/>
    <s v="Bart Watters"/>
    <x v="1"/>
    <s v="United States"/>
    <s v="Spokane"/>
    <x v="4"/>
    <n v="99207"/>
    <x v="1"/>
    <x v="406"/>
    <x v="0"/>
    <x v="1"/>
    <x v="407"/>
    <x v="4285"/>
    <x v="6"/>
    <x v="3"/>
  </r>
  <r>
    <n v="6407"/>
    <x v="3196"/>
    <x v="515"/>
    <d v="2018-09-02T00:00:00"/>
    <s v="Second Class"/>
    <x v="308"/>
    <s v="Bart Watters"/>
    <x v="1"/>
    <s v="United States"/>
    <s v="Spokane"/>
    <x v="4"/>
    <n v="99207"/>
    <x v="1"/>
    <x v="80"/>
    <x v="1"/>
    <x v="4"/>
    <x v="80"/>
    <x v="4286"/>
    <x v="6"/>
    <x v="3"/>
  </r>
  <r>
    <n v="6408"/>
    <x v="3197"/>
    <x v="304"/>
    <d v="2018-05-15T00:00:00"/>
    <s v="First Class"/>
    <x v="218"/>
    <s v="Greg Tran"/>
    <x v="0"/>
    <s v="United States"/>
    <s v="Houston"/>
    <x v="5"/>
    <n v="77041"/>
    <x v="2"/>
    <x v="1189"/>
    <x v="0"/>
    <x v="1"/>
    <x v="1175"/>
    <x v="4287"/>
    <x v="5"/>
    <x v="3"/>
  </r>
  <r>
    <n v="6409"/>
    <x v="3197"/>
    <x v="304"/>
    <d v="2018-05-15T00:00:00"/>
    <s v="First Class"/>
    <x v="218"/>
    <s v="Greg Tran"/>
    <x v="0"/>
    <s v="United States"/>
    <s v="Houston"/>
    <x v="5"/>
    <n v="77041"/>
    <x v="2"/>
    <x v="1175"/>
    <x v="1"/>
    <x v="6"/>
    <x v="1161"/>
    <x v="843"/>
    <x v="5"/>
    <x v="3"/>
  </r>
  <r>
    <n v="6410"/>
    <x v="3197"/>
    <x v="304"/>
    <d v="2018-05-15T00:00:00"/>
    <s v="First Class"/>
    <x v="218"/>
    <s v="Greg Tran"/>
    <x v="0"/>
    <s v="United States"/>
    <s v="Houston"/>
    <x v="5"/>
    <n v="77041"/>
    <x v="2"/>
    <x v="1785"/>
    <x v="1"/>
    <x v="10"/>
    <x v="1775"/>
    <x v="1097"/>
    <x v="5"/>
    <x v="3"/>
  </r>
  <r>
    <n v="6411"/>
    <x v="3197"/>
    <x v="304"/>
    <d v="2018-05-15T00:00:00"/>
    <s v="First Class"/>
    <x v="218"/>
    <s v="Greg Tran"/>
    <x v="0"/>
    <s v="United States"/>
    <s v="Houston"/>
    <x v="5"/>
    <n v="77041"/>
    <x v="2"/>
    <x v="1557"/>
    <x v="2"/>
    <x v="7"/>
    <x v="1546"/>
    <x v="462"/>
    <x v="5"/>
    <x v="3"/>
  </r>
  <r>
    <n v="6412"/>
    <x v="3197"/>
    <x v="304"/>
    <d v="2018-05-15T00:00:00"/>
    <s v="First Class"/>
    <x v="218"/>
    <s v="Greg Tran"/>
    <x v="0"/>
    <s v="United States"/>
    <s v="Houston"/>
    <x v="5"/>
    <n v="77041"/>
    <x v="2"/>
    <x v="1684"/>
    <x v="1"/>
    <x v="10"/>
    <x v="1672"/>
    <x v="4288"/>
    <x v="5"/>
    <x v="3"/>
  </r>
  <r>
    <n v="6413"/>
    <x v="3198"/>
    <x v="629"/>
    <d v="2018-08-23T00:00:00"/>
    <s v="Standard Class"/>
    <x v="571"/>
    <s v="Adrian Hane"/>
    <x v="2"/>
    <s v="United States"/>
    <s v="Louisville"/>
    <x v="0"/>
    <n v="40214"/>
    <x v="0"/>
    <x v="141"/>
    <x v="1"/>
    <x v="8"/>
    <x v="142"/>
    <x v="4289"/>
    <x v="6"/>
    <x v="3"/>
  </r>
  <r>
    <n v="6414"/>
    <x v="3198"/>
    <x v="629"/>
    <d v="2018-08-23T00:00:00"/>
    <s v="Standard Class"/>
    <x v="571"/>
    <s v="Adrian Hane"/>
    <x v="2"/>
    <s v="United States"/>
    <s v="Louisville"/>
    <x v="0"/>
    <n v="40214"/>
    <x v="0"/>
    <x v="960"/>
    <x v="2"/>
    <x v="11"/>
    <x v="953"/>
    <x v="1524"/>
    <x v="6"/>
    <x v="3"/>
  </r>
  <r>
    <n v="6415"/>
    <x v="3199"/>
    <x v="468"/>
    <d v="2018-11-14T00:00:00"/>
    <s v="Second Class"/>
    <x v="660"/>
    <s v="Daniel Raglin"/>
    <x v="2"/>
    <s v="United States"/>
    <s v="Hollywood"/>
    <x v="2"/>
    <n v="33021"/>
    <x v="0"/>
    <x v="1736"/>
    <x v="1"/>
    <x v="8"/>
    <x v="1725"/>
    <x v="132"/>
    <x v="0"/>
    <x v="3"/>
  </r>
  <r>
    <n v="6416"/>
    <x v="3200"/>
    <x v="170"/>
    <d v="2018-08-21T00:00:00"/>
    <s v="Same Day"/>
    <x v="393"/>
    <s v="Dionis Lloyd"/>
    <x v="1"/>
    <s v="United States"/>
    <s v="Chandler"/>
    <x v="16"/>
    <n v="85224"/>
    <x v="1"/>
    <x v="656"/>
    <x v="1"/>
    <x v="10"/>
    <x v="656"/>
    <x v="1136"/>
    <x v="6"/>
    <x v="3"/>
  </r>
  <r>
    <n v="6417"/>
    <x v="3201"/>
    <x v="387"/>
    <d v="2017-03-12T00:00:00"/>
    <s v="Standard Class"/>
    <x v="379"/>
    <s v="Brian DeCherney"/>
    <x v="0"/>
    <s v="United States"/>
    <s v="Philadelphia"/>
    <x v="9"/>
    <n v="19120"/>
    <x v="3"/>
    <x v="1409"/>
    <x v="2"/>
    <x v="7"/>
    <x v="1396"/>
    <x v="2197"/>
    <x v="10"/>
    <x v="0"/>
  </r>
  <r>
    <n v="6418"/>
    <x v="3201"/>
    <x v="387"/>
    <d v="2017-03-12T00:00:00"/>
    <s v="Standard Class"/>
    <x v="379"/>
    <s v="Brian DeCherney"/>
    <x v="0"/>
    <s v="United States"/>
    <s v="Philadelphia"/>
    <x v="9"/>
    <n v="19120"/>
    <x v="3"/>
    <x v="1028"/>
    <x v="1"/>
    <x v="13"/>
    <x v="1019"/>
    <x v="4290"/>
    <x v="10"/>
    <x v="0"/>
  </r>
  <r>
    <n v="6419"/>
    <x v="3202"/>
    <x v="731"/>
    <d v="2017-11-05T00:00:00"/>
    <s v="Standard Class"/>
    <x v="304"/>
    <s v="Helen Wasserman"/>
    <x v="1"/>
    <s v="United States"/>
    <s v="Tulsa"/>
    <x v="26"/>
    <n v="74133"/>
    <x v="2"/>
    <x v="133"/>
    <x v="1"/>
    <x v="14"/>
    <x v="134"/>
    <x v="2099"/>
    <x v="2"/>
    <x v="0"/>
  </r>
  <r>
    <n v="6420"/>
    <x v="3202"/>
    <x v="731"/>
    <d v="2017-11-05T00:00:00"/>
    <s v="Standard Class"/>
    <x v="304"/>
    <s v="Helen Wasserman"/>
    <x v="1"/>
    <s v="United States"/>
    <s v="Tulsa"/>
    <x v="26"/>
    <n v="74133"/>
    <x v="2"/>
    <x v="1265"/>
    <x v="0"/>
    <x v="1"/>
    <x v="1249"/>
    <x v="2363"/>
    <x v="2"/>
    <x v="0"/>
  </r>
  <r>
    <n v="6421"/>
    <x v="3202"/>
    <x v="731"/>
    <d v="2017-11-05T00:00:00"/>
    <s v="Standard Class"/>
    <x v="304"/>
    <s v="Helen Wasserman"/>
    <x v="1"/>
    <s v="United States"/>
    <s v="Tulsa"/>
    <x v="26"/>
    <n v="74133"/>
    <x v="2"/>
    <x v="1560"/>
    <x v="1"/>
    <x v="6"/>
    <x v="1550"/>
    <x v="708"/>
    <x v="2"/>
    <x v="0"/>
  </r>
  <r>
    <n v="6422"/>
    <x v="3202"/>
    <x v="731"/>
    <d v="2017-11-05T00:00:00"/>
    <s v="Standard Class"/>
    <x v="304"/>
    <s v="Helen Wasserman"/>
    <x v="1"/>
    <s v="United States"/>
    <s v="Tulsa"/>
    <x v="26"/>
    <n v="74133"/>
    <x v="2"/>
    <x v="1439"/>
    <x v="1"/>
    <x v="4"/>
    <x v="1427"/>
    <x v="737"/>
    <x v="2"/>
    <x v="0"/>
  </r>
  <r>
    <n v="6423"/>
    <x v="3203"/>
    <x v="711"/>
    <d v="2015-08-01T00:00:00"/>
    <s v="Standard Class"/>
    <x v="705"/>
    <s v="Jack O'Briant"/>
    <x v="1"/>
    <s v="United States"/>
    <s v="Draper"/>
    <x v="7"/>
    <n v="84020"/>
    <x v="1"/>
    <x v="1097"/>
    <x v="2"/>
    <x v="11"/>
    <x v="1087"/>
    <x v="4291"/>
    <x v="7"/>
    <x v="2"/>
  </r>
  <r>
    <n v="6424"/>
    <x v="3204"/>
    <x v="1040"/>
    <d v="2016-10-27T00:00:00"/>
    <s v="First Class"/>
    <x v="372"/>
    <s v="Robert Dilbeck"/>
    <x v="2"/>
    <s v="United States"/>
    <s v="Oakland"/>
    <x v="1"/>
    <n v="94601"/>
    <x v="1"/>
    <x v="367"/>
    <x v="0"/>
    <x v="1"/>
    <x v="368"/>
    <x v="4292"/>
    <x v="2"/>
    <x v="1"/>
  </r>
  <r>
    <n v="6425"/>
    <x v="3205"/>
    <x v="971"/>
    <d v="2018-08-24T00:00:00"/>
    <s v="Standard Class"/>
    <x v="770"/>
    <s v="Doug O'Connell"/>
    <x v="0"/>
    <s v="United States"/>
    <s v="Lawrence"/>
    <x v="31"/>
    <n v="1841"/>
    <x v="3"/>
    <x v="1553"/>
    <x v="1"/>
    <x v="10"/>
    <x v="1541"/>
    <x v="537"/>
    <x v="6"/>
    <x v="3"/>
  </r>
  <r>
    <n v="6426"/>
    <x v="3206"/>
    <x v="454"/>
    <d v="2017-05-27T00:00:00"/>
    <s v="Standard Class"/>
    <x v="666"/>
    <s v="Christopher Conant"/>
    <x v="0"/>
    <s v="United States"/>
    <s v="Philadelphia"/>
    <x v="9"/>
    <n v="19120"/>
    <x v="3"/>
    <x v="1388"/>
    <x v="2"/>
    <x v="16"/>
    <x v="1374"/>
    <x v="4293"/>
    <x v="5"/>
    <x v="0"/>
  </r>
  <r>
    <n v="6427"/>
    <x v="3206"/>
    <x v="454"/>
    <d v="2017-05-27T00:00:00"/>
    <s v="Standard Class"/>
    <x v="666"/>
    <s v="Christopher Conant"/>
    <x v="0"/>
    <s v="United States"/>
    <s v="Philadelphia"/>
    <x v="9"/>
    <n v="19120"/>
    <x v="3"/>
    <x v="1786"/>
    <x v="1"/>
    <x v="8"/>
    <x v="1776"/>
    <x v="4294"/>
    <x v="5"/>
    <x v="0"/>
  </r>
  <r>
    <n v="6428"/>
    <x v="3206"/>
    <x v="454"/>
    <d v="2017-05-27T00:00:00"/>
    <s v="Standard Class"/>
    <x v="666"/>
    <s v="Christopher Conant"/>
    <x v="0"/>
    <s v="United States"/>
    <s v="Philadelphia"/>
    <x v="9"/>
    <n v="19120"/>
    <x v="3"/>
    <x v="815"/>
    <x v="1"/>
    <x v="10"/>
    <x v="811"/>
    <x v="559"/>
    <x v="5"/>
    <x v="0"/>
  </r>
  <r>
    <n v="6429"/>
    <x v="3206"/>
    <x v="454"/>
    <d v="2017-05-27T00:00:00"/>
    <s v="Standard Class"/>
    <x v="666"/>
    <s v="Christopher Conant"/>
    <x v="0"/>
    <s v="United States"/>
    <s v="Philadelphia"/>
    <x v="9"/>
    <n v="19120"/>
    <x v="3"/>
    <x v="1787"/>
    <x v="2"/>
    <x v="7"/>
    <x v="1777"/>
    <x v="4295"/>
    <x v="5"/>
    <x v="0"/>
  </r>
  <r>
    <n v="6430"/>
    <x v="3207"/>
    <x v="935"/>
    <d v="2015-11-07T00:00:00"/>
    <s v="Standard Class"/>
    <x v="129"/>
    <s v="Shahid Hopkins"/>
    <x v="0"/>
    <s v="United States"/>
    <s v="Jacksonville"/>
    <x v="3"/>
    <n v="28540"/>
    <x v="0"/>
    <x v="720"/>
    <x v="1"/>
    <x v="4"/>
    <x v="719"/>
    <x v="3250"/>
    <x v="0"/>
    <x v="2"/>
  </r>
  <r>
    <n v="6431"/>
    <x v="3207"/>
    <x v="935"/>
    <d v="2015-11-07T00:00:00"/>
    <s v="Standard Class"/>
    <x v="129"/>
    <s v="Shahid Hopkins"/>
    <x v="0"/>
    <s v="United States"/>
    <s v="Jacksonville"/>
    <x v="3"/>
    <n v="28540"/>
    <x v="0"/>
    <x v="114"/>
    <x v="0"/>
    <x v="3"/>
    <x v="114"/>
    <x v="4296"/>
    <x v="0"/>
    <x v="2"/>
  </r>
  <r>
    <n v="6432"/>
    <x v="3207"/>
    <x v="935"/>
    <d v="2015-11-07T00:00:00"/>
    <s v="Standard Class"/>
    <x v="129"/>
    <s v="Shahid Hopkins"/>
    <x v="0"/>
    <s v="United States"/>
    <s v="Jacksonville"/>
    <x v="3"/>
    <n v="28540"/>
    <x v="0"/>
    <x v="1282"/>
    <x v="1"/>
    <x v="8"/>
    <x v="1267"/>
    <x v="4297"/>
    <x v="0"/>
    <x v="2"/>
  </r>
  <r>
    <n v="6433"/>
    <x v="3207"/>
    <x v="935"/>
    <d v="2015-11-07T00:00:00"/>
    <s v="Standard Class"/>
    <x v="129"/>
    <s v="Shahid Hopkins"/>
    <x v="0"/>
    <s v="United States"/>
    <s v="Jacksonville"/>
    <x v="3"/>
    <n v="28540"/>
    <x v="0"/>
    <x v="1304"/>
    <x v="0"/>
    <x v="5"/>
    <x v="1289"/>
    <x v="4298"/>
    <x v="0"/>
    <x v="2"/>
  </r>
  <r>
    <n v="6434"/>
    <x v="3208"/>
    <x v="1110"/>
    <d v="2016-04-04T00:00:00"/>
    <s v="Standard Class"/>
    <x v="712"/>
    <s v="Fred Chung"/>
    <x v="1"/>
    <s v="United States"/>
    <s v="Chicago"/>
    <x v="10"/>
    <n v="60610"/>
    <x v="2"/>
    <x v="1017"/>
    <x v="1"/>
    <x v="10"/>
    <x v="1008"/>
    <x v="4299"/>
    <x v="10"/>
    <x v="1"/>
  </r>
  <r>
    <n v="6435"/>
    <x v="3208"/>
    <x v="1110"/>
    <d v="2016-04-04T00:00:00"/>
    <s v="Standard Class"/>
    <x v="712"/>
    <s v="Fred Chung"/>
    <x v="1"/>
    <s v="United States"/>
    <s v="Chicago"/>
    <x v="10"/>
    <n v="60610"/>
    <x v="2"/>
    <x v="1409"/>
    <x v="2"/>
    <x v="7"/>
    <x v="1396"/>
    <x v="2131"/>
    <x v="10"/>
    <x v="1"/>
  </r>
  <r>
    <n v="6436"/>
    <x v="3209"/>
    <x v="837"/>
    <d v="2018-05-29T00:00:00"/>
    <s v="First Class"/>
    <x v="506"/>
    <s v="James Galang"/>
    <x v="0"/>
    <s v="United States"/>
    <s v="Pocatello"/>
    <x v="45"/>
    <n v="83201"/>
    <x v="1"/>
    <x v="1457"/>
    <x v="0"/>
    <x v="5"/>
    <x v="1443"/>
    <x v="762"/>
    <x v="5"/>
    <x v="3"/>
  </r>
  <r>
    <n v="6437"/>
    <x v="3209"/>
    <x v="837"/>
    <d v="2018-05-29T00:00:00"/>
    <s v="First Class"/>
    <x v="506"/>
    <s v="James Galang"/>
    <x v="0"/>
    <s v="United States"/>
    <s v="Pocatello"/>
    <x v="45"/>
    <n v="83201"/>
    <x v="1"/>
    <x v="621"/>
    <x v="1"/>
    <x v="4"/>
    <x v="621"/>
    <x v="4300"/>
    <x v="5"/>
    <x v="3"/>
  </r>
  <r>
    <n v="6438"/>
    <x v="3209"/>
    <x v="837"/>
    <d v="2018-05-29T00:00:00"/>
    <s v="First Class"/>
    <x v="506"/>
    <s v="James Galang"/>
    <x v="0"/>
    <s v="United States"/>
    <s v="Pocatello"/>
    <x v="45"/>
    <n v="83201"/>
    <x v="1"/>
    <x v="1443"/>
    <x v="2"/>
    <x v="7"/>
    <x v="1431"/>
    <x v="214"/>
    <x v="5"/>
    <x v="3"/>
  </r>
  <r>
    <n v="6439"/>
    <x v="3210"/>
    <x v="817"/>
    <d v="2018-12-19T00:00:00"/>
    <s v="Standard Class"/>
    <x v="62"/>
    <s v="Lena Creighton"/>
    <x v="0"/>
    <s v="United States"/>
    <s v="Plano"/>
    <x v="5"/>
    <n v="75023"/>
    <x v="2"/>
    <x v="3"/>
    <x v="0"/>
    <x v="3"/>
    <x v="3"/>
    <x v="4301"/>
    <x v="4"/>
    <x v="3"/>
  </r>
  <r>
    <n v="6440"/>
    <x v="3211"/>
    <x v="777"/>
    <d v="2015-10-06T00:00:00"/>
    <s v="First Class"/>
    <x v="417"/>
    <s v="Chris Cortes"/>
    <x v="0"/>
    <s v="United States"/>
    <s v="New York City"/>
    <x v="15"/>
    <n v="10024"/>
    <x v="3"/>
    <x v="1585"/>
    <x v="0"/>
    <x v="1"/>
    <x v="1576"/>
    <x v="4302"/>
    <x v="2"/>
    <x v="2"/>
  </r>
  <r>
    <n v="6441"/>
    <x v="3212"/>
    <x v="63"/>
    <d v="2017-10-20T00:00:00"/>
    <s v="Standard Class"/>
    <x v="308"/>
    <s v="Bart Watters"/>
    <x v="1"/>
    <s v="United States"/>
    <s v="New York City"/>
    <x v="15"/>
    <n v="10024"/>
    <x v="3"/>
    <x v="924"/>
    <x v="1"/>
    <x v="6"/>
    <x v="916"/>
    <x v="2817"/>
    <x v="2"/>
    <x v="0"/>
  </r>
  <r>
    <n v="6442"/>
    <x v="3212"/>
    <x v="63"/>
    <d v="2017-10-20T00:00:00"/>
    <s v="Standard Class"/>
    <x v="308"/>
    <s v="Bart Watters"/>
    <x v="1"/>
    <s v="United States"/>
    <s v="New York City"/>
    <x v="15"/>
    <n v="10024"/>
    <x v="3"/>
    <x v="1291"/>
    <x v="1"/>
    <x v="4"/>
    <x v="1277"/>
    <x v="4041"/>
    <x v="2"/>
    <x v="0"/>
  </r>
  <r>
    <n v="6443"/>
    <x v="3212"/>
    <x v="63"/>
    <d v="2017-10-20T00:00:00"/>
    <s v="Standard Class"/>
    <x v="308"/>
    <s v="Bart Watters"/>
    <x v="1"/>
    <s v="United States"/>
    <s v="New York City"/>
    <x v="15"/>
    <n v="10024"/>
    <x v="3"/>
    <x v="1237"/>
    <x v="1"/>
    <x v="10"/>
    <x v="1220"/>
    <x v="2428"/>
    <x v="2"/>
    <x v="0"/>
  </r>
  <r>
    <n v="6444"/>
    <x v="3212"/>
    <x v="63"/>
    <d v="2017-10-20T00:00:00"/>
    <s v="Standard Class"/>
    <x v="308"/>
    <s v="Bart Watters"/>
    <x v="1"/>
    <s v="United States"/>
    <s v="New York City"/>
    <x v="15"/>
    <n v="10024"/>
    <x v="3"/>
    <x v="1508"/>
    <x v="1"/>
    <x v="2"/>
    <x v="1495"/>
    <x v="1663"/>
    <x v="2"/>
    <x v="0"/>
  </r>
  <r>
    <n v="6445"/>
    <x v="3212"/>
    <x v="63"/>
    <d v="2017-10-20T00:00:00"/>
    <s v="Standard Class"/>
    <x v="308"/>
    <s v="Bart Watters"/>
    <x v="1"/>
    <s v="United States"/>
    <s v="New York City"/>
    <x v="15"/>
    <n v="10024"/>
    <x v="3"/>
    <x v="905"/>
    <x v="0"/>
    <x v="5"/>
    <x v="897"/>
    <x v="4303"/>
    <x v="2"/>
    <x v="0"/>
  </r>
  <r>
    <n v="6446"/>
    <x v="3213"/>
    <x v="616"/>
    <d v="2016-03-10T00:00:00"/>
    <s v="Standard Class"/>
    <x v="370"/>
    <s v="Jennifer Jackson"/>
    <x v="0"/>
    <s v="United States"/>
    <s v="Chicago"/>
    <x v="10"/>
    <n v="60623"/>
    <x v="2"/>
    <x v="1084"/>
    <x v="1"/>
    <x v="13"/>
    <x v="1074"/>
    <x v="1604"/>
    <x v="10"/>
    <x v="1"/>
  </r>
  <r>
    <n v="6447"/>
    <x v="3214"/>
    <x v="168"/>
    <d v="2018-03-06T00:00:00"/>
    <s v="Second Class"/>
    <x v="499"/>
    <s v="Tonja Turnell"/>
    <x v="2"/>
    <s v="United States"/>
    <s v="Houston"/>
    <x v="5"/>
    <n v="77095"/>
    <x v="2"/>
    <x v="28"/>
    <x v="0"/>
    <x v="5"/>
    <x v="28"/>
    <x v="4304"/>
    <x v="10"/>
    <x v="3"/>
  </r>
  <r>
    <n v="6448"/>
    <x v="3214"/>
    <x v="168"/>
    <d v="2018-03-06T00:00:00"/>
    <s v="Second Class"/>
    <x v="499"/>
    <s v="Tonja Turnell"/>
    <x v="2"/>
    <s v="United States"/>
    <s v="Houston"/>
    <x v="5"/>
    <n v="77095"/>
    <x v="2"/>
    <x v="1098"/>
    <x v="1"/>
    <x v="2"/>
    <x v="1088"/>
    <x v="4305"/>
    <x v="10"/>
    <x v="3"/>
  </r>
  <r>
    <n v="6449"/>
    <x v="3214"/>
    <x v="168"/>
    <d v="2018-03-06T00:00:00"/>
    <s v="Second Class"/>
    <x v="499"/>
    <s v="Tonja Turnell"/>
    <x v="2"/>
    <s v="United States"/>
    <s v="Houston"/>
    <x v="5"/>
    <n v="77095"/>
    <x v="2"/>
    <x v="376"/>
    <x v="1"/>
    <x v="4"/>
    <x v="377"/>
    <x v="521"/>
    <x v="10"/>
    <x v="3"/>
  </r>
  <r>
    <n v="6450"/>
    <x v="3215"/>
    <x v="12"/>
    <d v="2016-09-29T00:00:00"/>
    <s v="Standard Class"/>
    <x v="552"/>
    <s v="Erica Hackney"/>
    <x v="0"/>
    <s v="United States"/>
    <s v="Meriden"/>
    <x v="29"/>
    <n v="6450"/>
    <x v="3"/>
    <x v="973"/>
    <x v="1"/>
    <x v="8"/>
    <x v="967"/>
    <x v="4306"/>
    <x v="8"/>
    <x v="1"/>
  </r>
  <r>
    <n v="6451"/>
    <x v="3215"/>
    <x v="12"/>
    <d v="2016-09-29T00:00:00"/>
    <s v="Standard Class"/>
    <x v="552"/>
    <s v="Erica Hackney"/>
    <x v="0"/>
    <s v="United States"/>
    <s v="Meriden"/>
    <x v="29"/>
    <n v="6450"/>
    <x v="3"/>
    <x v="393"/>
    <x v="1"/>
    <x v="10"/>
    <x v="394"/>
    <x v="1816"/>
    <x v="8"/>
    <x v="1"/>
  </r>
  <r>
    <n v="6452"/>
    <x v="3215"/>
    <x v="12"/>
    <d v="2016-09-29T00:00:00"/>
    <s v="Standard Class"/>
    <x v="552"/>
    <s v="Erica Hackney"/>
    <x v="0"/>
    <s v="United States"/>
    <s v="Meriden"/>
    <x v="29"/>
    <n v="6450"/>
    <x v="3"/>
    <x v="87"/>
    <x v="1"/>
    <x v="6"/>
    <x v="87"/>
    <x v="4307"/>
    <x v="8"/>
    <x v="1"/>
  </r>
  <r>
    <n v="6453"/>
    <x v="3216"/>
    <x v="546"/>
    <d v="2016-12-23T00:00:00"/>
    <s v="Second Class"/>
    <x v="701"/>
    <s v="Patrick Ryan"/>
    <x v="0"/>
    <s v="United States"/>
    <s v="Glenview"/>
    <x v="10"/>
    <n v="60025"/>
    <x v="2"/>
    <x v="984"/>
    <x v="2"/>
    <x v="7"/>
    <x v="977"/>
    <x v="3097"/>
    <x v="4"/>
    <x v="1"/>
  </r>
  <r>
    <n v="6454"/>
    <x v="3217"/>
    <x v="1049"/>
    <d v="2016-10-13T00:00:00"/>
    <s v="Standard Class"/>
    <x v="537"/>
    <s v="Brian Thompson"/>
    <x v="0"/>
    <s v="United States"/>
    <s v="Houston"/>
    <x v="5"/>
    <n v="77036"/>
    <x v="2"/>
    <x v="1539"/>
    <x v="1"/>
    <x v="6"/>
    <x v="1527"/>
    <x v="4308"/>
    <x v="2"/>
    <x v="1"/>
  </r>
  <r>
    <n v="6455"/>
    <x v="3218"/>
    <x v="689"/>
    <d v="2018-08-03T00:00:00"/>
    <s v="First Class"/>
    <x v="685"/>
    <s v="Erin Creighton"/>
    <x v="0"/>
    <s v="United States"/>
    <s v="San Francisco"/>
    <x v="1"/>
    <n v="94110"/>
    <x v="1"/>
    <x v="86"/>
    <x v="1"/>
    <x v="4"/>
    <x v="86"/>
    <x v="400"/>
    <x v="7"/>
    <x v="3"/>
  </r>
  <r>
    <n v="6456"/>
    <x v="3218"/>
    <x v="689"/>
    <d v="2018-08-03T00:00:00"/>
    <s v="First Class"/>
    <x v="685"/>
    <s v="Erin Creighton"/>
    <x v="0"/>
    <s v="United States"/>
    <s v="San Francisco"/>
    <x v="1"/>
    <n v="94110"/>
    <x v="1"/>
    <x v="1226"/>
    <x v="0"/>
    <x v="5"/>
    <x v="1210"/>
    <x v="3228"/>
    <x v="7"/>
    <x v="3"/>
  </r>
  <r>
    <n v="6457"/>
    <x v="3219"/>
    <x v="79"/>
    <d v="2015-08-11T00:00:00"/>
    <s v="Standard Class"/>
    <x v="70"/>
    <s v="Stephanie Phelps"/>
    <x v="1"/>
    <s v="United States"/>
    <s v="New York City"/>
    <x v="15"/>
    <n v="10009"/>
    <x v="3"/>
    <x v="1236"/>
    <x v="2"/>
    <x v="7"/>
    <x v="1219"/>
    <x v="4309"/>
    <x v="6"/>
    <x v="2"/>
  </r>
  <r>
    <n v="6458"/>
    <x v="3219"/>
    <x v="79"/>
    <d v="2015-08-11T00:00:00"/>
    <s v="Standard Class"/>
    <x v="70"/>
    <s v="Stephanie Phelps"/>
    <x v="1"/>
    <s v="United States"/>
    <s v="New York City"/>
    <x v="15"/>
    <n v="10009"/>
    <x v="3"/>
    <x v="1605"/>
    <x v="1"/>
    <x v="6"/>
    <x v="1597"/>
    <x v="3761"/>
    <x v="6"/>
    <x v="2"/>
  </r>
  <r>
    <n v="6459"/>
    <x v="3220"/>
    <x v="304"/>
    <d v="2018-05-17T00:00:00"/>
    <s v="First Class"/>
    <x v="321"/>
    <s v="Anthony Jacobs"/>
    <x v="1"/>
    <s v="United States"/>
    <s v="Baltimore"/>
    <x v="39"/>
    <n v="21215"/>
    <x v="3"/>
    <x v="868"/>
    <x v="1"/>
    <x v="6"/>
    <x v="862"/>
    <x v="1053"/>
    <x v="5"/>
    <x v="3"/>
  </r>
  <r>
    <n v="6460"/>
    <x v="3220"/>
    <x v="304"/>
    <d v="2018-05-17T00:00:00"/>
    <s v="First Class"/>
    <x v="321"/>
    <s v="Anthony Jacobs"/>
    <x v="1"/>
    <s v="United States"/>
    <s v="Baltimore"/>
    <x v="39"/>
    <n v="21215"/>
    <x v="3"/>
    <x v="425"/>
    <x v="1"/>
    <x v="6"/>
    <x v="425"/>
    <x v="453"/>
    <x v="5"/>
    <x v="3"/>
  </r>
  <r>
    <n v="6461"/>
    <x v="3220"/>
    <x v="304"/>
    <d v="2018-05-17T00:00:00"/>
    <s v="First Class"/>
    <x v="321"/>
    <s v="Anthony Jacobs"/>
    <x v="1"/>
    <s v="United States"/>
    <s v="Baltimore"/>
    <x v="39"/>
    <n v="21215"/>
    <x v="3"/>
    <x v="1453"/>
    <x v="1"/>
    <x v="6"/>
    <x v="1439"/>
    <x v="4310"/>
    <x v="5"/>
    <x v="3"/>
  </r>
  <r>
    <n v="6462"/>
    <x v="3220"/>
    <x v="304"/>
    <d v="2018-05-17T00:00:00"/>
    <s v="First Class"/>
    <x v="321"/>
    <s v="Anthony Jacobs"/>
    <x v="1"/>
    <s v="United States"/>
    <s v="Baltimore"/>
    <x v="39"/>
    <n v="21215"/>
    <x v="3"/>
    <x v="1048"/>
    <x v="2"/>
    <x v="11"/>
    <x v="1037"/>
    <x v="1309"/>
    <x v="5"/>
    <x v="3"/>
  </r>
  <r>
    <n v="6463"/>
    <x v="3220"/>
    <x v="304"/>
    <d v="2018-05-17T00:00:00"/>
    <s v="First Class"/>
    <x v="321"/>
    <s v="Anthony Jacobs"/>
    <x v="1"/>
    <s v="United States"/>
    <s v="Baltimore"/>
    <x v="39"/>
    <n v="21215"/>
    <x v="3"/>
    <x v="1585"/>
    <x v="0"/>
    <x v="1"/>
    <x v="1576"/>
    <x v="0"/>
    <x v="5"/>
    <x v="3"/>
  </r>
  <r>
    <n v="6464"/>
    <x v="3220"/>
    <x v="304"/>
    <d v="2018-05-17T00:00:00"/>
    <s v="First Class"/>
    <x v="321"/>
    <s v="Anthony Jacobs"/>
    <x v="1"/>
    <s v="United States"/>
    <s v="Baltimore"/>
    <x v="39"/>
    <n v="21215"/>
    <x v="3"/>
    <x v="198"/>
    <x v="1"/>
    <x v="2"/>
    <x v="199"/>
    <x v="2986"/>
    <x v="5"/>
    <x v="3"/>
  </r>
  <r>
    <n v="6465"/>
    <x v="3221"/>
    <x v="897"/>
    <d v="2017-09-28T00:00:00"/>
    <s v="Standard Class"/>
    <x v="357"/>
    <s v="Ann Steele"/>
    <x v="2"/>
    <s v="United States"/>
    <s v="Louisville"/>
    <x v="0"/>
    <n v="40214"/>
    <x v="0"/>
    <x v="1494"/>
    <x v="0"/>
    <x v="5"/>
    <x v="1482"/>
    <x v="2484"/>
    <x v="8"/>
    <x v="0"/>
  </r>
  <r>
    <n v="6466"/>
    <x v="3222"/>
    <x v="50"/>
    <d v="2016-11-17T00:00:00"/>
    <s v="Standard Class"/>
    <x v="211"/>
    <s v="Allen Armold"/>
    <x v="0"/>
    <s v="United States"/>
    <s v="Lebanon"/>
    <x v="18"/>
    <n v="37087"/>
    <x v="0"/>
    <x v="1754"/>
    <x v="1"/>
    <x v="4"/>
    <x v="1744"/>
    <x v="4311"/>
    <x v="0"/>
    <x v="1"/>
  </r>
  <r>
    <n v="6467"/>
    <x v="3223"/>
    <x v="1053"/>
    <d v="2018-05-25T00:00:00"/>
    <s v="Second Class"/>
    <x v="13"/>
    <s v="Eric Hoffmann"/>
    <x v="0"/>
    <s v="United States"/>
    <s v="Los Angeles"/>
    <x v="1"/>
    <n v="90008"/>
    <x v="1"/>
    <x v="1599"/>
    <x v="2"/>
    <x v="11"/>
    <x v="1591"/>
    <x v="3658"/>
    <x v="5"/>
    <x v="3"/>
  </r>
  <r>
    <n v="6468"/>
    <x v="3224"/>
    <x v="499"/>
    <d v="2017-12-08T00:00:00"/>
    <s v="Standard Class"/>
    <x v="489"/>
    <s v="Deborah Brumfield"/>
    <x v="2"/>
    <s v="United States"/>
    <s v="Providence"/>
    <x v="34"/>
    <n v="2908"/>
    <x v="3"/>
    <x v="403"/>
    <x v="1"/>
    <x v="4"/>
    <x v="404"/>
    <x v="4312"/>
    <x v="4"/>
    <x v="0"/>
  </r>
  <r>
    <n v="6469"/>
    <x v="3224"/>
    <x v="499"/>
    <d v="2017-12-08T00:00:00"/>
    <s v="Standard Class"/>
    <x v="489"/>
    <s v="Deborah Brumfield"/>
    <x v="2"/>
    <s v="United States"/>
    <s v="Providence"/>
    <x v="34"/>
    <n v="2908"/>
    <x v="3"/>
    <x v="1066"/>
    <x v="2"/>
    <x v="7"/>
    <x v="1055"/>
    <x v="3125"/>
    <x v="4"/>
    <x v="0"/>
  </r>
  <r>
    <n v="6470"/>
    <x v="3224"/>
    <x v="499"/>
    <d v="2017-12-08T00:00:00"/>
    <s v="Standard Class"/>
    <x v="489"/>
    <s v="Deborah Brumfield"/>
    <x v="2"/>
    <s v="United States"/>
    <s v="Providence"/>
    <x v="34"/>
    <n v="2908"/>
    <x v="3"/>
    <x v="441"/>
    <x v="0"/>
    <x v="5"/>
    <x v="1719"/>
    <x v="4313"/>
    <x v="4"/>
    <x v="0"/>
  </r>
  <r>
    <n v="6471"/>
    <x v="3225"/>
    <x v="1111"/>
    <d v="2016-09-02T00:00:00"/>
    <s v="Standard Class"/>
    <x v="385"/>
    <s v="Chad Cunningham"/>
    <x v="2"/>
    <s v="United States"/>
    <s v="Detroit"/>
    <x v="12"/>
    <n v="48234"/>
    <x v="2"/>
    <x v="984"/>
    <x v="2"/>
    <x v="7"/>
    <x v="977"/>
    <x v="203"/>
    <x v="6"/>
    <x v="1"/>
  </r>
  <r>
    <n v="6472"/>
    <x v="3225"/>
    <x v="1111"/>
    <d v="2016-09-02T00:00:00"/>
    <s v="Standard Class"/>
    <x v="385"/>
    <s v="Chad Cunningham"/>
    <x v="2"/>
    <s v="United States"/>
    <s v="Detroit"/>
    <x v="12"/>
    <n v="48234"/>
    <x v="2"/>
    <x v="960"/>
    <x v="2"/>
    <x v="11"/>
    <x v="953"/>
    <x v="4314"/>
    <x v="6"/>
    <x v="1"/>
  </r>
  <r>
    <n v="6473"/>
    <x v="3226"/>
    <x v="571"/>
    <d v="2015-06-10T00:00:00"/>
    <s v="Standard Class"/>
    <x v="725"/>
    <s v="Valerie Takahito"/>
    <x v="2"/>
    <s v="United States"/>
    <s v="Houston"/>
    <x v="5"/>
    <n v="77070"/>
    <x v="2"/>
    <x v="300"/>
    <x v="1"/>
    <x v="2"/>
    <x v="300"/>
    <x v="316"/>
    <x v="1"/>
    <x v="2"/>
  </r>
  <r>
    <n v="6474"/>
    <x v="3227"/>
    <x v="196"/>
    <d v="2017-03-20T00:00:00"/>
    <s v="Second Class"/>
    <x v="72"/>
    <s v="Dave Brooks"/>
    <x v="0"/>
    <s v="United States"/>
    <s v="Columbia"/>
    <x v="18"/>
    <n v="38401"/>
    <x v="0"/>
    <x v="963"/>
    <x v="1"/>
    <x v="9"/>
    <x v="956"/>
    <x v="4315"/>
    <x v="10"/>
    <x v="0"/>
  </r>
  <r>
    <n v="6475"/>
    <x v="3228"/>
    <x v="1112"/>
    <d v="2015-01-15T00:00:00"/>
    <s v="First Class"/>
    <x v="29"/>
    <s v="Brendan Sweed"/>
    <x v="1"/>
    <s v="United States"/>
    <s v="Philadelphia"/>
    <x v="9"/>
    <n v="19140"/>
    <x v="3"/>
    <x v="927"/>
    <x v="0"/>
    <x v="0"/>
    <x v="920"/>
    <x v="1156"/>
    <x v="9"/>
    <x v="2"/>
  </r>
  <r>
    <n v="6476"/>
    <x v="3229"/>
    <x v="95"/>
    <d v="2018-06-10T00:00:00"/>
    <s v="Standard Class"/>
    <x v="749"/>
    <s v="Nick Radford"/>
    <x v="0"/>
    <s v="United States"/>
    <s v="Pembroke Pines"/>
    <x v="2"/>
    <n v="33024"/>
    <x v="0"/>
    <x v="881"/>
    <x v="1"/>
    <x v="8"/>
    <x v="875"/>
    <x v="4316"/>
    <x v="1"/>
    <x v="3"/>
  </r>
  <r>
    <n v="6477"/>
    <x v="3229"/>
    <x v="95"/>
    <d v="2018-06-10T00:00:00"/>
    <s v="Standard Class"/>
    <x v="749"/>
    <s v="Nick Radford"/>
    <x v="0"/>
    <s v="United States"/>
    <s v="Pembroke Pines"/>
    <x v="2"/>
    <n v="33024"/>
    <x v="0"/>
    <x v="189"/>
    <x v="1"/>
    <x v="9"/>
    <x v="190"/>
    <x v="4317"/>
    <x v="1"/>
    <x v="3"/>
  </r>
  <r>
    <n v="6478"/>
    <x v="3229"/>
    <x v="95"/>
    <d v="2018-06-10T00:00:00"/>
    <s v="Standard Class"/>
    <x v="749"/>
    <s v="Nick Radford"/>
    <x v="0"/>
    <s v="United States"/>
    <s v="Pembroke Pines"/>
    <x v="2"/>
    <n v="33024"/>
    <x v="0"/>
    <x v="217"/>
    <x v="2"/>
    <x v="11"/>
    <x v="218"/>
    <x v="4318"/>
    <x v="1"/>
    <x v="3"/>
  </r>
  <r>
    <n v="6479"/>
    <x v="3229"/>
    <x v="95"/>
    <d v="2018-06-10T00:00:00"/>
    <s v="Standard Class"/>
    <x v="749"/>
    <s v="Nick Radford"/>
    <x v="0"/>
    <s v="United States"/>
    <s v="Pembroke Pines"/>
    <x v="2"/>
    <n v="33024"/>
    <x v="0"/>
    <x v="1145"/>
    <x v="1"/>
    <x v="10"/>
    <x v="1133"/>
    <x v="12"/>
    <x v="1"/>
    <x v="3"/>
  </r>
  <r>
    <n v="6480"/>
    <x v="3229"/>
    <x v="95"/>
    <d v="2018-06-10T00:00:00"/>
    <s v="Standard Class"/>
    <x v="749"/>
    <s v="Nick Radford"/>
    <x v="0"/>
    <s v="United States"/>
    <s v="Pembroke Pines"/>
    <x v="2"/>
    <n v="33024"/>
    <x v="0"/>
    <x v="1066"/>
    <x v="2"/>
    <x v="7"/>
    <x v="1055"/>
    <x v="178"/>
    <x v="1"/>
    <x v="3"/>
  </r>
  <r>
    <n v="6481"/>
    <x v="3229"/>
    <x v="95"/>
    <d v="2018-06-10T00:00:00"/>
    <s v="Standard Class"/>
    <x v="749"/>
    <s v="Nick Radford"/>
    <x v="0"/>
    <s v="United States"/>
    <s v="Pembroke Pines"/>
    <x v="2"/>
    <n v="33024"/>
    <x v="0"/>
    <x v="1298"/>
    <x v="1"/>
    <x v="9"/>
    <x v="1283"/>
    <x v="4319"/>
    <x v="1"/>
    <x v="3"/>
  </r>
  <r>
    <n v="6482"/>
    <x v="3229"/>
    <x v="95"/>
    <d v="2018-06-10T00:00:00"/>
    <s v="Standard Class"/>
    <x v="749"/>
    <s v="Nick Radford"/>
    <x v="0"/>
    <s v="United States"/>
    <s v="Pembroke Pines"/>
    <x v="2"/>
    <n v="33024"/>
    <x v="0"/>
    <x v="415"/>
    <x v="0"/>
    <x v="0"/>
    <x v="415"/>
    <x v="472"/>
    <x v="1"/>
    <x v="3"/>
  </r>
  <r>
    <n v="6483"/>
    <x v="3229"/>
    <x v="95"/>
    <d v="2018-06-10T00:00:00"/>
    <s v="Standard Class"/>
    <x v="749"/>
    <s v="Nick Radford"/>
    <x v="0"/>
    <s v="United States"/>
    <s v="Pembroke Pines"/>
    <x v="2"/>
    <n v="33024"/>
    <x v="0"/>
    <x v="1615"/>
    <x v="2"/>
    <x v="11"/>
    <x v="1606"/>
    <x v="4320"/>
    <x v="1"/>
    <x v="3"/>
  </r>
  <r>
    <n v="6484"/>
    <x v="3230"/>
    <x v="95"/>
    <d v="2018-06-09T00:00:00"/>
    <s v="Standard Class"/>
    <x v="471"/>
    <s v="Katherine Nockton"/>
    <x v="1"/>
    <s v="United States"/>
    <s v="New York City"/>
    <x v="15"/>
    <n v="10011"/>
    <x v="3"/>
    <x v="855"/>
    <x v="0"/>
    <x v="3"/>
    <x v="848"/>
    <x v="4321"/>
    <x v="1"/>
    <x v="3"/>
  </r>
  <r>
    <n v="6485"/>
    <x v="3230"/>
    <x v="95"/>
    <d v="2018-06-09T00:00:00"/>
    <s v="Standard Class"/>
    <x v="471"/>
    <s v="Katherine Nockton"/>
    <x v="1"/>
    <s v="United States"/>
    <s v="New York City"/>
    <x v="15"/>
    <n v="10011"/>
    <x v="3"/>
    <x v="1728"/>
    <x v="2"/>
    <x v="15"/>
    <x v="1715"/>
    <x v="4322"/>
    <x v="1"/>
    <x v="3"/>
  </r>
  <r>
    <n v="6486"/>
    <x v="3230"/>
    <x v="95"/>
    <d v="2018-06-09T00:00:00"/>
    <s v="Standard Class"/>
    <x v="471"/>
    <s v="Katherine Nockton"/>
    <x v="1"/>
    <s v="United States"/>
    <s v="New York City"/>
    <x v="15"/>
    <n v="10011"/>
    <x v="3"/>
    <x v="752"/>
    <x v="1"/>
    <x v="10"/>
    <x v="750"/>
    <x v="1544"/>
    <x v="1"/>
    <x v="3"/>
  </r>
  <r>
    <n v="6487"/>
    <x v="3231"/>
    <x v="1113"/>
    <d v="2016-03-26T00:00:00"/>
    <s v="Standard Class"/>
    <x v="493"/>
    <s v="Julia West"/>
    <x v="0"/>
    <s v="United States"/>
    <s v="Jacksonville"/>
    <x v="3"/>
    <n v="28540"/>
    <x v="0"/>
    <x v="227"/>
    <x v="1"/>
    <x v="9"/>
    <x v="228"/>
    <x v="4323"/>
    <x v="10"/>
    <x v="1"/>
  </r>
  <r>
    <n v="6488"/>
    <x v="3231"/>
    <x v="1113"/>
    <d v="2016-03-26T00:00:00"/>
    <s v="Standard Class"/>
    <x v="493"/>
    <s v="Julia West"/>
    <x v="0"/>
    <s v="United States"/>
    <s v="Jacksonville"/>
    <x v="3"/>
    <n v="28540"/>
    <x v="0"/>
    <x v="1395"/>
    <x v="1"/>
    <x v="8"/>
    <x v="1382"/>
    <x v="4324"/>
    <x v="10"/>
    <x v="1"/>
  </r>
  <r>
    <n v="6489"/>
    <x v="3231"/>
    <x v="1113"/>
    <d v="2016-03-26T00:00:00"/>
    <s v="Standard Class"/>
    <x v="493"/>
    <s v="Julia West"/>
    <x v="0"/>
    <s v="United States"/>
    <s v="Jacksonville"/>
    <x v="3"/>
    <n v="28540"/>
    <x v="0"/>
    <x v="145"/>
    <x v="1"/>
    <x v="10"/>
    <x v="146"/>
    <x v="4325"/>
    <x v="10"/>
    <x v="1"/>
  </r>
  <r>
    <n v="6490"/>
    <x v="3232"/>
    <x v="20"/>
    <d v="2018-09-24T00:00:00"/>
    <s v="Standard Class"/>
    <x v="341"/>
    <s v="Jessica Myrick"/>
    <x v="0"/>
    <s v="United States"/>
    <s v="New York City"/>
    <x v="15"/>
    <n v="10011"/>
    <x v="3"/>
    <x v="1434"/>
    <x v="1"/>
    <x v="10"/>
    <x v="1422"/>
    <x v="56"/>
    <x v="8"/>
    <x v="3"/>
  </r>
  <r>
    <n v="6491"/>
    <x v="3233"/>
    <x v="1114"/>
    <d v="2015-09-19T00:00:00"/>
    <s v="Standard Class"/>
    <x v="751"/>
    <s v="Monica Federle"/>
    <x v="1"/>
    <s v="United States"/>
    <s v="Philadelphia"/>
    <x v="9"/>
    <n v="19120"/>
    <x v="3"/>
    <x v="596"/>
    <x v="0"/>
    <x v="5"/>
    <x v="596"/>
    <x v="4326"/>
    <x v="8"/>
    <x v="2"/>
  </r>
  <r>
    <n v="6492"/>
    <x v="3234"/>
    <x v="73"/>
    <d v="2017-11-25T00:00:00"/>
    <s v="Standard Class"/>
    <x v="135"/>
    <s v="Frank Atkinson"/>
    <x v="1"/>
    <s v="United States"/>
    <s v="Orlando"/>
    <x v="2"/>
    <n v="32839"/>
    <x v="0"/>
    <x v="199"/>
    <x v="0"/>
    <x v="0"/>
    <x v="200"/>
    <x v="4327"/>
    <x v="0"/>
    <x v="0"/>
  </r>
  <r>
    <n v="6493"/>
    <x v="3234"/>
    <x v="73"/>
    <d v="2017-11-25T00:00:00"/>
    <s v="Standard Class"/>
    <x v="135"/>
    <s v="Frank Atkinson"/>
    <x v="1"/>
    <s v="United States"/>
    <s v="Orlando"/>
    <x v="2"/>
    <n v="32839"/>
    <x v="0"/>
    <x v="337"/>
    <x v="1"/>
    <x v="4"/>
    <x v="337"/>
    <x v="4328"/>
    <x v="0"/>
    <x v="0"/>
  </r>
  <r>
    <n v="6494"/>
    <x v="3234"/>
    <x v="73"/>
    <d v="2017-11-25T00:00:00"/>
    <s v="Standard Class"/>
    <x v="135"/>
    <s v="Frank Atkinson"/>
    <x v="1"/>
    <s v="United States"/>
    <s v="Orlando"/>
    <x v="2"/>
    <n v="32839"/>
    <x v="0"/>
    <x v="1081"/>
    <x v="2"/>
    <x v="7"/>
    <x v="1071"/>
    <x v="4329"/>
    <x v="0"/>
    <x v="0"/>
  </r>
  <r>
    <n v="6495"/>
    <x v="3235"/>
    <x v="960"/>
    <d v="2018-11-01T00:00:00"/>
    <s v="Second Class"/>
    <x v="168"/>
    <s v="Keith Herrera"/>
    <x v="0"/>
    <s v="United States"/>
    <s v="Houston"/>
    <x v="5"/>
    <n v="77095"/>
    <x v="2"/>
    <x v="46"/>
    <x v="2"/>
    <x v="11"/>
    <x v="46"/>
    <x v="728"/>
    <x v="2"/>
    <x v="3"/>
  </r>
  <r>
    <n v="6496"/>
    <x v="3235"/>
    <x v="960"/>
    <d v="2018-11-01T00:00:00"/>
    <s v="Second Class"/>
    <x v="168"/>
    <s v="Keith Herrera"/>
    <x v="0"/>
    <s v="United States"/>
    <s v="Houston"/>
    <x v="5"/>
    <n v="77095"/>
    <x v="2"/>
    <x v="289"/>
    <x v="1"/>
    <x v="10"/>
    <x v="289"/>
    <x v="12"/>
    <x v="2"/>
    <x v="3"/>
  </r>
  <r>
    <n v="6497"/>
    <x v="3235"/>
    <x v="960"/>
    <d v="2018-11-01T00:00:00"/>
    <s v="Second Class"/>
    <x v="168"/>
    <s v="Keith Herrera"/>
    <x v="0"/>
    <s v="United States"/>
    <s v="Houston"/>
    <x v="5"/>
    <n v="77095"/>
    <x v="2"/>
    <x v="960"/>
    <x v="2"/>
    <x v="11"/>
    <x v="953"/>
    <x v="2627"/>
    <x v="2"/>
    <x v="3"/>
  </r>
  <r>
    <n v="6498"/>
    <x v="3236"/>
    <x v="1115"/>
    <d v="2016-07-28T00:00:00"/>
    <s v="Standard Class"/>
    <x v="776"/>
    <s v="Shirley Schmidt"/>
    <x v="2"/>
    <s v="United States"/>
    <s v="Louisville"/>
    <x v="0"/>
    <n v="40214"/>
    <x v="0"/>
    <x v="5"/>
    <x v="0"/>
    <x v="5"/>
    <x v="5"/>
    <x v="167"/>
    <x v="7"/>
    <x v="1"/>
  </r>
  <r>
    <n v="6499"/>
    <x v="3236"/>
    <x v="1115"/>
    <d v="2016-07-28T00:00:00"/>
    <s v="Standard Class"/>
    <x v="776"/>
    <s v="Shirley Schmidt"/>
    <x v="2"/>
    <s v="United States"/>
    <s v="Louisville"/>
    <x v="0"/>
    <n v="40214"/>
    <x v="0"/>
    <x v="491"/>
    <x v="1"/>
    <x v="8"/>
    <x v="491"/>
    <x v="4330"/>
    <x v="7"/>
    <x v="1"/>
  </r>
  <r>
    <n v="6500"/>
    <x v="3236"/>
    <x v="1115"/>
    <d v="2016-07-28T00:00:00"/>
    <s v="Standard Class"/>
    <x v="776"/>
    <s v="Shirley Schmidt"/>
    <x v="2"/>
    <s v="United States"/>
    <s v="Louisville"/>
    <x v="0"/>
    <n v="40214"/>
    <x v="0"/>
    <x v="1235"/>
    <x v="2"/>
    <x v="11"/>
    <x v="1218"/>
    <x v="4331"/>
    <x v="7"/>
    <x v="1"/>
  </r>
  <r>
    <n v="6501"/>
    <x v="3236"/>
    <x v="1115"/>
    <d v="2016-07-28T00:00:00"/>
    <s v="Standard Class"/>
    <x v="776"/>
    <s v="Shirley Schmidt"/>
    <x v="2"/>
    <s v="United States"/>
    <s v="Louisville"/>
    <x v="0"/>
    <n v="40214"/>
    <x v="0"/>
    <x v="491"/>
    <x v="1"/>
    <x v="8"/>
    <x v="491"/>
    <x v="4332"/>
    <x v="7"/>
    <x v="1"/>
  </r>
  <r>
    <n v="6502"/>
    <x v="3237"/>
    <x v="981"/>
    <d v="2015-11-06T00:00:00"/>
    <s v="Standard Class"/>
    <x v="702"/>
    <s v="Liz Carlisle"/>
    <x v="0"/>
    <s v="United States"/>
    <s v="Medina"/>
    <x v="24"/>
    <n v="44256"/>
    <x v="3"/>
    <x v="1501"/>
    <x v="2"/>
    <x v="7"/>
    <x v="1489"/>
    <x v="2590"/>
    <x v="0"/>
    <x v="2"/>
  </r>
  <r>
    <n v="6503"/>
    <x v="3237"/>
    <x v="981"/>
    <d v="2015-11-06T00:00:00"/>
    <s v="Standard Class"/>
    <x v="702"/>
    <s v="Liz Carlisle"/>
    <x v="0"/>
    <s v="United States"/>
    <s v="Medina"/>
    <x v="24"/>
    <n v="44256"/>
    <x v="3"/>
    <x v="179"/>
    <x v="2"/>
    <x v="7"/>
    <x v="180"/>
    <x v="4333"/>
    <x v="0"/>
    <x v="2"/>
  </r>
  <r>
    <n v="6504"/>
    <x v="3237"/>
    <x v="981"/>
    <d v="2015-11-06T00:00:00"/>
    <s v="Standard Class"/>
    <x v="702"/>
    <s v="Liz Carlisle"/>
    <x v="0"/>
    <s v="United States"/>
    <s v="Medina"/>
    <x v="24"/>
    <n v="44256"/>
    <x v="3"/>
    <x v="410"/>
    <x v="1"/>
    <x v="8"/>
    <x v="410"/>
    <x v="4334"/>
    <x v="0"/>
    <x v="2"/>
  </r>
  <r>
    <n v="6505"/>
    <x v="3238"/>
    <x v="701"/>
    <d v="2018-11-22T00:00:00"/>
    <s v="Second Class"/>
    <x v="100"/>
    <s v="Victoria Wilson"/>
    <x v="1"/>
    <s v="United States"/>
    <s v="New York City"/>
    <x v="15"/>
    <n v="10011"/>
    <x v="3"/>
    <x v="403"/>
    <x v="1"/>
    <x v="4"/>
    <x v="404"/>
    <x v="1421"/>
    <x v="0"/>
    <x v="3"/>
  </r>
  <r>
    <n v="6506"/>
    <x v="3239"/>
    <x v="190"/>
    <d v="2017-06-30T00:00:00"/>
    <s v="Standard Class"/>
    <x v="777"/>
    <s v="Lela Donovan"/>
    <x v="1"/>
    <s v="United States"/>
    <s v="Chicago"/>
    <x v="10"/>
    <n v="60653"/>
    <x v="2"/>
    <x v="147"/>
    <x v="1"/>
    <x v="6"/>
    <x v="148"/>
    <x v="4335"/>
    <x v="1"/>
    <x v="0"/>
  </r>
  <r>
    <n v="6507"/>
    <x v="3240"/>
    <x v="790"/>
    <d v="2017-10-11T00:00:00"/>
    <s v="Second Class"/>
    <x v="259"/>
    <s v="Sibella Parks"/>
    <x v="1"/>
    <s v="United States"/>
    <s v="Philadelphia"/>
    <x v="9"/>
    <n v="19143"/>
    <x v="3"/>
    <x v="1774"/>
    <x v="1"/>
    <x v="10"/>
    <x v="1764"/>
    <x v="4336"/>
    <x v="2"/>
    <x v="0"/>
  </r>
  <r>
    <n v="6508"/>
    <x v="3240"/>
    <x v="790"/>
    <d v="2017-10-11T00:00:00"/>
    <s v="Second Class"/>
    <x v="259"/>
    <s v="Sibella Parks"/>
    <x v="1"/>
    <s v="United States"/>
    <s v="Philadelphia"/>
    <x v="9"/>
    <n v="19143"/>
    <x v="3"/>
    <x v="575"/>
    <x v="0"/>
    <x v="5"/>
    <x v="575"/>
    <x v="4337"/>
    <x v="2"/>
    <x v="0"/>
  </r>
  <r>
    <n v="6509"/>
    <x v="3241"/>
    <x v="698"/>
    <d v="2018-12-26T00:00:00"/>
    <s v="Standard Class"/>
    <x v="83"/>
    <s v="David Kendrick"/>
    <x v="1"/>
    <s v="United States"/>
    <s v="New York City"/>
    <x v="15"/>
    <n v="10009"/>
    <x v="3"/>
    <x v="314"/>
    <x v="1"/>
    <x v="10"/>
    <x v="366"/>
    <x v="999"/>
    <x v="4"/>
    <x v="3"/>
  </r>
  <r>
    <n v="6510"/>
    <x v="3241"/>
    <x v="698"/>
    <d v="2018-12-26T00:00:00"/>
    <s v="Standard Class"/>
    <x v="83"/>
    <s v="David Kendrick"/>
    <x v="1"/>
    <s v="United States"/>
    <s v="New York City"/>
    <x v="15"/>
    <n v="10009"/>
    <x v="3"/>
    <x v="301"/>
    <x v="1"/>
    <x v="8"/>
    <x v="301"/>
    <x v="4338"/>
    <x v="4"/>
    <x v="3"/>
  </r>
  <r>
    <n v="6511"/>
    <x v="3241"/>
    <x v="698"/>
    <d v="2018-12-26T00:00:00"/>
    <s v="Standard Class"/>
    <x v="83"/>
    <s v="David Kendrick"/>
    <x v="1"/>
    <s v="United States"/>
    <s v="New York City"/>
    <x v="15"/>
    <n v="10009"/>
    <x v="3"/>
    <x v="752"/>
    <x v="1"/>
    <x v="10"/>
    <x v="750"/>
    <x v="880"/>
    <x v="4"/>
    <x v="3"/>
  </r>
  <r>
    <n v="6512"/>
    <x v="3242"/>
    <x v="904"/>
    <d v="2018-03-10T00:00:00"/>
    <s v="Standard Class"/>
    <x v="763"/>
    <s v="Frank Carlisle"/>
    <x v="2"/>
    <s v="United States"/>
    <s v="San Francisco"/>
    <x v="1"/>
    <n v="94109"/>
    <x v="1"/>
    <x v="703"/>
    <x v="1"/>
    <x v="6"/>
    <x v="703"/>
    <x v="1680"/>
    <x v="10"/>
    <x v="3"/>
  </r>
  <r>
    <n v="6513"/>
    <x v="3242"/>
    <x v="904"/>
    <d v="2018-03-10T00:00:00"/>
    <s v="Standard Class"/>
    <x v="763"/>
    <s v="Frank Carlisle"/>
    <x v="2"/>
    <s v="United States"/>
    <s v="San Francisco"/>
    <x v="1"/>
    <n v="94109"/>
    <x v="1"/>
    <x v="1363"/>
    <x v="1"/>
    <x v="2"/>
    <x v="1349"/>
    <x v="132"/>
    <x v="10"/>
    <x v="3"/>
  </r>
  <r>
    <n v="6514"/>
    <x v="3242"/>
    <x v="904"/>
    <d v="2018-03-10T00:00:00"/>
    <s v="Standard Class"/>
    <x v="763"/>
    <s v="Frank Carlisle"/>
    <x v="2"/>
    <s v="United States"/>
    <s v="San Francisco"/>
    <x v="1"/>
    <n v="94109"/>
    <x v="1"/>
    <x v="1522"/>
    <x v="1"/>
    <x v="10"/>
    <x v="1509"/>
    <x v="2313"/>
    <x v="10"/>
    <x v="3"/>
  </r>
  <r>
    <n v="6515"/>
    <x v="3242"/>
    <x v="904"/>
    <d v="2018-03-10T00:00:00"/>
    <s v="Standard Class"/>
    <x v="763"/>
    <s v="Frank Carlisle"/>
    <x v="2"/>
    <s v="United States"/>
    <s v="San Francisco"/>
    <x v="1"/>
    <n v="94109"/>
    <x v="1"/>
    <x v="957"/>
    <x v="2"/>
    <x v="7"/>
    <x v="950"/>
    <x v="4339"/>
    <x v="10"/>
    <x v="3"/>
  </r>
  <r>
    <n v="6516"/>
    <x v="3243"/>
    <x v="175"/>
    <d v="2018-09-19T00:00:00"/>
    <s v="Standard Class"/>
    <x v="502"/>
    <s v="Rick Duston"/>
    <x v="0"/>
    <s v="United States"/>
    <s v="San Francisco"/>
    <x v="1"/>
    <n v="94122"/>
    <x v="1"/>
    <x v="955"/>
    <x v="0"/>
    <x v="1"/>
    <x v="948"/>
    <x v="286"/>
    <x v="8"/>
    <x v="3"/>
  </r>
  <r>
    <n v="6517"/>
    <x v="3243"/>
    <x v="175"/>
    <d v="2018-09-19T00:00:00"/>
    <s v="Standard Class"/>
    <x v="502"/>
    <s v="Rick Duston"/>
    <x v="0"/>
    <s v="United States"/>
    <s v="San Francisco"/>
    <x v="1"/>
    <n v="94122"/>
    <x v="1"/>
    <x v="1060"/>
    <x v="0"/>
    <x v="5"/>
    <x v="1049"/>
    <x v="4340"/>
    <x v="8"/>
    <x v="3"/>
  </r>
  <r>
    <n v="6518"/>
    <x v="3243"/>
    <x v="175"/>
    <d v="2018-09-19T00:00:00"/>
    <s v="Standard Class"/>
    <x v="502"/>
    <s v="Rick Duston"/>
    <x v="0"/>
    <s v="United States"/>
    <s v="San Francisco"/>
    <x v="1"/>
    <n v="94122"/>
    <x v="1"/>
    <x v="1068"/>
    <x v="1"/>
    <x v="6"/>
    <x v="1057"/>
    <x v="4341"/>
    <x v="8"/>
    <x v="3"/>
  </r>
  <r>
    <n v="6519"/>
    <x v="3243"/>
    <x v="175"/>
    <d v="2018-09-19T00:00:00"/>
    <s v="Standard Class"/>
    <x v="502"/>
    <s v="Rick Duston"/>
    <x v="0"/>
    <s v="United States"/>
    <s v="San Francisco"/>
    <x v="1"/>
    <n v="94122"/>
    <x v="1"/>
    <x v="1309"/>
    <x v="1"/>
    <x v="9"/>
    <x v="1294"/>
    <x v="4342"/>
    <x v="8"/>
    <x v="3"/>
  </r>
  <r>
    <n v="6520"/>
    <x v="3243"/>
    <x v="175"/>
    <d v="2018-09-19T00:00:00"/>
    <s v="Standard Class"/>
    <x v="502"/>
    <s v="Rick Duston"/>
    <x v="0"/>
    <s v="United States"/>
    <s v="San Francisco"/>
    <x v="1"/>
    <n v="94122"/>
    <x v="1"/>
    <x v="472"/>
    <x v="1"/>
    <x v="8"/>
    <x v="473"/>
    <x v="638"/>
    <x v="8"/>
    <x v="3"/>
  </r>
  <r>
    <n v="6521"/>
    <x v="3244"/>
    <x v="1034"/>
    <d v="2018-01-18T00:00:00"/>
    <s v="Second Class"/>
    <x v="481"/>
    <s v="Andy Reiter"/>
    <x v="0"/>
    <s v="United States"/>
    <s v="Jackson"/>
    <x v="12"/>
    <n v="49201"/>
    <x v="2"/>
    <x v="316"/>
    <x v="1"/>
    <x v="8"/>
    <x v="316"/>
    <x v="4343"/>
    <x v="9"/>
    <x v="3"/>
  </r>
  <r>
    <n v="6522"/>
    <x v="3244"/>
    <x v="1034"/>
    <d v="2018-01-18T00:00:00"/>
    <s v="Second Class"/>
    <x v="481"/>
    <s v="Andy Reiter"/>
    <x v="0"/>
    <s v="United States"/>
    <s v="Jackson"/>
    <x v="12"/>
    <n v="49201"/>
    <x v="2"/>
    <x v="1719"/>
    <x v="0"/>
    <x v="1"/>
    <x v="1706"/>
    <x v="3607"/>
    <x v="9"/>
    <x v="3"/>
  </r>
  <r>
    <n v="6523"/>
    <x v="3244"/>
    <x v="1034"/>
    <d v="2018-01-18T00:00:00"/>
    <s v="Second Class"/>
    <x v="481"/>
    <s v="Andy Reiter"/>
    <x v="0"/>
    <s v="United States"/>
    <s v="Jackson"/>
    <x v="12"/>
    <n v="49201"/>
    <x v="2"/>
    <x v="1788"/>
    <x v="1"/>
    <x v="10"/>
    <x v="1778"/>
    <x v="4344"/>
    <x v="9"/>
    <x v="3"/>
  </r>
  <r>
    <n v="6524"/>
    <x v="3245"/>
    <x v="274"/>
    <d v="2017-07-13T00:00:00"/>
    <s v="Standard Class"/>
    <x v="385"/>
    <s v="Chad Cunningham"/>
    <x v="2"/>
    <s v="United States"/>
    <s v="Philadelphia"/>
    <x v="9"/>
    <n v="19120"/>
    <x v="3"/>
    <x v="1621"/>
    <x v="1"/>
    <x v="2"/>
    <x v="1612"/>
    <x v="1942"/>
    <x v="7"/>
    <x v="0"/>
  </r>
  <r>
    <n v="6525"/>
    <x v="3245"/>
    <x v="274"/>
    <d v="2017-07-13T00:00:00"/>
    <s v="Standard Class"/>
    <x v="385"/>
    <s v="Chad Cunningham"/>
    <x v="2"/>
    <s v="United States"/>
    <s v="Philadelphia"/>
    <x v="9"/>
    <n v="19120"/>
    <x v="3"/>
    <x v="966"/>
    <x v="2"/>
    <x v="7"/>
    <x v="959"/>
    <x v="2837"/>
    <x v="7"/>
    <x v="0"/>
  </r>
  <r>
    <n v="6526"/>
    <x v="3245"/>
    <x v="274"/>
    <d v="2017-07-13T00:00:00"/>
    <s v="Standard Class"/>
    <x v="385"/>
    <s v="Chad Cunningham"/>
    <x v="2"/>
    <s v="United States"/>
    <s v="Philadelphia"/>
    <x v="9"/>
    <n v="19120"/>
    <x v="3"/>
    <x v="31"/>
    <x v="1"/>
    <x v="8"/>
    <x v="31"/>
    <x v="3416"/>
    <x v="7"/>
    <x v="0"/>
  </r>
  <r>
    <n v="6527"/>
    <x v="3245"/>
    <x v="274"/>
    <d v="2017-07-13T00:00:00"/>
    <s v="Standard Class"/>
    <x v="385"/>
    <s v="Chad Cunningham"/>
    <x v="2"/>
    <s v="United States"/>
    <s v="Philadelphia"/>
    <x v="9"/>
    <n v="19120"/>
    <x v="3"/>
    <x v="1375"/>
    <x v="1"/>
    <x v="8"/>
    <x v="1360"/>
    <x v="2276"/>
    <x v="7"/>
    <x v="0"/>
  </r>
  <r>
    <n v="6528"/>
    <x v="3246"/>
    <x v="443"/>
    <d v="2017-12-28T00:00:00"/>
    <s v="Second Class"/>
    <x v="662"/>
    <s v="Carol Adams"/>
    <x v="1"/>
    <s v="United States"/>
    <s v="Warwick"/>
    <x v="34"/>
    <n v="2886"/>
    <x v="3"/>
    <x v="615"/>
    <x v="2"/>
    <x v="16"/>
    <x v="615"/>
    <x v="3969"/>
    <x v="4"/>
    <x v="0"/>
  </r>
  <r>
    <n v="6529"/>
    <x v="3247"/>
    <x v="1091"/>
    <d v="2015-12-26T00:00:00"/>
    <s v="Standard Class"/>
    <x v="404"/>
    <s v="Bradley Talbott"/>
    <x v="2"/>
    <s v="United States"/>
    <s v="New York City"/>
    <x v="15"/>
    <n v="10024"/>
    <x v="3"/>
    <x v="1789"/>
    <x v="1"/>
    <x v="4"/>
    <x v="1779"/>
    <x v="4345"/>
    <x v="4"/>
    <x v="2"/>
  </r>
  <r>
    <n v="6530"/>
    <x v="3248"/>
    <x v="1116"/>
    <d v="2015-02-27T00:00:00"/>
    <s v="Standard Class"/>
    <x v="675"/>
    <s v="Michael Grace"/>
    <x v="2"/>
    <s v="United States"/>
    <s v="El Paso"/>
    <x v="5"/>
    <n v="79907"/>
    <x v="2"/>
    <x v="865"/>
    <x v="1"/>
    <x v="2"/>
    <x v="859"/>
    <x v="4346"/>
    <x v="11"/>
    <x v="2"/>
  </r>
  <r>
    <n v="6531"/>
    <x v="3248"/>
    <x v="1116"/>
    <d v="2015-02-27T00:00:00"/>
    <s v="Standard Class"/>
    <x v="675"/>
    <s v="Michael Grace"/>
    <x v="2"/>
    <s v="United States"/>
    <s v="El Paso"/>
    <x v="5"/>
    <n v="79907"/>
    <x v="2"/>
    <x v="777"/>
    <x v="1"/>
    <x v="8"/>
    <x v="776"/>
    <x v="4347"/>
    <x v="11"/>
    <x v="2"/>
  </r>
  <r>
    <n v="6532"/>
    <x v="3249"/>
    <x v="769"/>
    <d v="2018-12-08T00:00:00"/>
    <s v="Standard Class"/>
    <x v="236"/>
    <s v="Theone Pippenger"/>
    <x v="0"/>
    <s v="United States"/>
    <s v="Rochester"/>
    <x v="11"/>
    <n v="55901"/>
    <x v="2"/>
    <x v="1039"/>
    <x v="1"/>
    <x v="6"/>
    <x v="1029"/>
    <x v="3355"/>
    <x v="4"/>
    <x v="3"/>
  </r>
  <r>
    <n v="6533"/>
    <x v="3249"/>
    <x v="769"/>
    <d v="2018-12-08T00:00:00"/>
    <s v="Standard Class"/>
    <x v="236"/>
    <s v="Theone Pippenger"/>
    <x v="0"/>
    <s v="United States"/>
    <s v="Rochester"/>
    <x v="11"/>
    <n v="55901"/>
    <x v="2"/>
    <x v="1779"/>
    <x v="2"/>
    <x v="11"/>
    <x v="1769"/>
    <x v="4348"/>
    <x v="4"/>
    <x v="3"/>
  </r>
  <r>
    <n v="6534"/>
    <x v="3249"/>
    <x v="769"/>
    <d v="2018-12-08T00:00:00"/>
    <s v="Standard Class"/>
    <x v="236"/>
    <s v="Theone Pippenger"/>
    <x v="0"/>
    <s v="United States"/>
    <s v="Rochester"/>
    <x v="11"/>
    <n v="55901"/>
    <x v="2"/>
    <x v="1593"/>
    <x v="2"/>
    <x v="11"/>
    <x v="1585"/>
    <x v="4349"/>
    <x v="4"/>
    <x v="3"/>
  </r>
  <r>
    <n v="6535"/>
    <x v="3250"/>
    <x v="664"/>
    <d v="2015-11-22T00:00:00"/>
    <s v="Standard Class"/>
    <x v="218"/>
    <s v="Greg Tran"/>
    <x v="0"/>
    <s v="United States"/>
    <s v="Buffalo"/>
    <x v="15"/>
    <n v="14215"/>
    <x v="3"/>
    <x v="1176"/>
    <x v="1"/>
    <x v="8"/>
    <x v="1162"/>
    <x v="4350"/>
    <x v="0"/>
    <x v="2"/>
  </r>
  <r>
    <n v="6536"/>
    <x v="3250"/>
    <x v="664"/>
    <d v="2015-11-22T00:00:00"/>
    <s v="Standard Class"/>
    <x v="218"/>
    <s v="Greg Tran"/>
    <x v="0"/>
    <s v="United States"/>
    <s v="Buffalo"/>
    <x v="15"/>
    <n v="14215"/>
    <x v="3"/>
    <x v="1248"/>
    <x v="0"/>
    <x v="0"/>
    <x v="1232"/>
    <x v="4351"/>
    <x v="0"/>
    <x v="2"/>
  </r>
  <r>
    <n v="6537"/>
    <x v="3251"/>
    <x v="22"/>
    <d v="2015-10-23T00:00:00"/>
    <s v="First Class"/>
    <x v="92"/>
    <s v="Fred Hopkins"/>
    <x v="1"/>
    <s v="United States"/>
    <s v="Knoxville"/>
    <x v="18"/>
    <n v="37918"/>
    <x v="0"/>
    <x v="962"/>
    <x v="0"/>
    <x v="3"/>
    <x v="955"/>
    <x v="4088"/>
    <x v="2"/>
    <x v="2"/>
  </r>
  <r>
    <n v="6538"/>
    <x v="3251"/>
    <x v="22"/>
    <d v="2015-10-23T00:00:00"/>
    <s v="First Class"/>
    <x v="92"/>
    <s v="Fred Hopkins"/>
    <x v="1"/>
    <s v="United States"/>
    <s v="Knoxville"/>
    <x v="18"/>
    <n v="37918"/>
    <x v="0"/>
    <x v="356"/>
    <x v="1"/>
    <x v="4"/>
    <x v="356"/>
    <x v="2031"/>
    <x v="2"/>
    <x v="2"/>
  </r>
  <r>
    <n v="6539"/>
    <x v="3252"/>
    <x v="969"/>
    <d v="2016-10-30T00:00:00"/>
    <s v="Standard Class"/>
    <x v="96"/>
    <s v="Heather Kirkland"/>
    <x v="1"/>
    <s v="United States"/>
    <s v="Newark"/>
    <x v="13"/>
    <n v="19711"/>
    <x v="3"/>
    <x v="559"/>
    <x v="2"/>
    <x v="7"/>
    <x v="558"/>
    <x v="4352"/>
    <x v="2"/>
    <x v="1"/>
  </r>
  <r>
    <n v="6540"/>
    <x v="3252"/>
    <x v="969"/>
    <d v="2016-10-30T00:00:00"/>
    <s v="Standard Class"/>
    <x v="96"/>
    <s v="Heather Kirkland"/>
    <x v="1"/>
    <s v="United States"/>
    <s v="Newark"/>
    <x v="13"/>
    <n v="19711"/>
    <x v="3"/>
    <x v="1340"/>
    <x v="0"/>
    <x v="1"/>
    <x v="1325"/>
    <x v="4353"/>
    <x v="2"/>
    <x v="1"/>
  </r>
  <r>
    <n v="6541"/>
    <x v="3253"/>
    <x v="673"/>
    <d v="2018-11-19T00:00:00"/>
    <s v="First Class"/>
    <x v="417"/>
    <s v="Chris Cortes"/>
    <x v="0"/>
    <s v="United States"/>
    <s v="Seattle"/>
    <x v="4"/>
    <n v="98103"/>
    <x v="1"/>
    <x v="1635"/>
    <x v="1"/>
    <x v="10"/>
    <x v="1625"/>
    <x v="4354"/>
    <x v="0"/>
    <x v="3"/>
  </r>
  <r>
    <n v="6542"/>
    <x v="3253"/>
    <x v="673"/>
    <d v="2018-11-19T00:00:00"/>
    <s v="First Class"/>
    <x v="417"/>
    <s v="Chris Cortes"/>
    <x v="0"/>
    <s v="United States"/>
    <s v="Seattle"/>
    <x v="4"/>
    <n v="98103"/>
    <x v="1"/>
    <x v="583"/>
    <x v="0"/>
    <x v="5"/>
    <x v="583"/>
    <x v="1809"/>
    <x v="0"/>
    <x v="3"/>
  </r>
  <r>
    <n v="6543"/>
    <x v="3253"/>
    <x v="673"/>
    <d v="2018-11-19T00:00:00"/>
    <s v="First Class"/>
    <x v="417"/>
    <s v="Chris Cortes"/>
    <x v="0"/>
    <s v="United States"/>
    <s v="Seattle"/>
    <x v="4"/>
    <n v="98103"/>
    <x v="1"/>
    <x v="1517"/>
    <x v="2"/>
    <x v="7"/>
    <x v="1504"/>
    <x v="4070"/>
    <x v="0"/>
    <x v="3"/>
  </r>
  <r>
    <n v="6544"/>
    <x v="3253"/>
    <x v="673"/>
    <d v="2018-11-19T00:00:00"/>
    <s v="First Class"/>
    <x v="417"/>
    <s v="Chris Cortes"/>
    <x v="0"/>
    <s v="United States"/>
    <s v="Seattle"/>
    <x v="4"/>
    <n v="98103"/>
    <x v="1"/>
    <x v="1291"/>
    <x v="1"/>
    <x v="4"/>
    <x v="1277"/>
    <x v="3212"/>
    <x v="0"/>
    <x v="3"/>
  </r>
  <r>
    <n v="6545"/>
    <x v="3254"/>
    <x v="304"/>
    <d v="2018-05-18T00:00:00"/>
    <s v="Standard Class"/>
    <x v="24"/>
    <s v="Darren Powers"/>
    <x v="0"/>
    <s v="United States"/>
    <s v="Cleveland"/>
    <x v="24"/>
    <n v="44105"/>
    <x v="3"/>
    <x v="1561"/>
    <x v="1"/>
    <x v="8"/>
    <x v="1551"/>
    <x v="4355"/>
    <x v="5"/>
    <x v="3"/>
  </r>
  <r>
    <n v="6546"/>
    <x v="3254"/>
    <x v="304"/>
    <d v="2018-05-18T00:00:00"/>
    <s v="Standard Class"/>
    <x v="24"/>
    <s v="Darren Powers"/>
    <x v="0"/>
    <s v="United States"/>
    <s v="Cleveland"/>
    <x v="24"/>
    <n v="44105"/>
    <x v="3"/>
    <x v="840"/>
    <x v="1"/>
    <x v="2"/>
    <x v="834"/>
    <x v="1310"/>
    <x v="5"/>
    <x v="3"/>
  </r>
  <r>
    <n v="6547"/>
    <x v="3254"/>
    <x v="304"/>
    <d v="2018-05-18T00:00:00"/>
    <s v="Standard Class"/>
    <x v="24"/>
    <s v="Darren Powers"/>
    <x v="0"/>
    <s v="United States"/>
    <s v="Cleveland"/>
    <x v="24"/>
    <n v="44105"/>
    <x v="3"/>
    <x v="1693"/>
    <x v="1"/>
    <x v="10"/>
    <x v="1681"/>
    <x v="1609"/>
    <x v="5"/>
    <x v="3"/>
  </r>
  <r>
    <n v="6548"/>
    <x v="3255"/>
    <x v="72"/>
    <d v="2015-03-05T00:00:00"/>
    <s v="Standard Class"/>
    <x v="665"/>
    <s v="Vicky Freymann"/>
    <x v="2"/>
    <s v="United States"/>
    <s v="Elmhurst"/>
    <x v="10"/>
    <n v="60126"/>
    <x v="2"/>
    <x v="83"/>
    <x v="0"/>
    <x v="1"/>
    <x v="83"/>
    <x v="4356"/>
    <x v="10"/>
    <x v="2"/>
  </r>
  <r>
    <n v="6549"/>
    <x v="3255"/>
    <x v="72"/>
    <d v="2015-03-05T00:00:00"/>
    <s v="Standard Class"/>
    <x v="665"/>
    <s v="Vicky Freymann"/>
    <x v="2"/>
    <s v="United States"/>
    <s v="Elmhurst"/>
    <x v="10"/>
    <n v="60126"/>
    <x v="2"/>
    <x v="1749"/>
    <x v="1"/>
    <x v="10"/>
    <x v="1739"/>
    <x v="1121"/>
    <x v="10"/>
    <x v="2"/>
  </r>
  <r>
    <n v="6550"/>
    <x v="3256"/>
    <x v="117"/>
    <d v="2016-08-01T00:00:00"/>
    <s v="First Class"/>
    <x v="689"/>
    <s v="Gary Hansen"/>
    <x v="2"/>
    <s v="United States"/>
    <s v="Lakeville"/>
    <x v="11"/>
    <n v="55044"/>
    <x v="2"/>
    <x v="792"/>
    <x v="0"/>
    <x v="1"/>
    <x v="790"/>
    <x v="4357"/>
    <x v="7"/>
    <x v="1"/>
  </r>
  <r>
    <n v="6551"/>
    <x v="3257"/>
    <x v="549"/>
    <d v="2016-11-03T00:00:00"/>
    <s v="Second Class"/>
    <x v="423"/>
    <s v="Justin Hirsh"/>
    <x v="0"/>
    <s v="United States"/>
    <s v="New York City"/>
    <x v="15"/>
    <n v="10035"/>
    <x v="3"/>
    <x v="1455"/>
    <x v="0"/>
    <x v="1"/>
    <x v="1441"/>
    <x v="4358"/>
    <x v="0"/>
    <x v="1"/>
  </r>
  <r>
    <n v="6552"/>
    <x v="3258"/>
    <x v="819"/>
    <d v="2018-12-21T00:00:00"/>
    <s v="Second Class"/>
    <x v="46"/>
    <s v="Rick Bensley"/>
    <x v="2"/>
    <s v="United States"/>
    <s v="Los Angeles"/>
    <x v="1"/>
    <n v="90036"/>
    <x v="1"/>
    <x v="481"/>
    <x v="1"/>
    <x v="10"/>
    <x v="482"/>
    <x v="518"/>
    <x v="4"/>
    <x v="3"/>
  </r>
  <r>
    <n v="6553"/>
    <x v="3258"/>
    <x v="819"/>
    <d v="2018-12-21T00:00:00"/>
    <s v="Second Class"/>
    <x v="46"/>
    <s v="Rick Bensley"/>
    <x v="2"/>
    <s v="United States"/>
    <s v="Los Angeles"/>
    <x v="1"/>
    <n v="90036"/>
    <x v="1"/>
    <x v="967"/>
    <x v="1"/>
    <x v="4"/>
    <x v="960"/>
    <x v="1222"/>
    <x v="4"/>
    <x v="3"/>
  </r>
  <r>
    <n v="6554"/>
    <x v="3259"/>
    <x v="22"/>
    <d v="2015-10-22T00:00:00"/>
    <s v="Second Class"/>
    <x v="60"/>
    <s v="Lindsay Shagiari"/>
    <x v="2"/>
    <s v="United States"/>
    <s v="Chicago"/>
    <x v="10"/>
    <n v="60653"/>
    <x v="2"/>
    <x v="590"/>
    <x v="2"/>
    <x v="11"/>
    <x v="590"/>
    <x v="1864"/>
    <x v="2"/>
    <x v="2"/>
  </r>
  <r>
    <n v="6555"/>
    <x v="3259"/>
    <x v="22"/>
    <d v="2015-10-22T00:00:00"/>
    <s v="Second Class"/>
    <x v="60"/>
    <s v="Lindsay Shagiari"/>
    <x v="2"/>
    <s v="United States"/>
    <s v="Chicago"/>
    <x v="10"/>
    <n v="60653"/>
    <x v="2"/>
    <x v="1672"/>
    <x v="1"/>
    <x v="4"/>
    <x v="1660"/>
    <x v="4359"/>
    <x v="2"/>
    <x v="2"/>
  </r>
  <r>
    <n v="6556"/>
    <x v="3259"/>
    <x v="22"/>
    <d v="2015-10-22T00:00:00"/>
    <s v="Second Class"/>
    <x v="60"/>
    <s v="Lindsay Shagiari"/>
    <x v="2"/>
    <s v="United States"/>
    <s v="Chicago"/>
    <x v="10"/>
    <n v="60653"/>
    <x v="2"/>
    <x v="1790"/>
    <x v="1"/>
    <x v="10"/>
    <x v="1780"/>
    <x v="4360"/>
    <x v="2"/>
    <x v="2"/>
  </r>
  <r>
    <n v="6557"/>
    <x v="3259"/>
    <x v="22"/>
    <d v="2015-10-22T00:00:00"/>
    <s v="Second Class"/>
    <x v="60"/>
    <s v="Lindsay Shagiari"/>
    <x v="2"/>
    <s v="United States"/>
    <s v="Chicago"/>
    <x v="10"/>
    <n v="60653"/>
    <x v="2"/>
    <x v="1311"/>
    <x v="1"/>
    <x v="8"/>
    <x v="1297"/>
    <x v="4361"/>
    <x v="2"/>
    <x v="2"/>
  </r>
  <r>
    <n v="6558"/>
    <x v="3259"/>
    <x v="22"/>
    <d v="2015-10-22T00:00:00"/>
    <s v="Second Class"/>
    <x v="60"/>
    <s v="Lindsay Shagiari"/>
    <x v="2"/>
    <s v="United States"/>
    <s v="Chicago"/>
    <x v="10"/>
    <n v="60653"/>
    <x v="2"/>
    <x v="580"/>
    <x v="1"/>
    <x v="2"/>
    <x v="580"/>
    <x v="4362"/>
    <x v="2"/>
    <x v="2"/>
  </r>
  <r>
    <n v="6559"/>
    <x v="3260"/>
    <x v="1117"/>
    <d v="2016-06-10T00:00:00"/>
    <s v="Standard Class"/>
    <x v="494"/>
    <s v="Edward Becker"/>
    <x v="1"/>
    <s v="United States"/>
    <s v="Buffalo"/>
    <x v="15"/>
    <n v="14215"/>
    <x v="3"/>
    <x v="499"/>
    <x v="0"/>
    <x v="1"/>
    <x v="499"/>
    <x v="4363"/>
    <x v="1"/>
    <x v="1"/>
  </r>
  <r>
    <n v="6560"/>
    <x v="3261"/>
    <x v="658"/>
    <d v="2017-07-26T00:00:00"/>
    <s v="Standard Class"/>
    <x v="460"/>
    <s v="Damala Kotsonis"/>
    <x v="1"/>
    <s v="United States"/>
    <s v="Roseville"/>
    <x v="1"/>
    <n v="95661"/>
    <x v="1"/>
    <x v="970"/>
    <x v="1"/>
    <x v="12"/>
    <x v="964"/>
    <x v="4364"/>
    <x v="7"/>
    <x v="0"/>
  </r>
  <r>
    <n v="6561"/>
    <x v="3261"/>
    <x v="658"/>
    <d v="2017-07-26T00:00:00"/>
    <s v="Standard Class"/>
    <x v="460"/>
    <s v="Damala Kotsonis"/>
    <x v="1"/>
    <s v="United States"/>
    <s v="Roseville"/>
    <x v="1"/>
    <n v="95661"/>
    <x v="1"/>
    <x v="365"/>
    <x v="1"/>
    <x v="2"/>
    <x v="365"/>
    <x v="974"/>
    <x v="7"/>
    <x v="0"/>
  </r>
  <r>
    <n v="6562"/>
    <x v="3262"/>
    <x v="185"/>
    <d v="2018-04-02T00:00:00"/>
    <s v="First Class"/>
    <x v="609"/>
    <s v="Scott Cohen"/>
    <x v="1"/>
    <s v="United States"/>
    <s v="Arlington"/>
    <x v="5"/>
    <n v="76017"/>
    <x v="2"/>
    <x v="731"/>
    <x v="1"/>
    <x v="9"/>
    <x v="730"/>
    <x v="4365"/>
    <x v="10"/>
    <x v="3"/>
  </r>
  <r>
    <n v="6563"/>
    <x v="3263"/>
    <x v="1118"/>
    <d v="2015-05-12T00:00:00"/>
    <s v="Standard Class"/>
    <x v="564"/>
    <s v="Carol Triggs"/>
    <x v="0"/>
    <s v="United States"/>
    <s v="Lawrence"/>
    <x v="31"/>
    <n v="1841"/>
    <x v="3"/>
    <x v="61"/>
    <x v="1"/>
    <x v="8"/>
    <x v="61"/>
    <x v="4366"/>
    <x v="5"/>
    <x v="2"/>
  </r>
  <r>
    <n v="6564"/>
    <x v="3263"/>
    <x v="1118"/>
    <d v="2015-05-12T00:00:00"/>
    <s v="Standard Class"/>
    <x v="564"/>
    <s v="Carol Triggs"/>
    <x v="0"/>
    <s v="United States"/>
    <s v="Lawrence"/>
    <x v="31"/>
    <n v="1841"/>
    <x v="3"/>
    <x v="1582"/>
    <x v="0"/>
    <x v="3"/>
    <x v="1573"/>
    <x v="4367"/>
    <x v="5"/>
    <x v="2"/>
  </r>
  <r>
    <n v="6565"/>
    <x v="3263"/>
    <x v="1118"/>
    <d v="2015-05-12T00:00:00"/>
    <s v="Standard Class"/>
    <x v="564"/>
    <s v="Carol Triggs"/>
    <x v="0"/>
    <s v="United States"/>
    <s v="Lawrence"/>
    <x v="31"/>
    <n v="1841"/>
    <x v="3"/>
    <x v="671"/>
    <x v="1"/>
    <x v="6"/>
    <x v="671"/>
    <x v="874"/>
    <x v="5"/>
    <x v="2"/>
  </r>
  <r>
    <n v="6566"/>
    <x v="3263"/>
    <x v="1118"/>
    <d v="2015-05-12T00:00:00"/>
    <s v="Standard Class"/>
    <x v="564"/>
    <s v="Carol Triggs"/>
    <x v="0"/>
    <s v="United States"/>
    <s v="Lawrence"/>
    <x v="31"/>
    <n v="1841"/>
    <x v="3"/>
    <x v="635"/>
    <x v="0"/>
    <x v="1"/>
    <x v="635"/>
    <x v="1711"/>
    <x v="5"/>
    <x v="2"/>
  </r>
  <r>
    <n v="6567"/>
    <x v="3264"/>
    <x v="1119"/>
    <d v="2018-02-08T00:00:00"/>
    <s v="Second Class"/>
    <x v="90"/>
    <s v="Cassandra Brandow"/>
    <x v="0"/>
    <s v="United States"/>
    <s v="Waco"/>
    <x v="5"/>
    <n v="76706"/>
    <x v="2"/>
    <x v="569"/>
    <x v="1"/>
    <x v="8"/>
    <x v="569"/>
    <x v="124"/>
    <x v="11"/>
    <x v="3"/>
  </r>
  <r>
    <n v="6568"/>
    <x v="3264"/>
    <x v="1119"/>
    <d v="2018-02-08T00:00:00"/>
    <s v="Second Class"/>
    <x v="90"/>
    <s v="Cassandra Brandow"/>
    <x v="0"/>
    <s v="United States"/>
    <s v="Waco"/>
    <x v="5"/>
    <n v="76706"/>
    <x v="2"/>
    <x v="1325"/>
    <x v="1"/>
    <x v="6"/>
    <x v="772"/>
    <x v="4368"/>
    <x v="11"/>
    <x v="3"/>
  </r>
  <r>
    <n v="6569"/>
    <x v="3265"/>
    <x v="891"/>
    <d v="2015-04-22T00:00:00"/>
    <s v="Standard Class"/>
    <x v="27"/>
    <s v="Kunst Miller"/>
    <x v="0"/>
    <s v="United States"/>
    <s v="Houston"/>
    <x v="5"/>
    <n v="77095"/>
    <x v="2"/>
    <x v="59"/>
    <x v="1"/>
    <x v="6"/>
    <x v="59"/>
    <x v="638"/>
    <x v="3"/>
    <x v="2"/>
  </r>
  <r>
    <n v="6570"/>
    <x v="3265"/>
    <x v="891"/>
    <d v="2015-04-22T00:00:00"/>
    <s v="Standard Class"/>
    <x v="27"/>
    <s v="Kunst Miller"/>
    <x v="0"/>
    <s v="United States"/>
    <s v="Houston"/>
    <x v="5"/>
    <n v="77095"/>
    <x v="2"/>
    <x v="291"/>
    <x v="0"/>
    <x v="1"/>
    <x v="291"/>
    <x v="2555"/>
    <x v="3"/>
    <x v="2"/>
  </r>
  <r>
    <n v="6571"/>
    <x v="3265"/>
    <x v="891"/>
    <d v="2015-04-22T00:00:00"/>
    <s v="Standard Class"/>
    <x v="27"/>
    <s v="Kunst Miller"/>
    <x v="0"/>
    <s v="United States"/>
    <s v="Houston"/>
    <x v="5"/>
    <n v="77095"/>
    <x v="2"/>
    <x v="633"/>
    <x v="1"/>
    <x v="12"/>
    <x v="633"/>
    <x v="836"/>
    <x v="3"/>
    <x v="2"/>
  </r>
  <r>
    <n v="6572"/>
    <x v="3265"/>
    <x v="891"/>
    <d v="2015-04-22T00:00:00"/>
    <s v="Standard Class"/>
    <x v="27"/>
    <s v="Kunst Miller"/>
    <x v="0"/>
    <s v="United States"/>
    <s v="Houston"/>
    <x v="5"/>
    <n v="77095"/>
    <x v="2"/>
    <x v="1523"/>
    <x v="2"/>
    <x v="11"/>
    <x v="1510"/>
    <x v="2609"/>
    <x v="3"/>
    <x v="2"/>
  </r>
  <r>
    <n v="6573"/>
    <x v="3266"/>
    <x v="1120"/>
    <d v="2017-05-16T00:00:00"/>
    <s v="Standard Class"/>
    <x v="742"/>
    <s v="Roger Demir"/>
    <x v="0"/>
    <s v="United States"/>
    <s v="Seattle"/>
    <x v="4"/>
    <n v="98105"/>
    <x v="1"/>
    <x v="1296"/>
    <x v="1"/>
    <x v="10"/>
    <x v="1281"/>
    <x v="489"/>
    <x v="5"/>
    <x v="0"/>
  </r>
  <r>
    <n v="6574"/>
    <x v="3267"/>
    <x v="881"/>
    <d v="2017-11-30T00:00:00"/>
    <s v="Standard Class"/>
    <x v="771"/>
    <s v="Barry Pond"/>
    <x v="1"/>
    <s v="United States"/>
    <s v="Plainfield"/>
    <x v="30"/>
    <n v="7060"/>
    <x v="3"/>
    <x v="426"/>
    <x v="1"/>
    <x v="4"/>
    <x v="426"/>
    <x v="1601"/>
    <x v="0"/>
    <x v="0"/>
  </r>
  <r>
    <n v="6575"/>
    <x v="3267"/>
    <x v="881"/>
    <d v="2017-11-30T00:00:00"/>
    <s v="Standard Class"/>
    <x v="771"/>
    <s v="Barry Pond"/>
    <x v="1"/>
    <s v="United States"/>
    <s v="Plainfield"/>
    <x v="30"/>
    <n v="7060"/>
    <x v="3"/>
    <x v="1791"/>
    <x v="2"/>
    <x v="15"/>
    <x v="1781"/>
    <x v="4369"/>
    <x v="0"/>
    <x v="0"/>
  </r>
  <r>
    <n v="6576"/>
    <x v="3268"/>
    <x v="448"/>
    <d v="2018-03-08T00:00:00"/>
    <s v="Standard Class"/>
    <x v="719"/>
    <s v="Ed Jacobs"/>
    <x v="0"/>
    <s v="United States"/>
    <s v="Los Angeles"/>
    <x v="1"/>
    <n v="90008"/>
    <x v="1"/>
    <x v="1543"/>
    <x v="2"/>
    <x v="11"/>
    <x v="1531"/>
    <x v="4370"/>
    <x v="10"/>
    <x v="3"/>
  </r>
  <r>
    <n v="6577"/>
    <x v="3268"/>
    <x v="448"/>
    <d v="2018-03-08T00:00:00"/>
    <s v="Standard Class"/>
    <x v="719"/>
    <s v="Ed Jacobs"/>
    <x v="0"/>
    <s v="United States"/>
    <s v="Los Angeles"/>
    <x v="1"/>
    <n v="90008"/>
    <x v="1"/>
    <x v="56"/>
    <x v="0"/>
    <x v="1"/>
    <x v="56"/>
    <x v="2932"/>
    <x v="10"/>
    <x v="3"/>
  </r>
  <r>
    <n v="6578"/>
    <x v="3269"/>
    <x v="401"/>
    <d v="2016-12-11T00:00:00"/>
    <s v="Second Class"/>
    <x v="197"/>
    <s v="Rose O'Brian"/>
    <x v="0"/>
    <s v="United States"/>
    <s v="Arlington"/>
    <x v="17"/>
    <n v="22204"/>
    <x v="0"/>
    <x v="1129"/>
    <x v="2"/>
    <x v="7"/>
    <x v="1117"/>
    <x v="2093"/>
    <x v="4"/>
    <x v="1"/>
  </r>
  <r>
    <n v="6579"/>
    <x v="3270"/>
    <x v="55"/>
    <d v="2015-08-30T00:00:00"/>
    <s v="Standard Class"/>
    <x v="596"/>
    <s v="Mitch Webber"/>
    <x v="0"/>
    <s v="United States"/>
    <s v="Seattle"/>
    <x v="4"/>
    <n v="98103"/>
    <x v="1"/>
    <x v="1149"/>
    <x v="2"/>
    <x v="7"/>
    <x v="1137"/>
    <x v="4371"/>
    <x v="6"/>
    <x v="2"/>
  </r>
  <r>
    <n v="6580"/>
    <x v="3271"/>
    <x v="332"/>
    <d v="2017-10-22T00:00:00"/>
    <s v="Same Day"/>
    <x v="652"/>
    <s v="MaryBeth Skach"/>
    <x v="0"/>
    <s v="United States"/>
    <s v="Seattle"/>
    <x v="4"/>
    <n v="98105"/>
    <x v="1"/>
    <x v="1083"/>
    <x v="1"/>
    <x v="10"/>
    <x v="1073"/>
    <x v="3763"/>
    <x v="2"/>
    <x v="0"/>
  </r>
  <r>
    <n v="6581"/>
    <x v="3271"/>
    <x v="332"/>
    <d v="2017-10-22T00:00:00"/>
    <s v="Same Day"/>
    <x v="652"/>
    <s v="MaryBeth Skach"/>
    <x v="0"/>
    <s v="United States"/>
    <s v="Seattle"/>
    <x v="4"/>
    <n v="98105"/>
    <x v="1"/>
    <x v="1622"/>
    <x v="1"/>
    <x v="6"/>
    <x v="1050"/>
    <x v="480"/>
    <x v="2"/>
    <x v="0"/>
  </r>
  <r>
    <n v="6582"/>
    <x v="3271"/>
    <x v="332"/>
    <d v="2017-10-22T00:00:00"/>
    <s v="Same Day"/>
    <x v="652"/>
    <s v="MaryBeth Skach"/>
    <x v="0"/>
    <s v="United States"/>
    <s v="Seattle"/>
    <x v="4"/>
    <n v="98105"/>
    <x v="1"/>
    <x v="1792"/>
    <x v="0"/>
    <x v="5"/>
    <x v="1782"/>
    <x v="3033"/>
    <x v="2"/>
    <x v="0"/>
  </r>
  <r>
    <n v="6583"/>
    <x v="3272"/>
    <x v="1121"/>
    <d v="2017-08-11T00:00:00"/>
    <s v="Standard Class"/>
    <x v="61"/>
    <s v="Dorothy Wardle"/>
    <x v="1"/>
    <s v="United States"/>
    <s v="Edmonds"/>
    <x v="4"/>
    <n v="98026"/>
    <x v="1"/>
    <x v="603"/>
    <x v="2"/>
    <x v="11"/>
    <x v="603"/>
    <x v="686"/>
    <x v="6"/>
    <x v="0"/>
  </r>
  <r>
    <n v="6584"/>
    <x v="3273"/>
    <x v="246"/>
    <d v="2018-07-27T00:00:00"/>
    <s v="Standard Class"/>
    <x v="562"/>
    <s v="Anne McFarland"/>
    <x v="0"/>
    <s v="United States"/>
    <s v="Salem"/>
    <x v="17"/>
    <n v="24153"/>
    <x v="0"/>
    <x v="1385"/>
    <x v="1"/>
    <x v="6"/>
    <x v="1371"/>
    <x v="3033"/>
    <x v="7"/>
    <x v="3"/>
  </r>
  <r>
    <n v="6585"/>
    <x v="3273"/>
    <x v="246"/>
    <d v="2018-07-27T00:00:00"/>
    <s v="Standard Class"/>
    <x v="562"/>
    <s v="Anne McFarland"/>
    <x v="0"/>
    <s v="United States"/>
    <s v="Salem"/>
    <x v="17"/>
    <n v="24153"/>
    <x v="0"/>
    <x v="704"/>
    <x v="2"/>
    <x v="7"/>
    <x v="704"/>
    <x v="1071"/>
    <x v="7"/>
    <x v="3"/>
  </r>
  <r>
    <n v="6586"/>
    <x v="3273"/>
    <x v="246"/>
    <d v="2018-07-27T00:00:00"/>
    <s v="Standard Class"/>
    <x v="562"/>
    <s v="Anne McFarland"/>
    <x v="0"/>
    <s v="United States"/>
    <s v="Salem"/>
    <x v="17"/>
    <n v="24153"/>
    <x v="0"/>
    <x v="247"/>
    <x v="0"/>
    <x v="5"/>
    <x v="248"/>
    <x v="3355"/>
    <x v="7"/>
    <x v="3"/>
  </r>
  <r>
    <n v="6587"/>
    <x v="3273"/>
    <x v="246"/>
    <d v="2018-07-27T00:00:00"/>
    <s v="Standard Class"/>
    <x v="562"/>
    <s v="Anne McFarland"/>
    <x v="0"/>
    <s v="United States"/>
    <s v="Salem"/>
    <x v="17"/>
    <n v="24153"/>
    <x v="0"/>
    <x v="950"/>
    <x v="1"/>
    <x v="6"/>
    <x v="943"/>
    <x v="1195"/>
    <x v="7"/>
    <x v="3"/>
  </r>
  <r>
    <n v="6588"/>
    <x v="3273"/>
    <x v="246"/>
    <d v="2018-07-27T00:00:00"/>
    <s v="Standard Class"/>
    <x v="562"/>
    <s v="Anne McFarland"/>
    <x v="0"/>
    <s v="United States"/>
    <s v="Salem"/>
    <x v="17"/>
    <n v="24153"/>
    <x v="0"/>
    <x v="713"/>
    <x v="0"/>
    <x v="0"/>
    <x v="712"/>
    <x v="3271"/>
    <x v="7"/>
    <x v="3"/>
  </r>
  <r>
    <n v="6589"/>
    <x v="3273"/>
    <x v="246"/>
    <d v="2018-07-27T00:00:00"/>
    <s v="Standard Class"/>
    <x v="562"/>
    <s v="Anne McFarland"/>
    <x v="0"/>
    <s v="United States"/>
    <s v="Salem"/>
    <x v="17"/>
    <n v="24153"/>
    <x v="0"/>
    <x v="591"/>
    <x v="1"/>
    <x v="8"/>
    <x v="591"/>
    <x v="1801"/>
    <x v="7"/>
    <x v="3"/>
  </r>
  <r>
    <n v="6590"/>
    <x v="3273"/>
    <x v="246"/>
    <d v="2018-07-27T00:00:00"/>
    <s v="Standard Class"/>
    <x v="562"/>
    <s v="Anne McFarland"/>
    <x v="0"/>
    <s v="United States"/>
    <s v="Salem"/>
    <x v="17"/>
    <n v="24153"/>
    <x v="0"/>
    <x v="413"/>
    <x v="1"/>
    <x v="14"/>
    <x v="413"/>
    <x v="4372"/>
    <x v="7"/>
    <x v="3"/>
  </r>
  <r>
    <n v="6591"/>
    <x v="3274"/>
    <x v="893"/>
    <d v="2015-03-26T00:00:00"/>
    <s v="First Class"/>
    <x v="696"/>
    <s v="Bruce Geld"/>
    <x v="0"/>
    <s v="United States"/>
    <s v="Delray Beach"/>
    <x v="2"/>
    <n v="33445"/>
    <x v="0"/>
    <x v="617"/>
    <x v="1"/>
    <x v="2"/>
    <x v="617"/>
    <x v="4373"/>
    <x v="10"/>
    <x v="2"/>
  </r>
  <r>
    <n v="6592"/>
    <x v="3275"/>
    <x v="28"/>
    <d v="2016-05-06T00:00:00"/>
    <s v="Standard Class"/>
    <x v="10"/>
    <s v="Ken Black"/>
    <x v="1"/>
    <s v="United States"/>
    <s v="San Francisco"/>
    <x v="1"/>
    <n v="94110"/>
    <x v="1"/>
    <x v="332"/>
    <x v="1"/>
    <x v="6"/>
    <x v="332"/>
    <x v="1610"/>
    <x v="3"/>
    <x v="1"/>
  </r>
  <r>
    <n v="6593"/>
    <x v="3275"/>
    <x v="28"/>
    <d v="2016-05-06T00:00:00"/>
    <s v="Standard Class"/>
    <x v="10"/>
    <s v="Ken Black"/>
    <x v="1"/>
    <s v="United States"/>
    <s v="San Francisco"/>
    <x v="1"/>
    <n v="94110"/>
    <x v="1"/>
    <x v="500"/>
    <x v="2"/>
    <x v="7"/>
    <x v="500"/>
    <x v="4374"/>
    <x v="3"/>
    <x v="1"/>
  </r>
  <r>
    <n v="6594"/>
    <x v="3276"/>
    <x v="900"/>
    <d v="2017-06-16T00:00:00"/>
    <s v="Second Class"/>
    <x v="218"/>
    <s v="Greg Tran"/>
    <x v="0"/>
    <s v="United States"/>
    <s v="New York City"/>
    <x v="15"/>
    <n v="10024"/>
    <x v="3"/>
    <x v="542"/>
    <x v="1"/>
    <x v="8"/>
    <x v="542"/>
    <x v="2939"/>
    <x v="1"/>
    <x v="0"/>
  </r>
  <r>
    <n v="6595"/>
    <x v="3277"/>
    <x v="124"/>
    <d v="2016-05-11T00:00:00"/>
    <s v="Standard Class"/>
    <x v="458"/>
    <s v="Stuart Van"/>
    <x v="1"/>
    <s v="United States"/>
    <s v="Indianapolis"/>
    <x v="14"/>
    <n v="46203"/>
    <x v="2"/>
    <x v="646"/>
    <x v="1"/>
    <x v="6"/>
    <x v="646"/>
    <x v="4375"/>
    <x v="5"/>
    <x v="1"/>
  </r>
  <r>
    <n v="6596"/>
    <x v="3278"/>
    <x v="756"/>
    <d v="2018-04-26T00:00:00"/>
    <s v="First Class"/>
    <x v="55"/>
    <s v="Greg Guthrie"/>
    <x v="1"/>
    <s v="United States"/>
    <s v="Columbus"/>
    <x v="24"/>
    <n v="43229"/>
    <x v="3"/>
    <x v="460"/>
    <x v="1"/>
    <x v="8"/>
    <x v="461"/>
    <x v="2660"/>
    <x v="3"/>
    <x v="3"/>
  </r>
  <r>
    <n v="6597"/>
    <x v="3278"/>
    <x v="756"/>
    <d v="2018-04-26T00:00:00"/>
    <s v="First Class"/>
    <x v="55"/>
    <s v="Greg Guthrie"/>
    <x v="1"/>
    <s v="United States"/>
    <s v="Columbus"/>
    <x v="24"/>
    <n v="43229"/>
    <x v="3"/>
    <x v="128"/>
    <x v="1"/>
    <x v="10"/>
    <x v="129"/>
    <x v="752"/>
    <x v="3"/>
    <x v="3"/>
  </r>
  <r>
    <n v="6598"/>
    <x v="3279"/>
    <x v="571"/>
    <d v="2015-06-12T00:00:00"/>
    <s v="Standard Class"/>
    <x v="647"/>
    <s v="Stewart Visinsky"/>
    <x v="0"/>
    <s v="United States"/>
    <s v="Jacksonville"/>
    <x v="2"/>
    <n v="32216"/>
    <x v="0"/>
    <x v="248"/>
    <x v="1"/>
    <x v="8"/>
    <x v="249"/>
    <x v="4376"/>
    <x v="1"/>
    <x v="2"/>
  </r>
  <r>
    <n v="6599"/>
    <x v="3279"/>
    <x v="571"/>
    <d v="2015-06-12T00:00:00"/>
    <s v="Standard Class"/>
    <x v="647"/>
    <s v="Stewart Visinsky"/>
    <x v="0"/>
    <s v="United States"/>
    <s v="Jacksonville"/>
    <x v="2"/>
    <n v="32216"/>
    <x v="0"/>
    <x v="1413"/>
    <x v="1"/>
    <x v="10"/>
    <x v="1400"/>
    <x v="4377"/>
    <x v="1"/>
    <x v="2"/>
  </r>
  <r>
    <n v="6600"/>
    <x v="3280"/>
    <x v="266"/>
    <d v="2015-12-07T00:00:00"/>
    <s v="Standard Class"/>
    <x v="21"/>
    <s v="Odella Nelson"/>
    <x v="1"/>
    <s v="United States"/>
    <s v="Clinton"/>
    <x v="39"/>
    <n v="20735"/>
    <x v="3"/>
    <x v="526"/>
    <x v="0"/>
    <x v="5"/>
    <x v="526"/>
    <x v="3224"/>
    <x v="4"/>
    <x v="2"/>
  </r>
  <r>
    <n v="6601"/>
    <x v="3280"/>
    <x v="266"/>
    <d v="2015-12-07T00:00:00"/>
    <s v="Standard Class"/>
    <x v="21"/>
    <s v="Odella Nelson"/>
    <x v="1"/>
    <s v="United States"/>
    <s v="Clinton"/>
    <x v="39"/>
    <n v="20735"/>
    <x v="3"/>
    <x v="1438"/>
    <x v="1"/>
    <x v="10"/>
    <x v="1426"/>
    <x v="674"/>
    <x v="4"/>
    <x v="2"/>
  </r>
  <r>
    <n v="6602"/>
    <x v="3280"/>
    <x v="266"/>
    <d v="2015-12-07T00:00:00"/>
    <s v="Standard Class"/>
    <x v="21"/>
    <s v="Odella Nelson"/>
    <x v="1"/>
    <s v="United States"/>
    <s v="Clinton"/>
    <x v="39"/>
    <n v="20735"/>
    <x v="3"/>
    <x v="1144"/>
    <x v="0"/>
    <x v="1"/>
    <x v="1132"/>
    <x v="4378"/>
    <x v="4"/>
    <x v="2"/>
  </r>
  <r>
    <n v="6603"/>
    <x v="3280"/>
    <x v="266"/>
    <d v="2015-12-07T00:00:00"/>
    <s v="Standard Class"/>
    <x v="21"/>
    <s v="Odella Nelson"/>
    <x v="1"/>
    <s v="United States"/>
    <s v="Clinton"/>
    <x v="39"/>
    <n v="20735"/>
    <x v="3"/>
    <x v="286"/>
    <x v="1"/>
    <x v="2"/>
    <x v="286"/>
    <x v="1189"/>
    <x v="4"/>
    <x v="2"/>
  </r>
  <r>
    <n v="6604"/>
    <x v="3281"/>
    <x v="46"/>
    <d v="2018-06-20T00:00:00"/>
    <s v="First Class"/>
    <x v="362"/>
    <s v="Ryan Akin"/>
    <x v="0"/>
    <s v="United States"/>
    <s v="Commerce City"/>
    <x v="22"/>
    <n v="80022"/>
    <x v="1"/>
    <x v="886"/>
    <x v="1"/>
    <x v="4"/>
    <x v="879"/>
    <x v="1741"/>
    <x v="1"/>
    <x v="3"/>
  </r>
  <r>
    <n v="6605"/>
    <x v="3282"/>
    <x v="439"/>
    <d v="2017-05-31T00:00:00"/>
    <s v="Standard Class"/>
    <x v="647"/>
    <s v="Stewart Visinsky"/>
    <x v="0"/>
    <s v="United States"/>
    <s v="Santa Ana"/>
    <x v="1"/>
    <n v="92704"/>
    <x v="1"/>
    <x v="494"/>
    <x v="1"/>
    <x v="13"/>
    <x v="494"/>
    <x v="3949"/>
    <x v="5"/>
    <x v="0"/>
  </r>
  <r>
    <n v="6606"/>
    <x v="3282"/>
    <x v="439"/>
    <d v="2017-05-31T00:00:00"/>
    <s v="Standard Class"/>
    <x v="647"/>
    <s v="Stewart Visinsky"/>
    <x v="0"/>
    <s v="United States"/>
    <s v="Santa Ana"/>
    <x v="1"/>
    <n v="92704"/>
    <x v="1"/>
    <x v="1004"/>
    <x v="1"/>
    <x v="10"/>
    <x v="996"/>
    <x v="1544"/>
    <x v="5"/>
    <x v="0"/>
  </r>
  <r>
    <n v="6607"/>
    <x v="3282"/>
    <x v="439"/>
    <d v="2017-05-31T00:00:00"/>
    <s v="Standard Class"/>
    <x v="647"/>
    <s v="Stewart Visinsky"/>
    <x v="0"/>
    <s v="United States"/>
    <s v="Santa Ana"/>
    <x v="1"/>
    <n v="92704"/>
    <x v="1"/>
    <x v="781"/>
    <x v="2"/>
    <x v="7"/>
    <x v="780"/>
    <x v="1972"/>
    <x v="5"/>
    <x v="0"/>
  </r>
  <r>
    <n v="6608"/>
    <x v="3282"/>
    <x v="439"/>
    <d v="2017-05-31T00:00:00"/>
    <s v="Standard Class"/>
    <x v="647"/>
    <s v="Stewart Visinsky"/>
    <x v="0"/>
    <s v="United States"/>
    <s v="Santa Ana"/>
    <x v="1"/>
    <n v="92704"/>
    <x v="1"/>
    <x v="211"/>
    <x v="0"/>
    <x v="1"/>
    <x v="212"/>
    <x v="4379"/>
    <x v="5"/>
    <x v="0"/>
  </r>
  <r>
    <n v="6609"/>
    <x v="3282"/>
    <x v="439"/>
    <d v="2017-05-31T00:00:00"/>
    <s v="Standard Class"/>
    <x v="647"/>
    <s v="Stewart Visinsky"/>
    <x v="0"/>
    <s v="United States"/>
    <s v="Santa Ana"/>
    <x v="1"/>
    <n v="92704"/>
    <x v="1"/>
    <x v="1520"/>
    <x v="2"/>
    <x v="15"/>
    <x v="1507"/>
    <x v="4380"/>
    <x v="5"/>
    <x v="0"/>
  </r>
  <r>
    <n v="6610"/>
    <x v="3283"/>
    <x v="366"/>
    <d v="2016-03-10T00:00:00"/>
    <s v="Same Day"/>
    <x v="10"/>
    <s v="Ken Black"/>
    <x v="1"/>
    <s v="United States"/>
    <s v="Clinton"/>
    <x v="39"/>
    <n v="20735"/>
    <x v="3"/>
    <x v="328"/>
    <x v="1"/>
    <x v="4"/>
    <x v="328"/>
    <x v="4381"/>
    <x v="10"/>
    <x v="1"/>
  </r>
  <r>
    <n v="6611"/>
    <x v="3284"/>
    <x v="201"/>
    <d v="2017-10-22T00:00:00"/>
    <s v="First Class"/>
    <x v="122"/>
    <s v="Andrew Gjertsen"/>
    <x v="1"/>
    <s v="United States"/>
    <s v="Los Angeles"/>
    <x v="1"/>
    <n v="90049"/>
    <x v="1"/>
    <x v="1232"/>
    <x v="1"/>
    <x v="8"/>
    <x v="1215"/>
    <x v="1739"/>
    <x v="2"/>
    <x v="0"/>
  </r>
  <r>
    <n v="6612"/>
    <x v="3285"/>
    <x v="1122"/>
    <d v="2016-04-28T00:00:00"/>
    <s v="Standard Class"/>
    <x v="765"/>
    <s v="Juliana Krohn"/>
    <x v="0"/>
    <s v="United States"/>
    <s v="Louisville"/>
    <x v="0"/>
    <n v="40214"/>
    <x v="0"/>
    <x v="268"/>
    <x v="0"/>
    <x v="1"/>
    <x v="268"/>
    <x v="2771"/>
    <x v="3"/>
    <x v="1"/>
  </r>
  <r>
    <n v="6613"/>
    <x v="3285"/>
    <x v="1122"/>
    <d v="2016-04-28T00:00:00"/>
    <s v="Standard Class"/>
    <x v="765"/>
    <s v="Juliana Krohn"/>
    <x v="0"/>
    <s v="United States"/>
    <s v="Louisville"/>
    <x v="0"/>
    <n v="40214"/>
    <x v="0"/>
    <x v="20"/>
    <x v="1"/>
    <x v="8"/>
    <x v="20"/>
    <x v="3895"/>
    <x v="3"/>
    <x v="1"/>
  </r>
  <r>
    <n v="6614"/>
    <x v="3285"/>
    <x v="1122"/>
    <d v="2016-04-28T00:00:00"/>
    <s v="Standard Class"/>
    <x v="765"/>
    <s v="Juliana Krohn"/>
    <x v="0"/>
    <s v="United States"/>
    <s v="Louisville"/>
    <x v="0"/>
    <n v="40214"/>
    <x v="0"/>
    <x v="539"/>
    <x v="2"/>
    <x v="7"/>
    <x v="539"/>
    <x v="4382"/>
    <x v="3"/>
    <x v="1"/>
  </r>
  <r>
    <n v="6615"/>
    <x v="3285"/>
    <x v="1122"/>
    <d v="2016-04-28T00:00:00"/>
    <s v="Standard Class"/>
    <x v="765"/>
    <s v="Juliana Krohn"/>
    <x v="0"/>
    <s v="United States"/>
    <s v="Louisville"/>
    <x v="0"/>
    <n v="40214"/>
    <x v="0"/>
    <x v="583"/>
    <x v="0"/>
    <x v="5"/>
    <x v="583"/>
    <x v="660"/>
    <x v="3"/>
    <x v="1"/>
  </r>
  <r>
    <n v="6616"/>
    <x v="3286"/>
    <x v="26"/>
    <d v="2017-06-19T00:00:00"/>
    <s v="First Class"/>
    <x v="160"/>
    <s v="Mike Vittorini"/>
    <x v="0"/>
    <s v="United States"/>
    <s v="Los Angeles"/>
    <x v="1"/>
    <n v="90045"/>
    <x v="1"/>
    <x v="1601"/>
    <x v="0"/>
    <x v="0"/>
    <x v="1593"/>
    <x v="4025"/>
    <x v="1"/>
    <x v="0"/>
  </r>
  <r>
    <n v="6617"/>
    <x v="3286"/>
    <x v="26"/>
    <d v="2017-06-19T00:00:00"/>
    <s v="First Class"/>
    <x v="160"/>
    <s v="Mike Vittorini"/>
    <x v="0"/>
    <s v="United States"/>
    <s v="Los Angeles"/>
    <x v="1"/>
    <n v="90045"/>
    <x v="1"/>
    <x v="1345"/>
    <x v="1"/>
    <x v="2"/>
    <x v="1330"/>
    <x v="3795"/>
    <x v="1"/>
    <x v="0"/>
  </r>
  <r>
    <n v="6618"/>
    <x v="3286"/>
    <x v="26"/>
    <d v="2017-06-19T00:00:00"/>
    <s v="First Class"/>
    <x v="160"/>
    <s v="Mike Vittorini"/>
    <x v="0"/>
    <s v="United States"/>
    <s v="Los Angeles"/>
    <x v="1"/>
    <n v="90045"/>
    <x v="1"/>
    <x v="1766"/>
    <x v="1"/>
    <x v="10"/>
    <x v="1755"/>
    <x v="1523"/>
    <x v="1"/>
    <x v="0"/>
  </r>
  <r>
    <n v="6619"/>
    <x v="3287"/>
    <x v="1123"/>
    <d v="2018-01-18T00:00:00"/>
    <s v="Second Class"/>
    <x v="434"/>
    <s v="Cathy Prescott"/>
    <x v="1"/>
    <s v="United States"/>
    <s v="Springfield"/>
    <x v="25"/>
    <n v="65807"/>
    <x v="2"/>
    <x v="1347"/>
    <x v="1"/>
    <x v="10"/>
    <x v="1332"/>
    <x v="56"/>
    <x v="9"/>
    <x v="3"/>
  </r>
  <r>
    <n v="6620"/>
    <x v="3287"/>
    <x v="1123"/>
    <d v="2018-01-18T00:00:00"/>
    <s v="Second Class"/>
    <x v="434"/>
    <s v="Cathy Prescott"/>
    <x v="1"/>
    <s v="United States"/>
    <s v="Springfield"/>
    <x v="25"/>
    <n v="65807"/>
    <x v="2"/>
    <x v="1753"/>
    <x v="1"/>
    <x v="6"/>
    <x v="1743"/>
    <x v="4383"/>
    <x v="9"/>
    <x v="3"/>
  </r>
  <r>
    <n v="6621"/>
    <x v="3287"/>
    <x v="1123"/>
    <d v="2018-01-18T00:00:00"/>
    <s v="Second Class"/>
    <x v="434"/>
    <s v="Cathy Prescott"/>
    <x v="1"/>
    <s v="United States"/>
    <s v="Springfield"/>
    <x v="25"/>
    <n v="65807"/>
    <x v="2"/>
    <x v="465"/>
    <x v="1"/>
    <x v="14"/>
    <x v="466"/>
    <x v="2576"/>
    <x v="9"/>
    <x v="3"/>
  </r>
  <r>
    <n v="6622"/>
    <x v="3287"/>
    <x v="1123"/>
    <d v="2018-01-18T00:00:00"/>
    <s v="Second Class"/>
    <x v="434"/>
    <s v="Cathy Prescott"/>
    <x v="1"/>
    <s v="United States"/>
    <s v="Springfield"/>
    <x v="25"/>
    <n v="65807"/>
    <x v="2"/>
    <x v="1544"/>
    <x v="0"/>
    <x v="0"/>
    <x v="1532"/>
    <x v="3609"/>
    <x v="9"/>
    <x v="3"/>
  </r>
  <r>
    <n v="6623"/>
    <x v="3288"/>
    <x v="1124"/>
    <d v="2015-09-09T00:00:00"/>
    <s v="First Class"/>
    <x v="778"/>
    <s v="Victoria Pisteka"/>
    <x v="1"/>
    <s v="United States"/>
    <s v="San Francisco"/>
    <x v="1"/>
    <n v="94109"/>
    <x v="1"/>
    <x v="5"/>
    <x v="0"/>
    <x v="5"/>
    <x v="5"/>
    <x v="3623"/>
    <x v="8"/>
    <x v="2"/>
  </r>
  <r>
    <n v="6624"/>
    <x v="3288"/>
    <x v="1124"/>
    <d v="2015-09-09T00:00:00"/>
    <s v="First Class"/>
    <x v="778"/>
    <s v="Victoria Pisteka"/>
    <x v="1"/>
    <s v="United States"/>
    <s v="San Francisco"/>
    <x v="1"/>
    <n v="94109"/>
    <x v="1"/>
    <x v="573"/>
    <x v="1"/>
    <x v="2"/>
    <x v="573"/>
    <x v="2003"/>
    <x v="8"/>
    <x v="2"/>
  </r>
  <r>
    <n v="6625"/>
    <x v="3289"/>
    <x v="1125"/>
    <d v="2016-01-23T00:00:00"/>
    <s v="Standard Class"/>
    <x v="400"/>
    <s v="Paul MacIntyre"/>
    <x v="0"/>
    <s v="United States"/>
    <s v="Texas City"/>
    <x v="5"/>
    <n v="77590"/>
    <x v="2"/>
    <x v="1213"/>
    <x v="0"/>
    <x v="3"/>
    <x v="1198"/>
    <x v="4384"/>
    <x v="9"/>
    <x v="1"/>
  </r>
  <r>
    <n v="6626"/>
    <x v="3289"/>
    <x v="1125"/>
    <d v="2016-01-23T00:00:00"/>
    <s v="Standard Class"/>
    <x v="400"/>
    <s v="Paul MacIntyre"/>
    <x v="0"/>
    <s v="United States"/>
    <s v="Texas City"/>
    <x v="5"/>
    <n v="77590"/>
    <x v="2"/>
    <x v="1459"/>
    <x v="0"/>
    <x v="1"/>
    <x v="1445"/>
    <x v="4385"/>
    <x v="9"/>
    <x v="1"/>
  </r>
  <r>
    <n v="6627"/>
    <x v="3290"/>
    <x v="637"/>
    <d v="2015-12-21T00:00:00"/>
    <s v="Standard Class"/>
    <x v="483"/>
    <s v="Tom Boeckenhauer"/>
    <x v="0"/>
    <s v="United States"/>
    <s v="New York City"/>
    <x v="15"/>
    <n v="10024"/>
    <x v="3"/>
    <x v="1629"/>
    <x v="2"/>
    <x v="15"/>
    <x v="1619"/>
    <x v="4386"/>
    <x v="4"/>
    <x v="2"/>
  </r>
  <r>
    <n v="6628"/>
    <x v="3291"/>
    <x v="235"/>
    <d v="2015-05-27T00:00:00"/>
    <s v="Standard Class"/>
    <x v="552"/>
    <s v="Erica Hackney"/>
    <x v="0"/>
    <s v="United States"/>
    <s v="Bellevue"/>
    <x v="4"/>
    <n v="98006"/>
    <x v="1"/>
    <x v="89"/>
    <x v="1"/>
    <x v="10"/>
    <x v="89"/>
    <x v="91"/>
    <x v="5"/>
    <x v="2"/>
  </r>
  <r>
    <n v="6629"/>
    <x v="3292"/>
    <x v="444"/>
    <d v="2016-09-22T00:00:00"/>
    <s v="Second Class"/>
    <x v="543"/>
    <s v="Giulietta Weimer"/>
    <x v="0"/>
    <s v="United States"/>
    <s v="New York City"/>
    <x v="15"/>
    <n v="10024"/>
    <x v="3"/>
    <x v="222"/>
    <x v="2"/>
    <x v="7"/>
    <x v="223"/>
    <x v="4331"/>
    <x v="8"/>
    <x v="1"/>
  </r>
  <r>
    <n v="6630"/>
    <x v="3293"/>
    <x v="653"/>
    <d v="2016-10-06T00:00:00"/>
    <s v="Standard Class"/>
    <x v="472"/>
    <s v="Nora Pelletier"/>
    <x v="2"/>
    <s v="United States"/>
    <s v="Wilson"/>
    <x v="3"/>
    <n v="27893"/>
    <x v="0"/>
    <x v="1181"/>
    <x v="1"/>
    <x v="8"/>
    <x v="1167"/>
    <x v="1552"/>
    <x v="2"/>
    <x v="1"/>
  </r>
  <r>
    <n v="6631"/>
    <x v="3294"/>
    <x v="591"/>
    <d v="2017-12-30T00:00:00"/>
    <s v="Standard Class"/>
    <x v="555"/>
    <s v="Joe Elijah"/>
    <x v="0"/>
    <s v="United States"/>
    <s v="Seattle"/>
    <x v="4"/>
    <n v="98115"/>
    <x v="1"/>
    <x v="1003"/>
    <x v="0"/>
    <x v="1"/>
    <x v="995"/>
    <x v="324"/>
    <x v="4"/>
    <x v="0"/>
  </r>
  <r>
    <n v="6632"/>
    <x v="3294"/>
    <x v="591"/>
    <d v="2017-12-30T00:00:00"/>
    <s v="Standard Class"/>
    <x v="555"/>
    <s v="Joe Elijah"/>
    <x v="0"/>
    <s v="United States"/>
    <s v="Seattle"/>
    <x v="4"/>
    <n v="98115"/>
    <x v="1"/>
    <x v="1110"/>
    <x v="0"/>
    <x v="3"/>
    <x v="1099"/>
    <x v="4387"/>
    <x v="4"/>
    <x v="0"/>
  </r>
  <r>
    <n v="6633"/>
    <x v="3295"/>
    <x v="715"/>
    <d v="2017-05-08T00:00:00"/>
    <s v="Second Class"/>
    <x v="534"/>
    <s v="Brad Eason"/>
    <x v="2"/>
    <s v="United States"/>
    <s v="Springfield"/>
    <x v="25"/>
    <n v="65807"/>
    <x v="2"/>
    <x v="1309"/>
    <x v="1"/>
    <x v="9"/>
    <x v="1294"/>
    <x v="4388"/>
    <x v="5"/>
    <x v="0"/>
  </r>
  <r>
    <n v="6634"/>
    <x v="3296"/>
    <x v="1057"/>
    <d v="2017-10-24T00:00:00"/>
    <s v="Same Day"/>
    <x v="196"/>
    <s v="Sonia Sunley"/>
    <x v="0"/>
    <s v="United States"/>
    <s v="San Francisco"/>
    <x v="1"/>
    <n v="94109"/>
    <x v="1"/>
    <x v="651"/>
    <x v="2"/>
    <x v="11"/>
    <x v="651"/>
    <x v="4389"/>
    <x v="2"/>
    <x v="0"/>
  </r>
  <r>
    <n v="6635"/>
    <x v="3297"/>
    <x v="636"/>
    <d v="2018-05-06T00:00:00"/>
    <s v="Same Day"/>
    <x v="469"/>
    <s v="Mick Brown"/>
    <x v="0"/>
    <s v="United States"/>
    <s v="Charlotte"/>
    <x v="3"/>
    <n v="28205"/>
    <x v="0"/>
    <x v="350"/>
    <x v="1"/>
    <x v="8"/>
    <x v="350"/>
    <x v="4390"/>
    <x v="5"/>
    <x v="3"/>
  </r>
  <r>
    <n v="6636"/>
    <x v="3297"/>
    <x v="636"/>
    <d v="2018-05-06T00:00:00"/>
    <s v="Same Day"/>
    <x v="469"/>
    <s v="Mick Brown"/>
    <x v="0"/>
    <s v="United States"/>
    <s v="Charlotte"/>
    <x v="3"/>
    <n v="28205"/>
    <x v="0"/>
    <x v="34"/>
    <x v="2"/>
    <x v="7"/>
    <x v="34"/>
    <x v="2483"/>
    <x v="5"/>
    <x v="3"/>
  </r>
  <r>
    <n v="6637"/>
    <x v="3297"/>
    <x v="636"/>
    <d v="2018-05-06T00:00:00"/>
    <s v="Same Day"/>
    <x v="469"/>
    <s v="Mick Brown"/>
    <x v="0"/>
    <s v="United States"/>
    <s v="Charlotte"/>
    <x v="3"/>
    <n v="28205"/>
    <x v="0"/>
    <x v="580"/>
    <x v="1"/>
    <x v="2"/>
    <x v="580"/>
    <x v="1164"/>
    <x v="5"/>
    <x v="3"/>
  </r>
  <r>
    <n v="6638"/>
    <x v="3298"/>
    <x v="344"/>
    <d v="2018-11-30T00:00:00"/>
    <s v="Second Class"/>
    <x v="261"/>
    <s v="Resi Pölking"/>
    <x v="0"/>
    <s v="United States"/>
    <s v="New York City"/>
    <x v="15"/>
    <n v="10011"/>
    <x v="3"/>
    <x v="372"/>
    <x v="1"/>
    <x v="6"/>
    <x v="373"/>
    <x v="4391"/>
    <x v="0"/>
    <x v="3"/>
  </r>
  <r>
    <n v="6639"/>
    <x v="3298"/>
    <x v="344"/>
    <d v="2018-11-30T00:00:00"/>
    <s v="Second Class"/>
    <x v="261"/>
    <s v="Resi Pölking"/>
    <x v="0"/>
    <s v="United States"/>
    <s v="New York City"/>
    <x v="15"/>
    <n v="10011"/>
    <x v="3"/>
    <x v="1403"/>
    <x v="1"/>
    <x v="8"/>
    <x v="1390"/>
    <x v="584"/>
    <x v="0"/>
    <x v="3"/>
  </r>
  <r>
    <n v="6640"/>
    <x v="3299"/>
    <x v="656"/>
    <d v="2015-11-02T00:00:00"/>
    <s v="Second Class"/>
    <x v="321"/>
    <s v="Anthony Jacobs"/>
    <x v="1"/>
    <s v="United States"/>
    <s v="Lorain"/>
    <x v="24"/>
    <n v="44052"/>
    <x v="3"/>
    <x v="1234"/>
    <x v="0"/>
    <x v="3"/>
    <x v="1217"/>
    <x v="2702"/>
    <x v="2"/>
    <x v="2"/>
  </r>
  <r>
    <n v="6641"/>
    <x v="3300"/>
    <x v="485"/>
    <d v="2018-08-09T00:00:00"/>
    <s v="Standard Class"/>
    <x v="22"/>
    <s v="Patrick O'Donnell"/>
    <x v="0"/>
    <s v="United States"/>
    <s v="Indianapolis"/>
    <x v="14"/>
    <n v="46203"/>
    <x v="2"/>
    <x v="542"/>
    <x v="1"/>
    <x v="8"/>
    <x v="542"/>
    <x v="4392"/>
    <x v="6"/>
    <x v="3"/>
  </r>
  <r>
    <n v="6642"/>
    <x v="3300"/>
    <x v="485"/>
    <d v="2018-08-09T00:00:00"/>
    <s v="Standard Class"/>
    <x v="22"/>
    <s v="Patrick O'Donnell"/>
    <x v="0"/>
    <s v="United States"/>
    <s v="Indianapolis"/>
    <x v="14"/>
    <n v="46203"/>
    <x v="2"/>
    <x v="685"/>
    <x v="2"/>
    <x v="11"/>
    <x v="685"/>
    <x v="4393"/>
    <x v="6"/>
    <x v="3"/>
  </r>
  <r>
    <n v="6643"/>
    <x v="3300"/>
    <x v="485"/>
    <d v="2018-08-09T00:00:00"/>
    <s v="Standard Class"/>
    <x v="22"/>
    <s v="Patrick O'Donnell"/>
    <x v="0"/>
    <s v="United States"/>
    <s v="Indianapolis"/>
    <x v="14"/>
    <n v="46203"/>
    <x v="2"/>
    <x v="1760"/>
    <x v="1"/>
    <x v="2"/>
    <x v="1749"/>
    <x v="4394"/>
    <x v="6"/>
    <x v="3"/>
  </r>
  <r>
    <n v="6644"/>
    <x v="3301"/>
    <x v="544"/>
    <d v="2016-08-16T00:00:00"/>
    <s v="Standard Class"/>
    <x v="576"/>
    <s v="William Brown"/>
    <x v="0"/>
    <s v="United States"/>
    <s v="Redmond"/>
    <x v="21"/>
    <n v="97756"/>
    <x v="1"/>
    <x v="819"/>
    <x v="2"/>
    <x v="7"/>
    <x v="815"/>
    <x v="2269"/>
    <x v="6"/>
    <x v="1"/>
  </r>
  <r>
    <n v="6645"/>
    <x v="3301"/>
    <x v="544"/>
    <d v="2016-08-16T00:00:00"/>
    <s v="Standard Class"/>
    <x v="576"/>
    <s v="William Brown"/>
    <x v="0"/>
    <s v="United States"/>
    <s v="Redmond"/>
    <x v="21"/>
    <n v="97756"/>
    <x v="1"/>
    <x v="771"/>
    <x v="2"/>
    <x v="7"/>
    <x v="770"/>
    <x v="4395"/>
    <x v="6"/>
    <x v="1"/>
  </r>
  <r>
    <n v="6646"/>
    <x v="3301"/>
    <x v="544"/>
    <d v="2016-08-16T00:00:00"/>
    <s v="Standard Class"/>
    <x v="576"/>
    <s v="William Brown"/>
    <x v="0"/>
    <s v="United States"/>
    <s v="Redmond"/>
    <x v="21"/>
    <n v="97756"/>
    <x v="1"/>
    <x v="586"/>
    <x v="1"/>
    <x v="9"/>
    <x v="586"/>
    <x v="4396"/>
    <x v="6"/>
    <x v="1"/>
  </r>
  <r>
    <n v="6647"/>
    <x v="3302"/>
    <x v="272"/>
    <d v="2017-12-21T00:00:00"/>
    <s v="Standard Class"/>
    <x v="486"/>
    <s v="Mike Pelletier"/>
    <x v="2"/>
    <s v="United States"/>
    <s v="Springfield"/>
    <x v="21"/>
    <n v="97477"/>
    <x v="1"/>
    <x v="215"/>
    <x v="0"/>
    <x v="3"/>
    <x v="216"/>
    <x v="4397"/>
    <x v="4"/>
    <x v="0"/>
  </r>
  <r>
    <n v="6648"/>
    <x v="3302"/>
    <x v="272"/>
    <d v="2017-12-21T00:00:00"/>
    <s v="Standard Class"/>
    <x v="486"/>
    <s v="Mike Pelletier"/>
    <x v="2"/>
    <s v="United States"/>
    <s v="Springfield"/>
    <x v="21"/>
    <n v="97477"/>
    <x v="1"/>
    <x v="1309"/>
    <x v="1"/>
    <x v="9"/>
    <x v="1294"/>
    <x v="2734"/>
    <x v="4"/>
    <x v="0"/>
  </r>
  <r>
    <n v="6649"/>
    <x v="3303"/>
    <x v="565"/>
    <d v="2018-09-11T00:00:00"/>
    <s v="First Class"/>
    <x v="292"/>
    <s v="Barry Französisch"/>
    <x v="1"/>
    <s v="United States"/>
    <s v="Arlington"/>
    <x v="5"/>
    <n v="76017"/>
    <x v="2"/>
    <x v="471"/>
    <x v="1"/>
    <x v="8"/>
    <x v="472"/>
    <x v="507"/>
    <x v="8"/>
    <x v="3"/>
  </r>
  <r>
    <n v="6650"/>
    <x v="3303"/>
    <x v="565"/>
    <d v="2018-09-11T00:00:00"/>
    <s v="First Class"/>
    <x v="292"/>
    <s v="Barry Französisch"/>
    <x v="1"/>
    <s v="United States"/>
    <s v="Arlington"/>
    <x v="5"/>
    <n v="76017"/>
    <x v="2"/>
    <x v="1687"/>
    <x v="2"/>
    <x v="16"/>
    <x v="1675"/>
    <x v="4398"/>
    <x v="8"/>
    <x v="3"/>
  </r>
  <r>
    <n v="6651"/>
    <x v="3303"/>
    <x v="565"/>
    <d v="2018-09-11T00:00:00"/>
    <s v="First Class"/>
    <x v="292"/>
    <s v="Barry Französisch"/>
    <x v="1"/>
    <s v="United States"/>
    <s v="Arlington"/>
    <x v="5"/>
    <n v="76017"/>
    <x v="2"/>
    <x v="271"/>
    <x v="1"/>
    <x v="13"/>
    <x v="271"/>
    <x v="1931"/>
    <x v="8"/>
    <x v="3"/>
  </r>
  <r>
    <n v="6652"/>
    <x v="3303"/>
    <x v="565"/>
    <d v="2018-09-11T00:00:00"/>
    <s v="First Class"/>
    <x v="292"/>
    <s v="Barry Französisch"/>
    <x v="1"/>
    <s v="United States"/>
    <s v="Arlington"/>
    <x v="5"/>
    <n v="76017"/>
    <x v="2"/>
    <x v="750"/>
    <x v="0"/>
    <x v="5"/>
    <x v="748"/>
    <x v="4399"/>
    <x v="8"/>
    <x v="3"/>
  </r>
  <r>
    <n v="6653"/>
    <x v="3303"/>
    <x v="565"/>
    <d v="2018-09-11T00:00:00"/>
    <s v="First Class"/>
    <x v="292"/>
    <s v="Barry Französisch"/>
    <x v="1"/>
    <s v="United States"/>
    <s v="Arlington"/>
    <x v="5"/>
    <n v="76017"/>
    <x v="2"/>
    <x v="180"/>
    <x v="1"/>
    <x v="10"/>
    <x v="181"/>
    <x v="557"/>
    <x v="8"/>
    <x v="3"/>
  </r>
  <r>
    <n v="6654"/>
    <x v="3303"/>
    <x v="565"/>
    <d v="2018-09-11T00:00:00"/>
    <s v="First Class"/>
    <x v="292"/>
    <s v="Barry Französisch"/>
    <x v="1"/>
    <s v="United States"/>
    <s v="Arlington"/>
    <x v="5"/>
    <n v="76017"/>
    <x v="2"/>
    <x v="1534"/>
    <x v="0"/>
    <x v="1"/>
    <x v="1522"/>
    <x v="4400"/>
    <x v="8"/>
    <x v="3"/>
  </r>
  <r>
    <n v="6655"/>
    <x v="3304"/>
    <x v="297"/>
    <d v="2018-02-27T00:00:00"/>
    <s v="Standard Class"/>
    <x v="454"/>
    <s v="Katherine Murray"/>
    <x v="2"/>
    <s v="United States"/>
    <s v="Gilbert"/>
    <x v="16"/>
    <n v="85234"/>
    <x v="1"/>
    <x v="872"/>
    <x v="2"/>
    <x v="7"/>
    <x v="866"/>
    <x v="3720"/>
    <x v="11"/>
    <x v="3"/>
  </r>
  <r>
    <n v="6656"/>
    <x v="3304"/>
    <x v="297"/>
    <d v="2018-02-27T00:00:00"/>
    <s v="Standard Class"/>
    <x v="454"/>
    <s v="Katherine Murray"/>
    <x v="2"/>
    <s v="United States"/>
    <s v="Gilbert"/>
    <x v="16"/>
    <n v="85234"/>
    <x v="1"/>
    <x v="1227"/>
    <x v="2"/>
    <x v="11"/>
    <x v="1211"/>
    <x v="4401"/>
    <x v="11"/>
    <x v="3"/>
  </r>
  <r>
    <n v="6657"/>
    <x v="3304"/>
    <x v="297"/>
    <d v="2018-02-27T00:00:00"/>
    <s v="Standard Class"/>
    <x v="454"/>
    <s v="Katherine Murray"/>
    <x v="2"/>
    <s v="United States"/>
    <s v="Gilbert"/>
    <x v="16"/>
    <n v="85234"/>
    <x v="1"/>
    <x v="911"/>
    <x v="1"/>
    <x v="4"/>
    <x v="903"/>
    <x v="4194"/>
    <x v="11"/>
    <x v="3"/>
  </r>
  <r>
    <n v="6658"/>
    <x v="3304"/>
    <x v="297"/>
    <d v="2018-02-27T00:00:00"/>
    <s v="Standard Class"/>
    <x v="454"/>
    <s v="Katherine Murray"/>
    <x v="2"/>
    <s v="United States"/>
    <s v="Gilbert"/>
    <x v="16"/>
    <n v="85234"/>
    <x v="1"/>
    <x v="1510"/>
    <x v="1"/>
    <x v="12"/>
    <x v="1497"/>
    <x v="2945"/>
    <x v="11"/>
    <x v="3"/>
  </r>
  <r>
    <n v="6659"/>
    <x v="3304"/>
    <x v="297"/>
    <d v="2018-02-27T00:00:00"/>
    <s v="Standard Class"/>
    <x v="454"/>
    <s v="Katherine Murray"/>
    <x v="2"/>
    <s v="United States"/>
    <s v="Gilbert"/>
    <x v="16"/>
    <n v="85234"/>
    <x v="1"/>
    <x v="592"/>
    <x v="0"/>
    <x v="5"/>
    <x v="592"/>
    <x v="4402"/>
    <x v="11"/>
    <x v="3"/>
  </r>
  <r>
    <n v="6660"/>
    <x v="3304"/>
    <x v="297"/>
    <d v="2018-02-27T00:00:00"/>
    <s v="Standard Class"/>
    <x v="454"/>
    <s v="Katherine Murray"/>
    <x v="2"/>
    <s v="United States"/>
    <s v="Gilbert"/>
    <x v="16"/>
    <n v="85234"/>
    <x v="1"/>
    <x v="977"/>
    <x v="0"/>
    <x v="3"/>
    <x v="832"/>
    <x v="4403"/>
    <x v="11"/>
    <x v="3"/>
  </r>
  <r>
    <n v="6661"/>
    <x v="3305"/>
    <x v="816"/>
    <d v="2016-08-10T00:00:00"/>
    <s v="Second Class"/>
    <x v="591"/>
    <s v="Denny Blanton"/>
    <x v="0"/>
    <s v="United States"/>
    <s v="Lawrence"/>
    <x v="31"/>
    <n v="1841"/>
    <x v="3"/>
    <x v="1643"/>
    <x v="1"/>
    <x v="6"/>
    <x v="1633"/>
    <x v="4404"/>
    <x v="6"/>
    <x v="1"/>
  </r>
  <r>
    <n v="6662"/>
    <x v="3305"/>
    <x v="816"/>
    <d v="2016-08-10T00:00:00"/>
    <s v="Second Class"/>
    <x v="591"/>
    <s v="Denny Blanton"/>
    <x v="0"/>
    <s v="United States"/>
    <s v="Lawrence"/>
    <x v="31"/>
    <n v="1841"/>
    <x v="3"/>
    <x v="1051"/>
    <x v="1"/>
    <x v="9"/>
    <x v="1040"/>
    <x v="1976"/>
    <x v="6"/>
    <x v="1"/>
  </r>
  <r>
    <n v="6663"/>
    <x v="3305"/>
    <x v="816"/>
    <d v="2016-08-10T00:00:00"/>
    <s v="Second Class"/>
    <x v="591"/>
    <s v="Denny Blanton"/>
    <x v="0"/>
    <s v="United States"/>
    <s v="Lawrence"/>
    <x v="31"/>
    <n v="1841"/>
    <x v="3"/>
    <x v="1242"/>
    <x v="1"/>
    <x v="8"/>
    <x v="1225"/>
    <x v="2456"/>
    <x v="6"/>
    <x v="1"/>
  </r>
  <r>
    <n v="6664"/>
    <x v="3306"/>
    <x v="40"/>
    <d v="2018-11-01T00:00:00"/>
    <s v="Standard Class"/>
    <x v="220"/>
    <s v="Olvera Toch"/>
    <x v="0"/>
    <s v="United States"/>
    <s v="Virginia Beach"/>
    <x v="17"/>
    <n v="23464"/>
    <x v="0"/>
    <x v="719"/>
    <x v="0"/>
    <x v="3"/>
    <x v="718"/>
    <x v="4405"/>
    <x v="2"/>
    <x v="3"/>
  </r>
  <r>
    <n v="6665"/>
    <x v="3306"/>
    <x v="40"/>
    <d v="2018-11-01T00:00:00"/>
    <s v="Standard Class"/>
    <x v="220"/>
    <s v="Olvera Toch"/>
    <x v="0"/>
    <s v="United States"/>
    <s v="Virginia Beach"/>
    <x v="17"/>
    <n v="23464"/>
    <x v="0"/>
    <x v="842"/>
    <x v="1"/>
    <x v="12"/>
    <x v="836"/>
    <x v="4406"/>
    <x v="2"/>
    <x v="3"/>
  </r>
  <r>
    <n v="6666"/>
    <x v="3307"/>
    <x v="216"/>
    <d v="2017-07-18T00:00:00"/>
    <s v="Second Class"/>
    <x v="365"/>
    <s v="John Stevenson"/>
    <x v="0"/>
    <s v="United States"/>
    <s v="Irving"/>
    <x v="5"/>
    <n v="75061"/>
    <x v="2"/>
    <x v="1766"/>
    <x v="1"/>
    <x v="10"/>
    <x v="1755"/>
    <x v="1523"/>
    <x v="7"/>
    <x v="0"/>
  </r>
  <r>
    <n v="6667"/>
    <x v="3308"/>
    <x v="605"/>
    <d v="2018-05-14T00:00:00"/>
    <s v="Second Class"/>
    <x v="222"/>
    <s v="Cynthia Arntzen"/>
    <x v="0"/>
    <s v="United States"/>
    <s v="Vineland"/>
    <x v="30"/>
    <n v="8360"/>
    <x v="3"/>
    <x v="1685"/>
    <x v="0"/>
    <x v="5"/>
    <x v="1673"/>
    <x v="4407"/>
    <x v="5"/>
    <x v="3"/>
  </r>
  <r>
    <n v="6668"/>
    <x v="3308"/>
    <x v="605"/>
    <d v="2018-05-14T00:00:00"/>
    <s v="Second Class"/>
    <x v="222"/>
    <s v="Cynthia Arntzen"/>
    <x v="0"/>
    <s v="United States"/>
    <s v="Vineland"/>
    <x v="30"/>
    <n v="8360"/>
    <x v="3"/>
    <x v="641"/>
    <x v="1"/>
    <x v="2"/>
    <x v="641"/>
    <x v="51"/>
    <x v="5"/>
    <x v="3"/>
  </r>
  <r>
    <n v="6669"/>
    <x v="3308"/>
    <x v="605"/>
    <d v="2018-05-14T00:00:00"/>
    <s v="Second Class"/>
    <x v="222"/>
    <s v="Cynthia Arntzen"/>
    <x v="0"/>
    <s v="United States"/>
    <s v="Vineland"/>
    <x v="30"/>
    <n v="8360"/>
    <x v="3"/>
    <x v="1768"/>
    <x v="1"/>
    <x v="14"/>
    <x v="1757"/>
    <x v="4408"/>
    <x v="5"/>
    <x v="3"/>
  </r>
  <r>
    <n v="6670"/>
    <x v="3308"/>
    <x v="605"/>
    <d v="2018-05-14T00:00:00"/>
    <s v="Second Class"/>
    <x v="222"/>
    <s v="Cynthia Arntzen"/>
    <x v="0"/>
    <s v="United States"/>
    <s v="Vineland"/>
    <x v="30"/>
    <n v="8360"/>
    <x v="3"/>
    <x v="1563"/>
    <x v="2"/>
    <x v="11"/>
    <x v="1554"/>
    <x v="4409"/>
    <x v="5"/>
    <x v="3"/>
  </r>
  <r>
    <n v="6671"/>
    <x v="3309"/>
    <x v="1126"/>
    <d v="2018-05-29T00:00:00"/>
    <s v="Standard Class"/>
    <x v="414"/>
    <s v="Mick Hernandez"/>
    <x v="2"/>
    <s v="United States"/>
    <s v="Columbus"/>
    <x v="32"/>
    <n v="31907"/>
    <x v="0"/>
    <x v="528"/>
    <x v="1"/>
    <x v="8"/>
    <x v="528"/>
    <x v="3445"/>
    <x v="5"/>
    <x v="3"/>
  </r>
  <r>
    <n v="6672"/>
    <x v="3310"/>
    <x v="709"/>
    <d v="2015-08-27T00:00:00"/>
    <s v="Second Class"/>
    <x v="516"/>
    <s v="Robert Barroso"/>
    <x v="1"/>
    <s v="United States"/>
    <s v="Los Angeles"/>
    <x v="1"/>
    <n v="90032"/>
    <x v="1"/>
    <x v="582"/>
    <x v="1"/>
    <x v="8"/>
    <x v="582"/>
    <x v="1967"/>
    <x v="6"/>
    <x v="2"/>
  </r>
  <r>
    <n v="6673"/>
    <x v="3311"/>
    <x v="861"/>
    <d v="2016-09-16T00:00:00"/>
    <s v="Standard Class"/>
    <x v="115"/>
    <s v="Sean Braxton"/>
    <x v="1"/>
    <s v="United States"/>
    <s v="San Diego"/>
    <x v="1"/>
    <n v="92024"/>
    <x v="1"/>
    <x v="108"/>
    <x v="1"/>
    <x v="6"/>
    <x v="108"/>
    <x v="4410"/>
    <x v="8"/>
    <x v="1"/>
  </r>
  <r>
    <n v="6674"/>
    <x v="3312"/>
    <x v="577"/>
    <d v="2016-09-12T00:00:00"/>
    <s v="Standard Class"/>
    <x v="69"/>
    <s v="Tamara Willingham"/>
    <x v="2"/>
    <s v="United States"/>
    <s v="Charlottesville"/>
    <x v="17"/>
    <n v="22901"/>
    <x v="0"/>
    <x v="1793"/>
    <x v="0"/>
    <x v="5"/>
    <x v="1783"/>
    <x v="4411"/>
    <x v="8"/>
    <x v="1"/>
  </r>
  <r>
    <n v="6675"/>
    <x v="3313"/>
    <x v="82"/>
    <d v="2016-11-23T00:00:00"/>
    <s v="Second Class"/>
    <x v="658"/>
    <s v="Denise Leinenbach"/>
    <x v="0"/>
    <s v="United States"/>
    <s v="Lawrence"/>
    <x v="14"/>
    <n v="46226"/>
    <x v="2"/>
    <x v="853"/>
    <x v="1"/>
    <x v="6"/>
    <x v="846"/>
    <x v="267"/>
    <x v="0"/>
    <x v="1"/>
  </r>
  <r>
    <n v="6676"/>
    <x v="3313"/>
    <x v="82"/>
    <d v="2016-11-23T00:00:00"/>
    <s v="Second Class"/>
    <x v="658"/>
    <s v="Denise Leinenbach"/>
    <x v="0"/>
    <s v="United States"/>
    <s v="Lawrence"/>
    <x v="14"/>
    <n v="46226"/>
    <x v="2"/>
    <x v="1794"/>
    <x v="2"/>
    <x v="15"/>
    <x v="1784"/>
    <x v="4412"/>
    <x v="0"/>
    <x v="1"/>
  </r>
  <r>
    <n v="6677"/>
    <x v="3313"/>
    <x v="82"/>
    <d v="2016-11-23T00:00:00"/>
    <s v="Second Class"/>
    <x v="658"/>
    <s v="Denise Leinenbach"/>
    <x v="0"/>
    <s v="United States"/>
    <s v="Lawrence"/>
    <x v="14"/>
    <n v="46226"/>
    <x v="2"/>
    <x v="1683"/>
    <x v="1"/>
    <x v="9"/>
    <x v="1671"/>
    <x v="4413"/>
    <x v="0"/>
    <x v="1"/>
  </r>
  <r>
    <n v="6678"/>
    <x v="3313"/>
    <x v="82"/>
    <d v="2016-11-23T00:00:00"/>
    <s v="Second Class"/>
    <x v="658"/>
    <s v="Denise Leinenbach"/>
    <x v="0"/>
    <s v="United States"/>
    <s v="Lawrence"/>
    <x v="14"/>
    <n v="46226"/>
    <x v="2"/>
    <x v="1543"/>
    <x v="2"/>
    <x v="11"/>
    <x v="1531"/>
    <x v="4414"/>
    <x v="0"/>
    <x v="1"/>
  </r>
  <r>
    <n v="6679"/>
    <x v="3314"/>
    <x v="982"/>
    <d v="2015-10-14T00:00:00"/>
    <s v="Standard Class"/>
    <x v="174"/>
    <s v="Shirley Daniels"/>
    <x v="2"/>
    <s v="United States"/>
    <s v="Phoenix"/>
    <x v="16"/>
    <n v="85023"/>
    <x v="1"/>
    <x v="904"/>
    <x v="0"/>
    <x v="5"/>
    <x v="896"/>
    <x v="4415"/>
    <x v="2"/>
    <x v="2"/>
  </r>
  <r>
    <n v="6680"/>
    <x v="3315"/>
    <x v="264"/>
    <d v="2018-09-07T00:00:00"/>
    <s v="Second Class"/>
    <x v="26"/>
    <s v="Ted Butterfield"/>
    <x v="0"/>
    <s v="United States"/>
    <s v="Meriden"/>
    <x v="29"/>
    <n v="6450"/>
    <x v="3"/>
    <x v="376"/>
    <x v="1"/>
    <x v="4"/>
    <x v="377"/>
    <x v="2868"/>
    <x v="8"/>
    <x v="3"/>
  </r>
  <r>
    <n v="6681"/>
    <x v="3315"/>
    <x v="264"/>
    <d v="2018-09-07T00:00:00"/>
    <s v="Second Class"/>
    <x v="26"/>
    <s v="Ted Butterfield"/>
    <x v="0"/>
    <s v="United States"/>
    <s v="Meriden"/>
    <x v="29"/>
    <n v="6450"/>
    <x v="3"/>
    <x v="368"/>
    <x v="1"/>
    <x v="10"/>
    <x v="369"/>
    <x v="705"/>
    <x v="8"/>
    <x v="3"/>
  </r>
  <r>
    <n v="6682"/>
    <x v="3315"/>
    <x v="264"/>
    <d v="2018-09-07T00:00:00"/>
    <s v="Second Class"/>
    <x v="26"/>
    <s v="Ted Butterfield"/>
    <x v="0"/>
    <s v="United States"/>
    <s v="Meriden"/>
    <x v="29"/>
    <n v="6450"/>
    <x v="3"/>
    <x v="1619"/>
    <x v="1"/>
    <x v="10"/>
    <x v="1610"/>
    <x v="674"/>
    <x v="8"/>
    <x v="3"/>
  </r>
  <r>
    <n v="6683"/>
    <x v="3316"/>
    <x v="314"/>
    <d v="2018-01-02T00:00:00"/>
    <s v="First Class"/>
    <x v="503"/>
    <s v="Dennis Pardue"/>
    <x v="2"/>
    <s v="United States"/>
    <s v="Franklin"/>
    <x v="6"/>
    <n v="53132"/>
    <x v="2"/>
    <x v="751"/>
    <x v="1"/>
    <x v="8"/>
    <x v="749"/>
    <x v="4416"/>
    <x v="9"/>
    <x v="3"/>
  </r>
  <r>
    <n v="6684"/>
    <x v="3317"/>
    <x v="1127"/>
    <d v="2015-11-10T00:00:00"/>
    <s v="Standard Class"/>
    <x v="368"/>
    <s v="Deanra Eno"/>
    <x v="2"/>
    <s v="United States"/>
    <s v="Los Angeles"/>
    <x v="1"/>
    <n v="90008"/>
    <x v="1"/>
    <x v="1533"/>
    <x v="0"/>
    <x v="5"/>
    <x v="1521"/>
    <x v="130"/>
    <x v="0"/>
    <x v="2"/>
  </r>
  <r>
    <n v="6685"/>
    <x v="3318"/>
    <x v="997"/>
    <d v="2016-12-22T00:00:00"/>
    <s v="Standard Class"/>
    <x v="498"/>
    <s v="Mick Crebagga"/>
    <x v="0"/>
    <s v="United States"/>
    <s v="Bloomington"/>
    <x v="10"/>
    <n v="61701"/>
    <x v="2"/>
    <x v="906"/>
    <x v="1"/>
    <x v="4"/>
    <x v="898"/>
    <x v="4417"/>
    <x v="4"/>
    <x v="1"/>
  </r>
  <r>
    <n v="6686"/>
    <x v="3318"/>
    <x v="997"/>
    <d v="2016-12-22T00:00:00"/>
    <s v="Standard Class"/>
    <x v="498"/>
    <s v="Mick Crebagga"/>
    <x v="0"/>
    <s v="United States"/>
    <s v="Bloomington"/>
    <x v="10"/>
    <n v="61701"/>
    <x v="2"/>
    <x v="689"/>
    <x v="0"/>
    <x v="5"/>
    <x v="689"/>
    <x v="4418"/>
    <x v="4"/>
    <x v="1"/>
  </r>
  <r>
    <n v="6687"/>
    <x v="3318"/>
    <x v="997"/>
    <d v="2016-12-22T00:00:00"/>
    <s v="Standard Class"/>
    <x v="498"/>
    <s v="Mick Crebagga"/>
    <x v="0"/>
    <s v="United States"/>
    <s v="Bloomington"/>
    <x v="10"/>
    <n v="61701"/>
    <x v="2"/>
    <x v="950"/>
    <x v="1"/>
    <x v="6"/>
    <x v="943"/>
    <x v="1317"/>
    <x v="4"/>
    <x v="1"/>
  </r>
  <r>
    <n v="6688"/>
    <x v="3319"/>
    <x v="263"/>
    <d v="2016-05-21T00:00:00"/>
    <s v="Standard Class"/>
    <x v="643"/>
    <s v="Hunter Glantz"/>
    <x v="0"/>
    <s v="United States"/>
    <s v="Los Angeles"/>
    <x v="1"/>
    <n v="90032"/>
    <x v="1"/>
    <x v="1362"/>
    <x v="1"/>
    <x v="4"/>
    <x v="1348"/>
    <x v="2068"/>
    <x v="5"/>
    <x v="1"/>
  </r>
  <r>
    <n v="6689"/>
    <x v="3320"/>
    <x v="434"/>
    <d v="2018-03-15T00:00:00"/>
    <s v="Second Class"/>
    <x v="698"/>
    <s v="Candace McMahon"/>
    <x v="1"/>
    <s v="United States"/>
    <s v="San Francisco"/>
    <x v="1"/>
    <n v="94109"/>
    <x v="1"/>
    <x v="1130"/>
    <x v="2"/>
    <x v="11"/>
    <x v="1118"/>
    <x v="1359"/>
    <x v="10"/>
    <x v="3"/>
  </r>
  <r>
    <n v="6690"/>
    <x v="3321"/>
    <x v="574"/>
    <d v="2018-12-09T00:00:00"/>
    <s v="Standard Class"/>
    <x v="532"/>
    <s v="Roy Phan"/>
    <x v="1"/>
    <s v="United States"/>
    <s v="Houston"/>
    <x v="5"/>
    <n v="77095"/>
    <x v="2"/>
    <x v="1279"/>
    <x v="1"/>
    <x v="6"/>
    <x v="1264"/>
    <x v="4419"/>
    <x v="4"/>
    <x v="3"/>
  </r>
  <r>
    <n v="6691"/>
    <x v="3322"/>
    <x v="689"/>
    <d v="2018-08-05T00:00:00"/>
    <s v="Standard Class"/>
    <x v="624"/>
    <s v="Luke Schmidt"/>
    <x v="1"/>
    <s v="United States"/>
    <s v="Milwaukee"/>
    <x v="6"/>
    <n v="53209"/>
    <x v="2"/>
    <x v="236"/>
    <x v="1"/>
    <x v="8"/>
    <x v="237"/>
    <x v="254"/>
    <x v="7"/>
    <x v="3"/>
  </r>
  <r>
    <n v="6692"/>
    <x v="3322"/>
    <x v="689"/>
    <d v="2018-08-05T00:00:00"/>
    <s v="Standard Class"/>
    <x v="624"/>
    <s v="Luke Schmidt"/>
    <x v="1"/>
    <s v="United States"/>
    <s v="Milwaukee"/>
    <x v="6"/>
    <n v="53209"/>
    <x v="2"/>
    <x v="408"/>
    <x v="1"/>
    <x v="9"/>
    <x v="408"/>
    <x v="4357"/>
    <x v="7"/>
    <x v="3"/>
  </r>
  <r>
    <n v="6693"/>
    <x v="3323"/>
    <x v="938"/>
    <d v="2018-08-13T00:00:00"/>
    <s v="Second Class"/>
    <x v="660"/>
    <s v="Daniel Raglin"/>
    <x v="2"/>
    <s v="United States"/>
    <s v="Lake Charles"/>
    <x v="28"/>
    <n v="70601"/>
    <x v="0"/>
    <x v="1311"/>
    <x v="1"/>
    <x v="8"/>
    <x v="1297"/>
    <x v="4420"/>
    <x v="6"/>
    <x v="3"/>
  </r>
  <r>
    <n v="6694"/>
    <x v="3324"/>
    <x v="1033"/>
    <d v="2018-10-02T00:00:00"/>
    <s v="Second Class"/>
    <x v="693"/>
    <s v="Cindy Chapman"/>
    <x v="0"/>
    <s v="United States"/>
    <s v="Baltimore"/>
    <x v="39"/>
    <n v="21215"/>
    <x v="3"/>
    <x v="1397"/>
    <x v="1"/>
    <x v="10"/>
    <x v="1384"/>
    <x v="2169"/>
    <x v="8"/>
    <x v="3"/>
  </r>
  <r>
    <n v="6695"/>
    <x v="3325"/>
    <x v="370"/>
    <d v="2017-08-30T00:00:00"/>
    <s v="Standard Class"/>
    <x v="776"/>
    <s v="Shirley Schmidt"/>
    <x v="2"/>
    <s v="United States"/>
    <s v="Franklin"/>
    <x v="6"/>
    <n v="53132"/>
    <x v="2"/>
    <x v="1097"/>
    <x v="2"/>
    <x v="11"/>
    <x v="1087"/>
    <x v="4421"/>
    <x v="6"/>
    <x v="0"/>
  </r>
  <r>
    <n v="6696"/>
    <x v="3326"/>
    <x v="499"/>
    <d v="2017-12-07T00:00:00"/>
    <s v="Standard Class"/>
    <x v="440"/>
    <s v="Jamie Frazer"/>
    <x v="0"/>
    <s v="United States"/>
    <s v="New York City"/>
    <x v="15"/>
    <n v="10024"/>
    <x v="3"/>
    <x v="1591"/>
    <x v="1"/>
    <x v="8"/>
    <x v="1583"/>
    <x v="4422"/>
    <x v="4"/>
    <x v="0"/>
  </r>
  <r>
    <n v="6697"/>
    <x v="3326"/>
    <x v="499"/>
    <d v="2017-12-07T00:00:00"/>
    <s v="Standard Class"/>
    <x v="440"/>
    <s v="Jamie Frazer"/>
    <x v="0"/>
    <s v="United States"/>
    <s v="New York City"/>
    <x v="15"/>
    <n v="10024"/>
    <x v="3"/>
    <x v="908"/>
    <x v="1"/>
    <x v="8"/>
    <x v="900"/>
    <x v="4423"/>
    <x v="4"/>
    <x v="0"/>
  </r>
  <r>
    <n v="6698"/>
    <x v="3326"/>
    <x v="499"/>
    <d v="2017-12-07T00:00:00"/>
    <s v="Standard Class"/>
    <x v="440"/>
    <s v="Jamie Frazer"/>
    <x v="0"/>
    <s v="United States"/>
    <s v="New York City"/>
    <x v="15"/>
    <n v="10024"/>
    <x v="3"/>
    <x v="1397"/>
    <x v="1"/>
    <x v="10"/>
    <x v="1384"/>
    <x v="3715"/>
    <x v="4"/>
    <x v="0"/>
  </r>
  <r>
    <n v="6699"/>
    <x v="3327"/>
    <x v="246"/>
    <d v="2018-07-25T00:00:00"/>
    <s v="Standard Class"/>
    <x v="517"/>
    <s v="Shaun Weien"/>
    <x v="0"/>
    <s v="United States"/>
    <s v="San Diego"/>
    <x v="1"/>
    <n v="92024"/>
    <x v="1"/>
    <x v="1795"/>
    <x v="1"/>
    <x v="10"/>
    <x v="1785"/>
    <x v="4424"/>
    <x v="7"/>
    <x v="3"/>
  </r>
  <r>
    <n v="6700"/>
    <x v="3327"/>
    <x v="246"/>
    <d v="2018-07-25T00:00:00"/>
    <s v="Standard Class"/>
    <x v="517"/>
    <s v="Shaun Weien"/>
    <x v="0"/>
    <s v="United States"/>
    <s v="San Diego"/>
    <x v="1"/>
    <n v="92024"/>
    <x v="1"/>
    <x v="1153"/>
    <x v="0"/>
    <x v="1"/>
    <x v="1141"/>
    <x v="2241"/>
    <x v="7"/>
    <x v="3"/>
  </r>
  <r>
    <n v="6701"/>
    <x v="3327"/>
    <x v="246"/>
    <d v="2018-07-25T00:00:00"/>
    <s v="Standard Class"/>
    <x v="517"/>
    <s v="Shaun Weien"/>
    <x v="0"/>
    <s v="United States"/>
    <s v="San Diego"/>
    <x v="1"/>
    <n v="92024"/>
    <x v="1"/>
    <x v="301"/>
    <x v="1"/>
    <x v="8"/>
    <x v="301"/>
    <x v="4338"/>
    <x v="7"/>
    <x v="3"/>
  </r>
  <r>
    <n v="6702"/>
    <x v="3328"/>
    <x v="1128"/>
    <d v="2016-05-24T00:00:00"/>
    <s v="Standard Class"/>
    <x v="495"/>
    <s v="Sheri Gordon"/>
    <x v="0"/>
    <s v="United States"/>
    <s v="Wilson"/>
    <x v="3"/>
    <n v="27893"/>
    <x v="0"/>
    <x v="1154"/>
    <x v="0"/>
    <x v="5"/>
    <x v="1142"/>
    <x v="4425"/>
    <x v="5"/>
    <x v="1"/>
  </r>
  <r>
    <n v="6703"/>
    <x v="3328"/>
    <x v="1128"/>
    <d v="2016-05-24T00:00:00"/>
    <s v="Standard Class"/>
    <x v="495"/>
    <s v="Sheri Gordon"/>
    <x v="0"/>
    <s v="United States"/>
    <s v="Wilson"/>
    <x v="3"/>
    <n v="27893"/>
    <x v="0"/>
    <x v="880"/>
    <x v="1"/>
    <x v="8"/>
    <x v="874"/>
    <x v="1669"/>
    <x v="5"/>
    <x v="1"/>
  </r>
  <r>
    <n v="6704"/>
    <x v="3329"/>
    <x v="537"/>
    <d v="2016-06-28T00:00:00"/>
    <s v="Standard Class"/>
    <x v="394"/>
    <s v="Christine Sundaresam"/>
    <x v="0"/>
    <s v="United States"/>
    <s v="Long Beach"/>
    <x v="1"/>
    <n v="90805"/>
    <x v="1"/>
    <x v="1236"/>
    <x v="2"/>
    <x v="7"/>
    <x v="1219"/>
    <x v="2039"/>
    <x v="1"/>
    <x v="1"/>
  </r>
  <r>
    <n v="6705"/>
    <x v="3329"/>
    <x v="537"/>
    <d v="2016-06-28T00:00:00"/>
    <s v="Standard Class"/>
    <x v="394"/>
    <s v="Christine Sundaresam"/>
    <x v="0"/>
    <s v="United States"/>
    <s v="Long Beach"/>
    <x v="1"/>
    <n v="90805"/>
    <x v="1"/>
    <x v="804"/>
    <x v="1"/>
    <x v="13"/>
    <x v="802"/>
    <x v="4426"/>
    <x v="1"/>
    <x v="1"/>
  </r>
  <r>
    <n v="6706"/>
    <x v="3329"/>
    <x v="537"/>
    <d v="2016-06-28T00:00:00"/>
    <s v="Standard Class"/>
    <x v="394"/>
    <s v="Christine Sundaresam"/>
    <x v="0"/>
    <s v="United States"/>
    <s v="Long Beach"/>
    <x v="1"/>
    <n v="90805"/>
    <x v="1"/>
    <x v="160"/>
    <x v="2"/>
    <x v="7"/>
    <x v="161"/>
    <x v="166"/>
    <x v="1"/>
    <x v="1"/>
  </r>
  <r>
    <n v="6707"/>
    <x v="3330"/>
    <x v="545"/>
    <d v="2017-09-15T00:00:00"/>
    <s v="Standard Class"/>
    <x v="281"/>
    <s v="Steve Chapman"/>
    <x v="1"/>
    <s v="United States"/>
    <s v="Fort Lauderdale"/>
    <x v="2"/>
    <n v="33311"/>
    <x v="0"/>
    <x v="918"/>
    <x v="2"/>
    <x v="7"/>
    <x v="910"/>
    <x v="4427"/>
    <x v="8"/>
    <x v="0"/>
  </r>
  <r>
    <n v="6708"/>
    <x v="3331"/>
    <x v="138"/>
    <d v="2015-04-18T00:00:00"/>
    <s v="Standard Class"/>
    <x v="408"/>
    <s v="Ben Ferrer"/>
    <x v="2"/>
    <s v="United States"/>
    <s v="Baltimore"/>
    <x v="39"/>
    <n v="21215"/>
    <x v="3"/>
    <x v="1796"/>
    <x v="1"/>
    <x v="2"/>
    <x v="1786"/>
    <x v="1484"/>
    <x v="3"/>
    <x v="2"/>
  </r>
  <r>
    <n v="6709"/>
    <x v="3332"/>
    <x v="717"/>
    <d v="2016-11-19T00:00:00"/>
    <s v="Standard Class"/>
    <x v="47"/>
    <s v="Gary Zandusky"/>
    <x v="0"/>
    <s v="United States"/>
    <s v="Rio Rancho"/>
    <x v="27"/>
    <n v="87124"/>
    <x v="1"/>
    <x v="157"/>
    <x v="0"/>
    <x v="1"/>
    <x v="158"/>
    <x v="2173"/>
    <x v="0"/>
    <x v="1"/>
  </r>
  <r>
    <n v="6710"/>
    <x v="3332"/>
    <x v="717"/>
    <d v="2016-11-19T00:00:00"/>
    <s v="Standard Class"/>
    <x v="47"/>
    <s v="Gary Zandusky"/>
    <x v="0"/>
    <s v="United States"/>
    <s v="Rio Rancho"/>
    <x v="27"/>
    <n v="87124"/>
    <x v="1"/>
    <x v="268"/>
    <x v="0"/>
    <x v="1"/>
    <x v="268"/>
    <x v="285"/>
    <x v="0"/>
    <x v="1"/>
  </r>
  <r>
    <n v="6711"/>
    <x v="3333"/>
    <x v="10"/>
    <d v="2017-12-12T00:00:00"/>
    <s v="First Class"/>
    <x v="70"/>
    <s v="Stephanie Phelps"/>
    <x v="1"/>
    <s v="United States"/>
    <s v="Stockton"/>
    <x v="1"/>
    <n v="95207"/>
    <x v="1"/>
    <x v="1160"/>
    <x v="1"/>
    <x v="8"/>
    <x v="1147"/>
    <x v="4428"/>
    <x v="4"/>
    <x v="0"/>
  </r>
  <r>
    <n v="6712"/>
    <x v="3334"/>
    <x v="238"/>
    <d v="2018-08-21T00:00:00"/>
    <s v="Second Class"/>
    <x v="307"/>
    <s v="Pauline Johnson"/>
    <x v="0"/>
    <s v="United States"/>
    <s v="Columbus"/>
    <x v="24"/>
    <n v="43229"/>
    <x v="3"/>
    <x v="1024"/>
    <x v="1"/>
    <x v="6"/>
    <x v="1015"/>
    <x v="4373"/>
    <x v="6"/>
    <x v="3"/>
  </r>
  <r>
    <n v="6713"/>
    <x v="3335"/>
    <x v="817"/>
    <d v="2018-12-14T00:00:00"/>
    <s v="Same Day"/>
    <x v="72"/>
    <s v="Dave Brooks"/>
    <x v="0"/>
    <s v="United States"/>
    <s v="Skokie"/>
    <x v="10"/>
    <n v="60076"/>
    <x v="2"/>
    <x v="1319"/>
    <x v="0"/>
    <x v="5"/>
    <x v="1305"/>
    <x v="4429"/>
    <x v="4"/>
    <x v="3"/>
  </r>
  <r>
    <n v="6714"/>
    <x v="3335"/>
    <x v="817"/>
    <d v="2018-12-14T00:00:00"/>
    <s v="Same Day"/>
    <x v="72"/>
    <s v="Dave Brooks"/>
    <x v="0"/>
    <s v="United States"/>
    <s v="Skokie"/>
    <x v="10"/>
    <n v="60076"/>
    <x v="2"/>
    <x v="267"/>
    <x v="0"/>
    <x v="5"/>
    <x v="267"/>
    <x v="4430"/>
    <x v="4"/>
    <x v="3"/>
  </r>
  <r>
    <n v="6715"/>
    <x v="3335"/>
    <x v="817"/>
    <d v="2018-12-14T00:00:00"/>
    <s v="Same Day"/>
    <x v="72"/>
    <s v="Dave Brooks"/>
    <x v="0"/>
    <s v="United States"/>
    <s v="Skokie"/>
    <x v="10"/>
    <n v="60076"/>
    <x v="2"/>
    <x v="960"/>
    <x v="2"/>
    <x v="11"/>
    <x v="953"/>
    <x v="4431"/>
    <x v="4"/>
    <x v="3"/>
  </r>
  <r>
    <n v="6716"/>
    <x v="3335"/>
    <x v="817"/>
    <d v="2018-12-14T00:00:00"/>
    <s v="Same Day"/>
    <x v="72"/>
    <s v="Dave Brooks"/>
    <x v="0"/>
    <s v="United States"/>
    <s v="Skokie"/>
    <x v="10"/>
    <n v="60076"/>
    <x v="2"/>
    <x v="1571"/>
    <x v="1"/>
    <x v="6"/>
    <x v="1562"/>
    <x v="4432"/>
    <x v="4"/>
    <x v="3"/>
  </r>
  <r>
    <n v="6717"/>
    <x v="3336"/>
    <x v="143"/>
    <d v="2017-04-15T00:00:00"/>
    <s v="Standard Class"/>
    <x v="278"/>
    <s v="Christine Kargatis"/>
    <x v="2"/>
    <s v="United States"/>
    <s v="Hot Springs"/>
    <x v="36"/>
    <n v="71901"/>
    <x v="0"/>
    <x v="659"/>
    <x v="1"/>
    <x v="13"/>
    <x v="659"/>
    <x v="59"/>
    <x v="3"/>
    <x v="0"/>
  </r>
  <r>
    <n v="6718"/>
    <x v="3336"/>
    <x v="143"/>
    <d v="2017-04-15T00:00:00"/>
    <s v="Standard Class"/>
    <x v="278"/>
    <s v="Christine Kargatis"/>
    <x v="2"/>
    <s v="United States"/>
    <s v="Hot Springs"/>
    <x v="36"/>
    <n v="71901"/>
    <x v="0"/>
    <x v="548"/>
    <x v="1"/>
    <x v="10"/>
    <x v="548"/>
    <x v="233"/>
    <x v="3"/>
    <x v="0"/>
  </r>
  <r>
    <n v="6719"/>
    <x v="3336"/>
    <x v="143"/>
    <d v="2017-04-15T00:00:00"/>
    <s v="Standard Class"/>
    <x v="278"/>
    <s v="Christine Kargatis"/>
    <x v="2"/>
    <s v="United States"/>
    <s v="Hot Springs"/>
    <x v="36"/>
    <n v="71901"/>
    <x v="0"/>
    <x v="892"/>
    <x v="0"/>
    <x v="5"/>
    <x v="885"/>
    <x v="4433"/>
    <x v="3"/>
    <x v="0"/>
  </r>
  <r>
    <n v="6720"/>
    <x v="3337"/>
    <x v="186"/>
    <d v="2017-12-19T00:00:00"/>
    <s v="First Class"/>
    <x v="11"/>
    <s v="Sandra Flanagan"/>
    <x v="0"/>
    <s v="United States"/>
    <s v="Goldsboro"/>
    <x v="3"/>
    <n v="27534"/>
    <x v="0"/>
    <x v="937"/>
    <x v="1"/>
    <x v="9"/>
    <x v="930"/>
    <x v="4180"/>
    <x v="4"/>
    <x v="0"/>
  </r>
  <r>
    <n v="6721"/>
    <x v="3338"/>
    <x v="20"/>
    <d v="2018-09-24T00:00:00"/>
    <s v="Standard Class"/>
    <x v="317"/>
    <s v="Dave Poirier"/>
    <x v="1"/>
    <s v="United States"/>
    <s v="Los Angeles"/>
    <x v="1"/>
    <n v="90032"/>
    <x v="1"/>
    <x v="632"/>
    <x v="2"/>
    <x v="11"/>
    <x v="632"/>
    <x v="179"/>
    <x v="8"/>
    <x v="3"/>
  </r>
  <r>
    <n v="6722"/>
    <x v="3338"/>
    <x v="20"/>
    <d v="2018-09-24T00:00:00"/>
    <s v="Standard Class"/>
    <x v="317"/>
    <s v="Dave Poirier"/>
    <x v="1"/>
    <s v="United States"/>
    <s v="Los Angeles"/>
    <x v="1"/>
    <n v="90032"/>
    <x v="1"/>
    <x v="1759"/>
    <x v="1"/>
    <x v="6"/>
    <x v="1748"/>
    <x v="4434"/>
    <x v="8"/>
    <x v="3"/>
  </r>
  <r>
    <n v="6723"/>
    <x v="3338"/>
    <x v="20"/>
    <d v="2018-09-24T00:00:00"/>
    <s v="Standard Class"/>
    <x v="317"/>
    <s v="Dave Poirier"/>
    <x v="1"/>
    <s v="United States"/>
    <s v="Los Angeles"/>
    <x v="1"/>
    <n v="90032"/>
    <x v="1"/>
    <x v="1260"/>
    <x v="1"/>
    <x v="6"/>
    <x v="1244"/>
    <x v="80"/>
    <x v="8"/>
    <x v="3"/>
  </r>
  <r>
    <n v="6724"/>
    <x v="3339"/>
    <x v="507"/>
    <d v="2018-09-06T00:00:00"/>
    <s v="Second Class"/>
    <x v="718"/>
    <s v="Vivian Mathis"/>
    <x v="0"/>
    <s v="United States"/>
    <s v="Nashua"/>
    <x v="38"/>
    <n v="3060"/>
    <x v="3"/>
    <x v="1099"/>
    <x v="1"/>
    <x v="13"/>
    <x v="128"/>
    <x v="1450"/>
    <x v="8"/>
    <x v="3"/>
  </r>
  <r>
    <n v="6725"/>
    <x v="3340"/>
    <x v="126"/>
    <d v="2017-09-16T00:00:00"/>
    <s v="Standard Class"/>
    <x v="227"/>
    <s v="Sarah Foster"/>
    <x v="0"/>
    <s v="United States"/>
    <s v="Seattle"/>
    <x v="4"/>
    <n v="98103"/>
    <x v="1"/>
    <x v="203"/>
    <x v="1"/>
    <x v="13"/>
    <x v="204"/>
    <x v="4435"/>
    <x v="8"/>
    <x v="0"/>
  </r>
  <r>
    <n v="6726"/>
    <x v="3340"/>
    <x v="126"/>
    <d v="2017-09-16T00:00:00"/>
    <s v="Standard Class"/>
    <x v="227"/>
    <s v="Sarah Foster"/>
    <x v="0"/>
    <s v="United States"/>
    <s v="Seattle"/>
    <x v="4"/>
    <n v="98103"/>
    <x v="1"/>
    <x v="1647"/>
    <x v="1"/>
    <x v="2"/>
    <x v="1636"/>
    <x v="466"/>
    <x v="8"/>
    <x v="0"/>
  </r>
  <r>
    <n v="6727"/>
    <x v="3340"/>
    <x v="126"/>
    <d v="2017-09-16T00:00:00"/>
    <s v="Standard Class"/>
    <x v="227"/>
    <s v="Sarah Foster"/>
    <x v="0"/>
    <s v="United States"/>
    <s v="Seattle"/>
    <x v="4"/>
    <n v="98103"/>
    <x v="1"/>
    <x v="625"/>
    <x v="1"/>
    <x v="8"/>
    <x v="625"/>
    <x v="4436"/>
    <x v="8"/>
    <x v="0"/>
  </r>
  <r>
    <n v="6728"/>
    <x v="3341"/>
    <x v="682"/>
    <d v="2018-08-15T00:00:00"/>
    <s v="Second Class"/>
    <x v="281"/>
    <s v="Steve Chapman"/>
    <x v="1"/>
    <s v="United States"/>
    <s v="Richmond"/>
    <x v="14"/>
    <n v="47374"/>
    <x v="2"/>
    <x v="1733"/>
    <x v="1"/>
    <x v="10"/>
    <x v="1721"/>
    <x v="924"/>
    <x v="6"/>
    <x v="3"/>
  </r>
  <r>
    <n v="6729"/>
    <x v="3342"/>
    <x v="254"/>
    <d v="2017-11-09T00:00:00"/>
    <s v="Standard Class"/>
    <x v="716"/>
    <s v="Maureen Fritzler"/>
    <x v="1"/>
    <s v="United States"/>
    <s v="Miami"/>
    <x v="2"/>
    <n v="33180"/>
    <x v="0"/>
    <x v="1172"/>
    <x v="0"/>
    <x v="5"/>
    <x v="1158"/>
    <x v="4437"/>
    <x v="0"/>
    <x v="0"/>
  </r>
  <r>
    <n v="6730"/>
    <x v="3343"/>
    <x v="652"/>
    <d v="2016-06-20T00:00:00"/>
    <s v="First Class"/>
    <x v="296"/>
    <s v="Benjamin Venier"/>
    <x v="1"/>
    <s v="United States"/>
    <s v="Smyrna"/>
    <x v="18"/>
    <n v="37167"/>
    <x v="0"/>
    <x v="1282"/>
    <x v="1"/>
    <x v="8"/>
    <x v="1267"/>
    <x v="4438"/>
    <x v="1"/>
    <x v="1"/>
  </r>
  <r>
    <n v="6731"/>
    <x v="3343"/>
    <x v="652"/>
    <d v="2016-06-20T00:00:00"/>
    <s v="First Class"/>
    <x v="296"/>
    <s v="Benjamin Venier"/>
    <x v="1"/>
    <s v="United States"/>
    <s v="Smyrna"/>
    <x v="18"/>
    <n v="37167"/>
    <x v="0"/>
    <x v="228"/>
    <x v="0"/>
    <x v="1"/>
    <x v="229"/>
    <x v="4439"/>
    <x v="1"/>
    <x v="1"/>
  </r>
  <r>
    <n v="6732"/>
    <x v="3343"/>
    <x v="652"/>
    <d v="2016-06-20T00:00:00"/>
    <s v="First Class"/>
    <x v="296"/>
    <s v="Benjamin Venier"/>
    <x v="1"/>
    <s v="United States"/>
    <s v="Smyrna"/>
    <x v="18"/>
    <n v="37167"/>
    <x v="0"/>
    <x v="289"/>
    <x v="1"/>
    <x v="10"/>
    <x v="289"/>
    <x v="557"/>
    <x v="1"/>
    <x v="1"/>
  </r>
  <r>
    <n v="6733"/>
    <x v="3344"/>
    <x v="1129"/>
    <d v="2015-07-07T00:00:00"/>
    <s v="First Class"/>
    <x v="722"/>
    <s v="Katrina Edelman"/>
    <x v="1"/>
    <s v="United States"/>
    <s v="Aurora"/>
    <x v="22"/>
    <n v="80013"/>
    <x v="1"/>
    <x v="1486"/>
    <x v="1"/>
    <x v="10"/>
    <x v="1473"/>
    <x v="3380"/>
    <x v="7"/>
    <x v="2"/>
  </r>
  <r>
    <n v="6734"/>
    <x v="3344"/>
    <x v="1129"/>
    <d v="2015-07-07T00:00:00"/>
    <s v="First Class"/>
    <x v="722"/>
    <s v="Katrina Edelman"/>
    <x v="1"/>
    <s v="United States"/>
    <s v="Aurora"/>
    <x v="22"/>
    <n v="80013"/>
    <x v="1"/>
    <x v="1266"/>
    <x v="1"/>
    <x v="9"/>
    <x v="1250"/>
    <x v="4440"/>
    <x v="7"/>
    <x v="2"/>
  </r>
  <r>
    <n v="6735"/>
    <x v="3345"/>
    <x v="139"/>
    <d v="2016-12-25T00:00:00"/>
    <s v="Standard Class"/>
    <x v="773"/>
    <s v="Evan Minnotte"/>
    <x v="2"/>
    <s v="United States"/>
    <s v="Miami"/>
    <x v="2"/>
    <n v="33142"/>
    <x v="0"/>
    <x v="676"/>
    <x v="1"/>
    <x v="2"/>
    <x v="676"/>
    <x v="3190"/>
    <x v="4"/>
    <x v="1"/>
  </r>
  <r>
    <n v="6736"/>
    <x v="3346"/>
    <x v="342"/>
    <d v="2017-04-17T00:00:00"/>
    <s v="Standard Class"/>
    <x v="537"/>
    <s v="Brian Thompson"/>
    <x v="0"/>
    <s v="United States"/>
    <s v="San Francisco"/>
    <x v="1"/>
    <n v="94122"/>
    <x v="1"/>
    <x v="983"/>
    <x v="1"/>
    <x v="9"/>
    <x v="976"/>
    <x v="4441"/>
    <x v="3"/>
    <x v="0"/>
  </r>
  <r>
    <n v="6737"/>
    <x v="3346"/>
    <x v="342"/>
    <d v="2017-04-17T00:00:00"/>
    <s v="Standard Class"/>
    <x v="537"/>
    <s v="Brian Thompson"/>
    <x v="0"/>
    <s v="United States"/>
    <s v="San Francisco"/>
    <x v="1"/>
    <n v="94122"/>
    <x v="1"/>
    <x v="1662"/>
    <x v="1"/>
    <x v="4"/>
    <x v="1650"/>
    <x v="4246"/>
    <x v="3"/>
    <x v="0"/>
  </r>
  <r>
    <n v="6738"/>
    <x v="3346"/>
    <x v="342"/>
    <d v="2017-04-17T00:00:00"/>
    <s v="Standard Class"/>
    <x v="537"/>
    <s v="Brian Thompson"/>
    <x v="0"/>
    <s v="United States"/>
    <s v="San Francisco"/>
    <x v="1"/>
    <n v="94122"/>
    <x v="1"/>
    <x v="1764"/>
    <x v="1"/>
    <x v="4"/>
    <x v="1753"/>
    <x v="4442"/>
    <x v="3"/>
    <x v="0"/>
  </r>
  <r>
    <n v="6739"/>
    <x v="3346"/>
    <x v="342"/>
    <d v="2017-04-17T00:00:00"/>
    <s v="Standard Class"/>
    <x v="537"/>
    <s v="Brian Thompson"/>
    <x v="0"/>
    <s v="United States"/>
    <s v="San Francisco"/>
    <x v="1"/>
    <n v="94122"/>
    <x v="1"/>
    <x v="491"/>
    <x v="1"/>
    <x v="8"/>
    <x v="491"/>
    <x v="4443"/>
    <x v="3"/>
    <x v="0"/>
  </r>
  <r>
    <n v="6740"/>
    <x v="3347"/>
    <x v="542"/>
    <d v="2015-05-31T00:00:00"/>
    <s v="Standard Class"/>
    <x v="514"/>
    <s v="Michelle Moray"/>
    <x v="0"/>
    <s v="United States"/>
    <s v="Chicago"/>
    <x v="10"/>
    <n v="60623"/>
    <x v="2"/>
    <x v="1354"/>
    <x v="1"/>
    <x v="4"/>
    <x v="1340"/>
    <x v="4444"/>
    <x v="5"/>
    <x v="2"/>
  </r>
  <r>
    <n v="6741"/>
    <x v="3347"/>
    <x v="542"/>
    <d v="2015-05-31T00:00:00"/>
    <s v="Standard Class"/>
    <x v="514"/>
    <s v="Michelle Moray"/>
    <x v="0"/>
    <s v="United States"/>
    <s v="Chicago"/>
    <x v="10"/>
    <n v="60623"/>
    <x v="2"/>
    <x v="1189"/>
    <x v="0"/>
    <x v="1"/>
    <x v="1175"/>
    <x v="4445"/>
    <x v="5"/>
    <x v="2"/>
  </r>
  <r>
    <n v="6742"/>
    <x v="3347"/>
    <x v="542"/>
    <d v="2015-05-31T00:00:00"/>
    <s v="Standard Class"/>
    <x v="514"/>
    <s v="Michelle Moray"/>
    <x v="0"/>
    <s v="United States"/>
    <s v="Chicago"/>
    <x v="10"/>
    <n v="60623"/>
    <x v="2"/>
    <x v="796"/>
    <x v="1"/>
    <x v="6"/>
    <x v="794"/>
    <x v="2513"/>
    <x v="5"/>
    <x v="2"/>
  </r>
  <r>
    <n v="6743"/>
    <x v="3348"/>
    <x v="91"/>
    <d v="2018-07-11T00:00:00"/>
    <s v="Standard Class"/>
    <x v="138"/>
    <s v="Patrick O'Brill"/>
    <x v="0"/>
    <s v="United States"/>
    <s v="Los Angeles"/>
    <x v="1"/>
    <n v="90008"/>
    <x v="1"/>
    <x v="64"/>
    <x v="0"/>
    <x v="1"/>
    <x v="124"/>
    <x v="4446"/>
    <x v="7"/>
    <x v="3"/>
  </r>
  <r>
    <n v="6744"/>
    <x v="3349"/>
    <x v="1130"/>
    <d v="2016-02-20T00:00:00"/>
    <s v="Standard Class"/>
    <x v="133"/>
    <s v="Sung Pak"/>
    <x v="1"/>
    <s v="United States"/>
    <s v="Dover"/>
    <x v="38"/>
    <n v="3820"/>
    <x v="3"/>
    <x v="150"/>
    <x v="1"/>
    <x v="10"/>
    <x v="151"/>
    <x v="1197"/>
    <x v="11"/>
    <x v="1"/>
  </r>
  <r>
    <n v="6745"/>
    <x v="3350"/>
    <x v="114"/>
    <d v="2018-06-18T00:00:00"/>
    <s v="Second Class"/>
    <x v="394"/>
    <s v="Christine Sundaresam"/>
    <x v="0"/>
    <s v="United States"/>
    <s v="Dublin"/>
    <x v="24"/>
    <n v="43017"/>
    <x v="3"/>
    <x v="590"/>
    <x v="2"/>
    <x v="11"/>
    <x v="590"/>
    <x v="4447"/>
    <x v="1"/>
    <x v="3"/>
  </r>
  <r>
    <n v="6746"/>
    <x v="3350"/>
    <x v="114"/>
    <d v="2018-06-18T00:00:00"/>
    <s v="Second Class"/>
    <x v="394"/>
    <s v="Christine Sundaresam"/>
    <x v="0"/>
    <s v="United States"/>
    <s v="Dublin"/>
    <x v="24"/>
    <n v="43017"/>
    <x v="3"/>
    <x v="250"/>
    <x v="1"/>
    <x v="6"/>
    <x v="251"/>
    <x v="100"/>
    <x v="1"/>
    <x v="3"/>
  </r>
  <r>
    <n v="6747"/>
    <x v="3351"/>
    <x v="38"/>
    <d v="2018-11-16T00:00:00"/>
    <s v="First Class"/>
    <x v="33"/>
    <s v="Ken Brennan"/>
    <x v="1"/>
    <s v="United States"/>
    <s v="New York City"/>
    <x v="15"/>
    <n v="10009"/>
    <x v="3"/>
    <x v="1443"/>
    <x v="2"/>
    <x v="7"/>
    <x v="1431"/>
    <x v="3125"/>
    <x v="0"/>
    <x v="3"/>
  </r>
  <r>
    <n v="6748"/>
    <x v="3352"/>
    <x v="157"/>
    <d v="2018-12-15T00:00:00"/>
    <s v="Standard Class"/>
    <x v="211"/>
    <s v="Allen Armold"/>
    <x v="0"/>
    <s v="United States"/>
    <s v="New York City"/>
    <x v="15"/>
    <n v="10035"/>
    <x v="3"/>
    <x v="440"/>
    <x v="1"/>
    <x v="8"/>
    <x v="440"/>
    <x v="475"/>
    <x v="4"/>
    <x v="3"/>
  </r>
  <r>
    <n v="6749"/>
    <x v="3352"/>
    <x v="157"/>
    <d v="2018-12-15T00:00:00"/>
    <s v="Standard Class"/>
    <x v="211"/>
    <s v="Allen Armold"/>
    <x v="0"/>
    <s v="United States"/>
    <s v="New York City"/>
    <x v="15"/>
    <n v="10035"/>
    <x v="3"/>
    <x v="1357"/>
    <x v="1"/>
    <x v="10"/>
    <x v="1343"/>
    <x v="1444"/>
    <x v="4"/>
    <x v="3"/>
  </r>
  <r>
    <n v="6750"/>
    <x v="3352"/>
    <x v="157"/>
    <d v="2018-12-15T00:00:00"/>
    <s v="Standard Class"/>
    <x v="211"/>
    <s v="Allen Armold"/>
    <x v="0"/>
    <s v="United States"/>
    <s v="New York City"/>
    <x v="15"/>
    <n v="10035"/>
    <x v="3"/>
    <x v="1717"/>
    <x v="2"/>
    <x v="7"/>
    <x v="1704"/>
    <x v="4448"/>
    <x v="4"/>
    <x v="3"/>
  </r>
  <r>
    <n v="6751"/>
    <x v="3353"/>
    <x v="931"/>
    <d v="2017-06-30T00:00:00"/>
    <s v="Second Class"/>
    <x v="669"/>
    <s v="Becky Pak"/>
    <x v="0"/>
    <s v="United States"/>
    <s v="Paterson"/>
    <x v="30"/>
    <n v="7501"/>
    <x v="3"/>
    <x v="1534"/>
    <x v="0"/>
    <x v="1"/>
    <x v="1522"/>
    <x v="4174"/>
    <x v="1"/>
    <x v="0"/>
  </r>
  <r>
    <n v="6752"/>
    <x v="3353"/>
    <x v="931"/>
    <d v="2017-06-30T00:00:00"/>
    <s v="Second Class"/>
    <x v="669"/>
    <s v="Becky Pak"/>
    <x v="0"/>
    <s v="United States"/>
    <s v="Paterson"/>
    <x v="30"/>
    <n v="7501"/>
    <x v="3"/>
    <x v="1518"/>
    <x v="1"/>
    <x v="9"/>
    <x v="1505"/>
    <x v="4449"/>
    <x v="1"/>
    <x v="0"/>
  </r>
  <r>
    <n v="6753"/>
    <x v="3353"/>
    <x v="931"/>
    <d v="2017-06-30T00:00:00"/>
    <s v="Second Class"/>
    <x v="669"/>
    <s v="Becky Pak"/>
    <x v="0"/>
    <s v="United States"/>
    <s v="Paterson"/>
    <x v="30"/>
    <n v="7501"/>
    <x v="3"/>
    <x v="334"/>
    <x v="1"/>
    <x v="10"/>
    <x v="334"/>
    <x v="1156"/>
    <x v="1"/>
    <x v="0"/>
  </r>
  <r>
    <n v="6754"/>
    <x v="3353"/>
    <x v="931"/>
    <d v="2017-06-30T00:00:00"/>
    <s v="Second Class"/>
    <x v="669"/>
    <s v="Becky Pak"/>
    <x v="0"/>
    <s v="United States"/>
    <s v="Paterson"/>
    <x v="30"/>
    <n v="7501"/>
    <x v="3"/>
    <x v="1406"/>
    <x v="1"/>
    <x v="8"/>
    <x v="1393"/>
    <x v="1181"/>
    <x v="1"/>
    <x v="0"/>
  </r>
  <r>
    <n v="6755"/>
    <x v="3353"/>
    <x v="931"/>
    <d v="2017-06-30T00:00:00"/>
    <s v="Second Class"/>
    <x v="669"/>
    <s v="Becky Pak"/>
    <x v="0"/>
    <s v="United States"/>
    <s v="Paterson"/>
    <x v="30"/>
    <n v="7501"/>
    <x v="3"/>
    <x v="14"/>
    <x v="1"/>
    <x v="9"/>
    <x v="14"/>
    <x v="4450"/>
    <x v="1"/>
    <x v="0"/>
  </r>
  <r>
    <n v="6756"/>
    <x v="3354"/>
    <x v="175"/>
    <d v="2018-09-19T00:00:00"/>
    <s v="Standard Class"/>
    <x v="779"/>
    <s v="Theresa Coyne"/>
    <x v="1"/>
    <s v="United States"/>
    <s v="Lakewood"/>
    <x v="30"/>
    <n v="8701"/>
    <x v="3"/>
    <x v="1462"/>
    <x v="0"/>
    <x v="5"/>
    <x v="1448"/>
    <x v="4451"/>
    <x v="8"/>
    <x v="3"/>
  </r>
  <r>
    <n v="6757"/>
    <x v="3354"/>
    <x v="175"/>
    <d v="2018-09-19T00:00:00"/>
    <s v="Standard Class"/>
    <x v="779"/>
    <s v="Theresa Coyne"/>
    <x v="1"/>
    <s v="United States"/>
    <s v="Lakewood"/>
    <x v="30"/>
    <n v="8701"/>
    <x v="3"/>
    <x v="1584"/>
    <x v="0"/>
    <x v="1"/>
    <x v="1575"/>
    <x v="4452"/>
    <x v="8"/>
    <x v="3"/>
  </r>
  <r>
    <n v="6758"/>
    <x v="3354"/>
    <x v="175"/>
    <d v="2018-09-19T00:00:00"/>
    <s v="Standard Class"/>
    <x v="779"/>
    <s v="Theresa Coyne"/>
    <x v="1"/>
    <s v="United States"/>
    <s v="Lakewood"/>
    <x v="30"/>
    <n v="8701"/>
    <x v="3"/>
    <x v="803"/>
    <x v="2"/>
    <x v="7"/>
    <x v="801"/>
    <x v="4453"/>
    <x v="8"/>
    <x v="3"/>
  </r>
  <r>
    <n v="6759"/>
    <x v="3354"/>
    <x v="175"/>
    <d v="2018-09-19T00:00:00"/>
    <s v="Standard Class"/>
    <x v="779"/>
    <s v="Theresa Coyne"/>
    <x v="1"/>
    <s v="United States"/>
    <s v="Lakewood"/>
    <x v="30"/>
    <n v="8701"/>
    <x v="3"/>
    <x v="356"/>
    <x v="1"/>
    <x v="4"/>
    <x v="356"/>
    <x v="3314"/>
    <x v="8"/>
    <x v="3"/>
  </r>
  <r>
    <n v="6760"/>
    <x v="3355"/>
    <x v="574"/>
    <d v="2018-12-08T00:00:00"/>
    <s v="Standard Class"/>
    <x v="767"/>
    <s v="Barry Gonzalez"/>
    <x v="0"/>
    <s v="United States"/>
    <s v="Greensboro"/>
    <x v="3"/>
    <n v="27405"/>
    <x v="0"/>
    <x v="894"/>
    <x v="1"/>
    <x v="6"/>
    <x v="887"/>
    <x v="3291"/>
    <x v="4"/>
    <x v="3"/>
  </r>
  <r>
    <n v="6761"/>
    <x v="3356"/>
    <x v="335"/>
    <d v="2018-06-30T00:00:00"/>
    <s v="Standard Class"/>
    <x v="157"/>
    <s v="Denny Ordway"/>
    <x v="0"/>
    <s v="United States"/>
    <s v="New York City"/>
    <x v="15"/>
    <n v="10035"/>
    <x v="3"/>
    <x v="72"/>
    <x v="1"/>
    <x v="4"/>
    <x v="72"/>
    <x v="1042"/>
    <x v="1"/>
    <x v="3"/>
  </r>
  <r>
    <n v="6762"/>
    <x v="3357"/>
    <x v="1131"/>
    <d v="2017-07-26T00:00:00"/>
    <s v="Second Class"/>
    <x v="715"/>
    <s v="Darren Budd"/>
    <x v="1"/>
    <s v="United States"/>
    <s v="New York City"/>
    <x v="15"/>
    <n v="10035"/>
    <x v="3"/>
    <x v="901"/>
    <x v="0"/>
    <x v="1"/>
    <x v="893"/>
    <x v="4454"/>
    <x v="7"/>
    <x v="0"/>
  </r>
  <r>
    <n v="6763"/>
    <x v="3358"/>
    <x v="476"/>
    <d v="2017-09-08T00:00:00"/>
    <s v="Standard Class"/>
    <x v="210"/>
    <s v="Rob Lucas"/>
    <x v="0"/>
    <s v="United States"/>
    <s v="Chicago"/>
    <x v="10"/>
    <n v="60623"/>
    <x v="2"/>
    <x v="2"/>
    <x v="1"/>
    <x v="2"/>
    <x v="2"/>
    <x v="3119"/>
    <x v="8"/>
    <x v="0"/>
  </r>
  <r>
    <n v="6764"/>
    <x v="3358"/>
    <x v="476"/>
    <d v="2017-09-08T00:00:00"/>
    <s v="Standard Class"/>
    <x v="210"/>
    <s v="Rob Lucas"/>
    <x v="0"/>
    <s v="United States"/>
    <s v="Chicago"/>
    <x v="10"/>
    <n v="60623"/>
    <x v="2"/>
    <x v="210"/>
    <x v="1"/>
    <x v="4"/>
    <x v="211"/>
    <x v="200"/>
    <x v="8"/>
    <x v="0"/>
  </r>
  <r>
    <n v="6765"/>
    <x v="3358"/>
    <x v="476"/>
    <d v="2017-09-08T00:00:00"/>
    <s v="Standard Class"/>
    <x v="210"/>
    <s v="Rob Lucas"/>
    <x v="0"/>
    <s v="United States"/>
    <s v="Chicago"/>
    <x v="10"/>
    <n v="60623"/>
    <x v="2"/>
    <x v="1797"/>
    <x v="2"/>
    <x v="15"/>
    <x v="1787"/>
    <x v="4455"/>
    <x v="8"/>
    <x v="0"/>
  </r>
  <r>
    <n v="6766"/>
    <x v="3359"/>
    <x v="693"/>
    <d v="2018-04-24T00:00:00"/>
    <s v="Standard Class"/>
    <x v="695"/>
    <s v="Sarah Jordon"/>
    <x v="0"/>
    <s v="United States"/>
    <s v="Chicago"/>
    <x v="10"/>
    <n v="60653"/>
    <x v="2"/>
    <x v="291"/>
    <x v="0"/>
    <x v="1"/>
    <x v="291"/>
    <x v="2555"/>
    <x v="3"/>
    <x v="3"/>
  </r>
  <r>
    <n v="6767"/>
    <x v="3359"/>
    <x v="693"/>
    <d v="2018-04-24T00:00:00"/>
    <s v="Standard Class"/>
    <x v="695"/>
    <s v="Sarah Jordon"/>
    <x v="0"/>
    <s v="United States"/>
    <s v="Chicago"/>
    <x v="10"/>
    <n v="60653"/>
    <x v="2"/>
    <x v="32"/>
    <x v="1"/>
    <x v="6"/>
    <x v="32"/>
    <x v="33"/>
    <x v="3"/>
    <x v="3"/>
  </r>
  <r>
    <n v="6768"/>
    <x v="3359"/>
    <x v="693"/>
    <d v="2018-04-24T00:00:00"/>
    <s v="Standard Class"/>
    <x v="695"/>
    <s v="Sarah Jordon"/>
    <x v="0"/>
    <s v="United States"/>
    <s v="Chicago"/>
    <x v="10"/>
    <n v="60653"/>
    <x v="2"/>
    <x v="1027"/>
    <x v="0"/>
    <x v="5"/>
    <x v="1018"/>
    <x v="58"/>
    <x v="3"/>
    <x v="3"/>
  </r>
  <r>
    <n v="6769"/>
    <x v="3360"/>
    <x v="1132"/>
    <d v="2015-08-16T00:00:00"/>
    <s v="Standard Class"/>
    <x v="728"/>
    <s v="Charles Sheldon"/>
    <x v="1"/>
    <s v="United States"/>
    <s v="Lakewood"/>
    <x v="30"/>
    <n v="8701"/>
    <x v="3"/>
    <x v="912"/>
    <x v="1"/>
    <x v="8"/>
    <x v="904"/>
    <x v="4456"/>
    <x v="6"/>
    <x v="2"/>
  </r>
  <r>
    <n v="6770"/>
    <x v="3361"/>
    <x v="20"/>
    <d v="2018-09-23T00:00:00"/>
    <s v="Standard Class"/>
    <x v="655"/>
    <s v="Julie Prescott"/>
    <x v="2"/>
    <s v="United States"/>
    <s v="Columbus"/>
    <x v="32"/>
    <n v="31907"/>
    <x v="0"/>
    <x v="1658"/>
    <x v="1"/>
    <x v="6"/>
    <x v="1646"/>
    <x v="3704"/>
    <x v="8"/>
    <x v="3"/>
  </r>
  <r>
    <n v="6771"/>
    <x v="3362"/>
    <x v="34"/>
    <d v="2018-12-13T00:00:00"/>
    <s v="Standard Class"/>
    <x v="714"/>
    <s v="Nick Crebassa"/>
    <x v="1"/>
    <s v="United States"/>
    <s v="Phoenix"/>
    <x v="16"/>
    <n v="85023"/>
    <x v="1"/>
    <x v="1078"/>
    <x v="1"/>
    <x v="10"/>
    <x v="1068"/>
    <x v="1242"/>
    <x v="4"/>
    <x v="3"/>
  </r>
  <r>
    <n v="6772"/>
    <x v="3362"/>
    <x v="34"/>
    <d v="2018-12-13T00:00:00"/>
    <s v="Standard Class"/>
    <x v="714"/>
    <s v="Nick Crebassa"/>
    <x v="1"/>
    <s v="United States"/>
    <s v="Phoenix"/>
    <x v="16"/>
    <n v="85023"/>
    <x v="1"/>
    <x v="1784"/>
    <x v="1"/>
    <x v="8"/>
    <x v="1774"/>
    <x v="4457"/>
    <x v="4"/>
    <x v="3"/>
  </r>
  <r>
    <n v="6773"/>
    <x v="3363"/>
    <x v="254"/>
    <d v="2017-11-08T00:00:00"/>
    <s v="Standard Class"/>
    <x v="194"/>
    <s v="Carl Weiss"/>
    <x v="2"/>
    <s v="United States"/>
    <s v="Los Angeles"/>
    <x v="1"/>
    <n v="90004"/>
    <x v="1"/>
    <x v="308"/>
    <x v="1"/>
    <x v="8"/>
    <x v="308"/>
    <x v="323"/>
    <x v="0"/>
    <x v="0"/>
  </r>
  <r>
    <n v="6774"/>
    <x v="3363"/>
    <x v="254"/>
    <d v="2017-11-08T00:00:00"/>
    <s v="Standard Class"/>
    <x v="194"/>
    <s v="Carl Weiss"/>
    <x v="2"/>
    <s v="United States"/>
    <s v="Los Angeles"/>
    <x v="1"/>
    <n v="90004"/>
    <x v="1"/>
    <x v="1581"/>
    <x v="1"/>
    <x v="8"/>
    <x v="1572"/>
    <x v="4458"/>
    <x v="0"/>
    <x v="0"/>
  </r>
  <r>
    <n v="6775"/>
    <x v="3363"/>
    <x v="254"/>
    <d v="2017-11-08T00:00:00"/>
    <s v="Standard Class"/>
    <x v="194"/>
    <s v="Carl Weiss"/>
    <x v="2"/>
    <s v="United States"/>
    <s v="Los Angeles"/>
    <x v="1"/>
    <n v="90004"/>
    <x v="1"/>
    <x v="1798"/>
    <x v="1"/>
    <x v="10"/>
    <x v="1788"/>
    <x v="783"/>
    <x v="0"/>
    <x v="0"/>
  </r>
  <r>
    <n v="6776"/>
    <x v="3364"/>
    <x v="368"/>
    <d v="2016-04-04T00:00:00"/>
    <s v="Standard Class"/>
    <x v="441"/>
    <s v="Chad McGuire"/>
    <x v="0"/>
    <s v="United States"/>
    <s v="New York City"/>
    <x v="15"/>
    <n v="10024"/>
    <x v="3"/>
    <x v="249"/>
    <x v="1"/>
    <x v="10"/>
    <x v="250"/>
    <x v="4459"/>
    <x v="10"/>
    <x v="1"/>
  </r>
  <r>
    <n v="6777"/>
    <x v="3365"/>
    <x v="64"/>
    <d v="2017-09-11T00:00:00"/>
    <s v="Standard Class"/>
    <x v="690"/>
    <s v="Pete Takahito"/>
    <x v="0"/>
    <s v="United States"/>
    <s v="San Antonio"/>
    <x v="5"/>
    <n v="78207"/>
    <x v="2"/>
    <x v="41"/>
    <x v="1"/>
    <x v="4"/>
    <x v="41"/>
    <x v="4460"/>
    <x v="8"/>
    <x v="0"/>
  </r>
  <r>
    <n v="6778"/>
    <x v="3366"/>
    <x v="480"/>
    <d v="2018-02-01T00:00:00"/>
    <s v="Standard Class"/>
    <x v="642"/>
    <s v="Craig Leslie"/>
    <x v="2"/>
    <s v="United States"/>
    <s v="New York City"/>
    <x v="15"/>
    <n v="10009"/>
    <x v="3"/>
    <x v="1233"/>
    <x v="2"/>
    <x v="11"/>
    <x v="1216"/>
    <x v="4461"/>
    <x v="9"/>
    <x v="3"/>
  </r>
  <r>
    <n v="6779"/>
    <x v="3367"/>
    <x v="323"/>
    <d v="2017-09-08T00:00:00"/>
    <s v="Second Class"/>
    <x v="520"/>
    <s v="Herbert Flentye"/>
    <x v="0"/>
    <s v="United States"/>
    <s v="Baltimore"/>
    <x v="39"/>
    <n v="21215"/>
    <x v="3"/>
    <x v="1121"/>
    <x v="0"/>
    <x v="0"/>
    <x v="1109"/>
    <x v="4462"/>
    <x v="8"/>
    <x v="0"/>
  </r>
  <r>
    <n v="6780"/>
    <x v="3367"/>
    <x v="323"/>
    <d v="2017-09-08T00:00:00"/>
    <s v="Second Class"/>
    <x v="520"/>
    <s v="Herbert Flentye"/>
    <x v="0"/>
    <s v="United States"/>
    <s v="Baltimore"/>
    <x v="39"/>
    <n v="21215"/>
    <x v="3"/>
    <x v="1256"/>
    <x v="0"/>
    <x v="5"/>
    <x v="1240"/>
    <x v="1787"/>
    <x v="8"/>
    <x v="0"/>
  </r>
  <r>
    <n v="6781"/>
    <x v="3367"/>
    <x v="323"/>
    <d v="2017-09-08T00:00:00"/>
    <s v="Second Class"/>
    <x v="520"/>
    <s v="Herbert Flentye"/>
    <x v="0"/>
    <s v="United States"/>
    <s v="Baltimore"/>
    <x v="39"/>
    <n v="21215"/>
    <x v="3"/>
    <x v="849"/>
    <x v="1"/>
    <x v="8"/>
    <x v="842"/>
    <x v="1022"/>
    <x v="8"/>
    <x v="0"/>
  </r>
  <r>
    <n v="6782"/>
    <x v="3367"/>
    <x v="323"/>
    <d v="2017-09-08T00:00:00"/>
    <s v="Second Class"/>
    <x v="520"/>
    <s v="Herbert Flentye"/>
    <x v="0"/>
    <s v="United States"/>
    <s v="Baltimore"/>
    <x v="39"/>
    <n v="21215"/>
    <x v="3"/>
    <x v="676"/>
    <x v="1"/>
    <x v="2"/>
    <x v="676"/>
    <x v="2003"/>
    <x v="8"/>
    <x v="0"/>
  </r>
  <r>
    <n v="6783"/>
    <x v="3368"/>
    <x v="800"/>
    <d v="2018-07-28T00:00:00"/>
    <s v="Second Class"/>
    <x v="547"/>
    <s v="John Castell"/>
    <x v="0"/>
    <s v="United States"/>
    <s v="Philadelphia"/>
    <x v="9"/>
    <n v="19143"/>
    <x v="3"/>
    <x v="545"/>
    <x v="0"/>
    <x v="5"/>
    <x v="545"/>
    <x v="4463"/>
    <x v="7"/>
    <x v="3"/>
  </r>
  <r>
    <n v="6784"/>
    <x v="3368"/>
    <x v="800"/>
    <d v="2018-07-28T00:00:00"/>
    <s v="Second Class"/>
    <x v="547"/>
    <s v="John Castell"/>
    <x v="0"/>
    <s v="United States"/>
    <s v="Philadelphia"/>
    <x v="9"/>
    <n v="19143"/>
    <x v="3"/>
    <x v="1799"/>
    <x v="1"/>
    <x v="14"/>
    <x v="1789"/>
    <x v="4464"/>
    <x v="7"/>
    <x v="3"/>
  </r>
  <r>
    <n v="6785"/>
    <x v="3368"/>
    <x v="800"/>
    <d v="2018-07-28T00:00:00"/>
    <s v="Second Class"/>
    <x v="547"/>
    <s v="John Castell"/>
    <x v="0"/>
    <s v="United States"/>
    <s v="Philadelphia"/>
    <x v="9"/>
    <n v="19143"/>
    <x v="3"/>
    <x v="1744"/>
    <x v="0"/>
    <x v="3"/>
    <x v="1733"/>
    <x v="4465"/>
    <x v="7"/>
    <x v="3"/>
  </r>
  <r>
    <n v="6786"/>
    <x v="3368"/>
    <x v="800"/>
    <d v="2018-07-28T00:00:00"/>
    <s v="Second Class"/>
    <x v="547"/>
    <s v="John Castell"/>
    <x v="0"/>
    <s v="United States"/>
    <s v="Philadelphia"/>
    <x v="9"/>
    <n v="19143"/>
    <x v="3"/>
    <x v="391"/>
    <x v="1"/>
    <x v="4"/>
    <x v="392"/>
    <x v="4466"/>
    <x v="7"/>
    <x v="3"/>
  </r>
  <r>
    <n v="6787"/>
    <x v="3368"/>
    <x v="800"/>
    <d v="2018-07-28T00:00:00"/>
    <s v="Second Class"/>
    <x v="547"/>
    <s v="John Castell"/>
    <x v="0"/>
    <s v="United States"/>
    <s v="Philadelphia"/>
    <x v="9"/>
    <n v="19143"/>
    <x v="3"/>
    <x v="260"/>
    <x v="1"/>
    <x v="10"/>
    <x v="260"/>
    <x v="557"/>
    <x v="7"/>
    <x v="3"/>
  </r>
  <r>
    <n v="6788"/>
    <x v="3369"/>
    <x v="1023"/>
    <d v="2016-09-20T00:00:00"/>
    <s v="Standard Class"/>
    <x v="101"/>
    <s v="Jonathan Howell"/>
    <x v="0"/>
    <s v="United States"/>
    <s v="Atlanta"/>
    <x v="32"/>
    <n v="30318"/>
    <x v="0"/>
    <x v="784"/>
    <x v="0"/>
    <x v="5"/>
    <x v="783"/>
    <x v="2073"/>
    <x v="8"/>
    <x v="1"/>
  </r>
  <r>
    <n v="6789"/>
    <x v="3369"/>
    <x v="1023"/>
    <d v="2016-09-20T00:00:00"/>
    <s v="Standard Class"/>
    <x v="101"/>
    <s v="Jonathan Howell"/>
    <x v="0"/>
    <s v="United States"/>
    <s v="Atlanta"/>
    <x v="32"/>
    <n v="30318"/>
    <x v="0"/>
    <x v="991"/>
    <x v="1"/>
    <x v="10"/>
    <x v="983"/>
    <x v="1546"/>
    <x v="8"/>
    <x v="1"/>
  </r>
  <r>
    <n v="6790"/>
    <x v="3370"/>
    <x v="67"/>
    <d v="2016-09-09T00:00:00"/>
    <s v="Second Class"/>
    <x v="566"/>
    <s v="Corey Catlett"/>
    <x v="1"/>
    <s v="United States"/>
    <s v="Durham"/>
    <x v="3"/>
    <n v="27707"/>
    <x v="0"/>
    <x v="399"/>
    <x v="1"/>
    <x v="6"/>
    <x v="400"/>
    <x v="1182"/>
    <x v="8"/>
    <x v="1"/>
  </r>
  <r>
    <n v="6791"/>
    <x v="3371"/>
    <x v="76"/>
    <d v="2017-11-17T00:00:00"/>
    <s v="First Class"/>
    <x v="780"/>
    <s v="Ionia McGrath"/>
    <x v="0"/>
    <s v="United States"/>
    <s v="Roseville"/>
    <x v="1"/>
    <n v="95661"/>
    <x v="1"/>
    <x v="255"/>
    <x v="1"/>
    <x v="8"/>
    <x v="256"/>
    <x v="1350"/>
    <x v="0"/>
    <x v="0"/>
  </r>
  <r>
    <n v="6792"/>
    <x v="3372"/>
    <x v="338"/>
    <d v="2017-11-15T00:00:00"/>
    <s v="Standard Class"/>
    <x v="408"/>
    <s v="Ben Ferrer"/>
    <x v="2"/>
    <s v="United States"/>
    <s v="Sacramento"/>
    <x v="1"/>
    <n v="95823"/>
    <x v="1"/>
    <x v="1611"/>
    <x v="0"/>
    <x v="5"/>
    <x v="1602"/>
    <x v="2966"/>
    <x v="0"/>
    <x v="0"/>
  </r>
  <r>
    <n v="6793"/>
    <x v="3373"/>
    <x v="860"/>
    <d v="2015-08-18T00:00:00"/>
    <s v="First Class"/>
    <x v="394"/>
    <s v="Christine Sundaresam"/>
    <x v="0"/>
    <s v="United States"/>
    <s v="Fairfield"/>
    <x v="29"/>
    <n v="6824"/>
    <x v="3"/>
    <x v="542"/>
    <x v="1"/>
    <x v="8"/>
    <x v="542"/>
    <x v="2714"/>
    <x v="6"/>
    <x v="2"/>
  </r>
  <r>
    <n v="6794"/>
    <x v="3374"/>
    <x v="547"/>
    <d v="2016-11-20T00:00:00"/>
    <s v="Standard Class"/>
    <x v="204"/>
    <s v="Matt Connell"/>
    <x v="1"/>
    <s v="United States"/>
    <s v="Chicago"/>
    <x v="10"/>
    <n v="60610"/>
    <x v="2"/>
    <x v="1031"/>
    <x v="1"/>
    <x v="4"/>
    <x v="1022"/>
    <x v="4467"/>
    <x v="0"/>
    <x v="1"/>
  </r>
  <r>
    <n v="6795"/>
    <x v="3374"/>
    <x v="547"/>
    <d v="2016-11-20T00:00:00"/>
    <s v="Standard Class"/>
    <x v="204"/>
    <s v="Matt Connell"/>
    <x v="1"/>
    <s v="United States"/>
    <s v="Chicago"/>
    <x v="10"/>
    <n v="60610"/>
    <x v="2"/>
    <x v="1278"/>
    <x v="2"/>
    <x v="7"/>
    <x v="1263"/>
    <x v="1946"/>
    <x v="0"/>
    <x v="1"/>
  </r>
  <r>
    <n v="6796"/>
    <x v="3374"/>
    <x v="547"/>
    <d v="2016-11-20T00:00:00"/>
    <s v="Standard Class"/>
    <x v="204"/>
    <s v="Matt Connell"/>
    <x v="1"/>
    <s v="United States"/>
    <s v="Chicago"/>
    <x v="10"/>
    <n v="60610"/>
    <x v="2"/>
    <x v="1618"/>
    <x v="0"/>
    <x v="5"/>
    <x v="1609"/>
    <x v="523"/>
    <x v="0"/>
    <x v="1"/>
  </r>
  <r>
    <n v="6797"/>
    <x v="3375"/>
    <x v="767"/>
    <d v="2016-08-25T00:00:00"/>
    <s v="Same Day"/>
    <x v="498"/>
    <s v="Mick Crebagga"/>
    <x v="0"/>
    <s v="United States"/>
    <s v="Houston"/>
    <x v="5"/>
    <n v="77041"/>
    <x v="2"/>
    <x v="1001"/>
    <x v="0"/>
    <x v="5"/>
    <x v="1253"/>
    <x v="1839"/>
    <x v="6"/>
    <x v="1"/>
  </r>
  <r>
    <n v="6798"/>
    <x v="3375"/>
    <x v="767"/>
    <d v="2016-08-25T00:00:00"/>
    <s v="Same Day"/>
    <x v="498"/>
    <s v="Mick Crebagga"/>
    <x v="0"/>
    <s v="United States"/>
    <s v="Houston"/>
    <x v="5"/>
    <n v="77041"/>
    <x v="2"/>
    <x v="412"/>
    <x v="1"/>
    <x v="8"/>
    <x v="412"/>
    <x v="3497"/>
    <x v="6"/>
    <x v="1"/>
  </r>
  <r>
    <n v="6799"/>
    <x v="3375"/>
    <x v="767"/>
    <d v="2016-08-25T00:00:00"/>
    <s v="Same Day"/>
    <x v="498"/>
    <s v="Mick Crebagga"/>
    <x v="0"/>
    <s v="United States"/>
    <s v="Houston"/>
    <x v="5"/>
    <n v="77041"/>
    <x v="2"/>
    <x v="1800"/>
    <x v="0"/>
    <x v="5"/>
    <x v="1790"/>
    <x v="2273"/>
    <x v="6"/>
    <x v="1"/>
  </r>
  <r>
    <n v="6800"/>
    <x v="3376"/>
    <x v="591"/>
    <d v="2018-01-01T00:00:00"/>
    <s v="Standard Class"/>
    <x v="429"/>
    <s v="Laurel Workman"/>
    <x v="1"/>
    <s v="United States"/>
    <s v="Phoenix"/>
    <x v="16"/>
    <n v="85023"/>
    <x v="1"/>
    <x v="223"/>
    <x v="0"/>
    <x v="3"/>
    <x v="224"/>
    <x v="4468"/>
    <x v="4"/>
    <x v="0"/>
  </r>
  <r>
    <n v="6801"/>
    <x v="3376"/>
    <x v="591"/>
    <d v="2018-01-01T00:00:00"/>
    <s v="Standard Class"/>
    <x v="429"/>
    <s v="Laurel Workman"/>
    <x v="1"/>
    <s v="United States"/>
    <s v="Phoenix"/>
    <x v="16"/>
    <n v="85023"/>
    <x v="1"/>
    <x v="1384"/>
    <x v="2"/>
    <x v="15"/>
    <x v="1370"/>
    <x v="1720"/>
    <x v="4"/>
    <x v="0"/>
  </r>
  <r>
    <n v="6802"/>
    <x v="3376"/>
    <x v="591"/>
    <d v="2018-01-01T00:00:00"/>
    <s v="Standard Class"/>
    <x v="429"/>
    <s v="Laurel Workman"/>
    <x v="1"/>
    <s v="United States"/>
    <s v="Phoenix"/>
    <x v="16"/>
    <n v="85023"/>
    <x v="1"/>
    <x v="1202"/>
    <x v="2"/>
    <x v="11"/>
    <x v="1187"/>
    <x v="4469"/>
    <x v="4"/>
    <x v="0"/>
  </r>
  <r>
    <n v="6803"/>
    <x v="3376"/>
    <x v="591"/>
    <d v="2018-01-01T00:00:00"/>
    <s v="Standard Class"/>
    <x v="429"/>
    <s v="Laurel Workman"/>
    <x v="1"/>
    <s v="United States"/>
    <s v="Phoenix"/>
    <x v="16"/>
    <n v="85023"/>
    <x v="1"/>
    <x v="725"/>
    <x v="2"/>
    <x v="11"/>
    <x v="724"/>
    <x v="4470"/>
    <x v="4"/>
    <x v="0"/>
  </r>
  <r>
    <n v="6804"/>
    <x v="3376"/>
    <x v="591"/>
    <d v="2018-01-01T00:00:00"/>
    <s v="Standard Class"/>
    <x v="429"/>
    <s v="Laurel Workman"/>
    <x v="1"/>
    <s v="United States"/>
    <s v="Phoenix"/>
    <x v="16"/>
    <n v="85023"/>
    <x v="1"/>
    <x v="1144"/>
    <x v="0"/>
    <x v="1"/>
    <x v="1132"/>
    <x v="4471"/>
    <x v="4"/>
    <x v="0"/>
  </r>
  <r>
    <n v="6805"/>
    <x v="3377"/>
    <x v="1082"/>
    <d v="2015-10-06T00:00:00"/>
    <s v="First Class"/>
    <x v="168"/>
    <s v="Keith Herrera"/>
    <x v="0"/>
    <s v="United States"/>
    <s v="Pomona"/>
    <x v="1"/>
    <n v="91767"/>
    <x v="1"/>
    <x v="1233"/>
    <x v="2"/>
    <x v="11"/>
    <x v="1216"/>
    <x v="2564"/>
    <x v="2"/>
    <x v="2"/>
  </r>
  <r>
    <n v="6806"/>
    <x v="3378"/>
    <x v="754"/>
    <d v="2015-11-25T00:00:00"/>
    <s v="First Class"/>
    <x v="516"/>
    <s v="Robert Barroso"/>
    <x v="1"/>
    <s v="United States"/>
    <s v="Atlanta"/>
    <x v="32"/>
    <n v="30318"/>
    <x v="0"/>
    <x v="1383"/>
    <x v="1"/>
    <x v="10"/>
    <x v="1369"/>
    <x v="739"/>
    <x v="0"/>
    <x v="2"/>
  </r>
  <r>
    <n v="6807"/>
    <x v="3379"/>
    <x v="53"/>
    <d v="2018-12-29T00:00:00"/>
    <s v="Standard Class"/>
    <x v="241"/>
    <s v="Giulietta Dortch"/>
    <x v="1"/>
    <s v="United States"/>
    <s v="Everett"/>
    <x v="4"/>
    <n v="98208"/>
    <x v="1"/>
    <x v="308"/>
    <x v="1"/>
    <x v="8"/>
    <x v="308"/>
    <x v="4472"/>
    <x v="4"/>
    <x v="3"/>
  </r>
  <r>
    <n v="6808"/>
    <x v="3380"/>
    <x v="1052"/>
    <d v="2016-04-05T00:00:00"/>
    <s v="Standard Class"/>
    <x v="182"/>
    <s v="Ed Braxton"/>
    <x v="1"/>
    <s v="United States"/>
    <s v="Houston"/>
    <x v="5"/>
    <n v="77095"/>
    <x v="2"/>
    <x v="447"/>
    <x v="1"/>
    <x v="10"/>
    <x v="447"/>
    <x v="3874"/>
    <x v="10"/>
    <x v="1"/>
  </r>
  <r>
    <n v="6809"/>
    <x v="3380"/>
    <x v="1052"/>
    <d v="2016-04-05T00:00:00"/>
    <s v="Standard Class"/>
    <x v="182"/>
    <s v="Ed Braxton"/>
    <x v="1"/>
    <s v="United States"/>
    <s v="Houston"/>
    <x v="5"/>
    <n v="77095"/>
    <x v="2"/>
    <x v="1608"/>
    <x v="0"/>
    <x v="5"/>
    <x v="1599"/>
    <x v="1044"/>
    <x v="10"/>
    <x v="1"/>
  </r>
  <r>
    <n v="6810"/>
    <x v="3381"/>
    <x v="32"/>
    <d v="2018-09-15T00:00:00"/>
    <s v="First Class"/>
    <x v="519"/>
    <s v="Pamela Stobb"/>
    <x v="0"/>
    <s v="United States"/>
    <s v="Philadelphia"/>
    <x v="9"/>
    <n v="19140"/>
    <x v="3"/>
    <x v="625"/>
    <x v="1"/>
    <x v="8"/>
    <x v="625"/>
    <x v="2350"/>
    <x v="8"/>
    <x v="3"/>
  </r>
  <r>
    <n v="6811"/>
    <x v="3381"/>
    <x v="32"/>
    <d v="2018-09-15T00:00:00"/>
    <s v="First Class"/>
    <x v="519"/>
    <s v="Pamela Stobb"/>
    <x v="0"/>
    <s v="United States"/>
    <s v="Philadelphia"/>
    <x v="9"/>
    <n v="19140"/>
    <x v="3"/>
    <x v="1794"/>
    <x v="2"/>
    <x v="15"/>
    <x v="1784"/>
    <x v="4473"/>
    <x v="8"/>
    <x v="3"/>
  </r>
  <r>
    <n v="6812"/>
    <x v="3381"/>
    <x v="32"/>
    <d v="2018-09-15T00:00:00"/>
    <s v="First Class"/>
    <x v="519"/>
    <s v="Pamela Stobb"/>
    <x v="0"/>
    <s v="United States"/>
    <s v="Philadelphia"/>
    <x v="9"/>
    <n v="19140"/>
    <x v="3"/>
    <x v="394"/>
    <x v="0"/>
    <x v="1"/>
    <x v="395"/>
    <x v="4474"/>
    <x v="8"/>
    <x v="3"/>
  </r>
  <r>
    <n v="6813"/>
    <x v="3381"/>
    <x v="32"/>
    <d v="2018-09-15T00:00:00"/>
    <s v="First Class"/>
    <x v="519"/>
    <s v="Pamela Stobb"/>
    <x v="0"/>
    <s v="United States"/>
    <s v="Philadelphia"/>
    <x v="9"/>
    <n v="19140"/>
    <x v="3"/>
    <x v="785"/>
    <x v="1"/>
    <x v="8"/>
    <x v="784"/>
    <x v="4475"/>
    <x v="8"/>
    <x v="3"/>
  </r>
  <r>
    <n v="6814"/>
    <x v="3381"/>
    <x v="32"/>
    <d v="2018-09-15T00:00:00"/>
    <s v="First Class"/>
    <x v="519"/>
    <s v="Pamela Stobb"/>
    <x v="0"/>
    <s v="United States"/>
    <s v="Philadelphia"/>
    <x v="9"/>
    <n v="19140"/>
    <x v="3"/>
    <x v="1801"/>
    <x v="0"/>
    <x v="5"/>
    <x v="1791"/>
    <x v="4476"/>
    <x v="8"/>
    <x v="3"/>
  </r>
  <r>
    <n v="6815"/>
    <x v="3381"/>
    <x v="32"/>
    <d v="2018-09-15T00:00:00"/>
    <s v="First Class"/>
    <x v="519"/>
    <s v="Pamela Stobb"/>
    <x v="0"/>
    <s v="United States"/>
    <s v="Philadelphia"/>
    <x v="9"/>
    <n v="19140"/>
    <x v="3"/>
    <x v="344"/>
    <x v="2"/>
    <x v="15"/>
    <x v="344"/>
    <x v="4477"/>
    <x v="8"/>
    <x v="3"/>
  </r>
  <r>
    <n v="6816"/>
    <x v="3382"/>
    <x v="1103"/>
    <d v="2015-06-21T00:00:00"/>
    <s v="Standard Class"/>
    <x v="485"/>
    <s v="Gary Hwang"/>
    <x v="0"/>
    <s v="United States"/>
    <s v="Seattle"/>
    <x v="4"/>
    <n v="98105"/>
    <x v="1"/>
    <x v="1035"/>
    <x v="0"/>
    <x v="5"/>
    <x v="325"/>
    <x v="869"/>
    <x v="1"/>
    <x v="2"/>
  </r>
  <r>
    <n v="6817"/>
    <x v="3382"/>
    <x v="1103"/>
    <d v="2015-06-21T00:00:00"/>
    <s v="Standard Class"/>
    <x v="485"/>
    <s v="Gary Hwang"/>
    <x v="0"/>
    <s v="United States"/>
    <s v="Seattle"/>
    <x v="4"/>
    <n v="98105"/>
    <x v="1"/>
    <x v="294"/>
    <x v="1"/>
    <x v="13"/>
    <x v="294"/>
    <x v="1488"/>
    <x v="1"/>
    <x v="2"/>
  </r>
  <r>
    <n v="6818"/>
    <x v="3382"/>
    <x v="1103"/>
    <d v="2015-06-21T00:00:00"/>
    <s v="Standard Class"/>
    <x v="485"/>
    <s v="Gary Hwang"/>
    <x v="0"/>
    <s v="United States"/>
    <s v="Seattle"/>
    <x v="4"/>
    <n v="98105"/>
    <x v="1"/>
    <x v="316"/>
    <x v="1"/>
    <x v="8"/>
    <x v="316"/>
    <x v="4478"/>
    <x v="1"/>
    <x v="2"/>
  </r>
  <r>
    <n v="6819"/>
    <x v="3383"/>
    <x v="116"/>
    <d v="2019-01-01T00:00:00"/>
    <s v="Standard Class"/>
    <x v="628"/>
    <s v="Lori Olson"/>
    <x v="1"/>
    <s v="United States"/>
    <s v="Peoria"/>
    <x v="10"/>
    <n v="61604"/>
    <x v="2"/>
    <x v="1338"/>
    <x v="1"/>
    <x v="8"/>
    <x v="1323"/>
    <x v="61"/>
    <x v="4"/>
    <x v="3"/>
  </r>
  <r>
    <n v="6820"/>
    <x v="3383"/>
    <x v="116"/>
    <d v="2019-01-01T00:00:00"/>
    <s v="Standard Class"/>
    <x v="628"/>
    <s v="Lori Olson"/>
    <x v="1"/>
    <s v="United States"/>
    <s v="Peoria"/>
    <x v="10"/>
    <n v="61604"/>
    <x v="2"/>
    <x v="1494"/>
    <x v="0"/>
    <x v="5"/>
    <x v="1482"/>
    <x v="885"/>
    <x v="4"/>
    <x v="3"/>
  </r>
  <r>
    <n v="6821"/>
    <x v="3383"/>
    <x v="116"/>
    <d v="2019-01-01T00:00:00"/>
    <s v="Standard Class"/>
    <x v="628"/>
    <s v="Lori Olson"/>
    <x v="1"/>
    <s v="United States"/>
    <s v="Peoria"/>
    <x v="10"/>
    <n v="61604"/>
    <x v="2"/>
    <x v="167"/>
    <x v="0"/>
    <x v="1"/>
    <x v="168"/>
    <x v="4474"/>
    <x v="4"/>
    <x v="3"/>
  </r>
  <r>
    <n v="6822"/>
    <x v="3383"/>
    <x v="116"/>
    <d v="2019-01-01T00:00:00"/>
    <s v="Standard Class"/>
    <x v="628"/>
    <s v="Lori Olson"/>
    <x v="1"/>
    <s v="United States"/>
    <s v="Peoria"/>
    <x v="10"/>
    <n v="61604"/>
    <x v="2"/>
    <x v="345"/>
    <x v="0"/>
    <x v="5"/>
    <x v="345"/>
    <x v="366"/>
    <x v="4"/>
    <x v="3"/>
  </r>
  <r>
    <n v="6823"/>
    <x v="3384"/>
    <x v="808"/>
    <d v="2018-11-07T00:00:00"/>
    <s v="Standard Class"/>
    <x v="473"/>
    <s v="Cindy Stewart"/>
    <x v="0"/>
    <s v="United States"/>
    <s v="Los Angeles"/>
    <x v="1"/>
    <n v="90036"/>
    <x v="1"/>
    <x v="731"/>
    <x v="1"/>
    <x v="9"/>
    <x v="730"/>
    <x v="4479"/>
    <x v="0"/>
    <x v="3"/>
  </r>
  <r>
    <n v="6824"/>
    <x v="3385"/>
    <x v="395"/>
    <d v="2016-07-29T00:00:00"/>
    <s v="Standard Class"/>
    <x v="453"/>
    <s v="Yana Sorensen"/>
    <x v="1"/>
    <s v="United States"/>
    <s v="Montgomery"/>
    <x v="19"/>
    <n v="36116"/>
    <x v="0"/>
    <x v="466"/>
    <x v="1"/>
    <x v="12"/>
    <x v="467"/>
    <x v="4480"/>
    <x v="7"/>
    <x v="1"/>
  </r>
  <r>
    <n v="6825"/>
    <x v="3385"/>
    <x v="395"/>
    <d v="2016-07-29T00:00:00"/>
    <s v="Standard Class"/>
    <x v="453"/>
    <s v="Yana Sorensen"/>
    <x v="1"/>
    <s v="United States"/>
    <s v="Montgomery"/>
    <x v="19"/>
    <n v="36116"/>
    <x v="0"/>
    <x v="363"/>
    <x v="0"/>
    <x v="3"/>
    <x v="363"/>
    <x v="4481"/>
    <x v="7"/>
    <x v="1"/>
  </r>
  <r>
    <n v="6826"/>
    <x v="3386"/>
    <x v="824"/>
    <d v="2017-10-09T00:00:00"/>
    <s v="Standard Class"/>
    <x v="568"/>
    <s v="Tamara Chand"/>
    <x v="1"/>
    <s v="United States"/>
    <s v="Lafayette"/>
    <x v="14"/>
    <n v="47905"/>
    <x v="2"/>
    <x v="720"/>
    <x v="1"/>
    <x v="4"/>
    <x v="719"/>
    <x v="4482"/>
    <x v="2"/>
    <x v="0"/>
  </r>
  <r>
    <n v="6827"/>
    <x v="3386"/>
    <x v="824"/>
    <d v="2017-10-09T00:00:00"/>
    <s v="Standard Class"/>
    <x v="568"/>
    <s v="Tamara Chand"/>
    <x v="1"/>
    <s v="United States"/>
    <s v="Lafayette"/>
    <x v="14"/>
    <n v="47905"/>
    <x v="2"/>
    <x v="1388"/>
    <x v="2"/>
    <x v="16"/>
    <x v="1374"/>
    <x v="4483"/>
    <x v="2"/>
    <x v="0"/>
  </r>
  <r>
    <n v="6828"/>
    <x v="3386"/>
    <x v="824"/>
    <d v="2017-10-09T00:00:00"/>
    <s v="Standard Class"/>
    <x v="568"/>
    <s v="Tamara Chand"/>
    <x v="1"/>
    <s v="United States"/>
    <s v="Lafayette"/>
    <x v="14"/>
    <n v="47905"/>
    <x v="2"/>
    <x v="1498"/>
    <x v="1"/>
    <x v="8"/>
    <x v="1486"/>
    <x v="2501"/>
    <x v="2"/>
    <x v="0"/>
  </r>
  <r>
    <n v="6829"/>
    <x v="3386"/>
    <x v="824"/>
    <d v="2017-10-09T00:00:00"/>
    <s v="Standard Class"/>
    <x v="568"/>
    <s v="Tamara Chand"/>
    <x v="1"/>
    <s v="United States"/>
    <s v="Lafayette"/>
    <x v="14"/>
    <n v="47905"/>
    <x v="2"/>
    <x v="696"/>
    <x v="1"/>
    <x v="8"/>
    <x v="696"/>
    <x v="4484"/>
    <x v="2"/>
    <x v="0"/>
  </r>
  <r>
    <n v="6830"/>
    <x v="3386"/>
    <x v="824"/>
    <d v="2017-10-09T00:00:00"/>
    <s v="Standard Class"/>
    <x v="568"/>
    <s v="Tamara Chand"/>
    <x v="1"/>
    <s v="United States"/>
    <s v="Lafayette"/>
    <x v="14"/>
    <n v="47905"/>
    <x v="2"/>
    <x v="207"/>
    <x v="1"/>
    <x v="6"/>
    <x v="208"/>
    <x v="2007"/>
    <x v="2"/>
    <x v="0"/>
  </r>
  <r>
    <n v="6831"/>
    <x v="3387"/>
    <x v="435"/>
    <d v="2017-12-27T00:00:00"/>
    <s v="Second Class"/>
    <x v="463"/>
    <s v="Pauline Webber"/>
    <x v="1"/>
    <s v="United States"/>
    <s v="New York City"/>
    <x v="15"/>
    <n v="10009"/>
    <x v="3"/>
    <x v="984"/>
    <x v="2"/>
    <x v="7"/>
    <x v="977"/>
    <x v="925"/>
    <x v="4"/>
    <x v="0"/>
  </r>
  <r>
    <n v="6832"/>
    <x v="3388"/>
    <x v="246"/>
    <d v="2018-07-27T00:00:00"/>
    <s v="Standard Class"/>
    <x v="750"/>
    <s v="Cari Schnelling"/>
    <x v="0"/>
    <s v="United States"/>
    <s v="New York City"/>
    <x v="15"/>
    <n v="10024"/>
    <x v="3"/>
    <x v="1298"/>
    <x v="1"/>
    <x v="9"/>
    <x v="1283"/>
    <x v="1897"/>
    <x v="7"/>
    <x v="3"/>
  </r>
  <r>
    <n v="6833"/>
    <x v="3389"/>
    <x v="998"/>
    <d v="2016-10-17T00:00:00"/>
    <s v="Standard Class"/>
    <x v="273"/>
    <s v="David Philippe"/>
    <x v="0"/>
    <s v="United States"/>
    <s v="Chicago"/>
    <x v="10"/>
    <n v="60610"/>
    <x v="2"/>
    <x v="1412"/>
    <x v="1"/>
    <x v="6"/>
    <x v="1399"/>
    <x v="2204"/>
    <x v="2"/>
    <x v="1"/>
  </r>
  <r>
    <n v="6834"/>
    <x v="3390"/>
    <x v="162"/>
    <d v="2017-09-08T00:00:00"/>
    <s v="Same Day"/>
    <x v="307"/>
    <s v="Pauline Johnson"/>
    <x v="0"/>
    <s v="United States"/>
    <s v="Santa Ana"/>
    <x v="1"/>
    <n v="92704"/>
    <x v="1"/>
    <x v="962"/>
    <x v="0"/>
    <x v="3"/>
    <x v="955"/>
    <x v="4485"/>
    <x v="8"/>
    <x v="0"/>
  </r>
  <r>
    <n v="6835"/>
    <x v="3391"/>
    <x v="73"/>
    <d v="2017-11-24T00:00:00"/>
    <s v="Standard Class"/>
    <x v="606"/>
    <s v="Brendan Murry"/>
    <x v="1"/>
    <s v="United States"/>
    <s v="Montebello"/>
    <x v="1"/>
    <n v="90640"/>
    <x v="1"/>
    <x v="1775"/>
    <x v="2"/>
    <x v="11"/>
    <x v="1765"/>
    <x v="4486"/>
    <x v="0"/>
    <x v="0"/>
  </r>
  <r>
    <n v="6836"/>
    <x v="3392"/>
    <x v="453"/>
    <d v="2018-10-20T00:00:00"/>
    <s v="Standard Class"/>
    <x v="393"/>
    <s v="Dionis Lloyd"/>
    <x v="1"/>
    <s v="United States"/>
    <s v="Thousand Oaks"/>
    <x v="1"/>
    <n v="91360"/>
    <x v="1"/>
    <x v="580"/>
    <x v="1"/>
    <x v="2"/>
    <x v="580"/>
    <x v="4487"/>
    <x v="2"/>
    <x v="3"/>
  </r>
  <r>
    <n v="6837"/>
    <x v="3392"/>
    <x v="453"/>
    <d v="2018-10-20T00:00:00"/>
    <s v="Standard Class"/>
    <x v="393"/>
    <s v="Dionis Lloyd"/>
    <x v="1"/>
    <s v="United States"/>
    <s v="Thousand Oaks"/>
    <x v="1"/>
    <n v="91360"/>
    <x v="1"/>
    <x v="205"/>
    <x v="0"/>
    <x v="5"/>
    <x v="206"/>
    <x v="20"/>
    <x v="2"/>
    <x v="3"/>
  </r>
  <r>
    <n v="6838"/>
    <x v="3393"/>
    <x v="380"/>
    <d v="2016-07-12T00:00:00"/>
    <s v="Standard Class"/>
    <x v="541"/>
    <s v="Barbara Fisher"/>
    <x v="1"/>
    <s v="United States"/>
    <s v="Vineland"/>
    <x v="30"/>
    <n v="8360"/>
    <x v="3"/>
    <x v="324"/>
    <x v="1"/>
    <x v="6"/>
    <x v="324"/>
    <x v="1731"/>
    <x v="7"/>
    <x v="1"/>
  </r>
  <r>
    <n v="6839"/>
    <x v="3394"/>
    <x v="1119"/>
    <d v="2018-02-09T00:00:00"/>
    <s v="Standard Class"/>
    <x v="712"/>
    <s v="Fred Chung"/>
    <x v="1"/>
    <s v="United States"/>
    <s v="Torrance"/>
    <x v="1"/>
    <n v="90503"/>
    <x v="1"/>
    <x v="1739"/>
    <x v="1"/>
    <x v="9"/>
    <x v="1728"/>
    <x v="3814"/>
    <x v="11"/>
    <x v="3"/>
  </r>
  <r>
    <n v="6840"/>
    <x v="3394"/>
    <x v="1119"/>
    <d v="2018-02-09T00:00:00"/>
    <s v="Standard Class"/>
    <x v="712"/>
    <s v="Fred Chung"/>
    <x v="1"/>
    <s v="United States"/>
    <s v="Torrance"/>
    <x v="1"/>
    <n v="90503"/>
    <x v="1"/>
    <x v="918"/>
    <x v="2"/>
    <x v="7"/>
    <x v="910"/>
    <x v="4488"/>
    <x v="11"/>
    <x v="3"/>
  </r>
  <r>
    <n v="6841"/>
    <x v="3395"/>
    <x v="401"/>
    <d v="2016-12-07T00:00:00"/>
    <s v="First Class"/>
    <x v="486"/>
    <s v="Mike Pelletier"/>
    <x v="2"/>
    <s v="United States"/>
    <s v="Troy"/>
    <x v="24"/>
    <n v="45373"/>
    <x v="3"/>
    <x v="91"/>
    <x v="1"/>
    <x v="8"/>
    <x v="91"/>
    <x v="4489"/>
    <x v="4"/>
    <x v="1"/>
  </r>
  <r>
    <n v="6842"/>
    <x v="3396"/>
    <x v="126"/>
    <d v="2017-09-17T00:00:00"/>
    <s v="Standard Class"/>
    <x v="295"/>
    <s v="Anthony Johnson"/>
    <x v="1"/>
    <s v="United States"/>
    <s v="Springfield"/>
    <x v="17"/>
    <n v="22153"/>
    <x v="0"/>
    <x v="1691"/>
    <x v="2"/>
    <x v="11"/>
    <x v="1679"/>
    <x v="343"/>
    <x v="8"/>
    <x v="0"/>
  </r>
  <r>
    <n v="6843"/>
    <x v="3396"/>
    <x v="126"/>
    <d v="2017-09-17T00:00:00"/>
    <s v="Standard Class"/>
    <x v="295"/>
    <s v="Anthony Johnson"/>
    <x v="1"/>
    <s v="United States"/>
    <s v="Springfield"/>
    <x v="17"/>
    <n v="22153"/>
    <x v="0"/>
    <x v="1228"/>
    <x v="1"/>
    <x v="13"/>
    <x v="128"/>
    <x v="1176"/>
    <x v="8"/>
    <x v="0"/>
  </r>
  <r>
    <n v="6844"/>
    <x v="3396"/>
    <x v="126"/>
    <d v="2017-09-17T00:00:00"/>
    <s v="Standard Class"/>
    <x v="295"/>
    <s v="Anthony Johnson"/>
    <x v="1"/>
    <s v="United States"/>
    <s v="Springfield"/>
    <x v="17"/>
    <n v="22153"/>
    <x v="0"/>
    <x v="1033"/>
    <x v="1"/>
    <x v="4"/>
    <x v="1024"/>
    <x v="4490"/>
    <x v="8"/>
    <x v="0"/>
  </r>
  <r>
    <n v="6845"/>
    <x v="3396"/>
    <x v="126"/>
    <d v="2017-09-17T00:00:00"/>
    <s v="Standard Class"/>
    <x v="295"/>
    <s v="Anthony Johnson"/>
    <x v="1"/>
    <s v="United States"/>
    <s v="Springfield"/>
    <x v="17"/>
    <n v="22153"/>
    <x v="0"/>
    <x v="1802"/>
    <x v="0"/>
    <x v="1"/>
    <x v="1792"/>
    <x v="4491"/>
    <x v="8"/>
    <x v="0"/>
  </r>
  <r>
    <n v="6846"/>
    <x v="3397"/>
    <x v="522"/>
    <d v="2015-07-12T00:00:00"/>
    <s v="Standard Class"/>
    <x v="604"/>
    <s v="Becky Castell"/>
    <x v="2"/>
    <s v="United States"/>
    <s v="El Cajon"/>
    <x v="1"/>
    <n v="92020"/>
    <x v="1"/>
    <x v="1180"/>
    <x v="0"/>
    <x v="1"/>
    <x v="1166"/>
    <x v="1618"/>
    <x v="7"/>
    <x v="2"/>
  </r>
  <r>
    <n v="6847"/>
    <x v="3398"/>
    <x v="195"/>
    <d v="2017-05-14T00:00:00"/>
    <s v="Standard Class"/>
    <x v="602"/>
    <s v="Ricardo Sperren"/>
    <x v="1"/>
    <s v="United States"/>
    <s v="Los Angeles"/>
    <x v="1"/>
    <n v="90036"/>
    <x v="1"/>
    <x v="1788"/>
    <x v="1"/>
    <x v="10"/>
    <x v="1778"/>
    <x v="4492"/>
    <x v="5"/>
    <x v="0"/>
  </r>
  <r>
    <n v="6848"/>
    <x v="3399"/>
    <x v="427"/>
    <d v="2017-07-22T00:00:00"/>
    <s v="Standard Class"/>
    <x v="73"/>
    <s v="Nora Paige"/>
    <x v="0"/>
    <s v="United States"/>
    <s v="Phoenix"/>
    <x v="16"/>
    <n v="85023"/>
    <x v="1"/>
    <x v="431"/>
    <x v="2"/>
    <x v="7"/>
    <x v="431"/>
    <x v="680"/>
    <x v="7"/>
    <x v="0"/>
  </r>
  <r>
    <n v="6849"/>
    <x v="3400"/>
    <x v="1133"/>
    <d v="2017-06-21T00:00:00"/>
    <s v="First Class"/>
    <x v="590"/>
    <s v="Bobby Trafton"/>
    <x v="0"/>
    <s v="United States"/>
    <s v="Frankfort"/>
    <x v="10"/>
    <n v="60423"/>
    <x v="2"/>
    <x v="1684"/>
    <x v="1"/>
    <x v="10"/>
    <x v="1672"/>
    <x v="4288"/>
    <x v="1"/>
    <x v="0"/>
  </r>
  <r>
    <n v="6850"/>
    <x v="3401"/>
    <x v="1017"/>
    <d v="2015-04-25T00:00:00"/>
    <s v="Standard Class"/>
    <x v="546"/>
    <s v="Benjamin Patterson"/>
    <x v="0"/>
    <s v="United States"/>
    <s v="Los Angeles"/>
    <x v="1"/>
    <n v="90045"/>
    <x v="1"/>
    <x v="1442"/>
    <x v="0"/>
    <x v="5"/>
    <x v="1430"/>
    <x v="3523"/>
    <x v="3"/>
    <x v="2"/>
  </r>
  <r>
    <n v="6851"/>
    <x v="3402"/>
    <x v="1134"/>
    <d v="2017-01-12T00:00:00"/>
    <s v="Standard Class"/>
    <x v="705"/>
    <s v="Jack O'Briant"/>
    <x v="1"/>
    <s v="United States"/>
    <s v="Franklin"/>
    <x v="6"/>
    <n v="53132"/>
    <x v="2"/>
    <x v="37"/>
    <x v="0"/>
    <x v="0"/>
    <x v="37"/>
    <x v="4493"/>
    <x v="9"/>
    <x v="0"/>
  </r>
  <r>
    <n v="6852"/>
    <x v="3402"/>
    <x v="1134"/>
    <d v="2017-01-12T00:00:00"/>
    <s v="Standard Class"/>
    <x v="705"/>
    <s v="Jack O'Briant"/>
    <x v="1"/>
    <s v="United States"/>
    <s v="Franklin"/>
    <x v="6"/>
    <n v="53132"/>
    <x v="2"/>
    <x v="58"/>
    <x v="1"/>
    <x v="8"/>
    <x v="58"/>
    <x v="4494"/>
    <x v="9"/>
    <x v="0"/>
  </r>
  <r>
    <n v="6853"/>
    <x v="3403"/>
    <x v="331"/>
    <d v="2018-12-28T00:00:00"/>
    <s v="Second Class"/>
    <x v="751"/>
    <s v="Monica Federle"/>
    <x v="1"/>
    <s v="United States"/>
    <s v="Little Rock"/>
    <x v="36"/>
    <n v="72209"/>
    <x v="0"/>
    <x v="177"/>
    <x v="1"/>
    <x v="4"/>
    <x v="178"/>
    <x v="4495"/>
    <x v="4"/>
    <x v="3"/>
  </r>
  <r>
    <n v="6854"/>
    <x v="3403"/>
    <x v="331"/>
    <d v="2018-12-28T00:00:00"/>
    <s v="Second Class"/>
    <x v="751"/>
    <s v="Monica Federle"/>
    <x v="1"/>
    <s v="United States"/>
    <s v="Little Rock"/>
    <x v="36"/>
    <n v="72209"/>
    <x v="0"/>
    <x v="1405"/>
    <x v="2"/>
    <x v="7"/>
    <x v="1392"/>
    <x v="4496"/>
    <x v="4"/>
    <x v="3"/>
  </r>
  <r>
    <n v="6855"/>
    <x v="3403"/>
    <x v="331"/>
    <d v="2018-12-28T00:00:00"/>
    <s v="Second Class"/>
    <x v="751"/>
    <s v="Monica Federle"/>
    <x v="1"/>
    <s v="United States"/>
    <s v="Little Rock"/>
    <x v="36"/>
    <n v="72209"/>
    <x v="0"/>
    <x v="196"/>
    <x v="1"/>
    <x v="4"/>
    <x v="197"/>
    <x v="4497"/>
    <x v="4"/>
    <x v="3"/>
  </r>
  <r>
    <n v="6856"/>
    <x v="3403"/>
    <x v="331"/>
    <d v="2018-12-28T00:00:00"/>
    <s v="Second Class"/>
    <x v="751"/>
    <s v="Monica Federle"/>
    <x v="1"/>
    <s v="United States"/>
    <s v="Little Rock"/>
    <x v="36"/>
    <n v="72209"/>
    <x v="0"/>
    <x v="1134"/>
    <x v="1"/>
    <x v="10"/>
    <x v="1122"/>
    <x v="4498"/>
    <x v="4"/>
    <x v="3"/>
  </r>
  <r>
    <n v="6857"/>
    <x v="3403"/>
    <x v="331"/>
    <d v="2018-12-28T00:00:00"/>
    <s v="Second Class"/>
    <x v="751"/>
    <s v="Monica Federle"/>
    <x v="1"/>
    <s v="United States"/>
    <s v="Little Rock"/>
    <x v="36"/>
    <n v="72209"/>
    <x v="0"/>
    <x v="1697"/>
    <x v="1"/>
    <x v="12"/>
    <x v="1685"/>
    <x v="1091"/>
    <x v="4"/>
    <x v="3"/>
  </r>
  <r>
    <n v="6858"/>
    <x v="3404"/>
    <x v="827"/>
    <d v="2018-04-22T00:00:00"/>
    <s v="Standard Class"/>
    <x v="519"/>
    <s v="Pamela Stobb"/>
    <x v="0"/>
    <s v="United States"/>
    <s v="Los Angeles"/>
    <x v="1"/>
    <n v="90008"/>
    <x v="1"/>
    <x v="945"/>
    <x v="1"/>
    <x v="10"/>
    <x v="938"/>
    <x v="4499"/>
    <x v="3"/>
    <x v="3"/>
  </r>
  <r>
    <n v="6859"/>
    <x v="3404"/>
    <x v="827"/>
    <d v="2018-04-22T00:00:00"/>
    <s v="Standard Class"/>
    <x v="519"/>
    <s v="Pamela Stobb"/>
    <x v="0"/>
    <s v="United States"/>
    <s v="Los Angeles"/>
    <x v="1"/>
    <n v="90008"/>
    <x v="1"/>
    <x v="932"/>
    <x v="1"/>
    <x v="2"/>
    <x v="925"/>
    <x v="1552"/>
    <x v="3"/>
    <x v="3"/>
  </r>
  <r>
    <n v="6860"/>
    <x v="3404"/>
    <x v="827"/>
    <d v="2018-04-22T00:00:00"/>
    <s v="Standard Class"/>
    <x v="519"/>
    <s v="Pamela Stobb"/>
    <x v="0"/>
    <s v="United States"/>
    <s v="Los Angeles"/>
    <x v="1"/>
    <n v="90008"/>
    <x v="1"/>
    <x v="845"/>
    <x v="1"/>
    <x v="13"/>
    <x v="839"/>
    <x v="2868"/>
    <x v="3"/>
    <x v="3"/>
  </r>
  <r>
    <n v="6861"/>
    <x v="3404"/>
    <x v="827"/>
    <d v="2018-04-22T00:00:00"/>
    <s v="Standard Class"/>
    <x v="519"/>
    <s v="Pamela Stobb"/>
    <x v="0"/>
    <s v="United States"/>
    <s v="Los Angeles"/>
    <x v="1"/>
    <n v="90008"/>
    <x v="1"/>
    <x v="606"/>
    <x v="2"/>
    <x v="11"/>
    <x v="606"/>
    <x v="4500"/>
    <x v="3"/>
    <x v="3"/>
  </r>
  <r>
    <n v="6862"/>
    <x v="3404"/>
    <x v="827"/>
    <d v="2018-04-22T00:00:00"/>
    <s v="Standard Class"/>
    <x v="519"/>
    <s v="Pamela Stobb"/>
    <x v="0"/>
    <s v="United States"/>
    <s v="Los Angeles"/>
    <x v="1"/>
    <n v="90008"/>
    <x v="1"/>
    <x v="1186"/>
    <x v="1"/>
    <x v="2"/>
    <x v="1172"/>
    <x v="4023"/>
    <x v="3"/>
    <x v="3"/>
  </r>
  <r>
    <n v="6863"/>
    <x v="3404"/>
    <x v="827"/>
    <d v="2018-04-22T00:00:00"/>
    <s v="Standard Class"/>
    <x v="519"/>
    <s v="Pamela Stobb"/>
    <x v="0"/>
    <s v="United States"/>
    <s v="Los Angeles"/>
    <x v="1"/>
    <n v="90008"/>
    <x v="1"/>
    <x v="1209"/>
    <x v="0"/>
    <x v="1"/>
    <x v="1194"/>
    <x v="286"/>
    <x v="3"/>
    <x v="3"/>
  </r>
  <r>
    <n v="6864"/>
    <x v="3405"/>
    <x v="96"/>
    <d v="2018-12-08T00:00:00"/>
    <s v="Standard Class"/>
    <x v="199"/>
    <s v="Maribeth Yedwab"/>
    <x v="1"/>
    <s v="United States"/>
    <s v="San Antonio"/>
    <x v="5"/>
    <n v="78207"/>
    <x v="2"/>
    <x v="1440"/>
    <x v="1"/>
    <x v="10"/>
    <x v="1428"/>
    <x v="559"/>
    <x v="4"/>
    <x v="3"/>
  </r>
  <r>
    <n v="6865"/>
    <x v="3406"/>
    <x v="1036"/>
    <d v="2017-08-28T00:00:00"/>
    <s v="Standard Class"/>
    <x v="554"/>
    <s v="Scot Coram"/>
    <x v="1"/>
    <s v="United States"/>
    <s v="Los Angeles"/>
    <x v="1"/>
    <n v="90004"/>
    <x v="1"/>
    <x v="741"/>
    <x v="1"/>
    <x v="8"/>
    <x v="739"/>
    <x v="2485"/>
    <x v="6"/>
    <x v="0"/>
  </r>
  <r>
    <n v="6866"/>
    <x v="3406"/>
    <x v="1036"/>
    <d v="2017-08-28T00:00:00"/>
    <s v="Standard Class"/>
    <x v="554"/>
    <s v="Scot Coram"/>
    <x v="1"/>
    <s v="United States"/>
    <s v="Los Angeles"/>
    <x v="1"/>
    <n v="90004"/>
    <x v="1"/>
    <x v="461"/>
    <x v="2"/>
    <x v="7"/>
    <x v="462"/>
    <x v="1361"/>
    <x v="6"/>
    <x v="0"/>
  </r>
  <r>
    <n v="6867"/>
    <x v="3406"/>
    <x v="1036"/>
    <d v="2017-08-28T00:00:00"/>
    <s v="Standard Class"/>
    <x v="554"/>
    <s v="Scot Coram"/>
    <x v="1"/>
    <s v="United States"/>
    <s v="Los Angeles"/>
    <x v="1"/>
    <n v="90004"/>
    <x v="1"/>
    <x v="106"/>
    <x v="2"/>
    <x v="11"/>
    <x v="106"/>
    <x v="2325"/>
    <x v="6"/>
    <x v="0"/>
  </r>
  <r>
    <n v="6868"/>
    <x v="3406"/>
    <x v="1036"/>
    <d v="2017-08-28T00:00:00"/>
    <s v="Standard Class"/>
    <x v="554"/>
    <s v="Scot Coram"/>
    <x v="1"/>
    <s v="United States"/>
    <s v="Los Angeles"/>
    <x v="1"/>
    <n v="90004"/>
    <x v="1"/>
    <x v="1431"/>
    <x v="2"/>
    <x v="7"/>
    <x v="1419"/>
    <x v="236"/>
    <x v="6"/>
    <x v="0"/>
  </r>
  <r>
    <n v="6869"/>
    <x v="3406"/>
    <x v="1036"/>
    <d v="2017-08-28T00:00:00"/>
    <s v="Standard Class"/>
    <x v="554"/>
    <s v="Scot Coram"/>
    <x v="1"/>
    <s v="United States"/>
    <s v="Los Angeles"/>
    <x v="1"/>
    <n v="90004"/>
    <x v="1"/>
    <x v="1382"/>
    <x v="0"/>
    <x v="3"/>
    <x v="1367"/>
    <x v="4501"/>
    <x v="6"/>
    <x v="0"/>
  </r>
  <r>
    <n v="6870"/>
    <x v="3406"/>
    <x v="1036"/>
    <d v="2017-08-28T00:00:00"/>
    <s v="Standard Class"/>
    <x v="554"/>
    <s v="Scot Coram"/>
    <x v="1"/>
    <s v="United States"/>
    <s v="Los Angeles"/>
    <x v="1"/>
    <n v="90004"/>
    <x v="1"/>
    <x v="1465"/>
    <x v="1"/>
    <x v="10"/>
    <x v="1451"/>
    <x v="91"/>
    <x v="6"/>
    <x v="0"/>
  </r>
  <r>
    <n v="6871"/>
    <x v="3406"/>
    <x v="1036"/>
    <d v="2017-08-28T00:00:00"/>
    <s v="Standard Class"/>
    <x v="554"/>
    <s v="Scot Coram"/>
    <x v="1"/>
    <s v="United States"/>
    <s v="Los Angeles"/>
    <x v="1"/>
    <n v="90004"/>
    <x v="1"/>
    <x v="1610"/>
    <x v="1"/>
    <x v="10"/>
    <x v="1601"/>
    <x v="3878"/>
    <x v="6"/>
    <x v="0"/>
  </r>
  <r>
    <n v="6872"/>
    <x v="3407"/>
    <x v="5"/>
    <d v="2017-12-08T00:00:00"/>
    <s v="Second Class"/>
    <x v="575"/>
    <s v="Randy Ferguson"/>
    <x v="1"/>
    <s v="United States"/>
    <s v="Chicago"/>
    <x v="10"/>
    <n v="60610"/>
    <x v="2"/>
    <x v="690"/>
    <x v="1"/>
    <x v="2"/>
    <x v="690"/>
    <x v="1627"/>
    <x v="4"/>
    <x v="0"/>
  </r>
  <r>
    <n v="6873"/>
    <x v="3408"/>
    <x v="1135"/>
    <d v="2016-12-19T00:00:00"/>
    <s v="First Class"/>
    <x v="65"/>
    <s v="Sandra Glassco"/>
    <x v="0"/>
    <s v="United States"/>
    <s v="Seattle"/>
    <x v="4"/>
    <n v="98105"/>
    <x v="1"/>
    <x v="1668"/>
    <x v="1"/>
    <x v="10"/>
    <x v="1656"/>
    <x v="1377"/>
    <x v="4"/>
    <x v="1"/>
  </r>
  <r>
    <n v="6874"/>
    <x v="3409"/>
    <x v="1136"/>
    <d v="2015-10-22T00:00:00"/>
    <s v="Second Class"/>
    <x v="14"/>
    <s v="Tracy Blumstein"/>
    <x v="0"/>
    <s v="United States"/>
    <s v="Beaumont"/>
    <x v="5"/>
    <n v="77705"/>
    <x v="2"/>
    <x v="828"/>
    <x v="1"/>
    <x v="8"/>
    <x v="824"/>
    <x v="991"/>
    <x v="2"/>
    <x v="2"/>
  </r>
  <r>
    <n v="6875"/>
    <x v="3409"/>
    <x v="1136"/>
    <d v="2015-10-22T00:00:00"/>
    <s v="Second Class"/>
    <x v="14"/>
    <s v="Tracy Blumstein"/>
    <x v="0"/>
    <s v="United States"/>
    <s v="Beaumont"/>
    <x v="5"/>
    <n v="77705"/>
    <x v="2"/>
    <x v="959"/>
    <x v="2"/>
    <x v="11"/>
    <x v="952"/>
    <x v="2435"/>
    <x v="2"/>
    <x v="2"/>
  </r>
  <r>
    <n v="6876"/>
    <x v="3410"/>
    <x v="64"/>
    <d v="2017-09-10T00:00:00"/>
    <s v="Standard Class"/>
    <x v="462"/>
    <s v="Michael Moore"/>
    <x v="0"/>
    <s v="United States"/>
    <s v="Chesapeake"/>
    <x v="17"/>
    <n v="23320"/>
    <x v="0"/>
    <x v="1351"/>
    <x v="1"/>
    <x v="2"/>
    <x v="1337"/>
    <x v="2910"/>
    <x v="8"/>
    <x v="0"/>
  </r>
  <r>
    <n v="6877"/>
    <x v="3410"/>
    <x v="64"/>
    <d v="2017-09-10T00:00:00"/>
    <s v="Standard Class"/>
    <x v="462"/>
    <s v="Michael Moore"/>
    <x v="0"/>
    <s v="United States"/>
    <s v="Chesapeake"/>
    <x v="17"/>
    <n v="23320"/>
    <x v="0"/>
    <x v="1258"/>
    <x v="0"/>
    <x v="3"/>
    <x v="1242"/>
    <x v="675"/>
    <x v="8"/>
    <x v="0"/>
  </r>
  <r>
    <n v="6878"/>
    <x v="3411"/>
    <x v="52"/>
    <d v="2016-10-15T00:00:00"/>
    <s v="Same Day"/>
    <x v="0"/>
    <s v="Claire Gute"/>
    <x v="0"/>
    <s v="United States"/>
    <s v="Dallas"/>
    <x v="5"/>
    <n v="75217"/>
    <x v="2"/>
    <x v="859"/>
    <x v="0"/>
    <x v="5"/>
    <x v="853"/>
    <x v="4502"/>
    <x v="2"/>
    <x v="1"/>
  </r>
  <r>
    <n v="6879"/>
    <x v="3411"/>
    <x v="52"/>
    <d v="2016-10-15T00:00:00"/>
    <s v="Same Day"/>
    <x v="0"/>
    <s v="Claire Gute"/>
    <x v="0"/>
    <s v="United States"/>
    <s v="Dallas"/>
    <x v="5"/>
    <n v="75217"/>
    <x v="2"/>
    <x v="1083"/>
    <x v="1"/>
    <x v="10"/>
    <x v="1073"/>
    <x v="752"/>
    <x v="2"/>
    <x v="1"/>
  </r>
  <r>
    <n v="6880"/>
    <x v="3412"/>
    <x v="494"/>
    <d v="2016-12-05T00:00:00"/>
    <s v="Second Class"/>
    <x v="69"/>
    <s v="Tamara Willingham"/>
    <x v="2"/>
    <s v="United States"/>
    <s v="Seattle"/>
    <x v="4"/>
    <n v="98105"/>
    <x v="1"/>
    <x v="445"/>
    <x v="0"/>
    <x v="1"/>
    <x v="445"/>
    <x v="4052"/>
    <x v="4"/>
    <x v="1"/>
  </r>
  <r>
    <n v="6881"/>
    <x v="3412"/>
    <x v="494"/>
    <d v="2016-12-05T00:00:00"/>
    <s v="Second Class"/>
    <x v="69"/>
    <s v="Tamara Willingham"/>
    <x v="2"/>
    <s v="United States"/>
    <s v="Seattle"/>
    <x v="4"/>
    <n v="98105"/>
    <x v="1"/>
    <x v="1330"/>
    <x v="1"/>
    <x v="10"/>
    <x v="1315"/>
    <x v="56"/>
    <x v="4"/>
    <x v="1"/>
  </r>
  <r>
    <n v="6882"/>
    <x v="3412"/>
    <x v="494"/>
    <d v="2016-12-05T00:00:00"/>
    <s v="Second Class"/>
    <x v="69"/>
    <s v="Tamara Willingham"/>
    <x v="2"/>
    <s v="United States"/>
    <s v="Seattle"/>
    <x v="4"/>
    <n v="98105"/>
    <x v="1"/>
    <x v="214"/>
    <x v="0"/>
    <x v="3"/>
    <x v="215"/>
    <x v="4503"/>
    <x v="4"/>
    <x v="1"/>
  </r>
  <r>
    <n v="6883"/>
    <x v="3412"/>
    <x v="494"/>
    <d v="2016-12-05T00:00:00"/>
    <s v="Second Class"/>
    <x v="69"/>
    <s v="Tamara Willingham"/>
    <x v="2"/>
    <s v="United States"/>
    <s v="Seattle"/>
    <x v="4"/>
    <n v="98105"/>
    <x v="1"/>
    <x v="1166"/>
    <x v="1"/>
    <x v="4"/>
    <x v="1153"/>
    <x v="64"/>
    <x v="4"/>
    <x v="1"/>
  </r>
  <r>
    <n v="6884"/>
    <x v="3412"/>
    <x v="494"/>
    <d v="2016-12-05T00:00:00"/>
    <s v="Second Class"/>
    <x v="69"/>
    <s v="Tamara Willingham"/>
    <x v="2"/>
    <s v="United States"/>
    <s v="Seattle"/>
    <x v="4"/>
    <n v="98105"/>
    <x v="1"/>
    <x v="393"/>
    <x v="1"/>
    <x v="10"/>
    <x v="394"/>
    <x v="1147"/>
    <x v="4"/>
    <x v="1"/>
  </r>
  <r>
    <n v="6885"/>
    <x v="3413"/>
    <x v="70"/>
    <d v="2016-06-04T00:00:00"/>
    <s v="Standard Class"/>
    <x v="217"/>
    <s v="Bill Donatelli"/>
    <x v="0"/>
    <s v="United States"/>
    <s v="Minneapolis"/>
    <x v="11"/>
    <n v="55407"/>
    <x v="2"/>
    <x v="1476"/>
    <x v="0"/>
    <x v="1"/>
    <x v="1463"/>
    <x v="4504"/>
    <x v="5"/>
    <x v="1"/>
  </r>
  <r>
    <n v="6886"/>
    <x v="3414"/>
    <x v="18"/>
    <d v="2018-09-17T00:00:00"/>
    <s v="Standard Class"/>
    <x v="456"/>
    <s v="Helen Abelman"/>
    <x v="0"/>
    <s v="United States"/>
    <s v="Springfield"/>
    <x v="24"/>
    <n v="45503"/>
    <x v="3"/>
    <x v="103"/>
    <x v="2"/>
    <x v="11"/>
    <x v="103"/>
    <x v="4505"/>
    <x v="8"/>
    <x v="3"/>
  </r>
  <r>
    <n v="6887"/>
    <x v="3414"/>
    <x v="18"/>
    <d v="2018-09-17T00:00:00"/>
    <s v="Standard Class"/>
    <x v="456"/>
    <s v="Helen Abelman"/>
    <x v="0"/>
    <s v="United States"/>
    <s v="Springfield"/>
    <x v="24"/>
    <n v="45503"/>
    <x v="3"/>
    <x v="1015"/>
    <x v="2"/>
    <x v="7"/>
    <x v="1006"/>
    <x v="4506"/>
    <x v="8"/>
    <x v="3"/>
  </r>
  <r>
    <n v="6888"/>
    <x v="3415"/>
    <x v="1016"/>
    <d v="2018-05-02T00:00:00"/>
    <s v="Standard Class"/>
    <x v="328"/>
    <s v="Lauren Leatherbury"/>
    <x v="0"/>
    <s v="United States"/>
    <s v="Los Angeles"/>
    <x v="1"/>
    <n v="90032"/>
    <x v="1"/>
    <x v="69"/>
    <x v="1"/>
    <x v="10"/>
    <x v="69"/>
    <x v="71"/>
    <x v="3"/>
    <x v="3"/>
  </r>
  <r>
    <n v="6889"/>
    <x v="3415"/>
    <x v="1016"/>
    <d v="2018-05-02T00:00:00"/>
    <s v="Standard Class"/>
    <x v="328"/>
    <s v="Lauren Leatherbury"/>
    <x v="0"/>
    <s v="United States"/>
    <s v="Los Angeles"/>
    <x v="1"/>
    <n v="90032"/>
    <x v="1"/>
    <x v="997"/>
    <x v="1"/>
    <x v="8"/>
    <x v="989"/>
    <x v="4507"/>
    <x v="3"/>
    <x v="3"/>
  </r>
  <r>
    <n v="6890"/>
    <x v="3416"/>
    <x v="65"/>
    <d v="2018-09-22T00:00:00"/>
    <s v="Standard Class"/>
    <x v="164"/>
    <s v="Saphhira Shifley"/>
    <x v="1"/>
    <s v="United States"/>
    <s v="Columbus"/>
    <x v="32"/>
    <n v="31907"/>
    <x v="0"/>
    <x v="179"/>
    <x v="2"/>
    <x v="7"/>
    <x v="180"/>
    <x v="4508"/>
    <x v="8"/>
    <x v="3"/>
  </r>
  <r>
    <n v="6891"/>
    <x v="3416"/>
    <x v="65"/>
    <d v="2018-09-22T00:00:00"/>
    <s v="Standard Class"/>
    <x v="164"/>
    <s v="Saphhira Shifley"/>
    <x v="1"/>
    <s v="United States"/>
    <s v="Columbus"/>
    <x v="32"/>
    <n v="31907"/>
    <x v="0"/>
    <x v="251"/>
    <x v="1"/>
    <x v="10"/>
    <x v="252"/>
    <x v="360"/>
    <x v="8"/>
    <x v="3"/>
  </r>
  <r>
    <n v="6892"/>
    <x v="3416"/>
    <x v="65"/>
    <d v="2018-09-22T00:00:00"/>
    <s v="Standard Class"/>
    <x v="164"/>
    <s v="Saphhira Shifley"/>
    <x v="1"/>
    <s v="United States"/>
    <s v="Columbus"/>
    <x v="32"/>
    <n v="31907"/>
    <x v="0"/>
    <x v="108"/>
    <x v="1"/>
    <x v="6"/>
    <x v="108"/>
    <x v="3273"/>
    <x v="8"/>
    <x v="3"/>
  </r>
  <r>
    <n v="6893"/>
    <x v="3416"/>
    <x v="65"/>
    <d v="2018-09-22T00:00:00"/>
    <s v="Standard Class"/>
    <x v="164"/>
    <s v="Saphhira Shifley"/>
    <x v="1"/>
    <s v="United States"/>
    <s v="Columbus"/>
    <x v="32"/>
    <n v="31907"/>
    <x v="0"/>
    <x v="1465"/>
    <x v="1"/>
    <x v="10"/>
    <x v="1451"/>
    <x v="233"/>
    <x v="8"/>
    <x v="3"/>
  </r>
  <r>
    <n v="6894"/>
    <x v="3416"/>
    <x v="65"/>
    <d v="2018-09-22T00:00:00"/>
    <s v="Standard Class"/>
    <x v="164"/>
    <s v="Saphhira Shifley"/>
    <x v="1"/>
    <s v="United States"/>
    <s v="Columbus"/>
    <x v="32"/>
    <n v="31907"/>
    <x v="0"/>
    <x v="1524"/>
    <x v="0"/>
    <x v="5"/>
    <x v="1511"/>
    <x v="2308"/>
    <x v="8"/>
    <x v="3"/>
  </r>
  <r>
    <n v="6895"/>
    <x v="3416"/>
    <x v="65"/>
    <d v="2018-09-22T00:00:00"/>
    <s v="Standard Class"/>
    <x v="164"/>
    <s v="Saphhira Shifley"/>
    <x v="1"/>
    <s v="United States"/>
    <s v="Columbus"/>
    <x v="32"/>
    <n v="31907"/>
    <x v="0"/>
    <x v="53"/>
    <x v="2"/>
    <x v="7"/>
    <x v="53"/>
    <x v="4509"/>
    <x v="8"/>
    <x v="3"/>
  </r>
  <r>
    <n v="6896"/>
    <x v="3416"/>
    <x v="65"/>
    <d v="2018-09-22T00:00:00"/>
    <s v="Standard Class"/>
    <x v="164"/>
    <s v="Saphhira Shifley"/>
    <x v="1"/>
    <s v="United States"/>
    <s v="Columbus"/>
    <x v="32"/>
    <n v="31907"/>
    <x v="0"/>
    <x v="610"/>
    <x v="1"/>
    <x v="14"/>
    <x v="610"/>
    <x v="4510"/>
    <x v="8"/>
    <x v="3"/>
  </r>
  <r>
    <n v="6897"/>
    <x v="3416"/>
    <x v="65"/>
    <d v="2018-09-22T00:00:00"/>
    <s v="Standard Class"/>
    <x v="164"/>
    <s v="Saphhira Shifley"/>
    <x v="1"/>
    <s v="United States"/>
    <s v="Columbus"/>
    <x v="32"/>
    <n v="31907"/>
    <x v="0"/>
    <x v="1689"/>
    <x v="1"/>
    <x v="10"/>
    <x v="1677"/>
    <x v="1644"/>
    <x v="8"/>
    <x v="3"/>
  </r>
  <r>
    <n v="6898"/>
    <x v="3417"/>
    <x v="238"/>
    <d v="2018-08-25T00:00:00"/>
    <s v="Standard Class"/>
    <x v="237"/>
    <s v="Chloris Kastensmidt"/>
    <x v="0"/>
    <s v="United States"/>
    <s v="Lakewood"/>
    <x v="24"/>
    <n v="44107"/>
    <x v="3"/>
    <x v="1224"/>
    <x v="1"/>
    <x v="8"/>
    <x v="1208"/>
    <x v="4511"/>
    <x v="6"/>
    <x v="3"/>
  </r>
  <r>
    <n v="6899"/>
    <x v="3418"/>
    <x v="1137"/>
    <d v="2016-05-26T00:00:00"/>
    <s v="Second Class"/>
    <x v="745"/>
    <s v="Vivek Sundaresam"/>
    <x v="0"/>
    <s v="United States"/>
    <s v="Naperville"/>
    <x v="10"/>
    <n v="60540"/>
    <x v="2"/>
    <x v="812"/>
    <x v="0"/>
    <x v="1"/>
    <x v="809"/>
    <x v="4512"/>
    <x v="5"/>
    <x v="1"/>
  </r>
  <r>
    <n v="6900"/>
    <x v="3418"/>
    <x v="1137"/>
    <d v="2016-05-26T00:00:00"/>
    <s v="Second Class"/>
    <x v="745"/>
    <s v="Vivek Sundaresam"/>
    <x v="0"/>
    <s v="United States"/>
    <s v="Naperville"/>
    <x v="10"/>
    <n v="60540"/>
    <x v="2"/>
    <x v="1206"/>
    <x v="1"/>
    <x v="8"/>
    <x v="1191"/>
    <x v="2976"/>
    <x v="5"/>
    <x v="1"/>
  </r>
  <r>
    <n v="6901"/>
    <x v="3419"/>
    <x v="67"/>
    <d v="2016-09-11T00:00:00"/>
    <s v="Standard Class"/>
    <x v="184"/>
    <s v="Tanja Norvell"/>
    <x v="2"/>
    <s v="United States"/>
    <s v="New York City"/>
    <x v="15"/>
    <n v="10009"/>
    <x v="3"/>
    <x v="657"/>
    <x v="2"/>
    <x v="11"/>
    <x v="657"/>
    <x v="4513"/>
    <x v="8"/>
    <x v="1"/>
  </r>
  <r>
    <n v="6902"/>
    <x v="3420"/>
    <x v="1138"/>
    <d v="2018-07-24T00:00:00"/>
    <s v="Same Day"/>
    <x v="403"/>
    <s v="Harold Ryan"/>
    <x v="1"/>
    <s v="United States"/>
    <s v="Huntington Beach"/>
    <x v="1"/>
    <n v="92646"/>
    <x v="1"/>
    <x v="306"/>
    <x v="2"/>
    <x v="16"/>
    <x v="306"/>
    <x v="4514"/>
    <x v="7"/>
    <x v="3"/>
  </r>
  <r>
    <n v="6903"/>
    <x v="3421"/>
    <x v="264"/>
    <d v="2018-09-08T00:00:00"/>
    <s v="Standard Class"/>
    <x v="329"/>
    <s v="Jill Stevenson"/>
    <x v="1"/>
    <s v="United States"/>
    <s v="Chicago"/>
    <x v="10"/>
    <n v="60653"/>
    <x v="2"/>
    <x v="659"/>
    <x v="1"/>
    <x v="13"/>
    <x v="659"/>
    <x v="4515"/>
    <x v="8"/>
    <x v="3"/>
  </r>
  <r>
    <n v="6904"/>
    <x v="3421"/>
    <x v="264"/>
    <d v="2018-09-08T00:00:00"/>
    <s v="Standard Class"/>
    <x v="329"/>
    <s v="Jill Stevenson"/>
    <x v="1"/>
    <s v="United States"/>
    <s v="Chicago"/>
    <x v="10"/>
    <n v="60653"/>
    <x v="2"/>
    <x v="1803"/>
    <x v="1"/>
    <x v="9"/>
    <x v="1793"/>
    <x v="4516"/>
    <x v="8"/>
    <x v="3"/>
  </r>
  <r>
    <n v="6905"/>
    <x v="3421"/>
    <x v="264"/>
    <d v="2018-09-08T00:00:00"/>
    <s v="Standard Class"/>
    <x v="329"/>
    <s v="Jill Stevenson"/>
    <x v="1"/>
    <s v="United States"/>
    <s v="Chicago"/>
    <x v="10"/>
    <n v="60653"/>
    <x v="2"/>
    <x v="1755"/>
    <x v="1"/>
    <x v="4"/>
    <x v="1745"/>
    <x v="4517"/>
    <x v="8"/>
    <x v="3"/>
  </r>
  <r>
    <n v="6906"/>
    <x v="3422"/>
    <x v="1139"/>
    <d v="2018-12-08T00:00:00"/>
    <s v="Second Class"/>
    <x v="272"/>
    <s v="Brad Norvell"/>
    <x v="1"/>
    <s v="United States"/>
    <s v="Brentwood"/>
    <x v="1"/>
    <n v="94513"/>
    <x v="1"/>
    <x v="683"/>
    <x v="1"/>
    <x v="4"/>
    <x v="683"/>
    <x v="3766"/>
    <x v="4"/>
    <x v="3"/>
  </r>
  <r>
    <n v="6907"/>
    <x v="3423"/>
    <x v="968"/>
    <d v="2018-05-20T00:00:00"/>
    <s v="Same Day"/>
    <x v="153"/>
    <s v="Allen Rosenblatt"/>
    <x v="1"/>
    <s v="United States"/>
    <s v="Trenton"/>
    <x v="12"/>
    <n v="48183"/>
    <x v="2"/>
    <x v="340"/>
    <x v="1"/>
    <x v="8"/>
    <x v="340"/>
    <x v="517"/>
    <x v="5"/>
    <x v="3"/>
  </r>
  <r>
    <n v="6908"/>
    <x v="3424"/>
    <x v="720"/>
    <d v="2017-10-03T00:00:00"/>
    <s v="Standard Class"/>
    <x v="517"/>
    <s v="Shaun Weien"/>
    <x v="0"/>
    <s v="United States"/>
    <s v="Seattle"/>
    <x v="4"/>
    <n v="98103"/>
    <x v="1"/>
    <x v="1718"/>
    <x v="2"/>
    <x v="7"/>
    <x v="1705"/>
    <x v="3676"/>
    <x v="8"/>
    <x v="0"/>
  </r>
  <r>
    <n v="6909"/>
    <x v="3425"/>
    <x v="389"/>
    <d v="2018-12-15T00:00:00"/>
    <s v="Standard Class"/>
    <x v="68"/>
    <s v="Justin Ellison"/>
    <x v="1"/>
    <s v="United States"/>
    <s v="North Charleston"/>
    <x v="20"/>
    <n v="29406"/>
    <x v="0"/>
    <x v="1256"/>
    <x v="0"/>
    <x v="5"/>
    <x v="1240"/>
    <x v="1787"/>
    <x v="4"/>
    <x v="3"/>
  </r>
  <r>
    <n v="6910"/>
    <x v="3426"/>
    <x v="103"/>
    <d v="2015-09-18T00:00:00"/>
    <s v="Second Class"/>
    <x v="23"/>
    <s v="Lena Hernandez"/>
    <x v="0"/>
    <s v="United States"/>
    <s v="Columbus"/>
    <x v="24"/>
    <n v="43229"/>
    <x v="3"/>
    <x v="757"/>
    <x v="1"/>
    <x v="8"/>
    <x v="755"/>
    <x v="1278"/>
    <x v="8"/>
    <x v="2"/>
  </r>
  <r>
    <n v="6911"/>
    <x v="3427"/>
    <x v="570"/>
    <d v="2018-08-02T00:00:00"/>
    <s v="Standard Class"/>
    <x v="364"/>
    <s v="Vivek Gonzalez"/>
    <x v="0"/>
    <s v="United States"/>
    <s v="Seattle"/>
    <x v="4"/>
    <n v="98103"/>
    <x v="1"/>
    <x v="266"/>
    <x v="0"/>
    <x v="0"/>
    <x v="266"/>
    <x v="4518"/>
    <x v="7"/>
    <x v="3"/>
  </r>
  <r>
    <n v="6912"/>
    <x v="3428"/>
    <x v="378"/>
    <d v="2018-08-05T00:00:00"/>
    <s v="Second Class"/>
    <x v="75"/>
    <s v="Eric Murdock"/>
    <x v="0"/>
    <s v="United States"/>
    <s v="San Francisco"/>
    <x v="1"/>
    <n v="94109"/>
    <x v="1"/>
    <x v="821"/>
    <x v="1"/>
    <x v="4"/>
    <x v="817"/>
    <x v="4519"/>
    <x v="6"/>
    <x v="3"/>
  </r>
  <r>
    <n v="6913"/>
    <x v="3429"/>
    <x v="743"/>
    <d v="2018-05-05T00:00:00"/>
    <s v="Second Class"/>
    <x v="605"/>
    <s v="Elizabeth Moffitt"/>
    <x v="1"/>
    <s v="United States"/>
    <s v="Los Angeles"/>
    <x v="1"/>
    <n v="90049"/>
    <x v="1"/>
    <x v="685"/>
    <x v="2"/>
    <x v="11"/>
    <x v="685"/>
    <x v="4520"/>
    <x v="5"/>
    <x v="3"/>
  </r>
  <r>
    <n v="6914"/>
    <x v="3430"/>
    <x v="821"/>
    <d v="2016-06-16T00:00:00"/>
    <s v="Standard Class"/>
    <x v="101"/>
    <s v="Jonathan Howell"/>
    <x v="0"/>
    <s v="United States"/>
    <s v="West Palm Beach"/>
    <x v="2"/>
    <n v="33407"/>
    <x v="0"/>
    <x v="104"/>
    <x v="2"/>
    <x v="7"/>
    <x v="104"/>
    <x v="3886"/>
    <x v="1"/>
    <x v="1"/>
  </r>
  <r>
    <n v="6915"/>
    <x v="3431"/>
    <x v="1091"/>
    <d v="2015-12-29T00:00:00"/>
    <s v="Standard Class"/>
    <x v="413"/>
    <s v="Nora Preis"/>
    <x v="0"/>
    <s v="United States"/>
    <s v="Chicago"/>
    <x v="10"/>
    <n v="60623"/>
    <x v="2"/>
    <x v="546"/>
    <x v="1"/>
    <x v="4"/>
    <x v="546"/>
    <x v="4521"/>
    <x v="4"/>
    <x v="2"/>
  </r>
  <r>
    <n v="6916"/>
    <x v="3431"/>
    <x v="1091"/>
    <d v="2015-12-29T00:00:00"/>
    <s v="Standard Class"/>
    <x v="413"/>
    <s v="Nora Preis"/>
    <x v="0"/>
    <s v="United States"/>
    <s v="Chicago"/>
    <x v="10"/>
    <n v="60623"/>
    <x v="2"/>
    <x v="528"/>
    <x v="1"/>
    <x v="8"/>
    <x v="528"/>
    <x v="3740"/>
    <x v="4"/>
    <x v="2"/>
  </r>
  <r>
    <n v="6917"/>
    <x v="3431"/>
    <x v="1091"/>
    <d v="2015-12-29T00:00:00"/>
    <s v="Standard Class"/>
    <x v="413"/>
    <s v="Nora Preis"/>
    <x v="0"/>
    <s v="United States"/>
    <s v="Chicago"/>
    <x v="10"/>
    <n v="60623"/>
    <x v="2"/>
    <x v="968"/>
    <x v="1"/>
    <x v="10"/>
    <x v="961"/>
    <x v="4522"/>
    <x v="4"/>
    <x v="2"/>
  </r>
  <r>
    <n v="6918"/>
    <x v="3432"/>
    <x v="757"/>
    <d v="2015-12-21T00:00:00"/>
    <s v="Standard Class"/>
    <x v="741"/>
    <s v="Stefanie Holloman"/>
    <x v="1"/>
    <s v="United States"/>
    <s v="Sacramento"/>
    <x v="1"/>
    <n v="95823"/>
    <x v="1"/>
    <x v="1131"/>
    <x v="0"/>
    <x v="1"/>
    <x v="1119"/>
    <x v="4523"/>
    <x v="4"/>
    <x v="2"/>
  </r>
  <r>
    <n v="6919"/>
    <x v="3433"/>
    <x v="947"/>
    <d v="2017-04-18T00:00:00"/>
    <s v="Second Class"/>
    <x v="298"/>
    <s v="Bryan Mills"/>
    <x v="0"/>
    <s v="United States"/>
    <s v="Seattle"/>
    <x v="4"/>
    <n v="98115"/>
    <x v="1"/>
    <x v="1511"/>
    <x v="1"/>
    <x v="14"/>
    <x v="1498"/>
    <x v="3910"/>
    <x v="3"/>
    <x v="0"/>
  </r>
  <r>
    <n v="6920"/>
    <x v="3434"/>
    <x v="1031"/>
    <d v="2016-05-28T00:00:00"/>
    <s v="Standard Class"/>
    <x v="428"/>
    <s v="Henry Goldwyn"/>
    <x v="1"/>
    <s v="United States"/>
    <s v="Philadelphia"/>
    <x v="9"/>
    <n v="19143"/>
    <x v="3"/>
    <x v="800"/>
    <x v="1"/>
    <x v="8"/>
    <x v="798"/>
    <x v="4238"/>
    <x v="5"/>
    <x v="1"/>
  </r>
  <r>
    <n v="6921"/>
    <x v="3435"/>
    <x v="425"/>
    <d v="2018-03-02T00:00:00"/>
    <s v="Standard Class"/>
    <x v="78"/>
    <s v="Becky Martin"/>
    <x v="0"/>
    <s v="United States"/>
    <s v="Santa Barbara"/>
    <x v="1"/>
    <n v="93101"/>
    <x v="1"/>
    <x v="543"/>
    <x v="1"/>
    <x v="9"/>
    <x v="543"/>
    <x v="4524"/>
    <x v="11"/>
    <x v="3"/>
  </r>
  <r>
    <n v="6922"/>
    <x v="3436"/>
    <x v="1095"/>
    <d v="2018-04-10T00:00:00"/>
    <s v="Standard Class"/>
    <x v="390"/>
    <s v="Penelope Sewall"/>
    <x v="2"/>
    <s v="United States"/>
    <s v="New York City"/>
    <x v="15"/>
    <n v="10011"/>
    <x v="3"/>
    <x v="618"/>
    <x v="1"/>
    <x v="12"/>
    <x v="618"/>
    <x v="4525"/>
    <x v="3"/>
    <x v="3"/>
  </r>
  <r>
    <n v="6923"/>
    <x v="3437"/>
    <x v="199"/>
    <d v="2016-03-19T00:00:00"/>
    <s v="Second Class"/>
    <x v="384"/>
    <s v="Maurice Satty"/>
    <x v="0"/>
    <s v="United States"/>
    <s v="Auburn"/>
    <x v="19"/>
    <n v="36830"/>
    <x v="0"/>
    <x v="508"/>
    <x v="1"/>
    <x v="2"/>
    <x v="508"/>
    <x v="4526"/>
    <x v="10"/>
    <x v="1"/>
  </r>
  <r>
    <n v="6924"/>
    <x v="3437"/>
    <x v="199"/>
    <d v="2016-03-19T00:00:00"/>
    <s v="Second Class"/>
    <x v="384"/>
    <s v="Maurice Satty"/>
    <x v="0"/>
    <s v="United States"/>
    <s v="Auburn"/>
    <x v="19"/>
    <n v="36830"/>
    <x v="0"/>
    <x v="436"/>
    <x v="1"/>
    <x v="12"/>
    <x v="436"/>
    <x v="1552"/>
    <x v="10"/>
    <x v="1"/>
  </r>
  <r>
    <n v="6925"/>
    <x v="3438"/>
    <x v="672"/>
    <d v="2016-12-04T00:00:00"/>
    <s v="Standard Class"/>
    <x v="538"/>
    <s v="Janet Lee"/>
    <x v="0"/>
    <s v="United States"/>
    <s v="New York City"/>
    <x v="15"/>
    <n v="10035"/>
    <x v="3"/>
    <x v="938"/>
    <x v="1"/>
    <x v="10"/>
    <x v="931"/>
    <x v="4527"/>
    <x v="0"/>
    <x v="1"/>
  </r>
  <r>
    <n v="6926"/>
    <x v="3438"/>
    <x v="672"/>
    <d v="2016-12-04T00:00:00"/>
    <s v="Standard Class"/>
    <x v="538"/>
    <s v="Janet Lee"/>
    <x v="0"/>
    <s v="United States"/>
    <s v="New York City"/>
    <x v="15"/>
    <n v="10035"/>
    <x v="3"/>
    <x v="1544"/>
    <x v="0"/>
    <x v="0"/>
    <x v="1532"/>
    <x v="2798"/>
    <x v="0"/>
    <x v="1"/>
  </r>
  <r>
    <n v="6927"/>
    <x v="3439"/>
    <x v="1062"/>
    <d v="2017-08-03T00:00:00"/>
    <s v="Standard Class"/>
    <x v="730"/>
    <s v="Khloe Miller"/>
    <x v="0"/>
    <s v="United States"/>
    <s v="Los Angeles"/>
    <x v="1"/>
    <n v="90032"/>
    <x v="1"/>
    <x v="1729"/>
    <x v="1"/>
    <x v="2"/>
    <x v="1716"/>
    <x v="1365"/>
    <x v="7"/>
    <x v="0"/>
  </r>
  <r>
    <n v="6928"/>
    <x v="3440"/>
    <x v="661"/>
    <d v="2017-06-25T00:00:00"/>
    <s v="Second Class"/>
    <x v="76"/>
    <s v="Ruben Dartt"/>
    <x v="0"/>
    <s v="United States"/>
    <s v="San Francisco"/>
    <x v="1"/>
    <n v="94109"/>
    <x v="1"/>
    <x v="1247"/>
    <x v="1"/>
    <x v="4"/>
    <x v="1231"/>
    <x v="4528"/>
    <x v="1"/>
    <x v="0"/>
  </r>
  <r>
    <n v="6929"/>
    <x v="3440"/>
    <x v="661"/>
    <d v="2017-06-25T00:00:00"/>
    <s v="Second Class"/>
    <x v="76"/>
    <s v="Ruben Dartt"/>
    <x v="0"/>
    <s v="United States"/>
    <s v="San Francisco"/>
    <x v="1"/>
    <n v="94109"/>
    <x v="1"/>
    <x v="573"/>
    <x v="1"/>
    <x v="2"/>
    <x v="573"/>
    <x v="2468"/>
    <x v="1"/>
    <x v="0"/>
  </r>
  <r>
    <n v="6930"/>
    <x v="3440"/>
    <x v="661"/>
    <d v="2017-06-25T00:00:00"/>
    <s v="Second Class"/>
    <x v="76"/>
    <s v="Ruben Dartt"/>
    <x v="0"/>
    <s v="United States"/>
    <s v="San Francisco"/>
    <x v="1"/>
    <n v="94109"/>
    <x v="1"/>
    <x v="348"/>
    <x v="2"/>
    <x v="7"/>
    <x v="348"/>
    <x v="4529"/>
    <x v="1"/>
    <x v="0"/>
  </r>
  <r>
    <n v="6931"/>
    <x v="3440"/>
    <x v="661"/>
    <d v="2017-06-25T00:00:00"/>
    <s v="Second Class"/>
    <x v="76"/>
    <s v="Ruben Dartt"/>
    <x v="0"/>
    <s v="United States"/>
    <s v="San Francisco"/>
    <x v="1"/>
    <n v="94109"/>
    <x v="1"/>
    <x v="681"/>
    <x v="1"/>
    <x v="10"/>
    <x v="681"/>
    <x v="1016"/>
    <x v="1"/>
    <x v="0"/>
  </r>
  <r>
    <n v="6932"/>
    <x v="3441"/>
    <x v="686"/>
    <d v="2015-07-18T00:00:00"/>
    <s v="Standard Class"/>
    <x v="461"/>
    <s v="Shui Tom"/>
    <x v="0"/>
    <s v="United States"/>
    <s v="Philadelphia"/>
    <x v="9"/>
    <n v="19140"/>
    <x v="3"/>
    <x v="1804"/>
    <x v="2"/>
    <x v="7"/>
    <x v="1794"/>
    <x v="4530"/>
    <x v="7"/>
    <x v="2"/>
  </r>
  <r>
    <n v="6933"/>
    <x v="3441"/>
    <x v="686"/>
    <d v="2015-07-18T00:00:00"/>
    <s v="Standard Class"/>
    <x v="461"/>
    <s v="Shui Tom"/>
    <x v="0"/>
    <s v="United States"/>
    <s v="Philadelphia"/>
    <x v="9"/>
    <n v="19140"/>
    <x v="3"/>
    <x v="1730"/>
    <x v="2"/>
    <x v="7"/>
    <x v="1717"/>
    <x v="1792"/>
    <x v="7"/>
    <x v="2"/>
  </r>
  <r>
    <n v="6934"/>
    <x v="3441"/>
    <x v="686"/>
    <d v="2015-07-18T00:00:00"/>
    <s v="Standard Class"/>
    <x v="461"/>
    <s v="Shui Tom"/>
    <x v="0"/>
    <s v="United States"/>
    <s v="Philadelphia"/>
    <x v="9"/>
    <n v="19140"/>
    <x v="3"/>
    <x v="1801"/>
    <x v="0"/>
    <x v="5"/>
    <x v="1791"/>
    <x v="236"/>
    <x v="7"/>
    <x v="2"/>
  </r>
  <r>
    <n v="6935"/>
    <x v="3441"/>
    <x v="686"/>
    <d v="2015-07-18T00:00:00"/>
    <s v="Standard Class"/>
    <x v="461"/>
    <s v="Shui Tom"/>
    <x v="0"/>
    <s v="United States"/>
    <s v="Philadelphia"/>
    <x v="9"/>
    <n v="19140"/>
    <x v="3"/>
    <x v="1062"/>
    <x v="1"/>
    <x v="6"/>
    <x v="1051"/>
    <x v="4531"/>
    <x v="7"/>
    <x v="2"/>
  </r>
  <r>
    <n v="6936"/>
    <x v="3442"/>
    <x v="329"/>
    <d v="2018-12-03T00:00:00"/>
    <s v="Second Class"/>
    <x v="162"/>
    <s v="Bart Pistole"/>
    <x v="1"/>
    <s v="United States"/>
    <s v="El Paso"/>
    <x v="5"/>
    <n v="79907"/>
    <x v="2"/>
    <x v="97"/>
    <x v="2"/>
    <x v="11"/>
    <x v="97"/>
    <x v="98"/>
    <x v="0"/>
    <x v="3"/>
  </r>
  <r>
    <n v="6937"/>
    <x v="3443"/>
    <x v="476"/>
    <d v="2017-09-04T00:00:00"/>
    <s v="First Class"/>
    <x v="638"/>
    <s v="Tom Ashbrook"/>
    <x v="2"/>
    <s v="United States"/>
    <s v="Chicago"/>
    <x v="10"/>
    <n v="60653"/>
    <x v="2"/>
    <x v="1805"/>
    <x v="0"/>
    <x v="5"/>
    <x v="1795"/>
    <x v="4532"/>
    <x v="8"/>
    <x v="0"/>
  </r>
  <r>
    <n v="6938"/>
    <x v="3444"/>
    <x v="345"/>
    <d v="2015-06-15T00:00:00"/>
    <s v="Same Day"/>
    <x v="519"/>
    <s v="Pamela Stobb"/>
    <x v="0"/>
    <s v="United States"/>
    <s v="El Paso"/>
    <x v="5"/>
    <n v="79907"/>
    <x v="2"/>
    <x v="1767"/>
    <x v="1"/>
    <x v="10"/>
    <x v="1756"/>
    <x v="4533"/>
    <x v="1"/>
    <x v="2"/>
  </r>
  <r>
    <n v="6939"/>
    <x v="3445"/>
    <x v="732"/>
    <d v="2017-11-09T00:00:00"/>
    <s v="Standard Class"/>
    <x v="413"/>
    <s v="Nora Preis"/>
    <x v="0"/>
    <s v="United States"/>
    <s v="Seattle"/>
    <x v="4"/>
    <n v="98105"/>
    <x v="1"/>
    <x v="1806"/>
    <x v="2"/>
    <x v="11"/>
    <x v="1796"/>
    <x v="4534"/>
    <x v="0"/>
    <x v="0"/>
  </r>
  <r>
    <n v="6940"/>
    <x v="3446"/>
    <x v="335"/>
    <d v="2018-06-30T00:00:00"/>
    <s v="Standard Class"/>
    <x v="609"/>
    <s v="Scott Cohen"/>
    <x v="1"/>
    <s v="United States"/>
    <s v="New York City"/>
    <x v="15"/>
    <n v="10009"/>
    <x v="3"/>
    <x v="669"/>
    <x v="1"/>
    <x v="8"/>
    <x v="669"/>
    <x v="4535"/>
    <x v="1"/>
    <x v="3"/>
  </r>
  <r>
    <n v="6941"/>
    <x v="3446"/>
    <x v="335"/>
    <d v="2018-06-30T00:00:00"/>
    <s v="Standard Class"/>
    <x v="609"/>
    <s v="Scott Cohen"/>
    <x v="1"/>
    <s v="United States"/>
    <s v="New York City"/>
    <x v="15"/>
    <n v="10009"/>
    <x v="3"/>
    <x v="675"/>
    <x v="1"/>
    <x v="14"/>
    <x v="675"/>
    <x v="158"/>
    <x v="1"/>
    <x v="3"/>
  </r>
  <r>
    <n v="6942"/>
    <x v="3446"/>
    <x v="335"/>
    <d v="2018-06-30T00:00:00"/>
    <s v="Standard Class"/>
    <x v="609"/>
    <s v="Scott Cohen"/>
    <x v="1"/>
    <s v="United States"/>
    <s v="New York City"/>
    <x v="15"/>
    <n v="10009"/>
    <x v="3"/>
    <x v="518"/>
    <x v="1"/>
    <x v="4"/>
    <x v="518"/>
    <x v="4536"/>
    <x v="1"/>
    <x v="3"/>
  </r>
  <r>
    <n v="6943"/>
    <x v="3446"/>
    <x v="335"/>
    <d v="2018-06-30T00:00:00"/>
    <s v="Standard Class"/>
    <x v="609"/>
    <s v="Scott Cohen"/>
    <x v="1"/>
    <s v="United States"/>
    <s v="New York City"/>
    <x v="15"/>
    <n v="10009"/>
    <x v="3"/>
    <x v="1274"/>
    <x v="1"/>
    <x v="10"/>
    <x v="1259"/>
    <x v="4092"/>
    <x v="1"/>
    <x v="3"/>
  </r>
  <r>
    <n v="6944"/>
    <x v="3447"/>
    <x v="395"/>
    <d v="2016-07-30T00:00:00"/>
    <s v="Standard Class"/>
    <x v="709"/>
    <s v="Russell D'Ascenzo"/>
    <x v="0"/>
    <s v="United States"/>
    <s v="Los Angeles"/>
    <x v="1"/>
    <n v="90032"/>
    <x v="1"/>
    <x v="1807"/>
    <x v="2"/>
    <x v="7"/>
    <x v="1797"/>
    <x v="4537"/>
    <x v="7"/>
    <x v="1"/>
  </r>
  <r>
    <n v="6945"/>
    <x v="3448"/>
    <x v="865"/>
    <d v="2015-09-27T00:00:00"/>
    <s v="Standard Class"/>
    <x v="764"/>
    <s v="Thea Hudgings"/>
    <x v="1"/>
    <s v="United States"/>
    <s v="Newark"/>
    <x v="13"/>
    <n v="19711"/>
    <x v="3"/>
    <x v="994"/>
    <x v="1"/>
    <x v="8"/>
    <x v="986"/>
    <x v="1731"/>
    <x v="8"/>
    <x v="2"/>
  </r>
  <r>
    <n v="6946"/>
    <x v="3449"/>
    <x v="955"/>
    <d v="2017-10-04T00:00:00"/>
    <s v="Standard Class"/>
    <x v="411"/>
    <s v="Greg Matthias"/>
    <x v="0"/>
    <s v="United States"/>
    <s v="New York City"/>
    <x v="15"/>
    <n v="10011"/>
    <x v="3"/>
    <x v="1219"/>
    <x v="0"/>
    <x v="0"/>
    <x v="1203"/>
    <x v="2908"/>
    <x v="8"/>
    <x v="0"/>
  </r>
  <r>
    <n v="6947"/>
    <x v="3450"/>
    <x v="529"/>
    <d v="2016-11-13T00:00:00"/>
    <s v="Standard Class"/>
    <x v="270"/>
    <s v="Jesus Ocampo"/>
    <x v="2"/>
    <s v="United States"/>
    <s v="Roseville"/>
    <x v="1"/>
    <n v="95661"/>
    <x v="1"/>
    <x v="310"/>
    <x v="1"/>
    <x v="13"/>
    <x v="310"/>
    <x v="4538"/>
    <x v="0"/>
    <x v="1"/>
  </r>
  <r>
    <n v="6948"/>
    <x v="3451"/>
    <x v="334"/>
    <d v="2016-04-29T00:00:00"/>
    <s v="Standard Class"/>
    <x v="233"/>
    <s v="Zuschuss Carroll"/>
    <x v="0"/>
    <s v="United States"/>
    <s v="Aurora"/>
    <x v="10"/>
    <n v="60505"/>
    <x v="2"/>
    <x v="942"/>
    <x v="1"/>
    <x v="4"/>
    <x v="935"/>
    <x v="3084"/>
    <x v="3"/>
    <x v="1"/>
  </r>
  <r>
    <n v="6949"/>
    <x v="3451"/>
    <x v="334"/>
    <d v="2016-04-29T00:00:00"/>
    <s v="Standard Class"/>
    <x v="233"/>
    <s v="Zuschuss Carroll"/>
    <x v="0"/>
    <s v="United States"/>
    <s v="Aurora"/>
    <x v="10"/>
    <n v="60505"/>
    <x v="2"/>
    <x v="1534"/>
    <x v="0"/>
    <x v="1"/>
    <x v="1522"/>
    <x v="3294"/>
    <x v="3"/>
    <x v="1"/>
  </r>
  <r>
    <n v="6950"/>
    <x v="3452"/>
    <x v="123"/>
    <d v="2018-11-19T00:00:00"/>
    <s v="Same Day"/>
    <x v="399"/>
    <s v="Anne Pryor"/>
    <x v="2"/>
    <s v="United States"/>
    <s v="New York City"/>
    <x v="15"/>
    <n v="10011"/>
    <x v="3"/>
    <x v="1124"/>
    <x v="1"/>
    <x v="8"/>
    <x v="1112"/>
    <x v="4539"/>
    <x v="0"/>
    <x v="3"/>
  </r>
  <r>
    <n v="6951"/>
    <x v="3452"/>
    <x v="123"/>
    <d v="2018-11-19T00:00:00"/>
    <s v="Same Day"/>
    <x v="399"/>
    <s v="Anne Pryor"/>
    <x v="2"/>
    <s v="United States"/>
    <s v="New York City"/>
    <x v="15"/>
    <n v="10011"/>
    <x v="3"/>
    <x v="972"/>
    <x v="0"/>
    <x v="3"/>
    <x v="966"/>
    <x v="2562"/>
    <x v="0"/>
    <x v="3"/>
  </r>
  <r>
    <n v="6952"/>
    <x v="3453"/>
    <x v="312"/>
    <d v="2016-11-24T00:00:00"/>
    <s v="Standard Class"/>
    <x v="136"/>
    <s v="Grace Kelly"/>
    <x v="1"/>
    <s v="United States"/>
    <s v="Dallas"/>
    <x v="5"/>
    <n v="75217"/>
    <x v="2"/>
    <x v="1808"/>
    <x v="2"/>
    <x v="15"/>
    <x v="1798"/>
    <x v="219"/>
    <x v="0"/>
    <x v="1"/>
  </r>
  <r>
    <n v="6953"/>
    <x v="3454"/>
    <x v="653"/>
    <d v="2016-10-03T00:00:00"/>
    <s v="First Class"/>
    <x v="31"/>
    <s v="Henry MacAllister"/>
    <x v="0"/>
    <s v="United States"/>
    <s v="Los Angeles"/>
    <x v="1"/>
    <n v="90008"/>
    <x v="1"/>
    <x v="1181"/>
    <x v="1"/>
    <x v="8"/>
    <x v="1167"/>
    <x v="921"/>
    <x v="2"/>
    <x v="1"/>
  </r>
  <r>
    <n v="6954"/>
    <x v="3454"/>
    <x v="653"/>
    <d v="2016-10-03T00:00:00"/>
    <s v="First Class"/>
    <x v="31"/>
    <s v="Henry MacAllister"/>
    <x v="0"/>
    <s v="United States"/>
    <s v="Los Angeles"/>
    <x v="1"/>
    <n v="90008"/>
    <x v="1"/>
    <x v="1595"/>
    <x v="1"/>
    <x v="8"/>
    <x v="1587"/>
    <x v="4540"/>
    <x v="2"/>
    <x v="1"/>
  </r>
  <r>
    <n v="6955"/>
    <x v="3454"/>
    <x v="653"/>
    <d v="2016-10-03T00:00:00"/>
    <s v="First Class"/>
    <x v="31"/>
    <s v="Henry MacAllister"/>
    <x v="0"/>
    <s v="United States"/>
    <s v="Los Angeles"/>
    <x v="1"/>
    <n v="90008"/>
    <x v="1"/>
    <x v="1370"/>
    <x v="2"/>
    <x v="7"/>
    <x v="1355"/>
    <x v="178"/>
    <x v="2"/>
    <x v="1"/>
  </r>
  <r>
    <n v="6956"/>
    <x v="3455"/>
    <x v="334"/>
    <d v="2016-05-02T00:00:00"/>
    <s v="Standard Class"/>
    <x v="322"/>
    <s v="Linda Southworth"/>
    <x v="1"/>
    <s v="United States"/>
    <s v="Los Angeles"/>
    <x v="1"/>
    <n v="90004"/>
    <x v="1"/>
    <x v="761"/>
    <x v="1"/>
    <x v="12"/>
    <x v="760"/>
    <x v="4541"/>
    <x v="3"/>
    <x v="1"/>
  </r>
  <r>
    <n v="6957"/>
    <x v="3456"/>
    <x v="216"/>
    <d v="2017-07-19T00:00:00"/>
    <s v="Standard Class"/>
    <x v="781"/>
    <s v="Anemone Ratner"/>
    <x v="0"/>
    <s v="United States"/>
    <s v="Columbus"/>
    <x v="32"/>
    <n v="31907"/>
    <x v="0"/>
    <x v="1344"/>
    <x v="1"/>
    <x v="8"/>
    <x v="1329"/>
    <x v="3343"/>
    <x v="7"/>
    <x v="0"/>
  </r>
  <r>
    <n v="6958"/>
    <x v="3456"/>
    <x v="216"/>
    <d v="2017-07-19T00:00:00"/>
    <s v="Standard Class"/>
    <x v="781"/>
    <s v="Anemone Ratner"/>
    <x v="0"/>
    <s v="United States"/>
    <s v="Columbus"/>
    <x v="32"/>
    <n v="31907"/>
    <x v="0"/>
    <x v="28"/>
    <x v="0"/>
    <x v="5"/>
    <x v="28"/>
    <x v="2616"/>
    <x v="7"/>
    <x v="0"/>
  </r>
  <r>
    <n v="6959"/>
    <x v="3457"/>
    <x v="874"/>
    <d v="2016-09-29T00:00:00"/>
    <s v="Second Class"/>
    <x v="563"/>
    <s v="Rick Huthwaite"/>
    <x v="2"/>
    <s v="United States"/>
    <s v="San Francisco"/>
    <x v="1"/>
    <n v="94110"/>
    <x v="1"/>
    <x v="177"/>
    <x v="1"/>
    <x v="4"/>
    <x v="178"/>
    <x v="4542"/>
    <x v="8"/>
    <x v="1"/>
  </r>
  <r>
    <n v="6960"/>
    <x v="3457"/>
    <x v="874"/>
    <d v="2016-09-29T00:00:00"/>
    <s v="Second Class"/>
    <x v="563"/>
    <s v="Rick Huthwaite"/>
    <x v="2"/>
    <s v="United States"/>
    <s v="San Francisco"/>
    <x v="1"/>
    <n v="94110"/>
    <x v="1"/>
    <x v="126"/>
    <x v="1"/>
    <x v="10"/>
    <x v="127"/>
    <x v="674"/>
    <x v="8"/>
    <x v="1"/>
  </r>
  <r>
    <n v="6961"/>
    <x v="3457"/>
    <x v="874"/>
    <d v="2016-09-29T00:00:00"/>
    <s v="Second Class"/>
    <x v="563"/>
    <s v="Rick Huthwaite"/>
    <x v="2"/>
    <s v="United States"/>
    <s v="San Francisco"/>
    <x v="1"/>
    <n v="94110"/>
    <x v="1"/>
    <x v="490"/>
    <x v="1"/>
    <x v="10"/>
    <x v="490"/>
    <x v="91"/>
    <x v="8"/>
    <x v="1"/>
  </r>
  <r>
    <n v="6962"/>
    <x v="3458"/>
    <x v="468"/>
    <d v="2018-11-10T00:00:00"/>
    <s v="Same Day"/>
    <x v="353"/>
    <s v="Thomas Brumley"/>
    <x v="2"/>
    <s v="United States"/>
    <s v="Riverside"/>
    <x v="1"/>
    <n v="92503"/>
    <x v="1"/>
    <x v="1026"/>
    <x v="1"/>
    <x v="6"/>
    <x v="1017"/>
    <x v="4543"/>
    <x v="0"/>
    <x v="3"/>
  </r>
  <r>
    <n v="6963"/>
    <x v="3459"/>
    <x v="87"/>
    <d v="2017-07-20T00:00:00"/>
    <s v="Second Class"/>
    <x v="63"/>
    <s v="Jonathan Doherty"/>
    <x v="1"/>
    <s v="United States"/>
    <s v="Columbia"/>
    <x v="20"/>
    <n v="29203"/>
    <x v="0"/>
    <x v="29"/>
    <x v="1"/>
    <x v="12"/>
    <x v="29"/>
    <x v="4544"/>
    <x v="7"/>
    <x v="0"/>
  </r>
  <r>
    <n v="6964"/>
    <x v="3459"/>
    <x v="87"/>
    <d v="2017-07-20T00:00:00"/>
    <s v="Second Class"/>
    <x v="63"/>
    <s v="Jonathan Doherty"/>
    <x v="1"/>
    <s v="United States"/>
    <s v="Columbia"/>
    <x v="20"/>
    <n v="29203"/>
    <x v="0"/>
    <x v="1453"/>
    <x v="1"/>
    <x v="6"/>
    <x v="1439"/>
    <x v="4545"/>
    <x v="7"/>
    <x v="0"/>
  </r>
  <r>
    <n v="6965"/>
    <x v="3459"/>
    <x v="87"/>
    <d v="2017-07-20T00:00:00"/>
    <s v="Second Class"/>
    <x v="63"/>
    <s v="Jonathan Doherty"/>
    <x v="1"/>
    <s v="United States"/>
    <s v="Columbia"/>
    <x v="20"/>
    <n v="29203"/>
    <x v="0"/>
    <x v="544"/>
    <x v="1"/>
    <x v="8"/>
    <x v="544"/>
    <x v="899"/>
    <x v="7"/>
    <x v="0"/>
  </r>
  <r>
    <n v="6966"/>
    <x v="3459"/>
    <x v="87"/>
    <d v="2017-07-20T00:00:00"/>
    <s v="Second Class"/>
    <x v="63"/>
    <s v="Jonathan Doherty"/>
    <x v="1"/>
    <s v="United States"/>
    <s v="Columbia"/>
    <x v="20"/>
    <n v="29203"/>
    <x v="0"/>
    <x v="1302"/>
    <x v="2"/>
    <x v="11"/>
    <x v="1287"/>
    <x v="4546"/>
    <x v="7"/>
    <x v="0"/>
  </r>
  <r>
    <n v="6967"/>
    <x v="3459"/>
    <x v="87"/>
    <d v="2017-07-20T00:00:00"/>
    <s v="Second Class"/>
    <x v="63"/>
    <s v="Jonathan Doherty"/>
    <x v="1"/>
    <s v="United States"/>
    <s v="Columbia"/>
    <x v="20"/>
    <n v="29203"/>
    <x v="0"/>
    <x v="507"/>
    <x v="1"/>
    <x v="8"/>
    <x v="507"/>
    <x v="4547"/>
    <x v="7"/>
    <x v="0"/>
  </r>
  <r>
    <n v="6968"/>
    <x v="3459"/>
    <x v="87"/>
    <d v="2017-07-20T00:00:00"/>
    <s v="Second Class"/>
    <x v="63"/>
    <s v="Jonathan Doherty"/>
    <x v="1"/>
    <s v="United States"/>
    <s v="Columbia"/>
    <x v="20"/>
    <n v="29203"/>
    <x v="0"/>
    <x v="1604"/>
    <x v="1"/>
    <x v="10"/>
    <x v="1596"/>
    <x v="1817"/>
    <x v="7"/>
    <x v="0"/>
  </r>
  <r>
    <n v="6969"/>
    <x v="3460"/>
    <x v="1140"/>
    <d v="2016-10-20T00:00:00"/>
    <s v="Second Class"/>
    <x v="172"/>
    <s v="Michael Paige"/>
    <x v="1"/>
    <s v="United States"/>
    <s v="New York City"/>
    <x v="15"/>
    <n v="10011"/>
    <x v="3"/>
    <x v="903"/>
    <x v="2"/>
    <x v="7"/>
    <x v="895"/>
    <x v="4548"/>
    <x v="2"/>
    <x v="1"/>
  </r>
  <r>
    <n v="6970"/>
    <x v="3461"/>
    <x v="994"/>
    <d v="2017-01-13T00:00:00"/>
    <s v="Second Class"/>
    <x v="677"/>
    <s v="Joy Bell-"/>
    <x v="0"/>
    <s v="United States"/>
    <s v="Longview"/>
    <x v="4"/>
    <n v="98632"/>
    <x v="1"/>
    <x v="527"/>
    <x v="0"/>
    <x v="5"/>
    <x v="527"/>
    <x v="2557"/>
    <x v="9"/>
    <x v="0"/>
  </r>
  <r>
    <n v="6971"/>
    <x v="3462"/>
    <x v="20"/>
    <d v="2018-09-25T00:00:00"/>
    <s v="Standard Class"/>
    <x v="455"/>
    <s v="Adrian Barton"/>
    <x v="0"/>
    <s v="United States"/>
    <s v="Phoenix"/>
    <x v="16"/>
    <n v="85023"/>
    <x v="1"/>
    <x v="1555"/>
    <x v="1"/>
    <x v="4"/>
    <x v="1543"/>
    <x v="1420"/>
    <x v="8"/>
    <x v="3"/>
  </r>
  <r>
    <n v="6972"/>
    <x v="3462"/>
    <x v="20"/>
    <d v="2018-09-25T00:00:00"/>
    <s v="Standard Class"/>
    <x v="455"/>
    <s v="Adrian Barton"/>
    <x v="0"/>
    <s v="United States"/>
    <s v="Phoenix"/>
    <x v="16"/>
    <n v="85023"/>
    <x v="1"/>
    <x v="201"/>
    <x v="2"/>
    <x v="11"/>
    <x v="202"/>
    <x v="212"/>
    <x v="8"/>
    <x v="3"/>
  </r>
  <r>
    <n v="6973"/>
    <x v="3462"/>
    <x v="20"/>
    <d v="2018-09-25T00:00:00"/>
    <s v="Standard Class"/>
    <x v="455"/>
    <s v="Adrian Barton"/>
    <x v="0"/>
    <s v="United States"/>
    <s v="Phoenix"/>
    <x v="16"/>
    <n v="85023"/>
    <x v="1"/>
    <x v="1538"/>
    <x v="2"/>
    <x v="7"/>
    <x v="1526"/>
    <x v="2685"/>
    <x v="8"/>
    <x v="3"/>
  </r>
  <r>
    <n v="6974"/>
    <x v="3462"/>
    <x v="20"/>
    <d v="2018-09-25T00:00:00"/>
    <s v="Standard Class"/>
    <x v="455"/>
    <s v="Adrian Barton"/>
    <x v="0"/>
    <s v="United States"/>
    <s v="Phoenix"/>
    <x v="16"/>
    <n v="85023"/>
    <x v="1"/>
    <x v="58"/>
    <x v="1"/>
    <x v="8"/>
    <x v="58"/>
    <x v="4549"/>
    <x v="8"/>
    <x v="3"/>
  </r>
  <r>
    <n v="6975"/>
    <x v="3463"/>
    <x v="175"/>
    <d v="2018-09-19T00:00:00"/>
    <s v="Standard Class"/>
    <x v="230"/>
    <s v="Charles Crestani"/>
    <x v="0"/>
    <s v="United States"/>
    <s v="Houston"/>
    <x v="5"/>
    <n v="77095"/>
    <x v="2"/>
    <x v="1571"/>
    <x v="1"/>
    <x v="6"/>
    <x v="1562"/>
    <x v="3993"/>
    <x v="8"/>
    <x v="3"/>
  </r>
  <r>
    <n v="6976"/>
    <x v="3464"/>
    <x v="1141"/>
    <d v="2016-07-02T00:00:00"/>
    <s v="Standard Class"/>
    <x v="388"/>
    <s v="Craig Yedwab"/>
    <x v="1"/>
    <s v="United States"/>
    <s v="Gilbert"/>
    <x v="16"/>
    <n v="85234"/>
    <x v="1"/>
    <x v="1139"/>
    <x v="1"/>
    <x v="2"/>
    <x v="1127"/>
    <x v="2144"/>
    <x v="1"/>
    <x v="1"/>
  </r>
  <r>
    <n v="6977"/>
    <x v="3464"/>
    <x v="1141"/>
    <d v="2016-07-02T00:00:00"/>
    <s v="Standard Class"/>
    <x v="388"/>
    <s v="Craig Yedwab"/>
    <x v="1"/>
    <s v="United States"/>
    <s v="Gilbert"/>
    <x v="16"/>
    <n v="85234"/>
    <x v="1"/>
    <x v="622"/>
    <x v="0"/>
    <x v="5"/>
    <x v="622"/>
    <x v="4550"/>
    <x v="1"/>
    <x v="1"/>
  </r>
  <r>
    <n v="6978"/>
    <x v="3465"/>
    <x v="881"/>
    <d v="2017-11-28T00:00:00"/>
    <s v="First Class"/>
    <x v="212"/>
    <s v="Emily Phan"/>
    <x v="0"/>
    <s v="United States"/>
    <s v="Jonesboro"/>
    <x v="36"/>
    <n v="72401"/>
    <x v="0"/>
    <x v="993"/>
    <x v="2"/>
    <x v="7"/>
    <x v="985"/>
    <x v="2759"/>
    <x v="0"/>
    <x v="0"/>
  </r>
  <r>
    <n v="6979"/>
    <x v="3466"/>
    <x v="920"/>
    <d v="2018-11-29T00:00:00"/>
    <s v="Second Class"/>
    <x v="111"/>
    <s v="Delfina Latchford"/>
    <x v="0"/>
    <s v="United States"/>
    <s v="Atlanta"/>
    <x v="32"/>
    <n v="30318"/>
    <x v="0"/>
    <x v="362"/>
    <x v="1"/>
    <x v="10"/>
    <x v="362"/>
    <x v="4551"/>
    <x v="0"/>
    <x v="3"/>
  </r>
  <r>
    <n v="6980"/>
    <x v="3467"/>
    <x v="424"/>
    <d v="2018-01-19T00:00:00"/>
    <s v="Standard Class"/>
    <x v="2"/>
    <s v="Sean O'Donnell"/>
    <x v="0"/>
    <s v="United States"/>
    <s v="Los Angeles"/>
    <x v="1"/>
    <n v="90036"/>
    <x v="1"/>
    <x v="1693"/>
    <x v="1"/>
    <x v="10"/>
    <x v="1681"/>
    <x v="894"/>
    <x v="9"/>
    <x v="3"/>
  </r>
  <r>
    <n v="6981"/>
    <x v="3468"/>
    <x v="845"/>
    <d v="2015-11-08T00:00:00"/>
    <s v="First Class"/>
    <x v="162"/>
    <s v="Bart Pistole"/>
    <x v="1"/>
    <s v="United States"/>
    <s v="New York City"/>
    <x v="15"/>
    <n v="10024"/>
    <x v="3"/>
    <x v="1084"/>
    <x v="1"/>
    <x v="13"/>
    <x v="1074"/>
    <x v="4552"/>
    <x v="0"/>
    <x v="2"/>
  </r>
  <r>
    <n v="6982"/>
    <x v="3468"/>
    <x v="845"/>
    <d v="2015-11-08T00:00:00"/>
    <s v="First Class"/>
    <x v="162"/>
    <s v="Bart Pistole"/>
    <x v="1"/>
    <s v="United States"/>
    <s v="New York City"/>
    <x v="15"/>
    <n v="10024"/>
    <x v="3"/>
    <x v="1603"/>
    <x v="1"/>
    <x v="10"/>
    <x v="1595"/>
    <x v="4553"/>
    <x v="0"/>
    <x v="2"/>
  </r>
  <r>
    <n v="6983"/>
    <x v="3469"/>
    <x v="142"/>
    <d v="2017-09-05T00:00:00"/>
    <s v="Standard Class"/>
    <x v="350"/>
    <s v="Joseph Airdo"/>
    <x v="0"/>
    <s v="United States"/>
    <s v="Detroit"/>
    <x v="12"/>
    <n v="48227"/>
    <x v="2"/>
    <x v="544"/>
    <x v="1"/>
    <x v="8"/>
    <x v="544"/>
    <x v="899"/>
    <x v="8"/>
    <x v="0"/>
  </r>
  <r>
    <n v="6984"/>
    <x v="3469"/>
    <x v="142"/>
    <d v="2017-09-05T00:00:00"/>
    <s v="Standard Class"/>
    <x v="350"/>
    <s v="Joseph Airdo"/>
    <x v="0"/>
    <s v="United States"/>
    <s v="Detroit"/>
    <x v="12"/>
    <n v="48227"/>
    <x v="2"/>
    <x v="402"/>
    <x v="2"/>
    <x v="7"/>
    <x v="403"/>
    <x v="4554"/>
    <x v="8"/>
    <x v="0"/>
  </r>
  <r>
    <n v="6985"/>
    <x v="3469"/>
    <x v="142"/>
    <d v="2017-09-05T00:00:00"/>
    <s v="Standard Class"/>
    <x v="350"/>
    <s v="Joseph Airdo"/>
    <x v="0"/>
    <s v="United States"/>
    <s v="Detroit"/>
    <x v="12"/>
    <n v="48227"/>
    <x v="2"/>
    <x v="549"/>
    <x v="1"/>
    <x v="9"/>
    <x v="549"/>
    <x v="4555"/>
    <x v="8"/>
    <x v="0"/>
  </r>
  <r>
    <n v="6986"/>
    <x v="3469"/>
    <x v="142"/>
    <d v="2017-09-05T00:00:00"/>
    <s v="Standard Class"/>
    <x v="350"/>
    <s v="Joseph Airdo"/>
    <x v="0"/>
    <s v="United States"/>
    <s v="Detroit"/>
    <x v="12"/>
    <n v="48227"/>
    <x v="2"/>
    <x v="777"/>
    <x v="1"/>
    <x v="8"/>
    <x v="776"/>
    <x v="3418"/>
    <x v="8"/>
    <x v="0"/>
  </r>
  <r>
    <n v="6987"/>
    <x v="3469"/>
    <x v="142"/>
    <d v="2017-09-05T00:00:00"/>
    <s v="Standard Class"/>
    <x v="350"/>
    <s v="Joseph Airdo"/>
    <x v="0"/>
    <s v="United States"/>
    <s v="Detroit"/>
    <x v="12"/>
    <n v="48227"/>
    <x v="2"/>
    <x v="879"/>
    <x v="1"/>
    <x v="6"/>
    <x v="873"/>
    <x v="489"/>
    <x v="8"/>
    <x v="0"/>
  </r>
  <r>
    <n v="6988"/>
    <x v="3469"/>
    <x v="142"/>
    <d v="2017-09-05T00:00:00"/>
    <s v="Standard Class"/>
    <x v="350"/>
    <s v="Joseph Airdo"/>
    <x v="0"/>
    <s v="United States"/>
    <s v="Detroit"/>
    <x v="12"/>
    <n v="48227"/>
    <x v="2"/>
    <x v="1085"/>
    <x v="1"/>
    <x v="8"/>
    <x v="1075"/>
    <x v="1579"/>
    <x v="8"/>
    <x v="0"/>
  </r>
  <r>
    <n v="6989"/>
    <x v="3470"/>
    <x v="343"/>
    <d v="2018-11-16T00:00:00"/>
    <s v="Second Class"/>
    <x v="179"/>
    <s v="Brenda Bowman"/>
    <x v="1"/>
    <s v="United States"/>
    <s v="Fort Lauderdale"/>
    <x v="2"/>
    <n v="33311"/>
    <x v="0"/>
    <x v="1364"/>
    <x v="1"/>
    <x v="9"/>
    <x v="1350"/>
    <x v="3978"/>
    <x v="0"/>
    <x v="3"/>
  </r>
  <r>
    <n v="6990"/>
    <x v="3471"/>
    <x v="157"/>
    <d v="2018-12-13T00:00:00"/>
    <s v="First Class"/>
    <x v="589"/>
    <s v="Dennis Kane"/>
    <x v="0"/>
    <s v="United States"/>
    <s v="Abilene"/>
    <x v="5"/>
    <n v="79605"/>
    <x v="2"/>
    <x v="1809"/>
    <x v="1"/>
    <x v="9"/>
    <x v="1799"/>
    <x v="4556"/>
    <x v="4"/>
    <x v="3"/>
  </r>
  <r>
    <n v="6991"/>
    <x v="3472"/>
    <x v="627"/>
    <d v="2016-11-13T00:00:00"/>
    <s v="Second Class"/>
    <x v="584"/>
    <s v="Rob Haberlin"/>
    <x v="0"/>
    <s v="United States"/>
    <s v="Hampton"/>
    <x v="17"/>
    <n v="23666"/>
    <x v="0"/>
    <x v="667"/>
    <x v="1"/>
    <x v="9"/>
    <x v="667"/>
    <x v="4557"/>
    <x v="0"/>
    <x v="1"/>
  </r>
  <r>
    <n v="6992"/>
    <x v="3472"/>
    <x v="627"/>
    <d v="2016-11-13T00:00:00"/>
    <s v="Second Class"/>
    <x v="584"/>
    <s v="Rob Haberlin"/>
    <x v="0"/>
    <s v="United States"/>
    <s v="Hampton"/>
    <x v="17"/>
    <n v="23666"/>
    <x v="0"/>
    <x v="1409"/>
    <x v="2"/>
    <x v="7"/>
    <x v="1396"/>
    <x v="4558"/>
    <x v="0"/>
    <x v="1"/>
  </r>
  <r>
    <n v="6993"/>
    <x v="3472"/>
    <x v="627"/>
    <d v="2016-11-13T00:00:00"/>
    <s v="Second Class"/>
    <x v="584"/>
    <s v="Rob Haberlin"/>
    <x v="0"/>
    <s v="United States"/>
    <s v="Hampton"/>
    <x v="17"/>
    <n v="23666"/>
    <x v="0"/>
    <x v="1292"/>
    <x v="0"/>
    <x v="5"/>
    <x v="1278"/>
    <x v="4519"/>
    <x v="0"/>
    <x v="1"/>
  </r>
  <r>
    <n v="6994"/>
    <x v="3472"/>
    <x v="627"/>
    <d v="2016-11-13T00:00:00"/>
    <s v="Second Class"/>
    <x v="584"/>
    <s v="Rob Haberlin"/>
    <x v="0"/>
    <s v="United States"/>
    <s v="Hampton"/>
    <x v="17"/>
    <n v="23666"/>
    <x v="0"/>
    <x v="108"/>
    <x v="1"/>
    <x v="6"/>
    <x v="108"/>
    <x v="4410"/>
    <x v="0"/>
    <x v="1"/>
  </r>
  <r>
    <n v="6995"/>
    <x v="3472"/>
    <x v="627"/>
    <d v="2016-11-13T00:00:00"/>
    <s v="Second Class"/>
    <x v="584"/>
    <s v="Rob Haberlin"/>
    <x v="0"/>
    <s v="United States"/>
    <s v="Hampton"/>
    <x v="17"/>
    <n v="23666"/>
    <x v="0"/>
    <x v="311"/>
    <x v="1"/>
    <x v="6"/>
    <x v="311"/>
    <x v="4559"/>
    <x v="0"/>
    <x v="1"/>
  </r>
  <r>
    <n v="6996"/>
    <x v="3473"/>
    <x v="902"/>
    <d v="2016-11-26T00:00:00"/>
    <s v="Standard Class"/>
    <x v="636"/>
    <s v="Aleksandra Gannaway"/>
    <x v="1"/>
    <s v="United States"/>
    <s v="Las Vegas"/>
    <x v="33"/>
    <n v="89115"/>
    <x v="1"/>
    <x v="1037"/>
    <x v="1"/>
    <x v="9"/>
    <x v="1027"/>
    <x v="4560"/>
    <x v="0"/>
    <x v="1"/>
  </r>
  <r>
    <n v="6997"/>
    <x v="3474"/>
    <x v="331"/>
    <d v="2018-12-25T00:00:00"/>
    <s v="Second Class"/>
    <x v="80"/>
    <s v="Jennifer Braxton"/>
    <x v="1"/>
    <s v="United States"/>
    <s v="Rockford"/>
    <x v="10"/>
    <n v="61107"/>
    <x v="2"/>
    <x v="153"/>
    <x v="1"/>
    <x v="8"/>
    <x v="154"/>
    <x v="4561"/>
    <x v="4"/>
    <x v="3"/>
  </r>
  <r>
    <n v="6998"/>
    <x v="3474"/>
    <x v="331"/>
    <d v="2018-12-25T00:00:00"/>
    <s v="Second Class"/>
    <x v="80"/>
    <s v="Jennifer Braxton"/>
    <x v="1"/>
    <s v="United States"/>
    <s v="Rockford"/>
    <x v="10"/>
    <n v="61107"/>
    <x v="2"/>
    <x v="1082"/>
    <x v="1"/>
    <x v="10"/>
    <x v="1072"/>
    <x v="4562"/>
    <x v="4"/>
    <x v="3"/>
  </r>
  <r>
    <n v="6999"/>
    <x v="3475"/>
    <x v="1142"/>
    <d v="2017-09-22T00:00:00"/>
    <s v="Standard Class"/>
    <x v="604"/>
    <s v="Becky Castell"/>
    <x v="2"/>
    <s v="United States"/>
    <s v="Laguna Niguel"/>
    <x v="1"/>
    <n v="92677"/>
    <x v="1"/>
    <x v="727"/>
    <x v="1"/>
    <x v="10"/>
    <x v="1552"/>
    <x v="91"/>
    <x v="8"/>
    <x v="0"/>
  </r>
  <r>
    <n v="7000"/>
    <x v="3476"/>
    <x v="1143"/>
    <d v="2018-05-29T00:00:00"/>
    <s v="First Class"/>
    <x v="169"/>
    <s v="Kimberly Carter"/>
    <x v="1"/>
    <s v="United States"/>
    <s v="Louisville"/>
    <x v="0"/>
    <n v="40214"/>
    <x v="0"/>
    <x v="1710"/>
    <x v="1"/>
    <x v="9"/>
    <x v="1699"/>
    <x v="4563"/>
    <x v="5"/>
    <x v="3"/>
  </r>
  <r>
    <n v="7001"/>
    <x v="3476"/>
    <x v="1143"/>
    <d v="2018-05-29T00:00:00"/>
    <s v="First Class"/>
    <x v="169"/>
    <s v="Kimberly Carter"/>
    <x v="1"/>
    <s v="United States"/>
    <s v="Louisville"/>
    <x v="0"/>
    <n v="40214"/>
    <x v="0"/>
    <x v="505"/>
    <x v="1"/>
    <x v="14"/>
    <x v="505"/>
    <x v="4564"/>
    <x v="5"/>
    <x v="3"/>
  </r>
  <r>
    <n v="7002"/>
    <x v="3477"/>
    <x v="1110"/>
    <d v="2016-04-03T00:00:00"/>
    <s v="Standard Class"/>
    <x v="660"/>
    <s v="Daniel Raglin"/>
    <x v="2"/>
    <s v="United States"/>
    <s v="Normal"/>
    <x v="10"/>
    <n v="61761"/>
    <x v="2"/>
    <x v="1585"/>
    <x v="0"/>
    <x v="1"/>
    <x v="1576"/>
    <x v="4565"/>
    <x v="10"/>
    <x v="1"/>
  </r>
  <r>
    <n v="7003"/>
    <x v="3478"/>
    <x v="710"/>
    <d v="2015-08-21T00:00:00"/>
    <s v="Second Class"/>
    <x v="694"/>
    <s v="David Wiener"/>
    <x v="1"/>
    <s v="United States"/>
    <s v="Los Angeles"/>
    <x v="1"/>
    <n v="90045"/>
    <x v="1"/>
    <x v="479"/>
    <x v="0"/>
    <x v="5"/>
    <x v="480"/>
    <x v="4566"/>
    <x v="6"/>
    <x v="2"/>
  </r>
  <r>
    <n v="7004"/>
    <x v="3478"/>
    <x v="710"/>
    <d v="2015-08-21T00:00:00"/>
    <s v="Second Class"/>
    <x v="694"/>
    <s v="David Wiener"/>
    <x v="1"/>
    <s v="United States"/>
    <s v="Los Angeles"/>
    <x v="1"/>
    <n v="90045"/>
    <x v="1"/>
    <x v="1311"/>
    <x v="1"/>
    <x v="8"/>
    <x v="1297"/>
    <x v="1940"/>
    <x v="6"/>
    <x v="2"/>
  </r>
  <r>
    <n v="7005"/>
    <x v="3479"/>
    <x v="851"/>
    <d v="2015-12-28T00:00:00"/>
    <s v="Standard Class"/>
    <x v="545"/>
    <s v="Michelle Ellison"/>
    <x v="1"/>
    <s v="United States"/>
    <s v="Port Arthur"/>
    <x v="5"/>
    <n v="77642"/>
    <x v="2"/>
    <x v="1396"/>
    <x v="1"/>
    <x v="10"/>
    <x v="1383"/>
    <x v="1170"/>
    <x v="4"/>
    <x v="2"/>
  </r>
  <r>
    <n v="7006"/>
    <x v="3480"/>
    <x v="549"/>
    <d v="2016-11-05T00:00:00"/>
    <s v="Standard Class"/>
    <x v="223"/>
    <s v="Jeremy Farry"/>
    <x v="0"/>
    <s v="United States"/>
    <s v="New York City"/>
    <x v="15"/>
    <n v="10009"/>
    <x v="3"/>
    <x v="1756"/>
    <x v="0"/>
    <x v="1"/>
    <x v="1746"/>
    <x v="4567"/>
    <x v="0"/>
    <x v="1"/>
  </r>
  <r>
    <n v="7007"/>
    <x v="3481"/>
    <x v="534"/>
    <d v="2015-12-21T00:00:00"/>
    <s v="Standard Class"/>
    <x v="133"/>
    <s v="Sung Pak"/>
    <x v="1"/>
    <s v="United States"/>
    <s v="Chicago"/>
    <x v="10"/>
    <n v="60623"/>
    <x v="2"/>
    <x v="1445"/>
    <x v="0"/>
    <x v="5"/>
    <x v="1432"/>
    <x v="1076"/>
    <x v="4"/>
    <x v="2"/>
  </r>
  <r>
    <n v="7008"/>
    <x v="3482"/>
    <x v="291"/>
    <d v="2016-08-25T00:00:00"/>
    <s v="Standard Class"/>
    <x v="471"/>
    <s v="Katherine Nockton"/>
    <x v="1"/>
    <s v="United States"/>
    <s v="Springfield"/>
    <x v="24"/>
    <n v="45503"/>
    <x v="3"/>
    <x v="410"/>
    <x v="1"/>
    <x v="8"/>
    <x v="410"/>
    <x v="2211"/>
    <x v="6"/>
    <x v="1"/>
  </r>
  <r>
    <n v="7009"/>
    <x v="3482"/>
    <x v="291"/>
    <d v="2016-08-25T00:00:00"/>
    <s v="Standard Class"/>
    <x v="471"/>
    <s v="Katherine Nockton"/>
    <x v="1"/>
    <s v="United States"/>
    <s v="Springfield"/>
    <x v="24"/>
    <n v="45503"/>
    <x v="3"/>
    <x v="463"/>
    <x v="0"/>
    <x v="1"/>
    <x v="464"/>
    <x v="4568"/>
    <x v="6"/>
    <x v="1"/>
  </r>
  <r>
    <n v="7010"/>
    <x v="3482"/>
    <x v="291"/>
    <d v="2016-08-25T00:00:00"/>
    <s v="Standard Class"/>
    <x v="471"/>
    <s v="Katherine Nockton"/>
    <x v="1"/>
    <s v="United States"/>
    <s v="Springfield"/>
    <x v="24"/>
    <n v="45503"/>
    <x v="3"/>
    <x v="1525"/>
    <x v="0"/>
    <x v="5"/>
    <x v="1512"/>
    <x v="3250"/>
    <x v="6"/>
    <x v="1"/>
  </r>
  <r>
    <n v="7011"/>
    <x v="3483"/>
    <x v="235"/>
    <d v="2015-05-27T00:00:00"/>
    <s v="Standard Class"/>
    <x v="218"/>
    <s v="Greg Tran"/>
    <x v="0"/>
    <s v="United States"/>
    <s v="New York City"/>
    <x v="15"/>
    <n v="10035"/>
    <x v="3"/>
    <x v="1366"/>
    <x v="1"/>
    <x v="8"/>
    <x v="307"/>
    <x v="2082"/>
    <x v="5"/>
    <x v="2"/>
  </r>
  <r>
    <n v="7012"/>
    <x v="3483"/>
    <x v="235"/>
    <d v="2015-05-27T00:00:00"/>
    <s v="Standard Class"/>
    <x v="218"/>
    <s v="Greg Tran"/>
    <x v="0"/>
    <s v="United States"/>
    <s v="New York City"/>
    <x v="15"/>
    <n v="10035"/>
    <x v="3"/>
    <x v="1576"/>
    <x v="1"/>
    <x v="14"/>
    <x v="1567"/>
    <x v="1310"/>
    <x v="5"/>
    <x v="2"/>
  </r>
  <r>
    <n v="7013"/>
    <x v="3483"/>
    <x v="235"/>
    <d v="2015-05-27T00:00:00"/>
    <s v="Standard Class"/>
    <x v="218"/>
    <s v="Greg Tran"/>
    <x v="0"/>
    <s v="United States"/>
    <s v="New York City"/>
    <x v="15"/>
    <n v="10035"/>
    <x v="3"/>
    <x v="77"/>
    <x v="1"/>
    <x v="9"/>
    <x v="77"/>
    <x v="79"/>
    <x v="5"/>
    <x v="2"/>
  </r>
  <r>
    <n v="7014"/>
    <x v="3484"/>
    <x v="34"/>
    <d v="2018-12-11T00:00:00"/>
    <s v="Second Class"/>
    <x v="626"/>
    <s v="Daniel Byrd"/>
    <x v="2"/>
    <s v="United States"/>
    <s v="Salinas"/>
    <x v="1"/>
    <n v="93905"/>
    <x v="1"/>
    <x v="672"/>
    <x v="0"/>
    <x v="0"/>
    <x v="672"/>
    <x v="4569"/>
    <x v="4"/>
    <x v="3"/>
  </r>
  <r>
    <n v="7015"/>
    <x v="3485"/>
    <x v="518"/>
    <d v="2015-03-13T00:00:00"/>
    <s v="Second Class"/>
    <x v="524"/>
    <s v="Filia McAdams"/>
    <x v="1"/>
    <s v="United States"/>
    <s v="Richmond"/>
    <x v="0"/>
    <n v="40475"/>
    <x v="0"/>
    <x v="414"/>
    <x v="1"/>
    <x v="9"/>
    <x v="414"/>
    <x v="4570"/>
    <x v="10"/>
    <x v="2"/>
  </r>
  <r>
    <n v="7016"/>
    <x v="3485"/>
    <x v="518"/>
    <d v="2015-03-13T00:00:00"/>
    <s v="Second Class"/>
    <x v="524"/>
    <s v="Filia McAdams"/>
    <x v="1"/>
    <s v="United States"/>
    <s v="Richmond"/>
    <x v="0"/>
    <n v="40475"/>
    <x v="0"/>
    <x v="678"/>
    <x v="2"/>
    <x v="11"/>
    <x v="678"/>
    <x v="93"/>
    <x v="10"/>
    <x v="2"/>
  </r>
  <r>
    <n v="7017"/>
    <x v="3485"/>
    <x v="518"/>
    <d v="2015-03-13T00:00:00"/>
    <s v="Second Class"/>
    <x v="524"/>
    <s v="Filia McAdams"/>
    <x v="1"/>
    <s v="United States"/>
    <s v="Richmond"/>
    <x v="0"/>
    <n v="40475"/>
    <x v="0"/>
    <x v="469"/>
    <x v="2"/>
    <x v="7"/>
    <x v="470"/>
    <x v="2133"/>
    <x v="10"/>
    <x v="2"/>
  </r>
  <r>
    <n v="7018"/>
    <x v="3485"/>
    <x v="518"/>
    <d v="2015-03-13T00:00:00"/>
    <s v="Second Class"/>
    <x v="524"/>
    <s v="Filia McAdams"/>
    <x v="1"/>
    <s v="United States"/>
    <s v="Richmond"/>
    <x v="0"/>
    <n v="40475"/>
    <x v="0"/>
    <x v="1463"/>
    <x v="1"/>
    <x v="10"/>
    <x v="1449"/>
    <x v="1801"/>
    <x v="10"/>
    <x v="2"/>
  </r>
  <r>
    <n v="7019"/>
    <x v="3486"/>
    <x v="661"/>
    <d v="2017-06-27T00:00:00"/>
    <s v="Second Class"/>
    <x v="325"/>
    <s v="Sally Matthias"/>
    <x v="0"/>
    <s v="United States"/>
    <s v="New York City"/>
    <x v="15"/>
    <n v="10035"/>
    <x v="3"/>
    <x v="1647"/>
    <x v="1"/>
    <x v="2"/>
    <x v="1636"/>
    <x v="4237"/>
    <x v="1"/>
    <x v="0"/>
  </r>
  <r>
    <n v="7020"/>
    <x v="3487"/>
    <x v="709"/>
    <d v="2015-08-27T00:00:00"/>
    <s v="Standard Class"/>
    <x v="275"/>
    <s v="Arthur Prichep"/>
    <x v="0"/>
    <s v="United States"/>
    <s v="Denver"/>
    <x v="22"/>
    <n v="80219"/>
    <x v="1"/>
    <x v="1810"/>
    <x v="1"/>
    <x v="10"/>
    <x v="1800"/>
    <x v="12"/>
    <x v="6"/>
    <x v="2"/>
  </r>
  <r>
    <n v="7021"/>
    <x v="3487"/>
    <x v="709"/>
    <d v="2015-08-27T00:00:00"/>
    <s v="Standard Class"/>
    <x v="275"/>
    <s v="Arthur Prichep"/>
    <x v="0"/>
    <s v="United States"/>
    <s v="Denver"/>
    <x v="22"/>
    <n v="80219"/>
    <x v="1"/>
    <x v="1768"/>
    <x v="1"/>
    <x v="14"/>
    <x v="1757"/>
    <x v="4571"/>
    <x v="6"/>
    <x v="2"/>
  </r>
  <r>
    <n v="7022"/>
    <x v="3487"/>
    <x v="709"/>
    <d v="2015-08-27T00:00:00"/>
    <s v="Standard Class"/>
    <x v="275"/>
    <s v="Arthur Prichep"/>
    <x v="0"/>
    <s v="United States"/>
    <s v="Denver"/>
    <x v="22"/>
    <n v="80219"/>
    <x v="1"/>
    <x v="247"/>
    <x v="0"/>
    <x v="5"/>
    <x v="248"/>
    <x v="1700"/>
    <x v="6"/>
    <x v="2"/>
  </r>
  <r>
    <n v="7023"/>
    <x v="3487"/>
    <x v="709"/>
    <d v="2015-08-27T00:00:00"/>
    <s v="Standard Class"/>
    <x v="275"/>
    <s v="Arthur Prichep"/>
    <x v="0"/>
    <s v="United States"/>
    <s v="Denver"/>
    <x v="22"/>
    <n v="80219"/>
    <x v="1"/>
    <x v="424"/>
    <x v="2"/>
    <x v="7"/>
    <x v="424"/>
    <x v="4572"/>
    <x v="6"/>
    <x v="2"/>
  </r>
  <r>
    <n v="7024"/>
    <x v="3487"/>
    <x v="709"/>
    <d v="2015-08-27T00:00:00"/>
    <s v="Standard Class"/>
    <x v="275"/>
    <s v="Arthur Prichep"/>
    <x v="0"/>
    <s v="United States"/>
    <s v="Denver"/>
    <x v="22"/>
    <n v="80219"/>
    <x v="1"/>
    <x v="712"/>
    <x v="1"/>
    <x v="10"/>
    <x v="711"/>
    <x v="276"/>
    <x v="6"/>
    <x v="2"/>
  </r>
  <r>
    <n v="7025"/>
    <x v="3487"/>
    <x v="709"/>
    <d v="2015-08-27T00:00:00"/>
    <s v="Standard Class"/>
    <x v="275"/>
    <s v="Arthur Prichep"/>
    <x v="0"/>
    <s v="United States"/>
    <s v="Denver"/>
    <x v="22"/>
    <n v="80219"/>
    <x v="1"/>
    <x v="1030"/>
    <x v="1"/>
    <x v="10"/>
    <x v="1021"/>
    <x v="1319"/>
    <x v="6"/>
    <x v="2"/>
  </r>
  <r>
    <n v="7026"/>
    <x v="3488"/>
    <x v="695"/>
    <d v="2018-02-12T00:00:00"/>
    <s v="Standard Class"/>
    <x v="259"/>
    <s v="Sibella Parks"/>
    <x v="1"/>
    <s v="United States"/>
    <s v="New York City"/>
    <x v="15"/>
    <n v="10024"/>
    <x v="3"/>
    <x v="529"/>
    <x v="2"/>
    <x v="7"/>
    <x v="529"/>
    <x v="4573"/>
    <x v="11"/>
    <x v="3"/>
  </r>
  <r>
    <n v="7027"/>
    <x v="3488"/>
    <x v="695"/>
    <d v="2018-02-12T00:00:00"/>
    <s v="Standard Class"/>
    <x v="259"/>
    <s v="Sibella Parks"/>
    <x v="1"/>
    <s v="United States"/>
    <s v="New York City"/>
    <x v="15"/>
    <n v="10024"/>
    <x v="3"/>
    <x v="1784"/>
    <x v="1"/>
    <x v="8"/>
    <x v="1774"/>
    <x v="4574"/>
    <x v="11"/>
    <x v="3"/>
  </r>
  <r>
    <n v="7028"/>
    <x v="3489"/>
    <x v="926"/>
    <d v="2018-02-05T00:00:00"/>
    <s v="Standard Class"/>
    <x v="361"/>
    <s v="Rob Dowd"/>
    <x v="0"/>
    <s v="United States"/>
    <s v="New York City"/>
    <x v="15"/>
    <n v="10011"/>
    <x v="3"/>
    <x v="709"/>
    <x v="1"/>
    <x v="2"/>
    <x v="708"/>
    <x v="3576"/>
    <x v="9"/>
    <x v="3"/>
  </r>
  <r>
    <n v="7029"/>
    <x v="3490"/>
    <x v="887"/>
    <d v="2017-12-23T00:00:00"/>
    <s v="Second Class"/>
    <x v="430"/>
    <s v="Matt Collins"/>
    <x v="0"/>
    <s v="United States"/>
    <s v="Fremont"/>
    <x v="8"/>
    <n v="68025"/>
    <x v="2"/>
    <x v="987"/>
    <x v="1"/>
    <x v="10"/>
    <x v="980"/>
    <x v="1269"/>
    <x v="4"/>
    <x v="0"/>
  </r>
  <r>
    <n v="7030"/>
    <x v="3491"/>
    <x v="583"/>
    <d v="2017-11-16T00:00:00"/>
    <s v="Standard Class"/>
    <x v="494"/>
    <s v="Edward Becker"/>
    <x v="1"/>
    <s v="United States"/>
    <s v="New York City"/>
    <x v="15"/>
    <n v="10011"/>
    <x v="3"/>
    <x v="1190"/>
    <x v="1"/>
    <x v="4"/>
    <x v="683"/>
    <x v="4499"/>
    <x v="0"/>
    <x v="0"/>
  </r>
  <r>
    <n v="7031"/>
    <x v="3491"/>
    <x v="583"/>
    <d v="2017-11-16T00:00:00"/>
    <s v="Standard Class"/>
    <x v="494"/>
    <s v="Edward Becker"/>
    <x v="1"/>
    <s v="United States"/>
    <s v="New York City"/>
    <x v="15"/>
    <n v="10011"/>
    <x v="3"/>
    <x v="1542"/>
    <x v="2"/>
    <x v="11"/>
    <x v="1530"/>
    <x v="3844"/>
    <x v="0"/>
    <x v="0"/>
  </r>
  <r>
    <n v="7032"/>
    <x v="3491"/>
    <x v="583"/>
    <d v="2017-11-16T00:00:00"/>
    <s v="Standard Class"/>
    <x v="494"/>
    <s v="Edward Becker"/>
    <x v="1"/>
    <s v="United States"/>
    <s v="New York City"/>
    <x v="15"/>
    <n v="10011"/>
    <x v="3"/>
    <x v="290"/>
    <x v="1"/>
    <x v="6"/>
    <x v="290"/>
    <x v="1635"/>
    <x v="0"/>
    <x v="0"/>
  </r>
  <r>
    <n v="7033"/>
    <x v="3491"/>
    <x v="583"/>
    <d v="2017-11-16T00:00:00"/>
    <s v="Standard Class"/>
    <x v="494"/>
    <s v="Edward Becker"/>
    <x v="1"/>
    <s v="United States"/>
    <s v="New York City"/>
    <x v="15"/>
    <n v="10011"/>
    <x v="3"/>
    <x v="1209"/>
    <x v="0"/>
    <x v="1"/>
    <x v="1194"/>
    <x v="4575"/>
    <x v="0"/>
    <x v="0"/>
  </r>
  <r>
    <n v="7034"/>
    <x v="3491"/>
    <x v="583"/>
    <d v="2017-11-16T00:00:00"/>
    <s v="Standard Class"/>
    <x v="494"/>
    <s v="Edward Becker"/>
    <x v="1"/>
    <s v="United States"/>
    <s v="New York City"/>
    <x v="15"/>
    <n v="10011"/>
    <x v="3"/>
    <x v="710"/>
    <x v="1"/>
    <x v="8"/>
    <x v="709"/>
    <x v="4576"/>
    <x v="0"/>
    <x v="0"/>
  </r>
  <r>
    <n v="7035"/>
    <x v="3491"/>
    <x v="583"/>
    <d v="2017-11-16T00:00:00"/>
    <s v="Standard Class"/>
    <x v="494"/>
    <s v="Edward Becker"/>
    <x v="1"/>
    <s v="United States"/>
    <s v="New York City"/>
    <x v="15"/>
    <n v="10011"/>
    <x v="3"/>
    <x v="908"/>
    <x v="1"/>
    <x v="8"/>
    <x v="900"/>
    <x v="4423"/>
    <x v="0"/>
    <x v="0"/>
  </r>
  <r>
    <n v="7036"/>
    <x v="3492"/>
    <x v="45"/>
    <d v="2018-11-13T00:00:00"/>
    <s v="Standard Class"/>
    <x v="531"/>
    <s v="Jim Epp"/>
    <x v="1"/>
    <s v="United States"/>
    <s v="San Diego"/>
    <x v="1"/>
    <n v="92105"/>
    <x v="1"/>
    <x v="635"/>
    <x v="0"/>
    <x v="1"/>
    <x v="635"/>
    <x v="4577"/>
    <x v="0"/>
    <x v="3"/>
  </r>
  <r>
    <n v="7037"/>
    <x v="3493"/>
    <x v="1073"/>
    <d v="2015-05-04T00:00:00"/>
    <s v="Second Class"/>
    <x v="750"/>
    <s v="Cari Schnelling"/>
    <x v="0"/>
    <s v="United States"/>
    <s v="Lakeland"/>
    <x v="2"/>
    <n v="33801"/>
    <x v="0"/>
    <x v="851"/>
    <x v="2"/>
    <x v="16"/>
    <x v="844"/>
    <x v="1973"/>
    <x v="5"/>
    <x v="2"/>
  </r>
  <r>
    <n v="7038"/>
    <x v="3494"/>
    <x v="585"/>
    <d v="2018-09-27T00:00:00"/>
    <s v="Standard Class"/>
    <x v="287"/>
    <s v="Peter Bühler"/>
    <x v="0"/>
    <s v="United States"/>
    <s v="Smyrna"/>
    <x v="32"/>
    <n v="30080"/>
    <x v="0"/>
    <x v="1330"/>
    <x v="1"/>
    <x v="10"/>
    <x v="1315"/>
    <x v="91"/>
    <x v="8"/>
    <x v="3"/>
  </r>
  <r>
    <n v="7039"/>
    <x v="3494"/>
    <x v="585"/>
    <d v="2018-09-27T00:00:00"/>
    <s v="Standard Class"/>
    <x v="287"/>
    <s v="Peter Bühler"/>
    <x v="0"/>
    <s v="United States"/>
    <s v="Smyrna"/>
    <x v="32"/>
    <n v="30080"/>
    <x v="0"/>
    <x v="1811"/>
    <x v="1"/>
    <x v="6"/>
    <x v="1801"/>
    <x v="1444"/>
    <x v="8"/>
    <x v="3"/>
  </r>
  <r>
    <n v="7040"/>
    <x v="3495"/>
    <x v="94"/>
    <d v="2018-12-23T00:00:00"/>
    <s v="Standard Class"/>
    <x v="247"/>
    <s v="Annie Thurman"/>
    <x v="0"/>
    <s v="United States"/>
    <s v="New York City"/>
    <x v="15"/>
    <n v="10009"/>
    <x v="3"/>
    <x v="225"/>
    <x v="1"/>
    <x v="4"/>
    <x v="226"/>
    <x v="240"/>
    <x v="4"/>
    <x v="3"/>
  </r>
  <r>
    <n v="7041"/>
    <x v="3495"/>
    <x v="94"/>
    <d v="2018-12-23T00:00:00"/>
    <s v="Standard Class"/>
    <x v="247"/>
    <s v="Annie Thurman"/>
    <x v="0"/>
    <s v="United States"/>
    <s v="New York City"/>
    <x v="15"/>
    <n v="10009"/>
    <x v="3"/>
    <x v="1339"/>
    <x v="1"/>
    <x v="8"/>
    <x v="1324"/>
    <x v="176"/>
    <x v="4"/>
    <x v="3"/>
  </r>
  <r>
    <n v="7042"/>
    <x v="3495"/>
    <x v="94"/>
    <d v="2018-12-23T00:00:00"/>
    <s v="Standard Class"/>
    <x v="247"/>
    <s v="Annie Thurman"/>
    <x v="0"/>
    <s v="United States"/>
    <s v="New York City"/>
    <x v="15"/>
    <n v="10009"/>
    <x v="3"/>
    <x v="1292"/>
    <x v="0"/>
    <x v="5"/>
    <x v="1278"/>
    <x v="2217"/>
    <x v="4"/>
    <x v="3"/>
  </r>
  <r>
    <n v="7043"/>
    <x v="3496"/>
    <x v="930"/>
    <d v="2018-07-23T00:00:00"/>
    <s v="Standard Class"/>
    <x v="277"/>
    <s v="Seth Vernon"/>
    <x v="0"/>
    <s v="United States"/>
    <s v="Philadelphia"/>
    <x v="9"/>
    <n v="19134"/>
    <x v="3"/>
    <x v="1687"/>
    <x v="2"/>
    <x v="16"/>
    <x v="1675"/>
    <x v="2730"/>
    <x v="7"/>
    <x v="3"/>
  </r>
  <r>
    <n v="7044"/>
    <x v="3496"/>
    <x v="930"/>
    <d v="2018-07-23T00:00:00"/>
    <s v="Standard Class"/>
    <x v="277"/>
    <s v="Seth Vernon"/>
    <x v="0"/>
    <s v="United States"/>
    <s v="Philadelphia"/>
    <x v="9"/>
    <n v="19134"/>
    <x v="3"/>
    <x v="474"/>
    <x v="0"/>
    <x v="1"/>
    <x v="475"/>
    <x v="4578"/>
    <x v="7"/>
    <x v="3"/>
  </r>
  <r>
    <n v="7045"/>
    <x v="3496"/>
    <x v="930"/>
    <d v="2018-07-23T00:00:00"/>
    <s v="Standard Class"/>
    <x v="277"/>
    <s v="Seth Vernon"/>
    <x v="0"/>
    <s v="United States"/>
    <s v="Philadelphia"/>
    <x v="9"/>
    <n v="19134"/>
    <x v="3"/>
    <x v="1322"/>
    <x v="1"/>
    <x v="14"/>
    <x v="1308"/>
    <x v="1964"/>
    <x v="7"/>
    <x v="3"/>
  </r>
  <r>
    <n v="7046"/>
    <x v="3497"/>
    <x v="54"/>
    <d v="2017-11-09T00:00:00"/>
    <s v="Standard Class"/>
    <x v="601"/>
    <s v="Patrick Jones"/>
    <x v="1"/>
    <s v="United States"/>
    <s v="Dallas"/>
    <x v="5"/>
    <n v="75217"/>
    <x v="2"/>
    <x v="1215"/>
    <x v="1"/>
    <x v="10"/>
    <x v="1199"/>
    <x v="4579"/>
    <x v="0"/>
    <x v="0"/>
  </r>
  <r>
    <n v="7047"/>
    <x v="3498"/>
    <x v="918"/>
    <d v="2015-04-12T00:00:00"/>
    <s v="Standard Class"/>
    <x v="134"/>
    <s v="Nathan Mautz"/>
    <x v="2"/>
    <s v="United States"/>
    <s v="Concord"/>
    <x v="1"/>
    <n v="94521"/>
    <x v="1"/>
    <x v="209"/>
    <x v="0"/>
    <x v="3"/>
    <x v="210"/>
    <x v="4580"/>
    <x v="3"/>
    <x v="2"/>
  </r>
  <r>
    <n v="7048"/>
    <x v="3498"/>
    <x v="918"/>
    <d v="2015-04-12T00:00:00"/>
    <s v="Standard Class"/>
    <x v="134"/>
    <s v="Nathan Mautz"/>
    <x v="2"/>
    <s v="United States"/>
    <s v="Concord"/>
    <x v="1"/>
    <n v="94521"/>
    <x v="1"/>
    <x v="295"/>
    <x v="2"/>
    <x v="11"/>
    <x v="295"/>
    <x v="1221"/>
    <x v="3"/>
    <x v="2"/>
  </r>
  <r>
    <n v="7049"/>
    <x v="3499"/>
    <x v="1041"/>
    <d v="2017-08-16T00:00:00"/>
    <s v="First Class"/>
    <x v="309"/>
    <s v="Toby Ritter"/>
    <x v="0"/>
    <s v="United States"/>
    <s v="Nashville"/>
    <x v="18"/>
    <n v="37211"/>
    <x v="0"/>
    <x v="1553"/>
    <x v="1"/>
    <x v="10"/>
    <x v="1541"/>
    <x v="12"/>
    <x v="6"/>
    <x v="0"/>
  </r>
  <r>
    <n v="7050"/>
    <x v="3500"/>
    <x v="794"/>
    <d v="2015-09-30T00:00:00"/>
    <s v="Standard Class"/>
    <x v="593"/>
    <s v="Barry Franz"/>
    <x v="2"/>
    <s v="United States"/>
    <s v="Aurora"/>
    <x v="22"/>
    <n v="80013"/>
    <x v="1"/>
    <x v="1583"/>
    <x v="1"/>
    <x v="6"/>
    <x v="1574"/>
    <x v="4581"/>
    <x v="8"/>
    <x v="2"/>
  </r>
  <r>
    <n v="7051"/>
    <x v="3501"/>
    <x v="25"/>
    <d v="2017-12-11T00:00:00"/>
    <s v="Same Day"/>
    <x v="576"/>
    <s v="William Brown"/>
    <x v="0"/>
    <s v="United States"/>
    <s v="Anaheim"/>
    <x v="1"/>
    <n v="92804"/>
    <x v="1"/>
    <x v="270"/>
    <x v="1"/>
    <x v="8"/>
    <x v="270"/>
    <x v="4582"/>
    <x v="4"/>
    <x v="0"/>
  </r>
  <r>
    <n v="7052"/>
    <x v="3501"/>
    <x v="25"/>
    <d v="2017-12-11T00:00:00"/>
    <s v="Same Day"/>
    <x v="576"/>
    <s v="William Brown"/>
    <x v="0"/>
    <s v="United States"/>
    <s v="Anaheim"/>
    <x v="1"/>
    <n v="92804"/>
    <x v="1"/>
    <x v="1759"/>
    <x v="1"/>
    <x v="6"/>
    <x v="1748"/>
    <x v="4434"/>
    <x v="4"/>
    <x v="0"/>
  </r>
  <r>
    <n v="7053"/>
    <x v="3501"/>
    <x v="25"/>
    <d v="2017-12-11T00:00:00"/>
    <s v="Same Day"/>
    <x v="576"/>
    <s v="William Brown"/>
    <x v="0"/>
    <s v="United States"/>
    <s v="Anaheim"/>
    <x v="1"/>
    <n v="92804"/>
    <x v="1"/>
    <x v="1174"/>
    <x v="1"/>
    <x v="10"/>
    <x v="1160"/>
    <x v="4583"/>
    <x v="4"/>
    <x v="0"/>
  </r>
  <r>
    <n v="7054"/>
    <x v="3501"/>
    <x v="25"/>
    <d v="2017-12-11T00:00:00"/>
    <s v="Same Day"/>
    <x v="576"/>
    <s v="William Brown"/>
    <x v="0"/>
    <s v="United States"/>
    <s v="Anaheim"/>
    <x v="1"/>
    <n v="92804"/>
    <x v="1"/>
    <x v="632"/>
    <x v="2"/>
    <x v="11"/>
    <x v="632"/>
    <x v="664"/>
    <x v="4"/>
    <x v="0"/>
  </r>
  <r>
    <n v="7055"/>
    <x v="3501"/>
    <x v="25"/>
    <d v="2017-12-11T00:00:00"/>
    <s v="Same Day"/>
    <x v="576"/>
    <s v="William Brown"/>
    <x v="0"/>
    <s v="United States"/>
    <s v="Anaheim"/>
    <x v="1"/>
    <n v="92804"/>
    <x v="1"/>
    <x v="1209"/>
    <x v="0"/>
    <x v="1"/>
    <x v="1194"/>
    <x v="4009"/>
    <x v="4"/>
    <x v="0"/>
  </r>
  <r>
    <n v="7056"/>
    <x v="3501"/>
    <x v="25"/>
    <d v="2017-12-11T00:00:00"/>
    <s v="Same Day"/>
    <x v="576"/>
    <s v="William Brown"/>
    <x v="0"/>
    <s v="United States"/>
    <s v="Anaheim"/>
    <x v="1"/>
    <n v="92804"/>
    <x v="1"/>
    <x v="528"/>
    <x v="1"/>
    <x v="8"/>
    <x v="528"/>
    <x v="2011"/>
    <x v="4"/>
    <x v="0"/>
  </r>
  <r>
    <n v="7057"/>
    <x v="3501"/>
    <x v="25"/>
    <d v="2017-12-11T00:00:00"/>
    <s v="Same Day"/>
    <x v="576"/>
    <s v="William Brown"/>
    <x v="0"/>
    <s v="United States"/>
    <s v="Anaheim"/>
    <x v="1"/>
    <n v="92804"/>
    <x v="1"/>
    <x v="822"/>
    <x v="1"/>
    <x v="8"/>
    <x v="818"/>
    <x v="4584"/>
    <x v="4"/>
    <x v="0"/>
  </r>
  <r>
    <n v="7058"/>
    <x v="3501"/>
    <x v="25"/>
    <d v="2017-12-11T00:00:00"/>
    <s v="Same Day"/>
    <x v="576"/>
    <s v="William Brown"/>
    <x v="0"/>
    <s v="United States"/>
    <s v="Anaheim"/>
    <x v="1"/>
    <n v="92804"/>
    <x v="1"/>
    <x v="898"/>
    <x v="0"/>
    <x v="3"/>
    <x v="891"/>
    <x v="4585"/>
    <x v="4"/>
    <x v="0"/>
  </r>
  <r>
    <n v="7059"/>
    <x v="3501"/>
    <x v="25"/>
    <d v="2017-12-11T00:00:00"/>
    <s v="Same Day"/>
    <x v="576"/>
    <s v="William Brown"/>
    <x v="0"/>
    <s v="United States"/>
    <s v="Anaheim"/>
    <x v="1"/>
    <n v="92804"/>
    <x v="1"/>
    <x v="1764"/>
    <x v="1"/>
    <x v="4"/>
    <x v="1753"/>
    <x v="4586"/>
    <x v="4"/>
    <x v="0"/>
  </r>
  <r>
    <n v="7060"/>
    <x v="3501"/>
    <x v="25"/>
    <d v="2017-12-11T00:00:00"/>
    <s v="Same Day"/>
    <x v="576"/>
    <s v="William Brown"/>
    <x v="0"/>
    <s v="United States"/>
    <s v="Anaheim"/>
    <x v="1"/>
    <n v="92804"/>
    <x v="1"/>
    <x v="586"/>
    <x v="1"/>
    <x v="9"/>
    <x v="586"/>
    <x v="4587"/>
    <x v="4"/>
    <x v="0"/>
  </r>
  <r>
    <n v="7061"/>
    <x v="3501"/>
    <x v="25"/>
    <d v="2017-12-11T00:00:00"/>
    <s v="Same Day"/>
    <x v="576"/>
    <s v="William Brown"/>
    <x v="0"/>
    <s v="United States"/>
    <s v="Anaheim"/>
    <x v="1"/>
    <n v="92804"/>
    <x v="1"/>
    <x v="1812"/>
    <x v="1"/>
    <x v="8"/>
    <x v="1802"/>
    <x v="4588"/>
    <x v="4"/>
    <x v="0"/>
  </r>
  <r>
    <n v="7062"/>
    <x v="3502"/>
    <x v="302"/>
    <d v="2016-02-05T00:00:00"/>
    <s v="Second Class"/>
    <x v="175"/>
    <s v="Ken Heidel"/>
    <x v="1"/>
    <s v="United States"/>
    <s v="Pleasant Grove"/>
    <x v="7"/>
    <n v="84062"/>
    <x v="1"/>
    <x v="881"/>
    <x v="1"/>
    <x v="8"/>
    <x v="875"/>
    <x v="4589"/>
    <x v="11"/>
    <x v="1"/>
  </r>
  <r>
    <n v="7063"/>
    <x v="3503"/>
    <x v="723"/>
    <d v="2017-12-31T00:00:00"/>
    <s v="Second Class"/>
    <x v="107"/>
    <s v="Ken Lonsdale"/>
    <x v="0"/>
    <s v="United States"/>
    <s v="Springfield"/>
    <x v="21"/>
    <n v="97477"/>
    <x v="1"/>
    <x v="1758"/>
    <x v="1"/>
    <x v="12"/>
    <x v="1711"/>
    <x v="4590"/>
    <x v="4"/>
    <x v="0"/>
  </r>
  <r>
    <n v="7064"/>
    <x v="3504"/>
    <x v="515"/>
    <d v="2018-09-05T00:00:00"/>
    <s v="Standard Class"/>
    <x v="450"/>
    <s v="Michael Granlund"/>
    <x v="2"/>
    <s v="United States"/>
    <s v="Salem"/>
    <x v="21"/>
    <n v="97301"/>
    <x v="1"/>
    <x v="1562"/>
    <x v="1"/>
    <x v="14"/>
    <x v="1553"/>
    <x v="920"/>
    <x v="6"/>
    <x v="3"/>
  </r>
  <r>
    <n v="7065"/>
    <x v="3505"/>
    <x v="1144"/>
    <d v="2018-02-09T00:00:00"/>
    <s v="Standard Class"/>
    <x v="282"/>
    <s v="Jay Fein"/>
    <x v="0"/>
    <s v="United States"/>
    <s v="Rochester"/>
    <x v="15"/>
    <n v="14609"/>
    <x v="3"/>
    <x v="930"/>
    <x v="1"/>
    <x v="9"/>
    <x v="923"/>
    <x v="4591"/>
    <x v="11"/>
    <x v="3"/>
  </r>
  <r>
    <n v="7066"/>
    <x v="3506"/>
    <x v="776"/>
    <d v="2015-12-08T00:00:00"/>
    <s v="First Class"/>
    <x v="276"/>
    <s v="Roland Schwarz"/>
    <x v="1"/>
    <s v="United States"/>
    <s v="Los Angeles"/>
    <x v="1"/>
    <n v="90008"/>
    <x v="1"/>
    <x v="734"/>
    <x v="1"/>
    <x v="4"/>
    <x v="733"/>
    <x v="4592"/>
    <x v="4"/>
    <x v="2"/>
  </r>
  <r>
    <n v="7067"/>
    <x v="3507"/>
    <x v="198"/>
    <d v="2017-06-03T00:00:00"/>
    <s v="Standard Class"/>
    <x v="644"/>
    <s v="Nancy Lomonaco"/>
    <x v="2"/>
    <s v="United States"/>
    <s v="Los Angeles"/>
    <x v="1"/>
    <n v="90049"/>
    <x v="1"/>
    <x v="1434"/>
    <x v="1"/>
    <x v="10"/>
    <x v="1422"/>
    <x v="783"/>
    <x v="5"/>
    <x v="0"/>
  </r>
  <r>
    <n v="7068"/>
    <x v="3508"/>
    <x v="206"/>
    <d v="2017-05-26T00:00:00"/>
    <s v="Standard Class"/>
    <x v="155"/>
    <s v="Alejandro Savely"/>
    <x v="1"/>
    <s v="United States"/>
    <s v="Dallas"/>
    <x v="5"/>
    <n v="75081"/>
    <x v="2"/>
    <x v="185"/>
    <x v="1"/>
    <x v="8"/>
    <x v="186"/>
    <x v="3153"/>
    <x v="5"/>
    <x v="0"/>
  </r>
  <r>
    <n v="7069"/>
    <x v="3508"/>
    <x v="206"/>
    <d v="2017-05-26T00:00:00"/>
    <s v="Standard Class"/>
    <x v="155"/>
    <s v="Alejandro Savely"/>
    <x v="1"/>
    <s v="United States"/>
    <s v="Dallas"/>
    <x v="5"/>
    <n v="75081"/>
    <x v="2"/>
    <x v="693"/>
    <x v="1"/>
    <x v="10"/>
    <x v="693"/>
    <x v="4593"/>
    <x v="5"/>
    <x v="0"/>
  </r>
  <r>
    <n v="7070"/>
    <x v="3509"/>
    <x v="128"/>
    <d v="2015-08-14T00:00:00"/>
    <s v="Standard Class"/>
    <x v="421"/>
    <s v="Gene McClure"/>
    <x v="0"/>
    <s v="United States"/>
    <s v="Fresno"/>
    <x v="1"/>
    <n v="93727"/>
    <x v="1"/>
    <x v="457"/>
    <x v="1"/>
    <x v="10"/>
    <x v="458"/>
    <x v="156"/>
    <x v="6"/>
    <x v="2"/>
  </r>
  <r>
    <n v="7071"/>
    <x v="3510"/>
    <x v="64"/>
    <d v="2017-09-10T00:00:00"/>
    <s v="Second Class"/>
    <x v="711"/>
    <s v="Stephanie Ulpright"/>
    <x v="2"/>
    <s v="United States"/>
    <s v="Chicago"/>
    <x v="10"/>
    <n v="60653"/>
    <x v="2"/>
    <x v="609"/>
    <x v="1"/>
    <x v="10"/>
    <x v="609"/>
    <x v="4579"/>
    <x v="8"/>
    <x v="0"/>
  </r>
  <r>
    <n v="7072"/>
    <x v="3511"/>
    <x v="310"/>
    <d v="2017-07-28T00:00:00"/>
    <s v="Standard Class"/>
    <x v="237"/>
    <s v="Chloris Kastensmidt"/>
    <x v="0"/>
    <s v="United States"/>
    <s v="Mcallen"/>
    <x v="5"/>
    <n v="78501"/>
    <x v="2"/>
    <x v="1477"/>
    <x v="1"/>
    <x v="6"/>
    <x v="1464"/>
    <x v="2999"/>
    <x v="7"/>
    <x v="0"/>
  </r>
  <r>
    <n v="7073"/>
    <x v="3511"/>
    <x v="310"/>
    <d v="2017-07-28T00:00:00"/>
    <s v="Standard Class"/>
    <x v="237"/>
    <s v="Chloris Kastensmidt"/>
    <x v="0"/>
    <s v="United States"/>
    <s v="Mcallen"/>
    <x v="5"/>
    <n v="78501"/>
    <x v="2"/>
    <x v="1114"/>
    <x v="1"/>
    <x v="10"/>
    <x v="1103"/>
    <x v="1170"/>
    <x v="7"/>
    <x v="0"/>
  </r>
  <r>
    <n v="7074"/>
    <x v="3511"/>
    <x v="310"/>
    <d v="2017-07-28T00:00:00"/>
    <s v="Standard Class"/>
    <x v="237"/>
    <s v="Chloris Kastensmidt"/>
    <x v="0"/>
    <s v="United States"/>
    <s v="Mcallen"/>
    <x v="5"/>
    <n v="78501"/>
    <x v="2"/>
    <x v="399"/>
    <x v="1"/>
    <x v="6"/>
    <x v="400"/>
    <x v="4594"/>
    <x v="7"/>
    <x v="0"/>
  </r>
  <r>
    <n v="7075"/>
    <x v="3511"/>
    <x v="310"/>
    <d v="2017-07-28T00:00:00"/>
    <s v="Standard Class"/>
    <x v="237"/>
    <s v="Chloris Kastensmidt"/>
    <x v="0"/>
    <s v="United States"/>
    <s v="Mcallen"/>
    <x v="5"/>
    <n v="78501"/>
    <x v="2"/>
    <x v="990"/>
    <x v="1"/>
    <x v="8"/>
    <x v="305"/>
    <x v="320"/>
    <x v="7"/>
    <x v="0"/>
  </r>
  <r>
    <n v="7076"/>
    <x v="3511"/>
    <x v="310"/>
    <d v="2017-07-28T00:00:00"/>
    <s v="Standard Class"/>
    <x v="237"/>
    <s v="Chloris Kastensmidt"/>
    <x v="0"/>
    <s v="United States"/>
    <s v="Mcallen"/>
    <x v="5"/>
    <n v="78501"/>
    <x v="2"/>
    <x v="1059"/>
    <x v="1"/>
    <x v="14"/>
    <x v="1048"/>
    <x v="3832"/>
    <x v="7"/>
    <x v="0"/>
  </r>
  <r>
    <n v="7077"/>
    <x v="3512"/>
    <x v="536"/>
    <d v="2017-05-17T00:00:00"/>
    <s v="Standard Class"/>
    <x v="758"/>
    <s v="Jill Matthias"/>
    <x v="0"/>
    <s v="United States"/>
    <s v="Seattle"/>
    <x v="4"/>
    <n v="98105"/>
    <x v="1"/>
    <x v="598"/>
    <x v="1"/>
    <x v="12"/>
    <x v="598"/>
    <x v="2735"/>
    <x v="5"/>
    <x v="0"/>
  </r>
  <r>
    <n v="7078"/>
    <x v="3513"/>
    <x v="476"/>
    <d v="2017-09-06T00:00:00"/>
    <s v="Standard Class"/>
    <x v="555"/>
    <s v="Joe Elijah"/>
    <x v="0"/>
    <s v="United States"/>
    <s v="Charlotte"/>
    <x v="3"/>
    <n v="28205"/>
    <x v="0"/>
    <x v="634"/>
    <x v="1"/>
    <x v="8"/>
    <x v="634"/>
    <x v="4595"/>
    <x v="8"/>
    <x v="0"/>
  </r>
  <r>
    <n v="7079"/>
    <x v="3513"/>
    <x v="476"/>
    <d v="2017-09-06T00:00:00"/>
    <s v="Standard Class"/>
    <x v="555"/>
    <s v="Joe Elijah"/>
    <x v="0"/>
    <s v="United States"/>
    <s v="Charlotte"/>
    <x v="3"/>
    <n v="28205"/>
    <x v="0"/>
    <x v="1428"/>
    <x v="1"/>
    <x v="9"/>
    <x v="1416"/>
    <x v="4596"/>
    <x v="8"/>
    <x v="0"/>
  </r>
  <r>
    <n v="7080"/>
    <x v="3513"/>
    <x v="476"/>
    <d v="2017-09-06T00:00:00"/>
    <s v="Standard Class"/>
    <x v="555"/>
    <s v="Joe Elijah"/>
    <x v="0"/>
    <s v="United States"/>
    <s v="Charlotte"/>
    <x v="3"/>
    <n v="28205"/>
    <x v="0"/>
    <x v="487"/>
    <x v="1"/>
    <x v="6"/>
    <x v="487"/>
    <x v="526"/>
    <x v="8"/>
    <x v="0"/>
  </r>
  <r>
    <n v="7081"/>
    <x v="3513"/>
    <x v="476"/>
    <d v="2017-09-06T00:00:00"/>
    <s v="Standard Class"/>
    <x v="555"/>
    <s v="Joe Elijah"/>
    <x v="0"/>
    <s v="United States"/>
    <s v="Charlotte"/>
    <x v="3"/>
    <n v="28205"/>
    <x v="0"/>
    <x v="114"/>
    <x v="0"/>
    <x v="3"/>
    <x v="114"/>
    <x v="4597"/>
    <x v="8"/>
    <x v="0"/>
  </r>
  <r>
    <n v="7082"/>
    <x v="3513"/>
    <x v="476"/>
    <d v="2017-09-06T00:00:00"/>
    <s v="Standard Class"/>
    <x v="555"/>
    <s v="Joe Elijah"/>
    <x v="0"/>
    <s v="United States"/>
    <s v="Charlotte"/>
    <x v="3"/>
    <n v="28205"/>
    <x v="0"/>
    <x v="695"/>
    <x v="2"/>
    <x v="11"/>
    <x v="1062"/>
    <x v="4598"/>
    <x v="8"/>
    <x v="0"/>
  </r>
  <r>
    <n v="7083"/>
    <x v="3513"/>
    <x v="476"/>
    <d v="2017-09-06T00:00:00"/>
    <s v="Standard Class"/>
    <x v="555"/>
    <s v="Joe Elijah"/>
    <x v="0"/>
    <s v="United States"/>
    <s v="Charlotte"/>
    <x v="3"/>
    <n v="28205"/>
    <x v="0"/>
    <x v="1426"/>
    <x v="1"/>
    <x v="8"/>
    <x v="1414"/>
    <x v="1683"/>
    <x v="8"/>
    <x v="0"/>
  </r>
  <r>
    <n v="7084"/>
    <x v="3514"/>
    <x v="246"/>
    <d v="2018-07-25T00:00:00"/>
    <s v="Second Class"/>
    <x v="255"/>
    <s v="Anthony Rawles"/>
    <x v="1"/>
    <s v="United States"/>
    <s v="Concord"/>
    <x v="1"/>
    <n v="94521"/>
    <x v="1"/>
    <x v="1273"/>
    <x v="1"/>
    <x v="6"/>
    <x v="1258"/>
    <x v="2799"/>
    <x v="7"/>
    <x v="3"/>
  </r>
  <r>
    <n v="7085"/>
    <x v="3514"/>
    <x v="246"/>
    <d v="2018-07-25T00:00:00"/>
    <s v="Second Class"/>
    <x v="255"/>
    <s v="Anthony Rawles"/>
    <x v="1"/>
    <s v="United States"/>
    <s v="Concord"/>
    <x v="1"/>
    <n v="94521"/>
    <x v="1"/>
    <x v="944"/>
    <x v="2"/>
    <x v="7"/>
    <x v="937"/>
    <x v="4599"/>
    <x v="7"/>
    <x v="3"/>
  </r>
  <r>
    <n v="7086"/>
    <x v="3515"/>
    <x v="145"/>
    <d v="2018-09-28T00:00:00"/>
    <s v="First Class"/>
    <x v="340"/>
    <s v="Adam Hart"/>
    <x v="1"/>
    <s v="United States"/>
    <s v="Chester"/>
    <x v="9"/>
    <n v="19013"/>
    <x v="3"/>
    <x v="1547"/>
    <x v="1"/>
    <x v="8"/>
    <x v="1535"/>
    <x v="4600"/>
    <x v="8"/>
    <x v="3"/>
  </r>
  <r>
    <n v="7087"/>
    <x v="3515"/>
    <x v="145"/>
    <d v="2018-09-28T00:00:00"/>
    <s v="First Class"/>
    <x v="340"/>
    <s v="Adam Hart"/>
    <x v="1"/>
    <s v="United States"/>
    <s v="Chester"/>
    <x v="9"/>
    <n v="19013"/>
    <x v="3"/>
    <x v="1420"/>
    <x v="1"/>
    <x v="14"/>
    <x v="1408"/>
    <x v="4601"/>
    <x v="8"/>
    <x v="3"/>
  </r>
  <r>
    <n v="7088"/>
    <x v="3516"/>
    <x v="646"/>
    <d v="2018-08-06T00:00:00"/>
    <s v="Second Class"/>
    <x v="654"/>
    <s v="George Ashbrook"/>
    <x v="0"/>
    <s v="United States"/>
    <s v="Los Angeles"/>
    <x v="1"/>
    <n v="90004"/>
    <x v="1"/>
    <x v="1291"/>
    <x v="1"/>
    <x v="4"/>
    <x v="1277"/>
    <x v="4041"/>
    <x v="6"/>
    <x v="3"/>
  </r>
  <r>
    <n v="7089"/>
    <x v="3517"/>
    <x v="969"/>
    <d v="2016-10-27T00:00:00"/>
    <s v="Second Class"/>
    <x v="226"/>
    <s v="Jennifer Ferguson"/>
    <x v="0"/>
    <s v="United States"/>
    <s v="Sparks"/>
    <x v="33"/>
    <n v="89431"/>
    <x v="1"/>
    <x v="1041"/>
    <x v="1"/>
    <x v="6"/>
    <x v="1030"/>
    <x v="1362"/>
    <x v="2"/>
    <x v="1"/>
  </r>
  <r>
    <n v="7090"/>
    <x v="3518"/>
    <x v="140"/>
    <d v="2018-06-19T00:00:00"/>
    <s v="Second Class"/>
    <x v="120"/>
    <s v="Kristen Hastings"/>
    <x v="1"/>
    <s v="United States"/>
    <s v="Los Angeles"/>
    <x v="1"/>
    <n v="90032"/>
    <x v="1"/>
    <x v="1187"/>
    <x v="2"/>
    <x v="7"/>
    <x v="1173"/>
    <x v="664"/>
    <x v="1"/>
    <x v="3"/>
  </r>
  <r>
    <n v="7091"/>
    <x v="3519"/>
    <x v="1145"/>
    <d v="2016-01-13T00:00:00"/>
    <s v="Standard Class"/>
    <x v="530"/>
    <s v="Craig Carroll"/>
    <x v="0"/>
    <s v="United States"/>
    <s v="Henderson"/>
    <x v="0"/>
    <n v="42420"/>
    <x v="0"/>
    <x v="258"/>
    <x v="1"/>
    <x v="10"/>
    <x v="33"/>
    <x v="1907"/>
    <x v="9"/>
    <x v="1"/>
  </r>
  <r>
    <n v="7092"/>
    <x v="3519"/>
    <x v="1145"/>
    <d v="2016-01-13T00:00:00"/>
    <s v="Standard Class"/>
    <x v="530"/>
    <s v="Craig Carroll"/>
    <x v="0"/>
    <s v="United States"/>
    <s v="Henderson"/>
    <x v="0"/>
    <n v="42420"/>
    <x v="0"/>
    <x v="1309"/>
    <x v="1"/>
    <x v="9"/>
    <x v="1294"/>
    <x v="4602"/>
    <x v="9"/>
    <x v="1"/>
  </r>
  <r>
    <n v="7093"/>
    <x v="3519"/>
    <x v="1145"/>
    <d v="2016-01-13T00:00:00"/>
    <s v="Standard Class"/>
    <x v="530"/>
    <s v="Craig Carroll"/>
    <x v="0"/>
    <s v="United States"/>
    <s v="Henderson"/>
    <x v="0"/>
    <n v="42420"/>
    <x v="0"/>
    <x v="1394"/>
    <x v="1"/>
    <x v="6"/>
    <x v="1380"/>
    <x v="3802"/>
    <x v="9"/>
    <x v="1"/>
  </r>
  <r>
    <n v="7094"/>
    <x v="3519"/>
    <x v="1145"/>
    <d v="2016-01-13T00:00:00"/>
    <s v="Standard Class"/>
    <x v="530"/>
    <s v="Craig Carroll"/>
    <x v="0"/>
    <s v="United States"/>
    <s v="Henderson"/>
    <x v="0"/>
    <n v="42420"/>
    <x v="0"/>
    <x v="1540"/>
    <x v="1"/>
    <x v="10"/>
    <x v="1528"/>
    <x v="3667"/>
    <x v="9"/>
    <x v="1"/>
  </r>
  <r>
    <n v="7095"/>
    <x v="3520"/>
    <x v="97"/>
    <d v="2016-02-13T00:00:00"/>
    <s v="Second Class"/>
    <x v="535"/>
    <s v="Jill Fjeld"/>
    <x v="0"/>
    <s v="United States"/>
    <s v="Decatur"/>
    <x v="10"/>
    <n v="62521"/>
    <x v="2"/>
    <x v="295"/>
    <x v="2"/>
    <x v="11"/>
    <x v="295"/>
    <x v="4447"/>
    <x v="11"/>
    <x v="1"/>
  </r>
  <r>
    <n v="7096"/>
    <x v="3521"/>
    <x v="1146"/>
    <d v="2017-08-20T00:00:00"/>
    <s v="First Class"/>
    <x v="261"/>
    <s v="Resi Pölking"/>
    <x v="0"/>
    <s v="United States"/>
    <s v="New York City"/>
    <x v="15"/>
    <n v="10009"/>
    <x v="3"/>
    <x v="997"/>
    <x v="1"/>
    <x v="8"/>
    <x v="989"/>
    <x v="4603"/>
    <x v="6"/>
    <x v="0"/>
  </r>
  <r>
    <n v="7097"/>
    <x v="3521"/>
    <x v="1146"/>
    <d v="2017-08-20T00:00:00"/>
    <s v="First Class"/>
    <x v="261"/>
    <s v="Resi Pölking"/>
    <x v="0"/>
    <s v="United States"/>
    <s v="New York City"/>
    <x v="15"/>
    <n v="10009"/>
    <x v="3"/>
    <x v="1591"/>
    <x v="1"/>
    <x v="8"/>
    <x v="1583"/>
    <x v="4604"/>
    <x v="6"/>
    <x v="0"/>
  </r>
  <r>
    <n v="7098"/>
    <x v="3521"/>
    <x v="1146"/>
    <d v="2017-08-20T00:00:00"/>
    <s v="First Class"/>
    <x v="261"/>
    <s v="Resi Pölking"/>
    <x v="0"/>
    <s v="United States"/>
    <s v="New York City"/>
    <x v="15"/>
    <n v="10009"/>
    <x v="3"/>
    <x v="858"/>
    <x v="1"/>
    <x v="8"/>
    <x v="852"/>
    <x v="1038"/>
    <x v="6"/>
    <x v="0"/>
  </r>
  <r>
    <n v="7099"/>
    <x v="3522"/>
    <x v="44"/>
    <d v="2018-11-10T00:00:00"/>
    <s v="Standard Class"/>
    <x v="263"/>
    <s v="Carol Darley"/>
    <x v="0"/>
    <s v="United States"/>
    <s v="New York City"/>
    <x v="15"/>
    <n v="10011"/>
    <x v="3"/>
    <x v="1733"/>
    <x v="1"/>
    <x v="10"/>
    <x v="1721"/>
    <x v="4605"/>
    <x v="0"/>
    <x v="3"/>
  </r>
  <r>
    <n v="7100"/>
    <x v="3523"/>
    <x v="207"/>
    <d v="2016-12-30T00:00:00"/>
    <s v="Second Class"/>
    <x v="650"/>
    <s v="David Flashing"/>
    <x v="0"/>
    <s v="United States"/>
    <s v="New York City"/>
    <x v="15"/>
    <n v="10009"/>
    <x v="3"/>
    <x v="1733"/>
    <x v="1"/>
    <x v="10"/>
    <x v="1721"/>
    <x v="3441"/>
    <x v="4"/>
    <x v="1"/>
  </r>
  <r>
    <n v="7101"/>
    <x v="3524"/>
    <x v="533"/>
    <d v="2015-11-28T00:00:00"/>
    <s v="Standard Class"/>
    <x v="325"/>
    <s v="Sally Matthias"/>
    <x v="0"/>
    <s v="United States"/>
    <s v="Scottsdale"/>
    <x v="16"/>
    <n v="85254"/>
    <x v="1"/>
    <x v="1170"/>
    <x v="1"/>
    <x v="12"/>
    <x v="153"/>
    <x v="2953"/>
    <x v="0"/>
    <x v="2"/>
  </r>
  <r>
    <n v="7102"/>
    <x v="3525"/>
    <x v="1147"/>
    <d v="2017-08-05T00:00:00"/>
    <s v="Second Class"/>
    <x v="737"/>
    <s v="Susan Gilcrest"/>
    <x v="1"/>
    <s v="United States"/>
    <s v="Amarillo"/>
    <x v="5"/>
    <n v="79109"/>
    <x v="2"/>
    <x v="33"/>
    <x v="1"/>
    <x v="10"/>
    <x v="33"/>
    <x v="2993"/>
    <x v="6"/>
    <x v="0"/>
  </r>
  <r>
    <n v="7103"/>
    <x v="3526"/>
    <x v="158"/>
    <d v="2015-09-24T00:00:00"/>
    <s v="First Class"/>
    <x v="405"/>
    <s v="Larry Hughes"/>
    <x v="0"/>
    <s v="United States"/>
    <s v="Philadelphia"/>
    <x v="9"/>
    <n v="19140"/>
    <x v="3"/>
    <x v="347"/>
    <x v="1"/>
    <x v="8"/>
    <x v="347"/>
    <x v="1124"/>
    <x v="8"/>
    <x v="2"/>
  </r>
  <r>
    <n v="7104"/>
    <x v="3527"/>
    <x v="507"/>
    <d v="2018-09-08T00:00:00"/>
    <s v="Standard Class"/>
    <x v="412"/>
    <s v="Eva Jacobs"/>
    <x v="0"/>
    <s v="United States"/>
    <s v="Santa Ana"/>
    <x v="1"/>
    <n v="92704"/>
    <x v="1"/>
    <x v="1672"/>
    <x v="1"/>
    <x v="4"/>
    <x v="1660"/>
    <x v="4606"/>
    <x v="8"/>
    <x v="3"/>
  </r>
  <r>
    <n v="7105"/>
    <x v="3528"/>
    <x v="249"/>
    <d v="2018-06-21T00:00:00"/>
    <s v="Second Class"/>
    <x v="542"/>
    <s v="Katharine Harms"/>
    <x v="1"/>
    <s v="United States"/>
    <s v="Newark"/>
    <x v="24"/>
    <n v="43055"/>
    <x v="3"/>
    <x v="323"/>
    <x v="0"/>
    <x v="1"/>
    <x v="323"/>
    <x v="4607"/>
    <x v="1"/>
    <x v="3"/>
  </r>
  <r>
    <n v="7106"/>
    <x v="3528"/>
    <x v="249"/>
    <d v="2018-06-21T00:00:00"/>
    <s v="Second Class"/>
    <x v="542"/>
    <s v="Katharine Harms"/>
    <x v="1"/>
    <s v="United States"/>
    <s v="Newark"/>
    <x v="24"/>
    <n v="43055"/>
    <x v="3"/>
    <x v="1372"/>
    <x v="0"/>
    <x v="5"/>
    <x v="1357"/>
    <x v="4608"/>
    <x v="1"/>
    <x v="3"/>
  </r>
  <r>
    <n v="7107"/>
    <x v="3528"/>
    <x v="249"/>
    <d v="2018-06-21T00:00:00"/>
    <s v="Second Class"/>
    <x v="542"/>
    <s v="Katharine Harms"/>
    <x v="1"/>
    <s v="United States"/>
    <s v="Newark"/>
    <x v="24"/>
    <n v="43055"/>
    <x v="3"/>
    <x v="1617"/>
    <x v="2"/>
    <x v="11"/>
    <x v="1608"/>
    <x v="602"/>
    <x v="1"/>
    <x v="3"/>
  </r>
  <r>
    <n v="7108"/>
    <x v="3529"/>
    <x v="475"/>
    <d v="2017-04-26T00:00:00"/>
    <s v="Standard Class"/>
    <x v="27"/>
    <s v="Kunst Miller"/>
    <x v="0"/>
    <s v="United States"/>
    <s v="New York City"/>
    <x v="15"/>
    <n v="10035"/>
    <x v="3"/>
    <x v="714"/>
    <x v="2"/>
    <x v="7"/>
    <x v="713"/>
    <x v="2232"/>
    <x v="3"/>
    <x v="0"/>
  </r>
  <r>
    <n v="7109"/>
    <x v="3529"/>
    <x v="475"/>
    <d v="2017-04-26T00:00:00"/>
    <s v="Standard Class"/>
    <x v="27"/>
    <s v="Kunst Miller"/>
    <x v="0"/>
    <s v="United States"/>
    <s v="New York City"/>
    <x v="15"/>
    <n v="10035"/>
    <x v="3"/>
    <x v="1199"/>
    <x v="1"/>
    <x v="6"/>
    <x v="1184"/>
    <x v="175"/>
    <x v="3"/>
    <x v="0"/>
  </r>
  <r>
    <n v="7110"/>
    <x v="3529"/>
    <x v="475"/>
    <d v="2017-04-26T00:00:00"/>
    <s v="Standard Class"/>
    <x v="27"/>
    <s v="Kunst Miller"/>
    <x v="0"/>
    <s v="United States"/>
    <s v="New York City"/>
    <x v="15"/>
    <n v="10035"/>
    <x v="3"/>
    <x v="156"/>
    <x v="1"/>
    <x v="4"/>
    <x v="157"/>
    <x v="4609"/>
    <x v="3"/>
    <x v="0"/>
  </r>
  <r>
    <n v="7111"/>
    <x v="3529"/>
    <x v="475"/>
    <d v="2017-04-26T00:00:00"/>
    <s v="Standard Class"/>
    <x v="27"/>
    <s v="Kunst Miller"/>
    <x v="0"/>
    <s v="United States"/>
    <s v="New York City"/>
    <x v="15"/>
    <n v="10035"/>
    <x v="3"/>
    <x v="1562"/>
    <x v="1"/>
    <x v="14"/>
    <x v="1553"/>
    <x v="3335"/>
    <x v="3"/>
    <x v="0"/>
  </r>
  <r>
    <n v="7112"/>
    <x v="3529"/>
    <x v="475"/>
    <d v="2017-04-26T00:00:00"/>
    <s v="Standard Class"/>
    <x v="27"/>
    <s v="Kunst Miller"/>
    <x v="0"/>
    <s v="United States"/>
    <s v="New York City"/>
    <x v="15"/>
    <n v="10035"/>
    <x v="3"/>
    <x v="915"/>
    <x v="1"/>
    <x v="6"/>
    <x v="907"/>
    <x v="994"/>
    <x v="3"/>
    <x v="0"/>
  </r>
  <r>
    <n v="7113"/>
    <x v="3529"/>
    <x v="475"/>
    <d v="2017-04-26T00:00:00"/>
    <s v="Standard Class"/>
    <x v="27"/>
    <s v="Kunst Miller"/>
    <x v="0"/>
    <s v="United States"/>
    <s v="New York City"/>
    <x v="15"/>
    <n v="10035"/>
    <x v="3"/>
    <x v="133"/>
    <x v="1"/>
    <x v="14"/>
    <x v="134"/>
    <x v="2735"/>
    <x v="3"/>
    <x v="0"/>
  </r>
  <r>
    <n v="7114"/>
    <x v="3529"/>
    <x v="475"/>
    <d v="2017-04-26T00:00:00"/>
    <s v="Standard Class"/>
    <x v="27"/>
    <s v="Kunst Miller"/>
    <x v="0"/>
    <s v="United States"/>
    <s v="New York City"/>
    <x v="15"/>
    <n v="10035"/>
    <x v="3"/>
    <x v="1458"/>
    <x v="1"/>
    <x v="8"/>
    <x v="1444"/>
    <x v="4610"/>
    <x v="3"/>
    <x v="0"/>
  </r>
  <r>
    <n v="7115"/>
    <x v="3530"/>
    <x v="465"/>
    <d v="2017-05-06T00:00:00"/>
    <s v="First Class"/>
    <x v="352"/>
    <s v="Lindsay Williams"/>
    <x v="1"/>
    <s v="United States"/>
    <s v="Henderson"/>
    <x v="33"/>
    <n v="89015"/>
    <x v="1"/>
    <x v="1660"/>
    <x v="0"/>
    <x v="3"/>
    <x v="1648"/>
    <x v="4611"/>
    <x v="5"/>
    <x v="0"/>
  </r>
  <r>
    <n v="7116"/>
    <x v="3530"/>
    <x v="465"/>
    <d v="2017-05-06T00:00:00"/>
    <s v="First Class"/>
    <x v="352"/>
    <s v="Lindsay Williams"/>
    <x v="1"/>
    <s v="United States"/>
    <s v="Henderson"/>
    <x v="33"/>
    <n v="89015"/>
    <x v="1"/>
    <x v="175"/>
    <x v="1"/>
    <x v="8"/>
    <x v="176"/>
    <x v="3004"/>
    <x v="5"/>
    <x v="0"/>
  </r>
  <r>
    <n v="7117"/>
    <x v="3531"/>
    <x v="638"/>
    <d v="2015-10-23T00:00:00"/>
    <s v="Second Class"/>
    <x v="490"/>
    <s v="Ivan Gibson"/>
    <x v="0"/>
    <s v="United States"/>
    <s v="Seattle"/>
    <x v="4"/>
    <n v="98103"/>
    <x v="1"/>
    <x v="1090"/>
    <x v="1"/>
    <x v="10"/>
    <x v="1080"/>
    <x v="1156"/>
    <x v="2"/>
    <x v="2"/>
  </r>
  <r>
    <n v="7118"/>
    <x v="3531"/>
    <x v="638"/>
    <d v="2015-10-23T00:00:00"/>
    <s v="Second Class"/>
    <x v="490"/>
    <s v="Ivan Gibson"/>
    <x v="0"/>
    <s v="United States"/>
    <s v="Seattle"/>
    <x v="4"/>
    <n v="98103"/>
    <x v="1"/>
    <x v="1338"/>
    <x v="1"/>
    <x v="8"/>
    <x v="1323"/>
    <x v="2000"/>
    <x v="2"/>
    <x v="2"/>
  </r>
  <r>
    <n v="7119"/>
    <x v="3532"/>
    <x v="778"/>
    <d v="2018-02-17T00:00:00"/>
    <s v="Standard Class"/>
    <x v="687"/>
    <s v="Jennifer Patt"/>
    <x v="1"/>
    <s v="United States"/>
    <s v="New York City"/>
    <x v="15"/>
    <n v="10009"/>
    <x v="3"/>
    <x v="1331"/>
    <x v="1"/>
    <x v="10"/>
    <x v="1316"/>
    <x v="1444"/>
    <x v="11"/>
    <x v="3"/>
  </r>
  <r>
    <n v="7120"/>
    <x v="3533"/>
    <x v="701"/>
    <d v="2018-11-24T00:00:00"/>
    <s v="Standard Class"/>
    <x v="55"/>
    <s v="Greg Guthrie"/>
    <x v="1"/>
    <s v="United States"/>
    <s v="Seattle"/>
    <x v="4"/>
    <n v="98103"/>
    <x v="1"/>
    <x v="530"/>
    <x v="1"/>
    <x v="8"/>
    <x v="530"/>
    <x v="1150"/>
    <x v="0"/>
    <x v="3"/>
  </r>
  <r>
    <n v="7121"/>
    <x v="3534"/>
    <x v="407"/>
    <d v="2015-01-26T00:00:00"/>
    <s v="Standard Class"/>
    <x v="152"/>
    <s v="Muhammed MacIntyre"/>
    <x v="1"/>
    <s v="United States"/>
    <s v="Smyrna"/>
    <x v="18"/>
    <n v="37167"/>
    <x v="0"/>
    <x v="1188"/>
    <x v="1"/>
    <x v="8"/>
    <x v="1174"/>
    <x v="4612"/>
    <x v="9"/>
    <x v="2"/>
  </r>
  <r>
    <n v="7122"/>
    <x v="3535"/>
    <x v="96"/>
    <d v="2018-12-08T00:00:00"/>
    <s v="Standard Class"/>
    <x v="2"/>
    <s v="Sean O'Donnell"/>
    <x v="0"/>
    <s v="United States"/>
    <s v="Seattle"/>
    <x v="4"/>
    <n v="98105"/>
    <x v="1"/>
    <x v="1774"/>
    <x v="1"/>
    <x v="10"/>
    <x v="1764"/>
    <x v="1075"/>
    <x v="4"/>
    <x v="3"/>
  </r>
  <r>
    <n v="7123"/>
    <x v="3535"/>
    <x v="96"/>
    <d v="2018-12-08T00:00:00"/>
    <s v="Standard Class"/>
    <x v="2"/>
    <s v="Sean O'Donnell"/>
    <x v="0"/>
    <s v="United States"/>
    <s v="Seattle"/>
    <x v="4"/>
    <n v="98105"/>
    <x v="1"/>
    <x v="1531"/>
    <x v="0"/>
    <x v="0"/>
    <x v="1518"/>
    <x v="1713"/>
    <x v="4"/>
    <x v="3"/>
  </r>
  <r>
    <n v="7124"/>
    <x v="3536"/>
    <x v="101"/>
    <d v="2016-08-16T00:00:00"/>
    <s v="Standard Class"/>
    <x v="751"/>
    <s v="Monica Federle"/>
    <x v="1"/>
    <s v="United States"/>
    <s v="New York City"/>
    <x v="15"/>
    <n v="10035"/>
    <x v="3"/>
    <x v="1533"/>
    <x v="0"/>
    <x v="5"/>
    <x v="1521"/>
    <x v="4613"/>
    <x v="6"/>
    <x v="1"/>
  </r>
  <r>
    <n v="7125"/>
    <x v="3536"/>
    <x v="101"/>
    <d v="2016-08-16T00:00:00"/>
    <s v="Standard Class"/>
    <x v="751"/>
    <s v="Monica Federle"/>
    <x v="1"/>
    <s v="United States"/>
    <s v="New York City"/>
    <x v="15"/>
    <n v="10035"/>
    <x v="3"/>
    <x v="1415"/>
    <x v="1"/>
    <x v="10"/>
    <x v="1402"/>
    <x v="3683"/>
    <x v="6"/>
    <x v="1"/>
  </r>
  <r>
    <n v="7126"/>
    <x v="3537"/>
    <x v="720"/>
    <d v="2017-09-29T00:00:00"/>
    <s v="Second Class"/>
    <x v="506"/>
    <s v="James Galang"/>
    <x v="0"/>
    <s v="United States"/>
    <s v="Atlanta"/>
    <x v="32"/>
    <n v="30318"/>
    <x v="0"/>
    <x v="1296"/>
    <x v="1"/>
    <x v="10"/>
    <x v="1281"/>
    <x v="1444"/>
    <x v="8"/>
    <x v="0"/>
  </r>
  <r>
    <n v="7127"/>
    <x v="3537"/>
    <x v="720"/>
    <d v="2017-09-29T00:00:00"/>
    <s v="Second Class"/>
    <x v="506"/>
    <s v="James Galang"/>
    <x v="0"/>
    <s v="United States"/>
    <s v="Atlanta"/>
    <x v="32"/>
    <n v="30318"/>
    <x v="0"/>
    <x v="182"/>
    <x v="1"/>
    <x v="6"/>
    <x v="183"/>
    <x v="4614"/>
    <x v="8"/>
    <x v="0"/>
  </r>
  <r>
    <n v="7128"/>
    <x v="3538"/>
    <x v="696"/>
    <d v="2017-11-20T00:00:00"/>
    <s v="Standard Class"/>
    <x v="594"/>
    <s v="Justin MacKendrick"/>
    <x v="0"/>
    <s v="United States"/>
    <s v="Newark"/>
    <x v="13"/>
    <n v="19711"/>
    <x v="3"/>
    <x v="1128"/>
    <x v="1"/>
    <x v="10"/>
    <x v="1116"/>
    <x v="4615"/>
    <x v="0"/>
    <x v="0"/>
  </r>
  <r>
    <n v="7129"/>
    <x v="3538"/>
    <x v="696"/>
    <d v="2017-11-20T00:00:00"/>
    <s v="Standard Class"/>
    <x v="594"/>
    <s v="Justin MacKendrick"/>
    <x v="0"/>
    <s v="United States"/>
    <s v="Newark"/>
    <x v="13"/>
    <n v="19711"/>
    <x v="3"/>
    <x v="1467"/>
    <x v="0"/>
    <x v="5"/>
    <x v="1454"/>
    <x v="544"/>
    <x v="0"/>
    <x v="0"/>
  </r>
  <r>
    <n v="7130"/>
    <x v="3539"/>
    <x v="947"/>
    <d v="2017-04-22T00:00:00"/>
    <s v="Standard Class"/>
    <x v="7"/>
    <s v="Pete Kriz"/>
    <x v="0"/>
    <s v="United States"/>
    <s v="Nashville"/>
    <x v="18"/>
    <n v="37211"/>
    <x v="0"/>
    <x v="916"/>
    <x v="2"/>
    <x v="11"/>
    <x v="908"/>
    <x v="200"/>
    <x v="3"/>
    <x v="0"/>
  </r>
  <r>
    <n v="7131"/>
    <x v="3539"/>
    <x v="947"/>
    <d v="2017-04-22T00:00:00"/>
    <s v="Standard Class"/>
    <x v="7"/>
    <s v="Pete Kriz"/>
    <x v="0"/>
    <s v="United States"/>
    <s v="Nashville"/>
    <x v="18"/>
    <n v="37211"/>
    <x v="0"/>
    <x v="1665"/>
    <x v="1"/>
    <x v="10"/>
    <x v="1723"/>
    <x v="4616"/>
    <x v="3"/>
    <x v="0"/>
  </r>
  <r>
    <n v="7132"/>
    <x v="3540"/>
    <x v="200"/>
    <d v="2018-12-01T00:00:00"/>
    <s v="Standard Class"/>
    <x v="499"/>
    <s v="Tonja Turnell"/>
    <x v="2"/>
    <s v="United States"/>
    <s v="Richmond"/>
    <x v="14"/>
    <n v="47374"/>
    <x v="2"/>
    <x v="977"/>
    <x v="0"/>
    <x v="3"/>
    <x v="832"/>
    <x v="4617"/>
    <x v="0"/>
    <x v="3"/>
  </r>
  <r>
    <n v="7133"/>
    <x v="3540"/>
    <x v="200"/>
    <d v="2018-12-01T00:00:00"/>
    <s v="Standard Class"/>
    <x v="499"/>
    <s v="Tonja Turnell"/>
    <x v="2"/>
    <s v="United States"/>
    <s v="Richmond"/>
    <x v="14"/>
    <n v="47374"/>
    <x v="2"/>
    <x v="1147"/>
    <x v="2"/>
    <x v="7"/>
    <x v="1135"/>
    <x v="2096"/>
    <x v="0"/>
    <x v="3"/>
  </r>
  <r>
    <n v="7134"/>
    <x v="3540"/>
    <x v="200"/>
    <d v="2018-12-01T00:00:00"/>
    <s v="Standard Class"/>
    <x v="499"/>
    <s v="Tonja Turnell"/>
    <x v="2"/>
    <s v="United States"/>
    <s v="Richmond"/>
    <x v="14"/>
    <n v="47374"/>
    <x v="2"/>
    <x v="1001"/>
    <x v="0"/>
    <x v="5"/>
    <x v="993"/>
    <x v="1287"/>
    <x v="0"/>
    <x v="3"/>
  </r>
  <r>
    <n v="7135"/>
    <x v="3540"/>
    <x v="200"/>
    <d v="2018-12-01T00:00:00"/>
    <s v="Standard Class"/>
    <x v="499"/>
    <s v="Tonja Turnell"/>
    <x v="2"/>
    <s v="United States"/>
    <s v="Richmond"/>
    <x v="14"/>
    <n v="47374"/>
    <x v="2"/>
    <x v="817"/>
    <x v="2"/>
    <x v="7"/>
    <x v="813"/>
    <x v="2230"/>
    <x v="0"/>
    <x v="3"/>
  </r>
  <r>
    <n v="7136"/>
    <x v="3540"/>
    <x v="200"/>
    <d v="2018-12-01T00:00:00"/>
    <s v="Standard Class"/>
    <x v="499"/>
    <s v="Tonja Turnell"/>
    <x v="2"/>
    <s v="United States"/>
    <s v="Richmond"/>
    <x v="14"/>
    <n v="47374"/>
    <x v="2"/>
    <x v="157"/>
    <x v="0"/>
    <x v="1"/>
    <x v="158"/>
    <x v="4618"/>
    <x v="0"/>
    <x v="3"/>
  </r>
  <r>
    <n v="7137"/>
    <x v="3541"/>
    <x v="312"/>
    <d v="2016-11-27T00:00:00"/>
    <s v="Standard Class"/>
    <x v="286"/>
    <s v="Sung Shariari"/>
    <x v="0"/>
    <s v="United States"/>
    <s v="Miami"/>
    <x v="2"/>
    <n v="33180"/>
    <x v="0"/>
    <x v="544"/>
    <x v="1"/>
    <x v="8"/>
    <x v="544"/>
    <x v="2159"/>
    <x v="0"/>
    <x v="1"/>
  </r>
  <r>
    <n v="7138"/>
    <x v="3541"/>
    <x v="312"/>
    <d v="2016-11-27T00:00:00"/>
    <s v="Standard Class"/>
    <x v="286"/>
    <s v="Sung Shariari"/>
    <x v="0"/>
    <s v="United States"/>
    <s v="Miami"/>
    <x v="2"/>
    <n v="33180"/>
    <x v="0"/>
    <x v="376"/>
    <x v="1"/>
    <x v="4"/>
    <x v="377"/>
    <x v="4619"/>
    <x v="0"/>
    <x v="1"/>
  </r>
  <r>
    <n v="7139"/>
    <x v="3541"/>
    <x v="312"/>
    <d v="2016-11-27T00:00:00"/>
    <s v="Standard Class"/>
    <x v="286"/>
    <s v="Sung Shariari"/>
    <x v="0"/>
    <s v="United States"/>
    <s v="Miami"/>
    <x v="2"/>
    <n v="33180"/>
    <x v="0"/>
    <x v="270"/>
    <x v="1"/>
    <x v="8"/>
    <x v="270"/>
    <x v="4620"/>
    <x v="0"/>
    <x v="1"/>
  </r>
  <r>
    <n v="7140"/>
    <x v="3541"/>
    <x v="312"/>
    <d v="2016-11-27T00:00:00"/>
    <s v="Standard Class"/>
    <x v="286"/>
    <s v="Sung Shariari"/>
    <x v="0"/>
    <s v="United States"/>
    <s v="Miami"/>
    <x v="2"/>
    <n v="33180"/>
    <x v="0"/>
    <x v="430"/>
    <x v="0"/>
    <x v="0"/>
    <x v="430"/>
    <x v="4621"/>
    <x v="0"/>
    <x v="1"/>
  </r>
  <r>
    <n v="7141"/>
    <x v="3542"/>
    <x v="210"/>
    <d v="2018-09-07T00:00:00"/>
    <s v="Same Day"/>
    <x v="228"/>
    <s v="Trudy Glocke"/>
    <x v="0"/>
    <s v="United States"/>
    <s v="Saint Charles"/>
    <x v="25"/>
    <n v="63301"/>
    <x v="2"/>
    <x v="721"/>
    <x v="2"/>
    <x v="11"/>
    <x v="720"/>
    <x v="3458"/>
    <x v="8"/>
    <x v="3"/>
  </r>
  <r>
    <n v="7142"/>
    <x v="3542"/>
    <x v="210"/>
    <d v="2018-09-07T00:00:00"/>
    <s v="Same Day"/>
    <x v="228"/>
    <s v="Trudy Glocke"/>
    <x v="0"/>
    <s v="United States"/>
    <s v="Saint Charles"/>
    <x v="25"/>
    <n v="63301"/>
    <x v="2"/>
    <x v="1251"/>
    <x v="0"/>
    <x v="5"/>
    <x v="1235"/>
    <x v="4622"/>
    <x v="8"/>
    <x v="3"/>
  </r>
  <r>
    <n v="7143"/>
    <x v="3543"/>
    <x v="156"/>
    <d v="2015-11-29T00:00:00"/>
    <s v="Standard Class"/>
    <x v="6"/>
    <s v="Harold Pawlan"/>
    <x v="2"/>
    <s v="United States"/>
    <s v="Virginia Beach"/>
    <x v="17"/>
    <n v="23464"/>
    <x v="0"/>
    <x v="1380"/>
    <x v="0"/>
    <x v="5"/>
    <x v="1365"/>
    <x v="4623"/>
    <x v="0"/>
    <x v="2"/>
  </r>
  <r>
    <n v="7144"/>
    <x v="3544"/>
    <x v="825"/>
    <d v="2018-03-16T00:00:00"/>
    <s v="Standard Class"/>
    <x v="762"/>
    <s v="Marc Harrigan"/>
    <x v="2"/>
    <s v="United States"/>
    <s v="Philadelphia"/>
    <x v="9"/>
    <n v="19140"/>
    <x v="3"/>
    <x v="1367"/>
    <x v="2"/>
    <x v="7"/>
    <x v="1352"/>
    <x v="4624"/>
    <x v="10"/>
    <x v="3"/>
  </r>
  <r>
    <n v="7145"/>
    <x v="3544"/>
    <x v="825"/>
    <d v="2018-03-16T00:00:00"/>
    <s v="Standard Class"/>
    <x v="762"/>
    <s v="Marc Harrigan"/>
    <x v="2"/>
    <s v="United States"/>
    <s v="Philadelphia"/>
    <x v="9"/>
    <n v="19140"/>
    <x v="3"/>
    <x v="102"/>
    <x v="1"/>
    <x v="8"/>
    <x v="102"/>
    <x v="4090"/>
    <x v="10"/>
    <x v="3"/>
  </r>
  <r>
    <n v="7146"/>
    <x v="3544"/>
    <x v="825"/>
    <d v="2018-03-16T00:00:00"/>
    <s v="Standard Class"/>
    <x v="762"/>
    <s v="Marc Harrigan"/>
    <x v="2"/>
    <s v="United States"/>
    <s v="Philadelphia"/>
    <x v="9"/>
    <n v="19140"/>
    <x v="3"/>
    <x v="838"/>
    <x v="0"/>
    <x v="3"/>
    <x v="832"/>
    <x v="1244"/>
    <x v="10"/>
    <x v="3"/>
  </r>
  <r>
    <n v="7147"/>
    <x v="3544"/>
    <x v="825"/>
    <d v="2018-03-16T00:00:00"/>
    <s v="Standard Class"/>
    <x v="762"/>
    <s v="Marc Harrigan"/>
    <x v="2"/>
    <s v="United States"/>
    <s v="Philadelphia"/>
    <x v="9"/>
    <n v="19140"/>
    <x v="3"/>
    <x v="1789"/>
    <x v="1"/>
    <x v="4"/>
    <x v="1779"/>
    <x v="4625"/>
    <x v="10"/>
    <x v="3"/>
  </r>
  <r>
    <n v="7148"/>
    <x v="3545"/>
    <x v="1"/>
    <d v="2017-06-17T00:00:00"/>
    <s v="Standard Class"/>
    <x v="558"/>
    <s v="Christy Brittain"/>
    <x v="0"/>
    <s v="United States"/>
    <s v="Long Beach"/>
    <x v="15"/>
    <n v="11561"/>
    <x v="3"/>
    <x v="1174"/>
    <x v="1"/>
    <x v="10"/>
    <x v="1160"/>
    <x v="1635"/>
    <x v="1"/>
    <x v="0"/>
  </r>
  <r>
    <n v="7149"/>
    <x v="3545"/>
    <x v="1"/>
    <d v="2017-06-17T00:00:00"/>
    <s v="Standard Class"/>
    <x v="558"/>
    <s v="Christy Brittain"/>
    <x v="0"/>
    <s v="United States"/>
    <s v="Long Beach"/>
    <x v="15"/>
    <n v="11561"/>
    <x v="3"/>
    <x v="1297"/>
    <x v="1"/>
    <x v="9"/>
    <x v="1282"/>
    <x v="4626"/>
    <x v="1"/>
    <x v="0"/>
  </r>
  <r>
    <n v="7150"/>
    <x v="3546"/>
    <x v="153"/>
    <d v="2016-06-30T00:00:00"/>
    <s v="Standard Class"/>
    <x v="104"/>
    <s v="Valerie Dominguez"/>
    <x v="0"/>
    <s v="United States"/>
    <s v="Houston"/>
    <x v="5"/>
    <n v="77070"/>
    <x v="2"/>
    <x v="1246"/>
    <x v="2"/>
    <x v="7"/>
    <x v="1230"/>
    <x v="4627"/>
    <x v="1"/>
    <x v="1"/>
  </r>
  <r>
    <n v="7151"/>
    <x v="3547"/>
    <x v="66"/>
    <d v="2018-12-26T00:00:00"/>
    <s v="Standard Class"/>
    <x v="676"/>
    <s v="Sharelle Roach"/>
    <x v="2"/>
    <s v="United States"/>
    <s v="Tuscaloosa"/>
    <x v="19"/>
    <n v="35401"/>
    <x v="0"/>
    <x v="474"/>
    <x v="0"/>
    <x v="1"/>
    <x v="475"/>
    <x v="1713"/>
    <x v="4"/>
    <x v="3"/>
  </r>
  <r>
    <n v="7152"/>
    <x v="3548"/>
    <x v="66"/>
    <d v="2018-12-25T00:00:00"/>
    <s v="Second Class"/>
    <x v="743"/>
    <s v="Alex Grayson"/>
    <x v="0"/>
    <s v="United States"/>
    <s v="Mesa"/>
    <x v="16"/>
    <n v="85204"/>
    <x v="1"/>
    <x v="962"/>
    <x v="0"/>
    <x v="3"/>
    <x v="955"/>
    <x v="4628"/>
    <x v="4"/>
    <x v="3"/>
  </r>
  <r>
    <n v="7153"/>
    <x v="3549"/>
    <x v="1148"/>
    <d v="2015-10-15T00:00:00"/>
    <s v="Standard Class"/>
    <x v="162"/>
    <s v="Bart Pistole"/>
    <x v="1"/>
    <s v="United States"/>
    <s v="Jacksonville"/>
    <x v="3"/>
    <n v="28540"/>
    <x v="0"/>
    <x v="417"/>
    <x v="1"/>
    <x v="10"/>
    <x v="417"/>
    <x v="1638"/>
    <x v="2"/>
    <x v="2"/>
  </r>
  <r>
    <n v="7154"/>
    <x v="3550"/>
    <x v="895"/>
    <d v="2016-12-15T00:00:00"/>
    <s v="Standard Class"/>
    <x v="493"/>
    <s v="Julia West"/>
    <x v="0"/>
    <s v="United States"/>
    <s v="Chicago"/>
    <x v="10"/>
    <n v="60610"/>
    <x v="2"/>
    <x v="983"/>
    <x v="1"/>
    <x v="9"/>
    <x v="976"/>
    <x v="4629"/>
    <x v="4"/>
    <x v="1"/>
  </r>
  <r>
    <n v="7155"/>
    <x v="3551"/>
    <x v="707"/>
    <d v="2016-12-27T00:00:00"/>
    <s v="Second Class"/>
    <x v="23"/>
    <s v="Lena Hernandez"/>
    <x v="0"/>
    <s v="United States"/>
    <s v="Columbus"/>
    <x v="32"/>
    <n v="31907"/>
    <x v="0"/>
    <x v="1762"/>
    <x v="0"/>
    <x v="5"/>
    <x v="1751"/>
    <x v="4630"/>
    <x v="4"/>
    <x v="1"/>
  </r>
  <r>
    <n v="7156"/>
    <x v="3551"/>
    <x v="707"/>
    <d v="2016-12-27T00:00:00"/>
    <s v="Second Class"/>
    <x v="23"/>
    <s v="Lena Hernandez"/>
    <x v="0"/>
    <s v="United States"/>
    <s v="Columbus"/>
    <x v="32"/>
    <n v="31907"/>
    <x v="0"/>
    <x v="351"/>
    <x v="1"/>
    <x v="8"/>
    <x v="351"/>
    <x v="4631"/>
    <x v="4"/>
    <x v="1"/>
  </r>
  <r>
    <n v="7157"/>
    <x v="3552"/>
    <x v="568"/>
    <d v="2018-05-04T00:00:00"/>
    <s v="Standard Class"/>
    <x v="409"/>
    <s v="Kean Thornton"/>
    <x v="0"/>
    <s v="United States"/>
    <s v="Orange"/>
    <x v="30"/>
    <n v="7050"/>
    <x v="3"/>
    <x v="746"/>
    <x v="1"/>
    <x v="2"/>
    <x v="744"/>
    <x v="3262"/>
    <x v="3"/>
    <x v="3"/>
  </r>
  <r>
    <n v="7158"/>
    <x v="3553"/>
    <x v="463"/>
    <d v="2017-03-31T00:00:00"/>
    <s v="Second Class"/>
    <x v="417"/>
    <s v="Chris Cortes"/>
    <x v="0"/>
    <s v="United States"/>
    <s v="Los Angeles"/>
    <x v="1"/>
    <n v="90032"/>
    <x v="1"/>
    <x v="210"/>
    <x v="1"/>
    <x v="4"/>
    <x v="211"/>
    <x v="1177"/>
    <x v="10"/>
    <x v="0"/>
  </r>
  <r>
    <n v="7159"/>
    <x v="3553"/>
    <x v="463"/>
    <d v="2017-03-31T00:00:00"/>
    <s v="Second Class"/>
    <x v="417"/>
    <s v="Chris Cortes"/>
    <x v="0"/>
    <s v="United States"/>
    <s v="Los Angeles"/>
    <x v="1"/>
    <n v="90032"/>
    <x v="1"/>
    <x v="1813"/>
    <x v="1"/>
    <x v="10"/>
    <x v="1803"/>
    <x v="156"/>
    <x v="10"/>
    <x v="0"/>
  </r>
  <r>
    <n v="7160"/>
    <x v="3554"/>
    <x v="1149"/>
    <d v="2016-05-18T00:00:00"/>
    <s v="Second Class"/>
    <x v="408"/>
    <s v="Ben Ferrer"/>
    <x v="2"/>
    <s v="United States"/>
    <s v="Chicago"/>
    <x v="10"/>
    <n v="60623"/>
    <x v="2"/>
    <x v="872"/>
    <x v="2"/>
    <x v="7"/>
    <x v="866"/>
    <x v="2643"/>
    <x v="5"/>
    <x v="1"/>
  </r>
  <r>
    <n v="7161"/>
    <x v="3554"/>
    <x v="1149"/>
    <d v="2016-05-18T00:00:00"/>
    <s v="Second Class"/>
    <x v="408"/>
    <s v="Ben Ferrer"/>
    <x v="2"/>
    <s v="United States"/>
    <s v="Chicago"/>
    <x v="10"/>
    <n v="60623"/>
    <x v="2"/>
    <x v="659"/>
    <x v="1"/>
    <x v="13"/>
    <x v="659"/>
    <x v="4515"/>
    <x v="5"/>
    <x v="1"/>
  </r>
  <r>
    <n v="7162"/>
    <x v="3555"/>
    <x v="1129"/>
    <d v="2015-07-09T00:00:00"/>
    <s v="Standard Class"/>
    <x v="474"/>
    <s v="Maxwell Schwartz"/>
    <x v="0"/>
    <s v="United States"/>
    <s v="Richmond"/>
    <x v="17"/>
    <n v="23223"/>
    <x v="0"/>
    <x v="339"/>
    <x v="1"/>
    <x v="10"/>
    <x v="339"/>
    <x v="1372"/>
    <x v="7"/>
    <x v="2"/>
  </r>
  <r>
    <n v="7163"/>
    <x v="3555"/>
    <x v="1129"/>
    <d v="2015-07-09T00:00:00"/>
    <s v="Standard Class"/>
    <x v="474"/>
    <s v="Maxwell Schwartz"/>
    <x v="0"/>
    <s v="United States"/>
    <s v="Richmond"/>
    <x v="17"/>
    <n v="23223"/>
    <x v="0"/>
    <x v="744"/>
    <x v="1"/>
    <x v="8"/>
    <x v="742"/>
    <x v="4632"/>
    <x v="7"/>
    <x v="2"/>
  </r>
  <r>
    <n v="7164"/>
    <x v="3556"/>
    <x v="1150"/>
    <d v="2015-04-24T00:00:00"/>
    <s v="Second Class"/>
    <x v="692"/>
    <s v="Aaron Hawkins"/>
    <x v="1"/>
    <s v="United States"/>
    <s v="Troy"/>
    <x v="15"/>
    <n v="12180"/>
    <x v="3"/>
    <x v="1503"/>
    <x v="1"/>
    <x v="12"/>
    <x v="153"/>
    <x v="4633"/>
    <x v="3"/>
    <x v="2"/>
  </r>
  <r>
    <n v="7165"/>
    <x v="3556"/>
    <x v="1150"/>
    <d v="2015-04-24T00:00:00"/>
    <s v="Second Class"/>
    <x v="692"/>
    <s v="Aaron Hawkins"/>
    <x v="1"/>
    <s v="United States"/>
    <s v="Troy"/>
    <x v="15"/>
    <n v="12180"/>
    <x v="3"/>
    <x v="925"/>
    <x v="1"/>
    <x v="8"/>
    <x v="917"/>
    <x v="4373"/>
    <x v="3"/>
    <x v="2"/>
  </r>
  <r>
    <n v="7166"/>
    <x v="3557"/>
    <x v="251"/>
    <d v="2017-09-22T00:00:00"/>
    <s v="First Class"/>
    <x v="242"/>
    <s v="Clytie Kelty"/>
    <x v="0"/>
    <s v="United States"/>
    <s v="Providence"/>
    <x v="34"/>
    <n v="2908"/>
    <x v="3"/>
    <x v="54"/>
    <x v="1"/>
    <x v="4"/>
    <x v="54"/>
    <x v="2803"/>
    <x v="8"/>
    <x v="0"/>
  </r>
  <r>
    <n v="7167"/>
    <x v="3558"/>
    <x v="192"/>
    <d v="2015-07-24T00:00:00"/>
    <s v="Second Class"/>
    <x v="268"/>
    <s v="Naresj Patel"/>
    <x v="0"/>
    <s v="United States"/>
    <s v="San Francisco"/>
    <x v="1"/>
    <n v="94122"/>
    <x v="1"/>
    <x v="649"/>
    <x v="1"/>
    <x v="6"/>
    <x v="649"/>
    <x v="132"/>
    <x v="7"/>
    <x v="2"/>
  </r>
  <r>
    <n v="7168"/>
    <x v="3558"/>
    <x v="192"/>
    <d v="2015-07-24T00:00:00"/>
    <s v="Second Class"/>
    <x v="268"/>
    <s v="Naresj Patel"/>
    <x v="0"/>
    <s v="United States"/>
    <s v="San Francisco"/>
    <x v="1"/>
    <n v="94122"/>
    <x v="1"/>
    <x v="1180"/>
    <x v="0"/>
    <x v="1"/>
    <x v="1166"/>
    <x v="4634"/>
    <x v="7"/>
    <x v="2"/>
  </r>
  <r>
    <n v="7169"/>
    <x v="3558"/>
    <x v="192"/>
    <d v="2015-07-24T00:00:00"/>
    <s v="Second Class"/>
    <x v="268"/>
    <s v="Naresj Patel"/>
    <x v="0"/>
    <s v="United States"/>
    <s v="San Francisco"/>
    <x v="1"/>
    <n v="94122"/>
    <x v="1"/>
    <x v="392"/>
    <x v="1"/>
    <x v="4"/>
    <x v="393"/>
    <x v="4635"/>
    <x v="7"/>
    <x v="2"/>
  </r>
  <r>
    <n v="7170"/>
    <x v="3558"/>
    <x v="192"/>
    <d v="2015-07-24T00:00:00"/>
    <s v="Second Class"/>
    <x v="268"/>
    <s v="Naresj Patel"/>
    <x v="0"/>
    <s v="United States"/>
    <s v="San Francisco"/>
    <x v="1"/>
    <n v="94122"/>
    <x v="1"/>
    <x v="1169"/>
    <x v="0"/>
    <x v="3"/>
    <x v="1156"/>
    <x v="2932"/>
    <x v="7"/>
    <x v="2"/>
  </r>
  <r>
    <n v="7171"/>
    <x v="3559"/>
    <x v="1048"/>
    <d v="2018-10-14T00:00:00"/>
    <s v="Standard Class"/>
    <x v="306"/>
    <s v="Gary McGarr"/>
    <x v="0"/>
    <s v="United States"/>
    <s v="New York City"/>
    <x v="15"/>
    <n v="10009"/>
    <x v="3"/>
    <x v="394"/>
    <x v="0"/>
    <x v="1"/>
    <x v="395"/>
    <x v="3388"/>
    <x v="2"/>
    <x v="3"/>
  </r>
  <r>
    <n v="7172"/>
    <x v="3560"/>
    <x v="1016"/>
    <d v="2018-04-27T00:00:00"/>
    <s v="Second Class"/>
    <x v="611"/>
    <s v="Speros Goranitis"/>
    <x v="0"/>
    <s v="United States"/>
    <s v="San Francisco"/>
    <x v="1"/>
    <n v="94109"/>
    <x v="1"/>
    <x v="357"/>
    <x v="2"/>
    <x v="11"/>
    <x v="357"/>
    <x v="3219"/>
    <x v="3"/>
    <x v="3"/>
  </r>
  <r>
    <n v="7173"/>
    <x v="3561"/>
    <x v="606"/>
    <d v="2018-03-30T00:00:00"/>
    <s v="Standard Class"/>
    <x v="96"/>
    <s v="Heather Kirkland"/>
    <x v="1"/>
    <s v="United States"/>
    <s v="Houston"/>
    <x v="5"/>
    <n v="77070"/>
    <x v="2"/>
    <x v="357"/>
    <x v="2"/>
    <x v="11"/>
    <x v="357"/>
    <x v="734"/>
    <x v="10"/>
    <x v="3"/>
  </r>
  <r>
    <n v="7174"/>
    <x v="3561"/>
    <x v="606"/>
    <d v="2018-03-30T00:00:00"/>
    <s v="Standard Class"/>
    <x v="96"/>
    <s v="Heather Kirkland"/>
    <x v="1"/>
    <s v="United States"/>
    <s v="Houston"/>
    <x v="5"/>
    <n v="77070"/>
    <x v="2"/>
    <x v="349"/>
    <x v="2"/>
    <x v="16"/>
    <x v="349"/>
    <x v="4514"/>
    <x v="10"/>
    <x v="3"/>
  </r>
  <r>
    <n v="7175"/>
    <x v="3561"/>
    <x v="606"/>
    <d v="2018-03-30T00:00:00"/>
    <s v="Standard Class"/>
    <x v="96"/>
    <s v="Heather Kirkland"/>
    <x v="1"/>
    <s v="United States"/>
    <s v="Houston"/>
    <x v="5"/>
    <n v="77070"/>
    <x v="2"/>
    <x v="1323"/>
    <x v="1"/>
    <x v="10"/>
    <x v="1309"/>
    <x v="1339"/>
    <x v="10"/>
    <x v="3"/>
  </r>
  <r>
    <n v="7176"/>
    <x v="3561"/>
    <x v="606"/>
    <d v="2018-03-30T00:00:00"/>
    <s v="Standard Class"/>
    <x v="96"/>
    <s v="Heather Kirkland"/>
    <x v="1"/>
    <s v="United States"/>
    <s v="Houston"/>
    <x v="5"/>
    <n v="77070"/>
    <x v="2"/>
    <x v="1309"/>
    <x v="1"/>
    <x v="9"/>
    <x v="1294"/>
    <x v="2734"/>
    <x v="10"/>
    <x v="3"/>
  </r>
  <r>
    <n v="7177"/>
    <x v="3561"/>
    <x v="606"/>
    <d v="2018-03-30T00:00:00"/>
    <s v="Standard Class"/>
    <x v="96"/>
    <s v="Heather Kirkland"/>
    <x v="1"/>
    <s v="United States"/>
    <s v="Houston"/>
    <x v="5"/>
    <n v="77070"/>
    <x v="2"/>
    <x v="1031"/>
    <x v="1"/>
    <x v="4"/>
    <x v="1022"/>
    <x v="4636"/>
    <x v="10"/>
    <x v="3"/>
  </r>
  <r>
    <n v="7178"/>
    <x v="3562"/>
    <x v="464"/>
    <d v="2018-05-10T00:00:00"/>
    <s v="Standard Class"/>
    <x v="501"/>
    <s v="Muhammed Yedwab"/>
    <x v="1"/>
    <s v="United States"/>
    <s v="Philadelphia"/>
    <x v="9"/>
    <n v="19140"/>
    <x v="3"/>
    <x v="1812"/>
    <x v="1"/>
    <x v="8"/>
    <x v="1802"/>
    <x v="4637"/>
    <x v="5"/>
    <x v="3"/>
  </r>
  <r>
    <n v="7179"/>
    <x v="3562"/>
    <x v="464"/>
    <d v="2018-05-10T00:00:00"/>
    <s v="Standard Class"/>
    <x v="501"/>
    <s v="Muhammed Yedwab"/>
    <x v="1"/>
    <s v="United States"/>
    <s v="Philadelphia"/>
    <x v="9"/>
    <n v="19140"/>
    <x v="3"/>
    <x v="864"/>
    <x v="1"/>
    <x v="8"/>
    <x v="858"/>
    <x v="4638"/>
    <x v="5"/>
    <x v="3"/>
  </r>
  <r>
    <n v="7180"/>
    <x v="3563"/>
    <x v="696"/>
    <d v="2017-11-18T00:00:00"/>
    <s v="Standard Class"/>
    <x v="53"/>
    <s v="Ryan Crowe"/>
    <x v="0"/>
    <s v="United States"/>
    <s v="Baltimore"/>
    <x v="39"/>
    <n v="21215"/>
    <x v="3"/>
    <x v="1507"/>
    <x v="2"/>
    <x v="7"/>
    <x v="1494"/>
    <x v="1309"/>
    <x v="0"/>
    <x v="0"/>
  </r>
  <r>
    <n v="7181"/>
    <x v="3564"/>
    <x v="1037"/>
    <d v="2015-01-07T00:00:00"/>
    <s v="First Class"/>
    <x v="705"/>
    <s v="Jack O'Briant"/>
    <x v="1"/>
    <s v="United States"/>
    <s v="Athens"/>
    <x v="32"/>
    <n v="30605"/>
    <x v="0"/>
    <x v="319"/>
    <x v="1"/>
    <x v="6"/>
    <x v="319"/>
    <x v="4639"/>
    <x v="9"/>
    <x v="2"/>
  </r>
  <r>
    <n v="7182"/>
    <x v="3565"/>
    <x v="797"/>
    <d v="2017-12-30T00:00:00"/>
    <s v="Second Class"/>
    <x v="596"/>
    <s v="Mitch Webber"/>
    <x v="0"/>
    <s v="United States"/>
    <s v="Lancaster"/>
    <x v="24"/>
    <n v="43130"/>
    <x v="3"/>
    <x v="1072"/>
    <x v="2"/>
    <x v="11"/>
    <x v="1061"/>
    <x v="4640"/>
    <x v="4"/>
    <x v="0"/>
  </r>
  <r>
    <n v="7183"/>
    <x v="3566"/>
    <x v="504"/>
    <d v="2018-05-04T00:00:00"/>
    <s v="Standard Class"/>
    <x v="125"/>
    <s v="Nick Zandusky"/>
    <x v="2"/>
    <s v="United States"/>
    <s v="Los Angeles"/>
    <x v="1"/>
    <n v="90032"/>
    <x v="1"/>
    <x v="699"/>
    <x v="1"/>
    <x v="8"/>
    <x v="699"/>
    <x v="4641"/>
    <x v="3"/>
    <x v="3"/>
  </r>
  <r>
    <n v="7184"/>
    <x v="3567"/>
    <x v="81"/>
    <d v="2018-04-23T00:00:00"/>
    <s v="First Class"/>
    <x v="49"/>
    <s v="Janet Martin"/>
    <x v="0"/>
    <s v="United States"/>
    <s v="Baltimore"/>
    <x v="39"/>
    <n v="21215"/>
    <x v="3"/>
    <x v="38"/>
    <x v="0"/>
    <x v="1"/>
    <x v="38"/>
    <x v="4642"/>
    <x v="3"/>
    <x v="3"/>
  </r>
  <r>
    <n v="7185"/>
    <x v="3568"/>
    <x v="629"/>
    <d v="2018-08-24T00:00:00"/>
    <s v="Standard Class"/>
    <x v="525"/>
    <s v="Emily Ducich"/>
    <x v="2"/>
    <s v="United States"/>
    <s v="Houston"/>
    <x v="5"/>
    <n v="77095"/>
    <x v="2"/>
    <x v="1567"/>
    <x v="1"/>
    <x v="14"/>
    <x v="1558"/>
    <x v="4643"/>
    <x v="6"/>
    <x v="3"/>
  </r>
  <r>
    <n v="7186"/>
    <x v="3568"/>
    <x v="629"/>
    <d v="2018-08-24T00:00:00"/>
    <s v="Standard Class"/>
    <x v="525"/>
    <s v="Emily Ducich"/>
    <x v="2"/>
    <s v="United States"/>
    <s v="Houston"/>
    <x v="5"/>
    <n v="77095"/>
    <x v="2"/>
    <x v="1412"/>
    <x v="1"/>
    <x v="6"/>
    <x v="1399"/>
    <x v="2204"/>
    <x v="6"/>
    <x v="3"/>
  </r>
  <r>
    <n v="7187"/>
    <x v="3568"/>
    <x v="629"/>
    <d v="2018-08-24T00:00:00"/>
    <s v="Standard Class"/>
    <x v="525"/>
    <s v="Emily Ducich"/>
    <x v="2"/>
    <s v="United States"/>
    <s v="Houston"/>
    <x v="5"/>
    <n v="77095"/>
    <x v="2"/>
    <x v="1391"/>
    <x v="0"/>
    <x v="1"/>
    <x v="1377"/>
    <x v="4644"/>
    <x v="6"/>
    <x v="3"/>
  </r>
  <r>
    <n v="7188"/>
    <x v="3568"/>
    <x v="629"/>
    <d v="2018-08-24T00:00:00"/>
    <s v="Standard Class"/>
    <x v="525"/>
    <s v="Emily Ducich"/>
    <x v="2"/>
    <s v="United States"/>
    <s v="Houston"/>
    <x v="5"/>
    <n v="77095"/>
    <x v="2"/>
    <x v="1478"/>
    <x v="0"/>
    <x v="5"/>
    <x v="1465"/>
    <x v="1316"/>
    <x v="6"/>
    <x v="3"/>
  </r>
  <r>
    <n v="7189"/>
    <x v="3568"/>
    <x v="629"/>
    <d v="2018-08-24T00:00:00"/>
    <s v="Standard Class"/>
    <x v="525"/>
    <s v="Emily Ducich"/>
    <x v="2"/>
    <s v="United States"/>
    <s v="Houston"/>
    <x v="5"/>
    <n v="77095"/>
    <x v="2"/>
    <x v="535"/>
    <x v="1"/>
    <x v="9"/>
    <x v="535"/>
    <x v="1726"/>
    <x v="6"/>
    <x v="3"/>
  </r>
  <r>
    <n v="7190"/>
    <x v="3569"/>
    <x v="396"/>
    <d v="2017-11-15T00:00:00"/>
    <s v="First Class"/>
    <x v="108"/>
    <s v="Dianna Wilson"/>
    <x v="2"/>
    <s v="United States"/>
    <s v="San Diego"/>
    <x v="1"/>
    <n v="92024"/>
    <x v="1"/>
    <x v="1495"/>
    <x v="2"/>
    <x v="7"/>
    <x v="1483"/>
    <x v="4645"/>
    <x v="0"/>
    <x v="0"/>
  </r>
  <r>
    <n v="7191"/>
    <x v="3569"/>
    <x v="396"/>
    <d v="2017-11-15T00:00:00"/>
    <s v="First Class"/>
    <x v="108"/>
    <s v="Dianna Wilson"/>
    <x v="2"/>
    <s v="United States"/>
    <s v="San Diego"/>
    <x v="1"/>
    <n v="92024"/>
    <x v="1"/>
    <x v="1660"/>
    <x v="0"/>
    <x v="3"/>
    <x v="1648"/>
    <x v="2929"/>
    <x v="0"/>
    <x v="0"/>
  </r>
  <r>
    <n v="7192"/>
    <x v="3570"/>
    <x v="393"/>
    <d v="2017-10-06T00:00:00"/>
    <s v="Second Class"/>
    <x v="523"/>
    <s v="Jamie Kunitz"/>
    <x v="0"/>
    <s v="United States"/>
    <s v="Hialeah"/>
    <x v="2"/>
    <n v="33012"/>
    <x v="0"/>
    <x v="307"/>
    <x v="1"/>
    <x v="8"/>
    <x v="307"/>
    <x v="4646"/>
    <x v="2"/>
    <x v="0"/>
  </r>
  <r>
    <n v="7193"/>
    <x v="3570"/>
    <x v="393"/>
    <d v="2017-10-06T00:00:00"/>
    <s v="Second Class"/>
    <x v="523"/>
    <s v="Jamie Kunitz"/>
    <x v="0"/>
    <s v="United States"/>
    <s v="Hialeah"/>
    <x v="2"/>
    <n v="33012"/>
    <x v="0"/>
    <x v="1159"/>
    <x v="1"/>
    <x v="6"/>
    <x v="772"/>
    <x v="4647"/>
    <x v="2"/>
    <x v="0"/>
  </r>
  <r>
    <n v="7194"/>
    <x v="3571"/>
    <x v="1151"/>
    <d v="2017-02-14T00:00:00"/>
    <s v="First Class"/>
    <x v="365"/>
    <s v="John Stevenson"/>
    <x v="0"/>
    <s v="United States"/>
    <s v="Atlanta"/>
    <x v="32"/>
    <n v="30318"/>
    <x v="0"/>
    <x v="906"/>
    <x v="1"/>
    <x v="4"/>
    <x v="898"/>
    <x v="4648"/>
    <x v="11"/>
    <x v="0"/>
  </r>
  <r>
    <n v="7195"/>
    <x v="3571"/>
    <x v="1151"/>
    <d v="2017-02-14T00:00:00"/>
    <s v="First Class"/>
    <x v="365"/>
    <s v="John Stevenson"/>
    <x v="0"/>
    <s v="United States"/>
    <s v="Atlanta"/>
    <x v="32"/>
    <n v="30318"/>
    <x v="0"/>
    <x v="122"/>
    <x v="1"/>
    <x v="8"/>
    <x v="122"/>
    <x v="204"/>
    <x v="11"/>
    <x v="0"/>
  </r>
  <r>
    <n v="7196"/>
    <x v="3572"/>
    <x v="373"/>
    <d v="2017-11-17T00:00:00"/>
    <s v="Standard Class"/>
    <x v="178"/>
    <s v="Philisse Overcash"/>
    <x v="2"/>
    <s v="United States"/>
    <s v="Seattle"/>
    <x v="4"/>
    <n v="98103"/>
    <x v="1"/>
    <x v="28"/>
    <x v="0"/>
    <x v="5"/>
    <x v="1310"/>
    <x v="4649"/>
    <x v="0"/>
    <x v="0"/>
  </r>
  <r>
    <n v="7197"/>
    <x v="3573"/>
    <x v="759"/>
    <d v="2015-04-30T00:00:00"/>
    <s v="Standard Class"/>
    <x v="762"/>
    <s v="Marc Harrigan"/>
    <x v="2"/>
    <s v="United States"/>
    <s v="Los Angeles"/>
    <x v="1"/>
    <n v="90036"/>
    <x v="1"/>
    <x v="1046"/>
    <x v="1"/>
    <x v="6"/>
    <x v="1035"/>
    <x v="1567"/>
    <x v="3"/>
    <x v="2"/>
  </r>
  <r>
    <n v="7198"/>
    <x v="3573"/>
    <x v="759"/>
    <d v="2015-04-30T00:00:00"/>
    <s v="Standard Class"/>
    <x v="762"/>
    <s v="Marc Harrigan"/>
    <x v="2"/>
    <s v="United States"/>
    <s v="Los Angeles"/>
    <x v="1"/>
    <n v="90036"/>
    <x v="1"/>
    <x v="1729"/>
    <x v="1"/>
    <x v="2"/>
    <x v="1716"/>
    <x v="2336"/>
    <x v="3"/>
    <x v="2"/>
  </r>
  <r>
    <n v="7199"/>
    <x v="3574"/>
    <x v="1067"/>
    <d v="2016-08-15T00:00:00"/>
    <s v="Standard Class"/>
    <x v="178"/>
    <s v="Philisse Overcash"/>
    <x v="2"/>
    <s v="United States"/>
    <s v="New York City"/>
    <x v="15"/>
    <n v="10035"/>
    <x v="3"/>
    <x v="250"/>
    <x v="1"/>
    <x v="6"/>
    <x v="251"/>
    <x v="489"/>
    <x v="6"/>
    <x v="1"/>
  </r>
  <r>
    <n v="7200"/>
    <x v="3574"/>
    <x v="1067"/>
    <d v="2016-08-15T00:00:00"/>
    <s v="Standard Class"/>
    <x v="178"/>
    <s v="Philisse Overcash"/>
    <x v="2"/>
    <s v="United States"/>
    <s v="New York City"/>
    <x v="15"/>
    <n v="10035"/>
    <x v="3"/>
    <x v="302"/>
    <x v="2"/>
    <x v="7"/>
    <x v="302"/>
    <x v="4650"/>
    <x v="6"/>
    <x v="1"/>
  </r>
  <r>
    <n v="7201"/>
    <x v="3575"/>
    <x v="581"/>
    <d v="2017-12-03T00:00:00"/>
    <s v="Standard Class"/>
    <x v="520"/>
    <s v="Herbert Flentye"/>
    <x v="0"/>
    <s v="United States"/>
    <s v="Fort Lauderdale"/>
    <x v="2"/>
    <n v="33311"/>
    <x v="0"/>
    <x v="1285"/>
    <x v="2"/>
    <x v="7"/>
    <x v="1271"/>
    <x v="4651"/>
    <x v="0"/>
    <x v="0"/>
  </r>
  <r>
    <n v="7202"/>
    <x v="3575"/>
    <x v="581"/>
    <d v="2017-12-03T00:00:00"/>
    <s v="Standard Class"/>
    <x v="520"/>
    <s v="Herbert Flentye"/>
    <x v="0"/>
    <s v="United States"/>
    <s v="Fort Lauderdale"/>
    <x v="2"/>
    <n v="33311"/>
    <x v="0"/>
    <x v="977"/>
    <x v="0"/>
    <x v="3"/>
    <x v="832"/>
    <x v="4652"/>
    <x v="0"/>
    <x v="0"/>
  </r>
  <r>
    <n v="7203"/>
    <x v="3576"/>
    <x v="99"/>
    <d v="2017-10-28T00:00:00"/>
    <s v="Same Day"/>
    <x v="146"/>
    <s v="Victoria Brennan"/>
    <x v="1"/>
    <s v="United States"/>
    <s v="Rochester"/>
    <x v="15"/>
    <n v="14609"/>
    <x v="3"/>
    <x v="1814"/>
    <x v="0"/>
    <x v="5"/>
    <x v="1804"/>
    <x v="4653"/>
    <x v="2"/>
    <x v="0"/>
  </r>
  <r>
    <n v="7204"/>
    <x v="3577"/>
    <x v="282"/>
    <d v="2016-01-02T00:00:00"/>
    <s v="Standard Class"/>
    <x v="450"/>
    <s v="Michael Granlund"/>
    <x v="2"/>
    <s v="United States"/>
    <s v="Saint Charles"/>
    <x v="10"/>
    <n v="60174"/>
    <x v="2"/>
    <x v="1677"/>
    <x v="0"/>
    <x v="5"/>
    <x v="1665"/>
    <x v="1648"/>
    <x v="4"/>
    <x v="2"/>
  </r>
  <r>
    <n v="7205"/>
    <x v="3578"/>
    <x v="229"/>
    <d v="2016-09-17T00:00:00"/>
    <s v="Standard Class"/>
    <x v="491"/>
    <s v="Bobby Odegard"/>
    <x v="0"/>
    <s v="United States"/>
    <s v="New York City"/>
    <x v="15"/>
    <n v="10024"/>
    <x v="3"/>
    <x v="1279"/>
    <x v="1"/>
    <x v="6"/>
    <x v="1264"/>
    <x v="2351"/>
    <x v="8"/>
    <x v="1"/>
  </r>
  <r>
    <n v="7206"/>
    <x v="3579"/>
    <x v="280"/>
    <d v="2018-10-06T00:00:00"/>
    <s v="Standard Class"/>
    <x v="441"/>
    <s v="Chad McGuire"/>
    <x v="0"/>
    <s v="United States"/>
    <s v="San Francisco"/>
    <x v="1"/>
    <n v="94109"/>
    <x v="1"/>
    <x v="698"/>
    <x v="0"/>
    <x v="5"/>
    <x v="698"/>
    <x v="45"/>
    <x v="2"/>
    <x v="3"/>
  </r>
  <r>
    <n v="7207"/>
    <x v="3579"/>
    <x v="280"/>
    <d v="2018-10-06T00:00:00"/>
    <s v="Standard Class"/>
    <x v="441"/>
    <s v="Chad McGuire"/>
    <x v="0"/>
    <s v="United States"/>
    <s v="San Francisco"/>
    <x v="1"/>
    <n v="94109"/>
    <x v="1"/>
    <x v="1794"/>
    <x v="2"/>
    <x v="15"/>
    <x v="1784"/>
    <x v="4654"/>
    <x v="2"/>
    <x v="3"/>
  </r>
  <r>
    <n v="7208"/>
    <x v="3580"/>
    <x v="108"/>
    <d v="2017-09-13T00:00:00"/>
    <s v="First Class"/>
    <x v="18"/>
    <s v="Linda Cazamias"/>
    <x v="1"/>
    <s v="United States"/>
    <s v="Phoenix"/>
    <x v="16"/>
    <n v="85023"/>
    <x v="1"/>
    <x v="853"/>
    <x v="1"/>
    <x v="6"/>
    <x v="846"/>
    <x v="2114"/>
    <x v="8"/>
    <x v="0"/>
  </r>
  <r>
    <n v="7209"/>
    <x v="3580"/>
    <x v="108"/>
    <d v="2017-09-13T00:00:00"/>
    <s v="First Class"/>
    <x v="18"/>
    <s v="Linda Cazamias"/>
    <x v="1"/>
    <s v="United States"/>
    <s v="Phoenix"/>
    <x v="16"/>
    <n v="85023"/>
    <x v="1"/>
    <x v="1810"/>
    <x v="1"/>
    <x v="10"/>
    <x v="1800"/>
    <x v="557"/>
    <x v="8"/>
    <x v="0"/>
  </r>
  <r>
    <n v="7210"/>
    <x v="3580"/>
    <x v="108"/>
    <d v="2017-09-13T00:00:00"/>
    <s v="First Class"/>
    <x v="18"/>
    <s v="Linda Cazamias"/>
    <x v="1"/>
    <s v="United States"/>
    <s v="Phoenix"/>
    <x v="16"/>
    <n v="85023"/>
    <x v="1"/>
    <x v="457"/>
    <x v="1"/>
    <x v="10"/>
    <x v="458"/>
    <x v="380"/>
    <x v="8"/>
    <x v="0"/>
  </r>
  <r>
    <n v="7211"/>
    <x v="3581"/>
    <x v="799"/>
    <d v="2017-06-06T00:00:00"/>
    <s v="Standard Class"/>
    <x v="553"/>
    <s v="Edward Hooks"/>
    <x v="1"/>
    <s v="United States"/>
    <s v="Seattle"/>
    <x v="4"/>
    <n v="98115"/>
    <x v="1"/>
    <x v="1603"/>
    <x v="1"/>
    <x v="10"/>
    <x v="1595"/>
    <x v="4553"/>
    <x v="1"/>
    <x v="0"/>
  </r>
  <r>
    <n v="7212"/>
    <x v="3581"/>
    <x v="799"/>
    <d v="2017-06-06T00:00:00"/>
    <s v="Standard Class"/>
    <x v="553"/>
    <s v="Edward Hooks"/>
    <x v="1"/>
    <s v="United States"/>
    <s v="Seattle"/>
    <x v="4"/>
    <n v="98115"/>
    <x v="1"/>
    <x v="61"/>
    <x v="1"/>
    <x v="8"/>
    <x v="61"/>
    <x v="4655"/>
    <x v="1"/>
    <x v="0"/>
  </r>
  <r>
    <n v="7213"/>
    <x v="3581"/>
    <x v="799"/>
    <d v="2017-06-06T00:00:00"/>
    <s v="Standard Class"/>
    <x v="553"/>
    <s v="Edward Hooks"/>
    <x v="1"/>
    <s v="United States"/>
    <s v="Seattle"/>
    <x v="4"/>
    <n v="98115"/>
    <x v="1"/>
    <x v="605"/>
    <x v="1"/>
    <x v="8"/>
    <x v="605"/>
    <x v="1494"/>
    <x v="1"/>
    <x v="0"/>
  </r>
  <r>
    <n v="7214"/>
    <x v="3582"/>
    <x v="453"/>
    <d v="2018-10-19T00:00:00"/>
    <s v="Standard Class"/>
    <x v="507"/>
    <s v="Marc Crier"/>
    <x v="0"/>
    <s v="United States"/>
    <s v="Camarillo"/>
    <x v="1"/>
    <n v="93010"/>
    <x v="1"/>
    <x v="1123"/>
    <x v="1"/>
    <x v="2"/>
    <x v="1111"/>
    <x v="1646"/>
    <x v="2"/>
    <x v="3"/>
  </r>
  <r>
    <n v="7215"/>
    <x v="3583"/>
    <x v="874"/>
    <d v="2016-09-30T00:00:00"/>
    <s v="Second Class"/>
    <x v="304"/>
    <s v="Helen Wasserman"/>
    <x v="1"/>
    <s v="United States"/>
    <s v="Detroit"/>
    <x v="12"/>
    <n v="48205"/>
    <x v="2"/>
    <x v="1210"/>
    <x v="1"/>
    <x v="6"/>
    <x v="1195"/>
    <x v="1220"/>
    <x v="8"/>
    <x v="1"/>
  </r>
  <r>
    <n v="7216"/>
    <x v="3583"/>
    <x v="874"/>
    <d v="2016-09-30T00:00:00"/>
    <s v="Second Class"/>
    <x v="304"/>
    <s v="Helen Wasserman"/>
    <x v="1"/>
    <s v="United States"/>
    <s v="Detroit"/>
    <x v="12"/>
    <n v="48205"/>
    <x v="2"/>
    <x v="860"/>
    <x v="1"/>
    <x v="10"/>
    <x v="854"/>
    <x v="233"/>
    <x v="8"/>
    <x v="1"/>
  </r>
  <r>
    <n v="7217"/>
    <x v="3584"/>
    <x v="910"/>
    <d v="2016-05-06T00:00:00"/>
    <s v="First Class"/>
    <x v="48"/>
    <s v="Lena Cacioppo"/>
    <x v="0"/>
    <s v="United States"/>
    <s v="San Francisco"/>
    <x v="1"/>
    <n v="94109"/>
    <x v="1"/>
    <x v="454"/>
    <x v="1"/>
    <x v="6"/>
    <x v="455"/>
    <x v="138"/>
    <x v="5"/>
    <x v="1"/>
  </r>
  <r>
    <n v="7218"/>
    <x v="3584"/>
    <x v="910"/>
    <d v="2016-05-06T00:00:00"/>
    <s v="First Class"/>
    <x v="48"/>
    <s v="Lena Cacioppo"/>
    <x v="0"/>
    <s v="United States"/>
    <s v="San Francisco"/>
    <x v="1"/>
    <n v="94109"/>
    <x v="1"/>
    <x v="920"/>
    <x v="1"/>
    <x v="8"/>
    <x v="1758"/>
    <x v="4656"/>
    <x v="5"/>
    <x v="1"/>
  </r>
  <r>
    <n v="7219"/>
    <x v="3584"/>
    <x v="910"/>
    <d v="2016-05-06T00:00:00"/>
    <s v="First Class"/>
    <x v="48"/>
    <s v="Lena Cacioppo"/>
    <x v="0"/>
    <s v="United States"/>
    <s v="San Francisco"/>
    <x v="1"/>
    <n v="94109"/>
    <x v="1"/>
    <x v="106"/>
    <x v="2"/>
    <x v="11"/>
    <x v="106"/>
    <x v="107"/>
    <x v="5"/>
    <x v="1"/>
  </r>
  <r>
    <n v="7220"/>
    <x v="3584"/>
    <x v="910"/>
    <d v="2016-05-06T00:00:00"/>
    <s v="First Class"/>
    <x v="48"/>
    <s v="Lena Cacioppo"/>
    <x v="0"/>
    <s v="United States"/>
    <s v="San Francisco"/>
    <x v="1"/>
    <n v="94109"/>
    <x v="1"/>
    <x v="582"/>
    <x v="1"/>
    <x v="8"/>
    <x v="582"/>
    <x v="1967"/>
    <x v="5"/>
    <x v="1"/>
  </r>
  <r>
    <n v="7221"/>
    <x v="3585"/>
    <x v="1152"/>
    <d v="2018-01-13T00:00:00"/>
    <s v="Standard Class"/>
    <x v="443"/>
    <s v="Beth Paige"/>
    <x v="0"/>
    <s v="United States"/>
    <s v="Philadelphia"/>
    <x v="9"/>
    <n v="19140"/>
    <x v="3"/>
    <x v="569"/>
    <x v="1"/>
    <x v="8"/>
    <x v="569"/>
    <x v="4657"/>
    <x v="9"/>
    <x v="3"/>
  </r>
  <r>
    <n v="7222"/>
    <x v="3586"/>
    <x v="678"/>
    <d v="2018-01-31T00:00:00"/>
    <s v="Standard Class"/>
    <x v="592"/>
    <s v="Toby Gnade"/>
    <x v="0"/>
    <s v="United States"/>
    <s v="New York City"/>
    <x v="15"/>
    <n v="10035"/>
    <x v="3"/>
    <x v="1676"/>
    <x v="2"/>
    <x v="7"/>
    <x v="1664"/>
    <x v="4658"/>
    <x v="9"/>
    <x v="3"/>
  </r>
  <r>
    <n v="7223"/>
    <x v="3587"/>
    <x v="264"/>
    <d v="2018-09-06T00:00:00"/>
    <s v="Standard Class"/>
    <x v="498"/>
    <s v="Mick Crebagga"/>
    <x v="0"/>
    <s v="United States"/>
    <s v="Chicago"/>
    <x v="10"/>
    <n v="60623"/>
    <x v="2"/>
    <x v="658"/>
    <x v="2"/>
    <x v="11"/>
    <x v="658"/>
    <x v="1374"/>
    <x v="8"/>
    <x v="3"/>
  </r>
  <r>
    <n v="7224"/>
    <x v="3588"/>
    <x v="216"/>
    <d v="2017-07-18T00:00:00"/>
    <s v="Standard Class"/>
    <x v="181"/>
    <s v="Raymond Buch"/>
    <x v="0"/>
    <s v="United States"/>
    <s v="San Francisco"/>
    <x v="1"/>
    <n v="94122"/>
    <x v="1"/>
    <x v="40"/>
    <x v="2"/>
    <x v="7"/>
    <x v="40"/>
    <x v="4202"/>
    <x v="7"/>
    <x v="0"/>
  </r>
  <r>
    <n v="7225"/>
    <x v="3588"/>
    <x v="216"/>
    <d v="2017-07-18T00:00:00"/>
    <s v="Standard Class"/>
    <x v="181"/>
    <s v="Raymond Buch"/>
    <x v="0"/>
    <s v="United States"/>
    <s v="San Francisco"/>
    <x v="1"/>
    <n v="94122"/>
    <x v="1"/>
    <x v="1656"/>
    <x v="1"/>
    <x v="9"/>
    <x v="1644"/>
    <x v="4659"/>
    <x v="7"/>
    <x v="0"/>
  </r>
  <r>
    <n v="7226"/>
    <x v="3588"/>
    <x v="216"/>
    <d v="2017-07-18T00:00:00"/>
    <s v="Standard Class"/>
    <x v="181"/>
    <s v="Raymond Buch"/>
    <x v="0"/>
    <s v="United States"/>
    <s v="San Francisco"/>
    <x v="1"/>
    <n v="94122"/>
    <x v="1"/>
    <x v="442"/>
    <x v="0"/>
    <x v="5"/>
    <x v="442"/>
    <x v="4660"/>
    <x v="7"/>
    <x v="0"/>
  </r>
  <r>
    <n v="7227"/>
    <x v="3589"/>
    <x v="642"/>
    <d v="2018-02-28T00:00:00"/>
    <s v="Standard Class"/>
    <x v="20"/>
    <s v="Erin Smith"/>
    <x v="1"/>
    <s v="United States"/>
    <s v="Philadelphia"/>
    <x v="9"/>
    <n v="19134"/>
    <x v="3"/>
    <x v="1030"/>
    <x v="1"/>
    <x v="10"/>
    <x v="1021"/>
    <x v="1832"/>
    <x v="11"/>
    <x v="3"/>
  </r>
  <r>
    <n v="7228"/>
    <x v="3589"/>
    <x v="642"/>
    <d v="2018-02-28T00:00:00"/>
    <s v="Standard Class"/>
    <x v="20"/>
    <s v="Erin Smith"/>
    <x v="1"/>
    <s v="United States"/>
    <s v="Philadelphia"/>
    <x v="9"/>
    <n v="19134"/>
    <x v="3"/>
    <x v="764"/>
    <x v="2"/>
    <x v="11"/>
    <x v="763"/>
    <x v="4661"/>
    <x v="11"/>
    <x v="3"/>
  </r>
  <r>
    <n v="7229"/>
    <x v="3590"/>
    <x v="836"/>
    <d v="2015-07-22T00:00:00"/>
    <s v="First Class"/>
    <x v="742"/>
    <s v="Roger Demir"/>
    <x v="0"/>
    <s v="United States"/>
    <s v="San Francisco"/>
    <x v="1"/>
    <n v="94122"/>
    <x v="1"/>
    <x v="440"/>
    <x v="1"/>
    <x v="8"/>
    <x v="440"/>
    <x v="4662"/>
    <x v="7"/>
    <x v="2"/>
  </r>
  <r>
    <n v="7230"/>
    <x v="3590"/>
    <x v="836"/>
    <d v="2015-07-22T00:00:00"/>
    <s v="First Class"/>
    <x v="742"/>
    <s v="Roger Demir"/>
    <x v="0"/>
    <s v="United States"/>
    <s v="San Francisco"/>
    <x v="1"/>
    <n v="94122"/>
    <x v="1"/>
    <x v="229"/>
    <x v="1"/>
    <x v="10"/>
    <x v="230"/>
    <x v="4663"/>
    <x v="7"/>
    <x v="2"/>
  </r>
  <r>
    <n v="7231"/>
    <x v="3591"/>
    <x v="677"/>
    <d v="2018-03-15T00:00:00"/>
    <s v="First Class"/>
    <x v="618"/>
    <s v="Shahid Collister"/>
    <x v="0"/>
    <s v="United States"/>
    <s v="Fairfield"/>
    <x v="29"/>
    <n v="6824"/>
    <x v="3"/>
    <x v="1087"/>
    <x v="1"/>
    <x v="8"/>
    <x v="1077"/>
    <x v="2822"/>
    <x v="10"/>
    <x v="3"/>
  </r>
  <r>
    <n v="7232"/>
    <x v="3591"/>
    <x v="677"/>
    <d v="2018-03-15T00:00:00"/>
    <s v="First Class"/>
    <x v="618"/>
    <s v="Shahid Collister"/>
    <x v="0"/>
    <s v="United States"/>
    <s v="Fairfield"/>
    <x v="29"/>
    <n v="6824"/>
    <x v="3"/>
    <x v="1778"/>
    <x v="1"/>
    <x v="9"/>
    <x v="1768"/>
    <x v="4211"/>
    <x v="10"/>
    <x v="3"/>
  </r>
  <r>
    <n v="7233"/>
    <x v="3591"/>
    <x v="677"/>
    <d v="2018-03-15T00:00:00"/>
    <s v="First Class"/>
    <x v="618"/>
    <s v="Shahid Collister"/>
    <x v="0"/>
    <s v="United States"/>
    <s v="Fairfield"/>
    <x v="29"/>
    <n v="6824"/>
    <x v="3"/>
    <x v="987"/>
    <x v="1"/>
    <x v="10"/>
    <x v="980"/>
    <x v="3226"/>
    <x v="10"/>
    <x v="3"/>
  </r>
  <r>
    <n v="7234"/>
    <x v="3592"/>
    <x v="387"/>
    <d v="2017-03-12T00:00:00"/>
    <s v="Standard Class"/>
    <x v="673"/>
    <s v="Giulietta Baptist"/>
    <x v="0"/>
    <s v="United States"/>
    <s v="New York City"/>
    <x v="15"/>
    <n v="10011"/>
    <x v="3"/>
    <x v="378"/>
    <x v="0"/>
    <x v="5"/>
    <x v="379"/>
    <x v="4664"/>
    <x v="10"/>
    <x v="0"/>
  </r>
  <r>
    <n v="7235"/>
    <x v="3592"/>
    <x v="387"/>
    <d v="2017-03-12T00:00:00"/>
    <s v="Standard Class"/>
    <x v="673"/>
    <s v="Giulietta Baptist"/>
    <x v="0"/>
    <s v="United States"/>
    <s v="New York City"/>
    <x v="15"/>
    <n v="10011"/>
    <x v="3"/>
    <x v="548"/>
    <x v="1"/>
    <x v="10"/>
    <x v="548"/>
    <x v="91"/>
    <x v="10"/>
    <x v="0"/>
  </r>
  <r>
    <n v="7236"/>
    <x v="3592"/>
    <x v="387"/>
    <d v="2017-03-12T00:00:00"/>
    <s v="Standard Class"/>
    <x v="673"/>
    <s v="Giulietta Baptist"/>
    <x v="0"/>
    <s v="United States"/>
    <s v="New York City"/>
    <x v="15"/>
    <n v="10011"/>
    <x v="3"/>
    <x v="1311"/>
    <x v="1"/>
    <x v="8"/>
    <x v="1297"/>
    <x v="1940"/>
    <x v="10"/>
    <x v="0"/>
  </r>
  <r>
    <n v="7237"/>
    <x v="3593"/>
    <x v="1035"/>
    <d v="2015-12-10T00:00:00"/>
    <s v="First Class"/>
    <x v="224"/>
    <s v="Frank Preis"/>
    <x v="0"/>
    <s v="United States"/>
    <s v="Los Angeles"/>
    <x v="1"/>
    <n v="90049"/>
    <x v="1"/>
    <x v="649"/>
    <x v="1"/>
    <x v="6"/>
    <x v="649"/>
    <x v="874"/>
    <x v="4"/>
    <x v="2"/>
  </r>
  <r>
    <n v="7238"/>
    <x v="3594"/>
    <x v="212"/>
    <d v="2017-07-10T00:00:00"/>
    <s v="Same Day"/>
    <x v="105"/>
    <s v="Erin Ashbrook"/>
    <x v="1"/>
    <s v="United States"/>
    <s v="Philadelphia"/>
    <x v="9"/>
    <n v="19143"/>
    <x v="3"/>
    <x v="1815"/>
    <x v="2"/>
    <x v="15"/>
    <x v="1805"/>
    <x v="4665"/>
    <x v="7"/>
    <x v="0"/>
  </r>
  <r>
    <n v="7239"/>
    <x v="3595"/>
    <x v="435"/>
    <d v="2017-12-30T00:00:00"/>
    <s v="Standard Class"/>
    <x v="253"/>
    <s v="Sean Christensen"/>
    <x v="0"/>
    <s v="United States"/>
    <s v="San Jose"/>
    <x v="1"/>
    <n v="95123"/>
    <x v="1"/>
    <x v="1448"/>
    <x v="0"/>
    <x v="5"/>
    <x v="1435"/>
    <x v="3287"/>
    <x v="4"/>
    <x v="0"/>
  </r>
  <r>
    <n v="7240"/>
    <x v="3595"/>
    <x v="435"/>
    <d v="2017-12-30T00:00:00"/>
    <s v="Standard Class"/>
    <x v="253"/>
    <s v="Sean Christensen"/>
    <x v="0"/>
    <s v="United States"/>
    <s v="San Jose"/>
    <x v="1"/>
    <n v="95123"/>
    <x v="1"/>
    <x v="152"/>
    <x v="1"/>
    <x v="12"/>
    <x v="153"/>
    <x v="1477"/>
    <x v="4"/>
    <x v="0"/>
  </r>
  <r>
    <n v="7241"/>
    <x v="3596"/>
    <x v="756"/>
    <d v="2018-04-25T00:00:00"/>
    <s v="Second Class"/>
    <x v="282"/>
    <s v="Jay Fein"/>
    <x v="0"/>
    <s v="United States"/>
    <s v="Pasadena"/>
    <x v="1"/>
    <n v="91104"/>
    <x v="1"/>
    <x v="1462"/>
    <x v="0"/>
    <x v="5"/>
    <x v="1448"/>
    <x v="3648"/>
    <x v="3"/>
    <x v="3"/>
  </r>
  <r>
    <n v="7242"/>
    <x v="3596"/>
    <x v="756"/>
    <d v="2018-04-25T00:00:00"/>
    <s v="Second Class"/>
    <x v="282"/>
    <s v="Jay Fein"/>
    <x v="0"/>
    <s v="United States"/>
    <s v="Pasadena"/>
    <x v="1"/>
    <n v="91104"/>
    <x v="1"/>
    <x v="612"/>
    <x v="1"/>
    <x v="8"/>
    <x v="612"/>
    <x v="4666"/>
    <x v="3"/>
    <x v="3"/>
  </r>
  <r>
    <n v="7243"/>
    <x v="3596"/>
    <x v="756"/>
    <d v="2018-04-25T00:00:00"/>
    <s v="Second Class"/>
    <x v="282"/>
    <s v="Jay Fein"/>
    <x v="0"/>
    <s v="United States"/>
    <s v="Pasadena"/>
    <x v="1"/>
    <n v="91104"/>
    <x v="1"/>
    <x v="441"/>
    <x v="0"/>
    <x v="5"/>
    <x v="1719"/>
    <x v="4667"/>
    <x v="3"/>
    <x v="3"/>
  </r>
  <r>
    <n v="7244"/>
    <x v="3597"/>
    <x v="629"/>
    <d v="2018-08-22T00:00:00"/>
    <s v="Second Class"/>
    <x v="599"/>
    <s v="Tom Prescott"/>
    <x v="0"/>
    <s v="United States"/>
    <s v="Philadelphia"/>
    <x v="9"/>
    <n v="19134"/>
    <x v="3"/>
    <x v="483"/>
    <x v="0"/>
    <x v="1"/>
    <x v="483"/>
    <x v="4668"/>
    <x v="6"/>
    <x v="3"/>
  </r>
  <r>
    <n v="7245"/>
    <x v="3598"/>
    <x v="1053"/>
    <d v="2018-05-25T00:00:00"/>
    <s v="First Class"/>
    <x v="210"/>
    <s v="Rob Lucas"/>
    <x v="0"/>
    <s v="United States"/>
    <s v="Los Angeles"/>
    <x v="1"/>
    <n v="90049"/>
    <x v="1"/>
    <x v="1658"/>
    <x v="1"/>
    <x v="6"/>
    <x v="1646"/>
    <x v="4669"/>
    <x v="5"/>
    <x v="3"/>
  </r>
  <r>
    <n v="7246"/>
    <x v="3599"/>
    <x v="839"/>
    <d v="2018-02-13T00:00:00"/>
    <s v="Standard Class"/>
    <x v="641"/>
    <s v="Sarah Bern"/>
    <x v="0"/>
    <s v="United States"/>
    <s v="Los Angeles"/>
    <x v="1"/>
    <n v="90032"/>
    <x v="1"/>
    <x v="1043"/>
    <x v="1"/>
    <x v="4"/>
    <x v="1032"/>
    <x v="1367"/>
    <x v="11"/>
    <x v="3"/>
  </r>
  <r>
    <n v="7247"/>
    <x v="3600"/>
    <x v="223"/>
    <d v="2015-03-08T00:00:00"/>
    <s v="Standard Class"/>
    <x v="329"/>
    <s v="Jill Stevenson"/>
    <x v="1"/>
    <s v="United States"/>
    <s v="Columbus"/>
    <x v="24"/>
    <n v="43229"/>
    <x v="3"/>
    <x v="1729"/>
    <x v="1"/>
    <x v="2"/>
    <x v="1716"/>
    <x v="1138"/>
    <x v="10"/>
    <x v="2"/>
  </r>
  <r>
    <n v="7248"/>
    <x v="3600"/>
    <x v="223"/>
    <d v="2015-03-08T00:00:00"/>
    <s v="Standard Class"/>
    <x v="329"/>
    <s v="Jill Stevenson"/>
    <x v="1"/>
    <s v="United States"/>
    <s v="Columbus"/>
    <x v="24"/>
    <n v="43229"/>
    <x v="3"/>
    <x v="366"/>
    <x v="0"/>
    <x v="0"/>
    <x v="367"/>
    <x v="4670"/>
    <x v="10"/>
    <x v="2"/>
  </r>
  <r>
    <n v="7249"/>
    <x v="3600"/>
    <x v="223"/>
    <d v="2015-03-08T00:00:00"/>
    <s v="Standard Class"/>
    <x v="329"/>
    <s v="Jill Stevenson"/>
    <x v="1"/>
    <s v="United States"/>
    <s v="Columbus"/>
    <x v="24"/>
    <n v="43229"/>
    <x v="3"/>
    <x v="700"/>
    <x v="1"/>
    <x v="4"/>
    <x v="700"/>
    <x v="4671"/>
    <x v="10"/>
    <x v="2"/>
  </r>
  <r>
    <n v="7250"/>
    <x v="3601"/>
    <x v="593"/>
    <d v="2016-06-09T00:00:00"/>
    <s v="Second Class"/>
    <x v="669"/>
    <s v="Becky Pak"/>
    <x v="0"/>
    <s v="United States"/>
    <s v="Los Angeles"/>
    <x v="1"/>
    <n v="90008"/>
    <x v="1"/>
    <x v="1580"/>
    <x v="2"/>
    <x v="11"/>
    <x v="1571"/>
    <x v="998"/>
    <x v="1"/>
    <x v="1"/>
  </r>
  <r>
    <n v="7251"/>
    <x v="3601"/>
    <x v="593"/>
    <d v="2016-06-09T00:00:00"/>
    <s v="Second Class"/>
    <x v="669"/>
    <s v="Becky Pak"/>
    <x v="0"/>
    <s v="United States"/>
    <s v="Los Angeles"/>
    <x v="1"/>
    <n v="90008"/>
    <x v="1"/>
    <x v="1738"/>
    <x v="2"/>
    <x v="11"/>
    <x v="1727"/>
    <x v="4672"/>
    <x v="1"/>
    <x v="1"/>
  </r>
  <r>
    <n v="7252"/>
    <x v="3602"/>
    <x v="278"/>
    <d v="2017-09-02T00:00:00"/>
    <s v="Standard Class"/>
    <x v="605"/>
    <s v="Elizabeth Moffitt"/>
    <x v="1"/>
    <s v="United States"/>
    <s v="Hollywood"/>
    <x v="2"/>
    <n v="33021"/>
    <x v="0"/>
    <x v="1816"/>
    <x v="1"/>
    <x v="2"/>
    <x v="1806"/>
    <x v="2106"/>
    <x v="6"/>
    <x v="0"/>
  </r>
  <r>
    <n v="7253"/>
    <x v="3603"/>
    <x v="126"/>
    <d v="2017-09-18T00:00:00"/>
    <s v="Standard Class"/>
    <x v="281"/>
    <s v="Steve Chapman"/>
    <x v="1"/>
    <s v="United States"/>
    <s v="Roseville"/>
    <x v="12"/>
    <n v="48066"/>
    <x v="2"/>
    <x v="1274"/>
    <x v="1"/>
    <x v="10"/>
    <x v="1259"/>
    <x v="4092"/>
    <x v="8"/>
    <x v="0"/>
  </r>
  <r>
    <n v="7254"/>
    <x v="3604"/>
    <x v="198"/>
    <d v="2017-06-04T00:00:00"/>
    <s v="Standard Class"/>
    <x v="670"/>
    <s v="Eugene Moren"/>
    <x v="2"/>
    <s v="United States"/>
    <s v="Superior"/>
    <x v="6"/>
    <n v="54880"/>
    <x v="2"/>
    <x v="166"/>
    <x v="1"/>
    <x v="9"/>
    <x v="167"/>
    <x v="4673"/>
    <x v="5"/>
    <x v="0"/>
  </r>
  <r>
    <n v="7255"/>
    <x v="3604"/>
    <x v="198"/>
    <d v="2017-06-04T00:00:00"/>
    <s v="Standard Class"/>
    <x v="670"/>
    <s v="Eugene Moren"/>
    <x v="2"/>
    <s v="United States"/>
    <s v="Superior"/>
    <x v="6"/>
    <n v="54880"/>
    <x v="2"/>
    <x v="1183"/>
    <x v="0"/>
    <x v="5"/>
    <x v="1169"/>
    <x v="4451"/>
    <x v="5"/>
    <x v="0"/>
  </r>
  <r>
    <n v="7256"/>
    <x v="3604"/>
    <x v="198"/>
    <d v="2017-06-04T00:00:00"/>
    <s v="Standard Class"/>
    <x v="670"/>
    <s v="Eugene Moren"/>
    <x v="2"/>
    <s v="United States"/>
    <s v="Superior"/>
    <x v="6"/>
    <n v="54880"/>
    <x v="2"/>
    <x v="253"/>
    <x v="1"/>
    <x v="4"/>
    <x v="254"/>
    <x v="4674"/>
    <x v="5"/>
    <x v="0"/>
  </r>
  <r>
    <n v="7257"/>
    <x v="3604"/>
    <x v="198"/>
    <d v="2017-06-04T00:00:00"/>
    <s v="Standard Class"/>
    <x v="670"/>
    <s v="Eugene Moren"/>
    <x v="2"/>
    <s v="United States"/>
    <s v="Superior"/>
    <x v="6"/>
    <n v="54880"/>
    <x v="2"/>
    <x v="324"/>
    <x v="1"/>
    <x v="6"/>
    <x v="324"/>
    <x v="345"/>
    <x v="5"/>
    <x v="0"/>
  </r>
  <r>
    <n v="7258"/>
    <x v="3604"/>
    <x v="198"/>
    <d v="2017-06-04T00:00:00"/>
    <s v="Standard Class"/>
    <x v="670"/>
    <s v="Eugene Moren"/>
    <x v="2"/>
    <s v="United States"/>
    <s v="Superior"/>
    <x v="6"/>
    <n v="54880"/>
    <x v="2"/>
    <x v="921"/>
    <x v="1"/>
    <x v="10"/>
    <x v="913"/>
    <x v="2651"/>
    <x v="5"/>
    <x v="0"/>
  </r>
  <r>
    <n v="7259"/>
    <x v="3604"/>
    <x v="198"/>
    <d v="2017-06-04T00:00:00"/>
    <s v="Standard Class"/>
    <x v="670"/>
    <s v="Eugene Moren"/>
    <x v="2"/>
    <s v="United States"/>
    <s v="Superior"/>
    <x v="6"/>
    <n v="54880"/>
    <x v="2"/>
    <x v="134"/>
    <x v="1"/>
    <x v="6"/>
    <x v="135"/>
    <x v="453"/>
    <x v="5"/>
    <x v="0"/>
  </r>
  <r>
    <n v="7260"/>
    <x v="3604"/>
    <x v="198"/>
    <d v="2017-06-04T00:00:00"/>
    <s v="Standard Class"/>
    <x v="670"/>
    <s v="Eugene Moren"/>
    <x v="2"/>
    <s v="United States"/>
    <s v="Superior"/>
    <x v="6"/>
    <n v="54880"/>
    <x v="2"/>
    <x v="974"/>
    <x v="1"/>
    <x v="10"/>
    <x v="968"/>
    <x v="1544"/>
    <x v="5"/>
    <x v="0"/>
  </r>
  <r>
    <n v="7261"/>
    <x v="3604"/>
    <x v="198"/>
    <d v="2017-06-04T00:00:00"/>
    <s v="Standard Class"/>
    <x v="670"/>
    <s v="Eugene Moren"/>
    <x v="2"/>
    <s v="United States"/>
    <s v="Superior"/>
    <x v="6"/>
    <n v="54880"/>
    <x v="2"/>
    <x v="1066"/>
    <x v="2"/>
    <x v="7"/>
    <x v="1055"/>
    <x v="4675"/>
    <x v="5"/>
    <x v="0"/>
  </r>
  <r>
    <n v="7262"/>
    <x v="3605"/>
    <x v="193"/>
    <d v="2018-06-13T00:00:00"/>
    <s v="Second Class"/>
    <x v="433"/>
    <s v="George Zrebassa"/>
    <x v="1"/>
    <s v="United States"/>
    <s v="Thousand Oaks"/>
    <x v="1"/>
    <n v="91360"/>
    <x v="1"/>
    <x v="1706"/>
    <x v="1"/>
    <x v="6"/>
    <x v="1695"/>
    <x v="453"/>
    <x v="1"/>
    <x v="3"/>
  </r>
  <r>
    <n v="7263"/>
    <x v="3606"/>
    <x v="760"/>
    <d v="2018-10-28T00:00:00"/>
    <s v="Standard Class"/>
    <x v="504"/>
    <s v="Marina Lichtenstein"/>
    <x v="1"/>
    <s v="United States"/>
    <s v="Philadelphia"/>
    <x v="9"/>
    <n v="19134"/>
    <x v="3"/>
    <x v="47"/>
    <x v="2"/>
    <x v="7"/>
    <x v="47"/>
    <x v="401"/>
    <x v="2"/>
    <x v="3"/>
  </r>
  <r>
    <n v="7264"/>
    <x v="3606"/>
    <x v="760"/>
    <d v="2018-10-28T00:00:00"/>
    <s v="Standard Class"/>
    <x v="504"/>
    <s v="Marina Lichtenstein"/>
    <x v="1"/>
    <s v="United States"/>
    <s v="Philadelphia"/>
    <x v="9"/>
    <n v="19134"/>
    <x v="3"/>
    <x v="1652"/>
    <x v="1"/>
    <x v="12"/>
    <x v="1641"/>
    <x v="2458"/>
    <x v="2"/>
    <x v="3"/>
  </r>
  <r>
    <n v="7265"/>
    <x v="3607"/>
    <x v="487"/>
    <d v="2018-06-17T00:00:00"/>
    <s v="Standard Class"/>
    <x v="38"/>
    <s v="Paul Gonzalez"/>
    <x v="0"/>
    <s v="United States"/>
    <s v="Springfield"/>
    <x v="17"/>
    <n v="22153"/>
    <x v="0"/>
    <x v="1502"/>
    <x v="1"/>
    <x v="6"/>
    <x v="1490"/>
    <x v="2514"/>
    <x v="1"/>
    <x v="3"/>
  </r>
  <r>
    <n v="7266"/>
    <x v="3608"/>
    <x v="533"/>
    <d v="2015-11-26T00:00:00"/>
    <s v="Second Class"/>
    <x v="460"/>
    <s v="Damala Kotsonis"/>
    <x v="1"/>
    <s v="United States"/>
    <s v="Houston"/>
    <x v="5"/>
    <n v="77095"/>
    <x v="2"/>
    <x v="913"/>
    <x v="0"/>
    <x v="1"/>
    <x v="905"/>
    <x v="1165"/>
    <x v="0"/>
    <x v="2"/>
  </r>
  <r>
    <n v="7267"/>
    <x v="3609"/>
    <x v="1153"/>
    <d v="2018-08-16T00:00:00"/>
    <s v="Same Day"/>
    <x v="695"/>
    <s v="Sarah Jordon"/>
    <x v="0"/>
    <s v="United States"/>
    <s v="Columbia"/>
    <x v="18"/>
    <n v="38401"/>
    <x v="0"/>
    <x v="528"/>
    <x v="1"/>
    <x v="8"/>
    <x v="528"/>
    <x v="4676"/>
    <x v="6"/>
    <x v="3"/>
  </r>
  <r>
    <n v="7268"/>
    <x v="3609"/>
    <x v="1153"/>
    <d v="2018-08-16T00:00:00"/>
    <s v="Same Day"/>
    <x v="695"/>
    <s v="Sarah Jordon"/>
    <x v="0"/>
    <s v="United States"/>
    <s v="Columbia"/>
    <x v="18"/>
    <n v="38401"/>
    <x v="0"/>
    <x v="1018"/>
    <x v="1"/>
    <x v="4"/>
    <x v="1009"/>
    <x v="1715"/>
    <x v="6"/>
    <x v="3"/>
  </r>
  <r>
    <n v="7269"/>
    <x v="3610"/>
    <x v="1154"/>
    <d v="2017-01-20T00:00:00"/>
    <s v="Standard Class"/>
    <x v="165"/>
    <s v="Anna Gayman"/>
    <x v="0"/>
    <s v="United States"/>
    <s v="Concord"/>
    <x v="3"/>
    <n v="28027"/>
    <x v="0"/>
    <x v="1558"/>
    <x v="1"/>
    <x v="10"/>
    <x v="1547"/>
    <x v="2806"/>
    <x v="9"/>
    <x v="0"/>
  </r>
  <r>
    <n v="7270"/>
    <x v="3610"/>
    <x v="1154"/>
    <d v="2017-01-20T00:00:00"/>
    <s v="Standard Class"/>
    <x v="165"/>
    <s v="Anna Gayman"/>
    <x v="0"/>
    <s v="United States"/>
    <s v="Concord"/>
    <x v="3"/>
    <n v="28027"/>
    <x v="0"/>
    <x v="1817"/>
    <x v="0"/>
    <x v="5"/>
    <x v="1807"/>
    <x v="4677"/>
    <x v="9"/>
    <x v="0"/>
  </r>
  <r>
    <n v="7271"/>
    <x v="3611"/>
    <x v="1142"/>
    <d v="2017-09-22T00:00:00"/>
    <s v="Standard Class"/>
    <x v="470"/>
    <s v="Keith Dawkins"/>
    <x v="1"/>
    <s v="United States"/>
    <s v="San Jose"/>
    <x v="1"/>
    <n v="95123"/>
    <x v="1"/>
    <x v="1162"/>
    <x v="0"/>
    <x v="0"/>
    <x v="1149"/>
    <x v="4678"/>
    <x v="8"/>
    <x v="0"/>
  </r>
  <r>
    <n v="7272"/>
    <x v="3611"/>
    <x v="1142"/>
    <d v="2017-09-22T00:00:00"/>
    <s v="Standard Class"/>
    <x v="470"/>
    <s v="Keith Dawkins"/>
    <x v="1"/>
    <s v="United States"/>
    <s v="San Jose"/>
    <x v="1"/>
    <n v="95123"/>
    <x v="1"/>
    <x v="1298"/>
    <x v="1"/>
    <x v="9"/>
    <x v="1283"/>
    <x v="1897"/>
    <x v="8"/>
    <x v="0"/>
  </r>
  <r>
    <n v="7273"/>
    <x v="3612"/>
    <x v="1155"/>
    <d v="2017-10-14T00:00:00"/>
    <s v="Standard Class"/>
    <x v="424"/>
    <s v="Erica Bern"/>
    <x v="1"/>
    <s v="United States"/>
    <s v="Greensboro"/>
    <x v="3"/>
    <n v="27405"/>
    <x v="0"/>
    <x v="505"/>
    <x v="1"/>
    <x v="14"/>
    <x v="505"/>
    <x v="4679"/>
    <x v="2"/>
    <x v="0"/>
  </r>
  <r>
    <n v="7274"/>
    <x v="3612"/>
    <x v="1155"/>
    <d v="2017-10-14T00:00:00"/>
    <s v="Standard Class"/>
    <x v="424"/>
    <s v="Erica Bern"/>
    <x v="1"/>
    <s v="United States"/>
    <s v="Greensboro"/>
    <x v="3"/>
    <n v="27405"/>
    <x v="0"/>
    <x v="248"/>
    <x v="1"/>
    <x v="8"/>
    <x v="249"/>
    <x v="4680"/>
    <x v="2"/>
    <x v="0"/>
  </r>
  <r>
    <n v="7275"/>
    <x v="3613"/>
    <x v="50"/>
    <d v="2016-11-17T00:00:00"/>
    <s v="Standard Class"/>
    <x v="585"/>
    <s v="Arthur Wiediger"/>
    <x v="2"/>
    <s v="United States"/>
    <s v="Helena"/>
    <x v="37"/>
    <n v="59601"/>
    <x v="1"/>
    <x v="1495"/>
    <x v="2"/>
    <x v="7"/>
    <x v="1483"/>
    <x v="107"/>
    <x v="0"/>
    <x v="1"/>
  </r>
  <r>
    <n v="7276"/>
    <x v="3613"/>
    <x v="50"/>
    <d v="2016-11-17T00:00:00"/>
    <s v="Standard Class"/>
    <x v="585"/>
    <s v="Arthur Wiediger"/>
    <x v="2"/>
    <s v="United States"/>
    <s v="Helena"/>
    <x v="37"/>
    <n v="59601"/>
    <x v="1"/>
    <x v="645"/>
    <x v="0"/>
    <x v="5"/>
    <x v="645"/>
    <x v="4681"/>
    <x v="0"/>
    <x v="1"/>
  </r>
  <r>
    <n v="7277"/>
    <x v="3614"/>
    <x v="981"/>
    <d v="2015-11-06T00:00:00"/>
    <s v="Standard Class"/>
    <x v="451"/>
    <s v="Julie Kriz"/>
    <x v="2"/>
    <s v="United States"/>
    <s v="Fort Lauderdale"/>
    <x v="2"/>
    <n v="33311"/>
    <x v="0"/>
    <x v="1336"/>
    <x v="2"/>
    <x v="11"/>
    <x v="1321"/>
    <x v="4682"/>
    <x v="0"/>
    <x v="2"/>
  </r>
  <r>
    <n v="7278"/>
    <x v="3615"/>
    <x v="1080"/>
    <d v="2017-07-21T00:00:00"/>
    <s v="First Class"/>
    <x v="426"/>
    <s v="Tracy Collins"/>
    <x v="2"/>
    <s v="United States"/>
    <s v="San Francisco"/>
    <x v="1"/>
    <n v="94110"/>
    <x v="1"/>
    <x v="1804"/>
    <x v="2"/>
    <x v="7"/>
    <x v="1794"/>
    <x v="4683"/>
    <x v="7"/>
    <x v="0"/>
  </r>
  <r>
    <n v="7279"/>
    <x v="3615"/>
    <x v="1080"/>
    <d v="2017-07-21T00:00:00"/>
    <s v="First Class"/>
    <x v="426"/>
    <s v="Tracy Collins"/>
    <x v="2"/>
    <s v="United States"/>
    <s v="San Francisco"/>
    <x v="1"/>
    <n v="94110"/>
    <x v="1"/>
    <x v="1301"/>
    <x v="2"/>
    <x v="11"/>
    <x v="1286"/>
    <x v="1917"/>
    <x v="7"/>
    <x v="0"/>
  </r>
  <r>
    <n v="7280"/>
    <x v="3616"/>
    <x v="675"/>
    <d v="2017-05-14T00:00:00"/>
    <s v="Same Day"/>
    <x v="260"/>
    <s v="Tiffany House"/>
    <x v="1"/>
    <s v="United States"/>
    <s v="Yuma"/>
    <x v="16"/>
    <n v="85364"/>
    <x v="1"/>
    <x v="217"/>
    <x v="2"/>
    <x v="11"/>
    <x v="463"/>
    <x v="4684"/>
    <x v="5"/>
    <x v="0"/>
  </r>
  <r>
    <n v="7281"/>
    <x v="3617"/>
    <x v="780"/>
    <d v="2016-02-27T00:00:00"/>
    <s v="Standard Class"/>
    <x v="617"/>
    <s v="Pierre Wener"/>
    <x v="0"/>
    <s v="United States"/>
    <s v="Columbia"/>
    <x v="39"/>
    <n v="21044"/>
    <x v="3"/>
    <x v="450"/>
    <x v="1"/>
    <x v="8"/>
    <x v="451"/>
    <x v="4685"/>
    <x v="11"/>
    <x v="1"/>
  </r>
  <r>
    <n v="7282"/>
    <x v="3618"/>
    <x v="524"/>
    <d v="2018-10-21T00:00:00"/>
    <s v="Standard Class"/>
    <x v="689"/>
    <s v="Gary Hansen"/>
    <x v="2"/>
    <s v="United States"/>
    <s v="Yuma"/>
    <x v="16"/>
    <n v="85364"/>
    <x v="1"/>
    <x v="206"/>
    <x v="2"/>
    <x v="15"/>
    <x v="207"/>
    <x v="4686"/>
    <x v="2"/>
    <x v="3"/>
  </r>
  <r>
    <n v="7283"/>
    <x v="3619"/>
    <x v="738"/>
    <d v="2018-06-29T00:00:00"/>
    <s v="Standard Class"/>
    <x v="300"/>
    <s v="Joe Kamberova"/>
    <x v="0"/>
    <s v="United States"/>
    <s v="Chicago"/>
    <x v="10"/>
    <n v="60653"/>
    <x v="2"/>
    <x v="881"/>
    <x v="1"/>
    <x v="8"/>
    <x v="875"/>
    <x v="1079"/>
    <x v="1"/>
    <x v="3"/>
  </r>
  <r>
    <n v="7284"/>
    <x v="3620"/>
    <x v="428"/>
    <d v="2018-09-13T00:00:00"/>
    <s v="Standard Class"/>
    <x v="95"/>
    <s v="Logan Currie"/>
    <x v="0"/>
    <s v="United States"/>
    <s v="Cleveland"/>
    <x v="24"/>
    <n v="44105"/>
    <x v="3"/>
    <x v="313"/>
    <x v="1"/>
    <x v="6"/>
    <x v="313"/>
    <x v="233"/>
    <x v="8"/>
    <x v="3"/>
  </r>
  <r>
    <n v="7285"/>
    <x v="3620"/>
    <x v="428"/>
    <d v="2018-09-13T00:00:00"/>
    <s v="Standard Class"/>
    <x v="95"/>
    <s v="Logan Currie"/>
    <x v="0"/>
    <s v="United States"/>
    <s v="Cleveland"/>
    <x v="24"/>
    <n v="44105"/>
    <x v="3"/>
    <x v="479"/>
    <x v="0"/>
    <x v="5"/>
    <x v="480"/>
    <x v="516"/>
    <x v="8"/>
    <x v="3"/>
  </r>
  <r>
    <n v="7286"/>
    <x v="3621"/>
    <x v="336"/>
    <d v="2018-10-19T00:00:00"/>
    <s v="Standard Class"/>
    <x v="318"/>
    <s v="Berenike Kampe"/>
    <x v="0"/>
    <s v="United States"/>
    <s v="San Francisco"/>
    <x v="1"/>
    <n v="94110"/>
    <x v="1"/>
    <x v="567"/>
    <x v="2"/>
    <x v="11"/>
    <x v="567"/>
    <x v="4687"/>
    <x v="2"/>
    <x v="3"/>
  </r>
  <r>
    <n v="7287"/>
    <x v="3622"/>
    <x v="23"/>
    <d v="2017-06-25T00:00:00"/>
    <s v="Standard Class"/>
    <x v="740"/>
    <s v="Bill Shonely"/>
    <x v="1"/>
    <s v="United States"/>
    <s v="Oklahoma City"/>
    <x v="26"/>
    <n v="73120"/>
    <x v="2"/>
    <x v="1691"/>
    <x v="2"/>
    <x v="11"/>
    <x v="1679"/>
    <x v="2080"/>
    <x v="1"/>
    <x v="0"/>
  </r>
  <r>
    <n v="7288"/>
    <x v="3622"/>
    <x v="23"/>
    <d v="2017-06-25T00:00:00"/>
    <s v="Standard Class"/>
    <x v="740"/>
    <s v="Bill Shonely"/>
    <x v="1"/>
    <s v="United States"/>
    <s v="Oklahoma City"/>
    <x v="26"/>
    <n v="73120"/>
    <x v="2"/>
    <x v="1006"/>
    <x v="0"/>
    <x v="5"/>
    <x v="1381"/>
    <x v="2165"/>
    <x v="1"/>
    <x v="0"/>
  </r>
  <r>
    <n v="7289"/>
    <x v="3623"/>
    <x v="814"/>
    <d v="2015-09-07T00:00:00"/>
    <s v="Standard Class"/>
    <x v="132"/>
    <s v="Andy Gerbode"/>
    <x v="1"/>
    <s v="United States"/>
    <s v="Houston"/>
    <x v="5"/>
    <n v="77095"/>
    <x v="2"/>
    <x v="1389"/>
    <x v="2"/>
    <x v="15"/>
    <x v="1375"/>
    <x v="4688"/>
    <x v="8"/>
    <x v="2"/>
  </r>
  <r>
    <n v="7290"/>
    <x v="3624"/>
    <x v="806"/>
    <d v="2017-01-31T00:00:00"/>
    <s v="First Class"/>
    <x v="56"/>
    <s v="Steven Cartwright"/>
    <x v="0"/>
    <s v="United States"/>
    <s v="San Francisco"/>
    <x v="1"/>
    <n v="94122"/>
    <x v="1"/>
    <x v="298"/>
    <x v="1"/>
    <x v="4"/>
    <x v="298"/>
    <x v="2364"/>
    <x v="9"/>
    <x v="0"/>
  </r>
  <r>
    <n v="7291"/>
    <x v="3624"/>
    <x v="806"/>
    <d v="2017-01-31T00:00:00"/>
    <s v="First Class"/>
    <x v="56"/>
    <s v="Steven Cartwright"/>
    <x v="0"/>
    <s v="United States"/>
    <s v="San Francisco"/>
    <x v="1"/>
    <n v="94122"/>
    <x v="1"/>
    <x v="132"/>
    <x v="1"/>
    <x v="8"/>
    <x v="133"/>
    <x v="4689"/>
    <x v="9"/>
    <x v="0"/>
  </r>
  <r>
    <n v="7292"/>
    <x v="3624"/>
    <x v="806"/>
    <d v="2017-01-31T00:00:00"/>
    <s v="First Class"/>
    <x v="56"/>
    <s v="Steven Cartwright"/>
    <x v="0"/>
    <s v="United States"/>
    <s v="San Francisco"/>
    <x v="1"/>
    <n v="94122"/>
    <x v="1"/>
    <x v="264"/>
    <x v="1"/>
    <x v="2"/>
    <x v="264"/>
    <x v="4690"/>
    <x v="9"/>
    <x v="0"/>
  </r>
  <r>
    <n v="7293"/>
    <x v="3625"/>
    <x v="769"/>
    <d v="2018-12-09T00:00:00"/>
    <s v="Standard Class"/>
    <x v="235"/>
    <s v="Lena Radford"/>
    <x v="0"/>
    <s v="United States"/>
    <s v="Nashville"/>
    <x v="18"/>
    <n v="37211"/>
    <x v="0"/>
    <x v="1818"/>
    <x v="2"/>
    <x v="15"/>
    <x v="1787"/>
    <x v="4691"/>
    <x v="4"/>
    <x v="3"/>
  </r>
  <r>
    <n v="7294"/>
    <x v="3626"/>
    <x v="1156"/>
    <d v="2017-01-29T00:00:00"/>
    <s v="Standard Class"/>
    <x v="558"/>
    <s v="Christy Brittain"/>
    <x v="0"/>
    <s v="United States"/>
    <s v="Los Angeles"/>
    <x v="1"/>
    <n v="90036"/>
    <x v="1"/>
    <x v="1685"/>
    <x v="0"/>
    <x v="5"/>
    <x v="1673"/>
    <x v="4692"/>
    <x v="9"/>
    <x v="0"/>
  </r>
  <r>
    <n v="7295"/>
    <x v="3627"/>
    <x v="989"/>
    <d v="2016-05-31T00:00:00"/>
    <s v="Standard Class"/>
    <x v="76"/>
    <s v="Ruben Dartt"/>
    <x v="0"/>
    <s v="United States"/>
    <s v="Bellevue"/>
    <x v="4"/>
    <n v="98006"/>
    <x v="1"/>
    <x v="526"/>
    <x v="0"/>
    <x v="5"/>
    <x v="526"/>
    <x v="4693"/>
    <x v="5"/>
    <x v="1"/>
  </r>
  <r>
    <n v="7296"/>
    <x v="3628"/>
    <x v="417"/>
    <d v="2015-05-05T00:00:00"/>
    <s v="First Class"/>
    <x v="396"/>
    <s v="Nat Carroll"/>
    <x v="0"/>
    <s v="United States"/>
    <s v="Houston"/>
    <x v="5"/>
    <n v="77036"/>
    <x v="2"/>
    <x v="1559"/>
    <x v="1"/>
    <x v="6"/>
    <x v="1549"/>
    <x v="4694"/>
    <x v="5"/>
    <x v="2"/>
  </r>
  <r>
    <n v="7297"/>
    <x v="3628"/>
    <x v="417"/>
    <d v="2015-05-05T00:00:00"/>
    <s v="First Class"/>
    <x v="396"/>
    <s v="Nat Carroll"/>
    <x v="0"/>
    <s v="United States"/>
    <s v="Houston"/>
    <x v="5"/>
    <n v="77036"/>
    <x v="2"/>
    <x v="1705"/>
    <x v="1"/>
    <x v="13"/>
    <x v="1694"/>
    <x v="2984"/>
    <x v="5"/>
    <x v="2"/>
  </r>
  <r>
    <n v="7298"/>
    <x v="3629"/>
    <x v="1157"/>
    <d v="2016-02-14T00:00:00"/>
    <s v="Second Class"/>
    <x v="240"/>
    <s v="Nona Balk"/>
    <x v="1"/>
    <s v="United States"/>
    <s v="Philadelphia"/>
    <x v="9"/>
    <n v="19143"/>
    <x v="3"/>
    <x v="1220"/>
    <x v="1"/>
    <x v="4"/>
    <x v="1204"/>
    <x v="4695"/>
    <x v="11"/>
    <x v="1"/>
  </r>
  <r>
    <n v="7299"/>
    <x v="3630"/>
    <x v="728"/>
    <d v="2015-11-21T00:00:00"/>
    <s v="First Class"/>
    <x v="300"/>
    <s v="Joe Kamberova"/>
    <x v="0"/>
    <s v="United States"/>
    <s v="Des Plaines"/>
    <x v="10"/>
    <n v="60016"/>
    <x v="2"/>
    <x v="277"/>
    <x v="0"/>
    <x v="3"/>
    <x v="277"/>
    <x v="4696"/>
    <x v="0"/>
    <x v="2"/>
  </r>
  <r>
    <n v="7300"/>
    <x v="3630"/>
    <x v="728"/>
    <d v="2015-11-21T00:00:00"/>
    <s v="First Class"/>
    <x v="300"/>
    <s v="Joe Kamberova"/>
    <x v="0"/>
    <s v="United States"/>
    <s v="Des Plaines"/>
    <x v="10"/>
    <n v="60016"/>
    <x v="2"/>
    <x v="1445"/>
    <x v="0"/>
    <x v="5"/>
    <x v="1432"/>
    <x v="1076"/>
    <x v="0"/>
    <x v="2"/>
  </r>
  <r>
    <n v="7301"/>
    <x v="3630"/>
    <x v="728"/>
    <d v="2015-11-21T00:00:00"/>
    <s v="First Class"/>
    <x v="300"/>
    <s v="Joe Kamberova"/>
    <x v="0"/>
    <s v="United States"/>
    <s v="Des Plaines"/>
    <x v="10"/>
    <n v="60016"/>
    <x v="2"/>
    <x v="1659"/>
    <x v="0"/>
    <x v="0"/>
    <x v="1647"/>
    <x v="4697"/>
    <x v="0"/>
    <x v="2"/>
  </r>
  <r>
    <n v="7302"/>
    <x v="3630"/>
    <x v="728"/>
    <d v="2015-11-21T00:00:00"/>
    <s v="First Class"/>
    <x v="300"/>
    <s v="Joe Kamberova"/>
    <x v="0"/>
    <s v="United States"/>
    <s v="Des Plaines"/>
    <x v="10"/>
    <n v="60016"/>
    <x v="2"/>
    <x v="544"/>
    <x v="1"/>
    <x v="8"/>
    <x v="544"/>
    <x v="4698"/>
    <x v="0"/>
    <x v="2"/>
  </r>
  <r>
    <n v="7303"/>
    <x v="3630"/>
    <x v="728"/>
    <d v="2015-11-21T00:00:00"/>
    <s v="First Class"/>
    <x v="300"/>
    <s v="Joe Kamberova"/>
    <x v="0"/>
    <s v="United States"/>
    <s v="Des Plaines"/>
    <x v="10"/>
    <n v="60016"/>
    <x v="2"/>
    <x v="621"/>
    <x v="1"/>
    <x v="4"/>
    <x v="621"/>
    <x v="4699"/>
    <x v="0"/>
    <x v="2"/>
  </r>
  <r>
    <n v="7304"/>
    <x v="3631"/>
    <x v="507"/>
    <d v="2018-09-08T00:00:00"/>
    <s v="Standard Class"/>
    <x v="770"/>
    <s v="Doug O'Connell"/>
    <x v="0"/>
    <s v="United States"/>
    <s v="Boynton Beach"/>
    <x v="2"/>
    <n v="33437"/>
    <x v="0"/>
    <x v="163"/>
    <x v="0"/>
    <x v="1"/>
    <x v="164"/>
    <x v="2376"/>
    <x v="8"/>
    <x v="3"/>
  </r>
  <r>
    <n v="7305"/>
    <x v="3631"/>
    <x v="507"/>
    <d v="2018-09-08T00:00:00"/>
    <s v="Standard Class"/>
    <x v="770"/>
    <s v="Doug O'Connell"/>
    <x v="0"/>
    <s v="United States"/>
    <s v="Boynton Beach"/>
    <x v="2"/>
    <n v="33437"/>
    <x v="0"/>
    <x v="730"/>
    <x v="1"/>
    <x v="10"/>
    <x v="729"/>
    <x v="559"/>
    <x v="8"/>
    <x v="3"/>
  </r>
  <r>
    <n v="7306"/>
    <x v="3632"/>
    <x v="1158"/>
    <d v="2015-04-02T00:00:00"/>
    <s v="Standard Class"/>
    <x v="207"/>
    <s v="Mike Gockenbach"/>
    <x v="0"/>
    <s v="United States"/>
    <s v="Plano"/>
    <x v="5"/>
    <n v="75023"/>
    <x v="2"/>
    <x v="411"/>
    <x v="0"/>
    <x v="3"/>
    <x v="411"/>
    <x v="4700"/>
    <x v="10"/>
    <x v="2"/>
  </r>
  <r>
    <n v="7307"/>
    <x v="3633"/>
    <x v="732"/>
    <d v="2017-11-07T00:00:00"/>
    <s v="Second Class"/>
    <x v="109"/>
    <s v="Logan Haushalter"/>
    <x v="0"/>
    <s v="United States"/>
    <s v="San Jose"/>
    <x v="1"/>
    <n v="95123"/>
    <x v="1"/>
    <x v="1542"/>
    <x v="2"/>
    <x v="11"/>
    <x v="1530"/>
    <x v="2709"/>
    <x v="0"/>
    <x v="0"/>
  </r>
  <r>
    <n v="7308"/>
    <x v="3633"/>
    <x v="732"/>
    <d v="2017-11-07T00:00:00"/>
    <s v="Second Class"/>
    <x v="109"/>
    <s v="Logan Haushalter"/>
    <x v="0"/>
    <s v="United States"/>
    <s v="San Jose"/>
    <x v="1"/>
    <n v="95123"/>
    <x v="1"/>
    <x v="1459"/>
    <x v="0"/>
    <x v="1"/>
    <x v="1445"/>
    <x v="2369"/>
    <x v="0"/>
    <x v="0"/>
  </r>
  <r>
    <n v="7309"/>
    <x v="3633"/>
    <x v="732"/>
    <d v="2017-11-07T00:00:00"/>
    <s v="Second Class"/>
    <x v="109"/>
    <s v="Logan Haushalter"/>
    <x v="0"/>
    <s v="United States"/>
    <s v="San Jose"/>
    <x v="1"/>
    <n v="95123"/>
    <x v="1"/>
    <x v="439"/>
    <x v="1"/>
    <x v="12"/>
    <x v="439"/>
    <x v="3699"/>
    <x v="0"/>
    <x v="0"/>
  </r>
  <r>
    <n v="7310"/>
    <x v="3634"/>
    <x v="193"/>
    <d v="2018-06-14T00:00:00"/>
    <s v="Second Class"/>
    <x v="152"/>
    <s v="Muhammed MacIntyre"/>
    <x v="1"/>
    <s v="United States"/>
    <s v="New York City"/>
    <x v="15"/>
    <n v="10024"/>
    <x v="3"/>
    <x v="1217"/>
    <x v="1"/>
    <x v="13"/>
    <x v="1201"/>
    <x v="4701"/>
    <x v="1"/>
    <x v="3"/>
  </r>
  <r>
    <n v="7311"/>
    <x v="3635"/>
    <x v="544"/>
    <d v="2016-08-14T00:00:00"/>
    <s v="Standard Class"/>
    <x v="217"/>
    <s v="Bill Donatelli"/>
    <x v="0"/>
    <s v="United States"/>
    <s v="Detroit"/>
    <x v="12"/>
    <n v="48227"/>
    <x v="2"/>
    <x v="569"/>
    <x v="1"/>
    <x v="8"/>
    <x v="919"/>
    <x v="4702"/>
    <x v="6"/>
    <x v="1"/>
  </r>
  <r>
    <n v="7312"/>
    <x v="3636"/>
    <x v="330"/>
    <d v="2016-10-13T00:00:00"/>
    <s v="Standard Class"/>
    <x v="623"/>
    <s v="Sonia Cooley"/>
    <x v="0"/>
    <s v="United States"/>
    <s v="Miami"/>
    <x v="2"/>
    <n v="33178"/>
    <x v="0"/>
    <x v="744"/>
    <x v="1"/>
    <x v="8"/>
    <x v="742"/>
    <x v="1067"/>
    <x v="2"/>
    <x v="1"/>
  </r>
  <r>
    <n v="7313"/>
    <x v="3636"/>
    <x v="330"/>
    <d v="2016-10-13T00:00:00"/>
    <s v="Standard Class"/>
    <x v="623"/>
    <s v="Sonia Cooley"/>
    <x v="0"/>
    <s v="United States"/>
    <s v="Miami"/>
    <x v="2"/>
    <n v="33178"/>
    <x v="0"/>
    <x v="440"/>
    <x v="1"/>
    <x v="8"/>
    <x v="440"/>
    <x v="4703"/>
    <x v="2"/>
    <x v="1"/>
  </r>
  <r>
    <n v="7314"/>
    <x v="3636"/>
    <x v="330"/>
    <d v="2016-10-13T00:00:00"/>
    <s v="Standard Class"/>
    <x v="623"/>
    <s v="Sonia Cooley"/>
    <x v="0"/>
    <s v="United States"/>
    <s v="Miami"/>
    <x v="2"/>
    <n v="33178"/>
    <x v="0"/>
    <x v="1663"/>
    <x v="1"/>
    <x v="6"/>
    <x v="1651"/>
    <x v="1855"/>
    <x v="2"/>
    <x v="1"/>
  </r>
  <r>
    <n v="7315"/>
    <x v="3637"/>
    <x v="316"/>
    <d v="2017-06-02T00:00:00"/>
    <s v="Standard Class"/>
    <x v="184"/>
    <s v="Tanja Norvell"/>
    <x v="2"/>
    <s v="United States"/>
    <s v="Park Ridge"/>
    <x v="10"/>
    <n v="60068"/>
    <x v="2"/>
    <x v="1118"/>
    <x v="2"/>
    <x v="7"/>
    <x v="1106"/>
    <x v="4704"/>
    <x v="5"/>
    <x v="0"/>
  </r>
  <r>
    <n v="7316"/>
    <x v="3638"/>
    <x v="943"/>
    <d v="2018-05-16T00:00:00"/>
    <s v="Second Class"/>
    <x v="233"/>
    <s v="Zuschuss Carroll"/>
    <x v="0"/>
    <s v="United States"/>
    <s v="New York City"/>
    <x v="15"/>
    <n v="10024"/>
    <x v="3"/>
    <x v="1064"/>
    <x v="1"/>
    <x v="6"/>
    <x v="1053"/>
    <x v="2836"/>
    <x v="5"/>
    <x v="3"/>
  </r>
  <r>
    <n v="7317"/>
    <x v="3639"/>
    <x v="1159"/>
    <d v="2017-10-20T00:00:00"/>
    <s v="Standard Class"/>
    <x v="240"/>
    <s v="Nona Balk"/>
    <x v="1"/>
    <s v="United States"/>
    <s v="New York City"/>
    <x v="15"/>
    <n v="10011"/>
    <x v="3"/>
    <x v="10"/>
    <x v="0"/>
    <x v="3"/>
    <x v="10"/>
    <x v="4705"/>
    <x v="2"/>
    <x v="0"/>
  </r>
  <r>
    <n v="7318"/>
    <x v="3640"/>
    <x v="701"/>
    <d v="2018-11-21T00:00:00"/>
    <s v="Standard Class"/>
    <x v="542"/>
    <s v="Katharine Harms"/>
    <x v="1"/>
    <s v="United States"/>
    <s v="Hillsboro"/>
    <x v="21"/>
    <n v="97123"/>
    <x v="1"/>
    <x v="1795"/>
    <x v="1"/>
    <x v="10"/>
    <x v="1785"/>
    <x v="4706"/>
    <x v="0"/>
    <x v="3"/>
  </r>
  <r>
    <n v="7319"/>
    <x v="3640"/>
    <x v="701"/>
    <d v="2018-11-21T00:00:00"/>
    <s v="Standard Class"/>
    <x v="542"/>
    <s v="Katharine Harms"/>
    <x v="1"/>
    <s v="United States"/>
    <s v="Hillsboro"/>
    <x v="21"/>
    <n v="97123"/>
    <x v="1"/>
    <x v="922"/>
    <x v="1"/>
    <x v="8"/>
    <x v="914"/>
    <x v="4707"/>
    <x v="0"/>
    <x v="3"/>
  </r>
  <r>
    <n v="7320"/>
    <x v="3641"/>
    <x v="200"/>
    <d v="2018-11-29T00:00:00"/>
    <s v="Second Class"/>
    <x v="438"/>
    <s v="Michael Nguyen"/>
    <x v="0"/>
    <s v="United States"/>
    <s v="New York City"/>
    <x v="15"/>
    <n v="10009"/>
    <x v="3"/>
    <x v="966"/>
    <x v="2"/>
    <x v="7"/>
    <x v="1368"/>
    <x v="504"/>
    <x v="0"/>
    <x v="3"/>
  </r>
  <r>
    <n v="7321"/>
    <x v="3641"/>
    <x v="200"/>
    <d v="2018-11-29T00:00:00"/>
    <s v="Second Class"/>
    <x v="438"/>
    <s v="Michael Nguyen"/>
    <x v="0"/>
    <s v="United States"/>
    <s v="New York City"/>
    <x v="15"/>
    <n v="10009"/>
    <x v="3"/>
    <x v="1251"/>
    <x v="0"/>
    <x v="5"/>
    <x v="1235"/>
    <x v="4622"/>
    <x v="0"/>
    <x v="3"/>
  </r>
  <r>
    <n v="7322"/>
    <x v="3642"/>
    <x v="213"/>
    <d v="2018-09-07T00:00:00"/>
    <s v="Standard Class"/>
    <x v="501"/>
    <s v="Muhammed Yedwab"/>
    <x v="1"/>
    <s v="United States"/>
    <s v="Chicago"/>
    <x v="10"/>
    <n v="60623"/>
    <x v="2"/>
    <x v="1101"/>
    <x v="1"/>
    <x v="10"/>
    <x v="1090"/>
    <x v="821"/>
    <x v="8"/>
    <x v="3"/>
  </r>
  <r>
    <n v="7323"/>
    <x v="3642"/>
    <x v="213"/>
    <d v="2018-09-07T00:00:00"/>
    <s v="Standard Class"/>
    <x v="501"/>
    <s v="Muhammed Yedwab"/>
    <x v="1"/>
    <s v="United States"/>
    <s v="Chicago"/>
    <x v="10"/>
    <n v="60623"/>
    <x v="2"/>
    <x v="725"/>
    <x v="2"/>
    <x v="11"/>
    <x v="724"/>
    <x v="4470"/>
    <x v="8"/>
    <x v="3"/>
  </r>
  <r>
    <n v="7324"/>
    <x v="3643"/>
    <x v="256"/>
    <d v="2018-12-08T00:00:00"/>
    <s v="First Class"/>
    <x v="229"/>
    <s v="Carlos Soltero"/>
    <x v="0"/>
    <s v="United States"/>
    <s v="New York City"/>
    <x v="15"/>
    <n v="10024"/>
    <x v="3"/>
    <x v="107"/>
    <x v="0"/>
    <x v="5"/>
    <x v="107"/>
    <x v="108"/>
    <x v="4"/>
    <x v="3"/>
  </r>
  <r>
    <n v="7325"/>
    <x v="3643"/>
    <x v="256"/>
    <d v="2018-12-08T00:00:00"/>
    <s v="First Class"/>
    <x v="229"/>
    <s v="Carlos Soltero"/>
    <x v="0"/>
    <s v="United States"/>
    <s v="New York City"/>
    <x v="15"/>
    <n v="10024"/>
    <x v="3"/>
    <x v="365"/>
    <x v="1"/>
    <x v="2"/>
    <x v="365"/>
    <x v="1227"/>
    <x v="4"/>
    <x v="3"/>
  </r>
  <r>
    <n v="7326"/>
    <x v="3644"/>
    <x v="468"/>
    <d v="2018-11-17T00:00:00"/>
    <s v="Standard Class"/>
    <x v="266"/>
    <s v="Michael Chen"/>
    <x v="0"/>
    <s v="United States"/>
    <s v="Pasco"/>
    <x v="4"/>
    <n v="99301"/>
    <x v="1"/>
    <x v="1317"/>
    <x v="1"/>
    <x v="9"/>
    <x v="1303"/>
    <x v="4708"/>
    <x v="0"/>
    <x v="3"/>
  </r>
  <r>
    <n v="7327"/>
    <x v="3644"/>
    <x v="468"/>
    <d v="2018-11-17T00:00:00"/>
    <s v="Standard Class"/>
    <x v="266"/>
    <s v="Michael Chen"/>
    <x v="0"/>
    <s v="United States"/>
    <s v="Pasco"/>
    <x v="4"/>
    <n v="99301"/>
    <x v="1"/>
    <x v="379"/>
    <x v="1"/>
    <x v="8"/>
    <x v="380"/>
    <x v="4709"/>
    <x v="0"/>
    <x v="3"/>
  </r>
  <r>
    <n v="7328"/>
    <x v="3645"/>
    <x v="772"/>
    <d v="2015-03-24T00:00:00"/>
    <s v="Standard Class"/>
    <x v="337"/>
    <s v="Sample Company A"/>
    <x v="2"/>
    <s v="United States"/>
    <s v="Burbank"/>
    <x v="1"/>
    <n v="91505"/>
    <x v="1"/>
    <x v="1281"/>
    <x v="0"/>
    <x v="5"/>
    <x v="1266"/>
    <x v="4710"/>
    <x v="10"/>
    <x v="2"/>
  </r>
  <r>
    <n v="7329"/>
    <x v="3645"/>
    <x v="772"/>
    <d v="2015-03-24T00:00:00"/>
    <s v="Standard Class"/>
    <x v="337"/>
    <s v="Sample Company A"/>
    <x v="2"/>
    <s v="United States"/>
    <s v="Burbank"/>
    <x v="1"/>
    <n v="91505"/>
    <x v="1"/>
    <x v="206"/>
    <x v="2"/>
    <x v="15"/>
    <x v="207"/>
    <x v="4711"/>
    <x v="10"/>
    <x v="2"/>
  </r>
  <r>
    <n v="7330"/>
    <x v="3645"/>
    <x v="772"/>
    <d v="2015-03-24T00:00:00"/>
    <s v="Standard Class"/>
    <x v="337"/>
    <s v="Sample Company A"/>
    <x v="2"/>
    <s v="United States"/>
    <s v="Burbank"/>
    <x v="1"/>
    <n v="91505"/>
    <x v="1"/>
    <x v="1244"/>
    <x v="1"/>
    <x v="4"/>
    <x v="1227"/>
    <x v="4712"/>
    <x v="10"/>
    <x v="2"/>
  </r>
  <r>
    <n v="7331"/>
    <x v="3646"/>
    <x v="396"/>
    <d v="2017-11-13T00:00:00"/>
    <s v="First Class"/>
    <x v="70"/>
    <s v="Stephanie Phelps"/>
    <x v="1"/>
    <s v="United States"/>
    <s v="Chicago"/>
    <x v="10"/>
    <n v="60623"/>
    <x v="2"/>
    <x v="1183"/>
    <x v="0"/>
    <x v="5"/>
    <x v="1169"/>
    <x v="4713"/>
    <x v="0"/>
    <x v="0"/>
  </r>
  <r>
    <n v="7332"/>
    <x v="3647"/>
    <x v="40"/>
    <d v="2018-10-30T00:00:00"/>
    <s v="Standard Class"/>
    <x v="464"/>
    <s v="Shaun Chance"/>
    <x v="1"/>
    <s v="United States"/>
    <s v="Lancaster"/>
    <x v="9"/>
    <n v="17602"/>
    <x v="3"/>
    <x v="239"/>
    <x v="2"/>
    <x v="7"/>
    <x v="240"/>
    <x v="4714"/>
    <x v="2"/>
    <x v="3"/>
  </r>
  <r>
    <n v="7333"/>
    <x v="3647"/>
    <x v="40"/>
    <d v="2018-10-30T00:00:00"/>
    <s v="Standard Class"/>
    <x v="464"/>
    <s v="Shaun Chance"/>
    <x v="1"/>
    <s v="United States"/>
    <s v="Lancaster"/>
    <x v="9"/>
    <n v="17602"/>
    <x v="3"/>
    <x v="1561"/>
    <x v="1"/>
    <x v="8"/>
    <x v="1551"/>
    <x v="4715"/>
    <x v="2"/>
    <x v="3"/>
  </r>
  <r>
    <n v="7334"/>
    <x v="3648"/>
    <x v="347"/>
    <d v="2016-04-17T00:00:00"/>
    <s v="Standard Class"/>
    <x v="701"/>
    <s v="Patrick Ryan"/>
    <x v="0"/>
    <s v="United States"/>
    <s v="Tampa"/>
    <x v="2"/>
    <n v="33614"/>
    <x v="0"/>
    <x v="451"/>
    <x v="0"/>
    <x v="5"/>
    <x v="452"/>
    <x v="4716"/>
    <x v="3"/>
    <x v="1"/>
  </r>
  <r>
    <n v="7335"/>
    <x v="3648"/>
    <x v="347"/>
    <d v="2016-04-17T00:00:00"/>
    <s v="Standard Class"/>
    <x v="701"/>
    <s v="Patrick Ryan"/>
    <x v="0"/>
    <s v="United States"/>
    <s v="Tampa"/>
    <x v="2"/>
    <n v="33614"/>
    <x v="0"/>
    <x v="205"/>
    <x v="0"/>
    <x v="5"/>
    <x v="206"/>
    <x v="4717"/>
    <x v="3"/>
    <x v="1"/>
  </r>
  <r>
    <n v="7336"/>
    <x v="3649"/>
    <x v="707"/>
    <d v="2016-12-30T00:00:00"/>
    <s v="Standard Class"/>
    <x v="600"/>
    <s v="Jim Karlsson"/>
    <x v="0"/>
    <s v="United States"/>
    <s v="New York City"/>
    <x v="15"/>
    <n v="10024"/>
    <x v="3"/>
    <x v="695"/>
    <x v="2"/>
    <x v="11"/>
    <x v="1062"/>
    <x v="3892"/>
    <x v="4"/>
    <x v="1"/>
  </r>
  <r>
    <n v="7337"/>
    <x v="3649"/>
    <x v="707"/>
    <d v="2016-12-30T00:00:00"/>
    <s v="Standard Class"/>
    <x v="600"/>
    <s v="Jim Karlsson"/>
    <x v="0"/>
    <s v="United States"/>
    <s v="New York City"/>
    <x v="15"/>
    <n v="10024"/>
    <x v="3"/>
    <x v="178"/>
    <x v="0"/>
    <x v="0"/>
    <x v="179"/>
    <x v="4718"/>
    <x v="4"/>
    <x v="1"/>
  </r>
  <r>
    <n v="7338"/>
    <x v="3650"/>
    <x v="296"/>
    <d v="2018-09-23T00:00:00"/>
    <s v="First Class"/>
    <x v="606"/>
    <s v="Brendan Murry"/>
    <x v="1"/>
    <s v="United States"/>
    <s v="Los Angeles"/>
    <x v="1"/>
    <n v="90045"/>
    <x v="1"/>
    <x v="1018"/>
    <x v="1"/>
    <x v="4"/>
    <x v="1519"/>
    <x v="4542"/>
    <x v="8"/>
    <x v="3"/>
  </r>
  <r>
    <n v="7339"/>
    <x v="3651"/>
    <x v="414"/>
    <d v="2015-12-23T00:00:00"/>
    <s v="Second Class"/>
    <x v="416"/>
    <s v="Suzanne McNair"/>
    <x v="1"/>
    <s v="United States"/>
    <s v="New York City"/>
    <x v="15"/>
    <n v="10035"/>
    <x v="3"/>
    <x v="1459"/>
    <x v="0"/>
    <x v="1"/>
    <x v="1445"/>
    <x v="4719"/>
    <x v="4"/>
    <x v="2"/>
  </r>
  <r>
    <n v="7340"/>
    <x v="3652"/>
    <x v="1074"/>
    <d v="2016-07-21T00:00:00"/>
    <s v="First Class"/>
    <x v="346"/>
    <s v="Karen Carlisle"/>
    <x v="1"/>
    <s v="United States"/>
    <s v="New York City"/>
    <x v="15"/>
    <n v="10009"/>
    <x v="3"/>
    <x v="649"/>
    <x v="1"/>
    <x v="6"/>
    <x v="649"/>
    <x v="1755"/>
    <x v="7"/>
    <x v="1"/>
  </r>
  <r>
    <n v="7341"/>
    <x v="3653"/>
    <x v="711"/>
    <d v="2015-08-01T00:00:00"/>
    <s v="Standard Class"/>
    <x v="495"/>
    <s v="Sheri Gordon"/>
    <x v="0"/>
    <s v="United States"/>
    <s v="Atlanta"/>
    <x v="32"/>
    <n v="30318"/>
    <x v="0"/>
    <x v="1272"/>
    <x v="0"/>
    <x v="1"/>
    <x v="1257"/>
    <x v="4720"/>
    <x v="7"/>
    <x v="2"/>
  </r>
  <r>
    <n v="7342"/>
    <x v="3653"/>
    <x v="711"/>
    <d v="2015-08-01T00:00:00"/>
    <s v="Standard Class"/>
    <x v="495"/>
    <s v="Sheri Gordon"/>
    <x v="0"/>
    <s v="United States"/>
    <s v="Atlanta"/>
    <x v="32"/>
    <n v="30318"/>
    <x v="0"/>
    <x v="49"/>
    <x v="1"/>
    <x v="2"/>
    <x v="49"/>
    <x v="4721"/>
    <x v="7"/>
    <x v="2"/>
  </r>
  <r>
    <n v="7343"/>
    <x v="3653"/>
    <x v="711"/>
    <d v="2015-08-01T00:00:00"/>
    <s v="Standard Class"/>
    <x v="495"/>
    <s v="Sheri Gordon"/>
    <x v="0"/>
    <s v="United States"/>
    <s v="Atlanta"/>
    <x v="32"/>
    <n v="30318"/>
    <x v="0"/>
    <x v="1685"/>
    <x v="0"/>
    <x v="5"/>
    <x v="1673"/>
    <x v="3462"/>
    <x v="7"/>
    <x v="2"/>
  </r>
  <r>
    <n v="7344"/>
    <x v="3654"/>
    <x v="58"/>
    <d v="2016-01-01T00:00:00"/>
    <s v="Standard Class"/>
    <x v="14"/>
    <s v="Tracy Blumstein"/>
    <x v="0"/>
    <s v="United States"/>
    <s v="New York City"/>
    <x v="15"/>
    <n v="10009"/>
    <x v="3"/>
    <x v="911"/>
    <x v="1"/>
    <x v="4"/>
    <x v="903"/>
    <x v="1616"/>
    <x v="4"/>
    <x v="2"/>
  </r>
  <r>
    <n v="7345"/>
    <x v="3655"/>
    <x v="157"/>
    <d v="2018-12-17T00:00:00"/>
    <s v="Standard Class"/>
    <x v="1"/>
    <s v="Darrin Van Huff"/>
    <x v="1"/>
    <s v="United States"/>
    <s v="Jacksonville"/>
    <x v="2"/>
    <n v="32216"/>
    <x v="0"/>
    <x v="188"/>
    <x v="0"/>
    <x v="3"/>
    <x v="189"/>
    <x v="4722"/>
    <x v="4"/>
    <x v="3"/>
  </r>
  <r>
    <n v="7346"/>
    <x v="3655"/>
    <x v="157"/>
    <d v="2018-12-17T00:00:00"/>
    <s v="Standard Class"/>
    <x v="1"/>
    <s v="Darrin Van Huff"/>
    <x v="1"/>
    <s v="United States"/>
    <s v="Jacksonville"/>
    <x v="2"/>
    <n v="32216"/>
    <x v="0"/>
    <x v="461"/>
    <x v="2"/>
    <x v="7"/>
    <x v="462"/>
    <x v="4723"/>
    <x v="4"/>
    <x v="3"/>
  </r>
  <r>
    <n v="7347"/>
    <x v="3655"/>
    <x v="157"/>
    <d v="2018-12-17T00:00:00"/>
    <s v="Standard Class"/>
    <x v="1"/>
    <s v="Darrin Van Huff"/>
    <x v="1"/>
    <s v="United States"/>
    <s v="Jacksonville"/>
    <x v="2"/>
    <n v="32216"/>
    <x v="0"/>
    <x v="207"/>
    <x v="1"/>
    <x v="6"/>
    <x v="208"/>
    <x v="4724"/>
    <x v="4"/>
    <x v="3"/>
  </r>
  <r>
    <n v="7348"/>
    <x v="3655"/>
    <x v="157"/>
    <d v="2018-12-17T00:00:00"/>
    <s v="Standard Class"/>
    <x v="1"/>
    <s v="Darrin Van Huff"/>
    <x v="1"/>
    <s v="United States"/>
    <s v="Jacksonville"/>
    <x v="2"/>
    <n v="32216"/>
    <x v="0"/>
    <x v="405"/>
    <x v="0"/>
    <x v="1"/>
    <x v="406"/>
    <x v="1445"/>
    <x v="4"/>
    <x v="3"/>
  </r>
  <r>
    <n v="7349"/>
    <x v="3656"/>
    <x v="223"/>
    <d v="2015-03-07T00:00:00"/>
    <s v="Standard Class"/>
    <x v="710"/>
    <s v="Sam Craven"/>
    <x v="0"/>
    <s v="United States"/>
    <s v="Houston"/>
    <x v="5"/>
    <n v="77095"/>
    <x v="2"/>
    <x v="1218"/>
    <x v="1"/>
    <x v="9"/>
    <x v="1202"/>
    <x v="4725"/>
    <x v="10"/>
    <x v="2"/>
  </r>
  <r>
    <n v="7350"/>
    <x v="3657"/>
    <x v="208"/>
    <d v="2018-10-27T00:00:00"/>
    <s v="Standard Class"/>
    <x v="80"/>
    <s v="Jennifer Braxton"/>
    <x v="1"/>
    <s v="United States"/>
    <s v="Milwaukee"/>
    <x v="6"/>
    <n v="53209"/>
    <x v="2"/>
    <x v="625"/>
    <x v="1"/>
    <x v="8"/>
    <x v="625"/>
    <x v="1109"/>
    <x v="2"/>
    <x v="3"/>
  </r>
  <r>
    <n v="7351"/>
    <x v="3657"/>
    <x v="208"/>
    <d v="2018-10-27T00:00:00"/>
    <s v="Standard Class"/>
    <x v="80"/>
    <s v="Jennifer Braxton"/>
    <x v="1"/>
    <s v="United States"/>
    <s v="Milwaukee"/>
    <x v="6"/>
    <n v="53209"/>
    <x v="2"/>
    <x v="236"/>
    <x v="1"/>
    <x v="8"/>
    <x v="237"/>
    <x v="4726"/>
    <x v="2"/>
    <x v="3"/>
  </r>
  <r>
    <n v="7352"/>
    <x v="3658"/>
    <x v="468"/>
    <d v="2018-11-16T00:00:00"/>
    <s v="Standard Class"/>
    <x v="485"/>
    <s v="Gary Hwang"/>
    <x v="0"/>
    <s v="United States"/>
    <s v="Modesto"/>
    <x v="1"/>
    <n v="95351"/>
    <x v="1"/>
    <x v="404"/>
    <x v="2"/>
    <x v="11"/>
    <x v="405"/>
    <x v="1800"/>
    <x v="0"/>
    <x v="3"/>
  </r>
  <r>
    <n v="7353"/>
    <x v="3659"/>
    <x v="633"/>
    <d v="2018-03-18T00:00:00"/>
    <s v="Second Class"/>
    <x v="377"/>
    <s v="Matthew Grinstein"/>
    <x v="2"/>
    <s v="United States"/>
    <s v="Lakewood"/>
    <x v="24"/>
    <n v="44107"/>
    <x v="3"/>
    <x v="918"/>
    <x v="2"/>
    <x v="7"/>
    <x v="910"/>
    <x v="4727"/>
    <x v="10"/>
    <x v="3"/>
  </r>
  <r>
    <n v="7354"/>
    <x v="3660"/>
    <x v="897"/>
    <d v="2017-09-29T00:00:00"/>
    <s v="Standard Class"/>
    <x v="372"/>
    <s v="Robert Dilbeck"/>
    <x v="2"/>
    <s v="United States"/>
    <s v="Philadelphia"/>
    <x v="9"/>
    <n v="19134"/>
    <x v="3"/>
    <x v="617"/>
    <x v="1"/>
    <x v="2"/>
    <x v="617"/>
    <x v="1045"/>
    <x v="8"/>
    <x v="0"/>
  </r>
  <r>
    <n v="7355"/>
    <x v="3661"/>
    <x v="695"/>
    <d v="2018-02-13T00:00:00"/>
    <s v="Standard Class"/>
    <x v="381"/>
    <s v="Skye Norling"/>
    <x v="2"/>
    <s v="United States"/>
    <s v="San Francisco"/>
    <x v="1"/>
    <n v="94109"/>
    <x v="1"/>
    <x v="1774"/>
    <x v="1"/>
    <x v="10"/>
    <x v="1764"/>
    <x v="2680"/>
    <x v="11"/>
    <x v="3"/>
  </r>
  <r>
    <n v="7356"/>
    <x v="3662"/>
    <x v="620"/>
    <d v="2017-01-02T00:00:00"/>
    <s v="Second Class"/>
    <x v="706"/>
    <s v="Anna Häberlin"/>
    <x v="1"/>
    <s v="United States"/>
    <s v="Detroit"/>
    <x v="12"/>
    <n v="48205"/>
    <x v="2"/>
    <x v="939"/>
    <x v="1"/>
    <x v="8"/>
    <x v="932"/>
    <x v="4728"/>
    <x v="4"/>
    <x v="1"/>
  </r>
  <r>
    <n v="7357"/>
    <x v="3663"/>
    <x v="790"/>
    <d v="2017-10-14T00:00:00"/>
    <s v="Standard Class"/>
    <x v="595"/>
    <s v="Maria Zettner"/>
    <x v="2"/>
    <s v="United States"/>
    <s v="Phoenix"/>
    <x v="16"/>
    <n v="85023"/>
    <x v="1"/>
    <x v="1039"/>
    <x v="1"/>
    <x v="6"/>
    <x v="1029"/>
    <x v="4729"/>
    <x v="2"/>
    <x v="0"/>
  </r>
  <r>
    <n v="7358"/>
    <x v="3663"/>
    <x v="790"/>
    <d v="2017-10-14T00:00:00"/>
    <s v="Standard Class"/>
    <x v="595"/>
    <s v="Maria Zettner"/>
    <x v="2"/>
    <s v="United States"/>
    <s v="Phoenix"/>
    <x v="16"/>
    <n v="85023"/>
    <x v="1"/>
    <x v="1060"/>
    <x v="0"/>
    <x v="5"/>
    <x v="1049"/>
    <x v="4730"/>
    <x v="2"/>
    <x v="0"/>
  </r>
  <r>
    <n v="7359"/>
    <x v="3664"/>
    <x v="125"/>
    <d v="2016-01-03T00:00:00"/>
    <s v="Second Class"/>
    <x v="753"/>
    <s v="Alex Russell"/>
    <x v="1"/>
    <s v="United States"/>
    <s v="Philadelphia"/>
    <x v="9"/>
    <n v="19143"/>
    <x v="3"/>
    <x v="599"/>
    <x v="2"/>
    <x v="7"/>
    <x v="599"/>
    <x v="4731"/>
    <x v="4"/>
    <x v="2"/>
  </r>
  <r>
    <n v="7360"/>
    <x v="3664"/>
    <x v="125"/>
    <d v="2016-01-03T00:00:00"/>
    <s v="Second Class"/>
    <x v="753"/>
    <s v="Alex Russell"/>
    <x v="1"/>
    <s v="United States"/>
    <s v="Philadelphia"/>
    <x v="9"/>
    <n v="19143"/>
    <x v="3"/>
    <x v="309"/>
    <x v="0"/>
    <x v="3"/>
    <x v="309"/>
    <x v="2901"/>
    <x v="4"/>
    <x v="2"/>
  </r>
  <r>
    <n v="7361"/>
    <x v="3665"/>
    <x v="408"/>
    <d v="2017-04-14T00:00:00"/>
    <s v="First Class"/>
    <x v="639"/>
    <s v="Jason Fortune-"/>
    <x v="0"/>
    <s v="United States"/>
    <s v="Los Angeles"/>
    <x v="1"/>
    <n v="90036"/>
    <x v="1"/>
    <x v="1145"/>
    <x v="1"/>
    <x v="10"/>
    <x v="1133"/>
    <x v="537"/>
    <x v="3"/>
    <x v="0"/>
  </r>
  <r>
    <n v="7362"/>
    <x v="3665"/>
    <x v="408"/>
    <d v="2017-04-14T00:00:00"/>
    <s v="First Class"/>
    <x v="639"/>
    <s v="Jason Fortune-"/>
    <x v="0"/>
    <s v="United States"/>
    <s v="Los Angeles"/>
    <x v="1"/>
    <n v="90036"/>
    <x v="1"/>
    <x v="405"/>
    <x v="0"/>
    <x v="1"/>
    <x v="406"/>
    <x v="4732"/>
    <x v="3"/>
    <x v="0"/>
  </r>
  <r>
    <n v="7363"/>
    <x v="3665"/>
    <x v="408"/>
    <d v="2017-04-14T00:00:00"/>
    <s v="First Class"/>
    <x v="639"/>
    <s v="Jason Fortune-"/>
    <x v="0"/>
    <s v="United States"/>
    <s v="Los Angeles"/>
    <x v="1"/>
    <n v="90036"/>
    <x v="1"/>
    <x v="785"/>
    <x v="1"/>
    <x v="8"/>
    <x v="784"/>
    <x v="933"/>
    <x v="3"/>
    <x v="0"/>
  </r>
  <r>
    <n v="7364"/>
    <x v="3666"/>
    <x v="85"/>
    <d v="2017-12-04T00:00:00"/>
    <s v="Standard Class"/>
    <x v="103"/>
    <s v="David Smith"/>
    <x v="1"/>
    <s v="United States"/>
    <s v="Philadelphia"/>
    <x v="9"/>
    <n v="19140"/>
    <x v="3"/>
    <x v="867"/>
    <x v="2"/>
    <x v="7"/>
    <x v="861"/>
    <x v="4733"/>
    <x v="0"/>
    <x v="0"/>
  </r>
  <r>
    <n v="7365"/>
    <x v="3666"/>
    <x v="85"/>
    <d v="2017-12-04T00:00:00"/>
    <s v="Standard Class"/>
    <x v="103"/>
    <s v="David Smith"/>
    <x v="1"/>
    <s v="United States"/>
    <s v="Philadelphia"/>
    <x v="9"/>
    <n v="19140"/>
    <x v="3"/>
    <x v="1239"/>
    <x v="1"/>
    <x v="13"/>
    <x v="1222"/>
    <x v="2485"/>
    <x v="0"/>
    <x v="0"/>
  </r>
  <r>
    <n v="7366"/>
    <x v="3666"/>
    <x v="85"/>
    <d v="2017-12-04T00:00:00"/>
    <s v="Standard Class"/>
    <x v="103"/>
    <s v="David Smith"/>
    <x v="1"/>
    <s v="United States"/>
    <s v="Philadelphia"/>
    <x v="9"/>
    <n v="19140"/>
    <x v="3"/>
    <x v="1426"/>
    <x v="1"/>
    <x v="8"/>
    <x v="1414"/>
    <x v="4734"/>
    <x v="0"/>
    <x v="0"/>
  </r>
  <r>
    <n v="7367"/>
    <x v="3666"/>
    <x v="85"/>
    <d v="2017-12-04T00:00:00"/>
    <s v="Standard Class"/>
    <x v="103"/>
    <s v="David Smith"/>
    <x v="1"/>
    <s v="United States"/>
    <s v="Philadelphia"/>
    <x v="9"/>
    <n v="19140"/>
    <x v="3"/>
    <x v="1512"/>
    <x v="1"/>
    <x v="4"/>
    <x v="1499"/>
    <x v="2546"/>
    <x v="0"/>
    <x v="0"/>
  </r>
  <r>
    <n v="7368"/>
    <x v="3666"/>
    <x v="85"/>
    <d v="2017-12-04T00:00:00"/>
    <s v="Standard Class"/>
    <x v="103"/>
    <s v="David Smith"/>
    <x v="1"/>
    <s v="United States"/>
    <s v="Philadelphia"/>
    <x v="9"/>
    <n v="19140"/>
    <x v="3"/>
    <x v="474"/>
    <x v="0"/>
    <x v="1"/>
    <x v="475"/>
    <x v="2493"/>
    <x v="0"/>
    <x v="0"/>
  </r>
  <r>
    <n v="7369"/>
    <x v="3667"/>
    <x v="4"/>
    <d v="2018-04-17T00:00:00"/>
    <s v="First Class"/>
    <x v="162"/>
    <s v="Bart Pistole"/>
    <x v="1"/>
    <s v="United States"/>
    <s v="Miami"/>
    <x v="2"/>
    <n v="33180"/>
    <x v="0"/>
    <x v="68"/>
    <x v="1"/>
    <x v="8"/>
    <x v="1453"/>
    <x v="4735"/>
    <x v="3"/>
    <x v="3"/>
  </r>
  <r>
    <n v="7370"/>
    <x v="3668"/>
    <x v="1000"/>
    <d v="2016-03-11T00:00:00"/>
    <s v="Second Class"/>
    <x v="592"/>
    <s v="Toby Gnade"/>
    <x v="0"/>
    <s v="United States"/>
    <s v="Raleigh"/>
    <x v="3"/>
    <n v="27604"/>
    <x v="0"/>
    <x v="782"/>
    <x v="1"/>
    <x v="2"/>
    <x v="781"/>
    <x v="871"/>
    <x v="10"/>
    <x v="1"/>
  </r>
  <r>
    <n v="7371"/>
    <x v="3669"/>
    <x v="919"/>
    <d v="2015-11-01T00:00:00"/>
    <s v="Standard Class"/>
    <x v="387"/>
    <s v="Bill Tyler"/>
    <x v="1"/>
    <s v="United States"/>
    <s v="Garden City"/>
    <x v="41"/>
    <n v="67846"/>
    <x v="2"/>
    <x v="957"/>
    <x v="2"/>
    <x v="7"/>
    <x v="950"/>
    <x v="2018"/>
    <x v="2"/>
    <x v="2"/>
  </r>
  <r>
    <n v="7372"/>
    <x v="3670"/>
    <x v="363"/>
    <d v="2018-01-09T00:00:00"/>
    <s v="Second Class"/>
    <x v="440"/>
    <s v="Jamie Frazer"/>
    <x v="0"/>
    <s v="United States"/>
    <s v="Long Beach"/>
    <x v="1"/>
    <n v="90805"/>
    <x v="1"/>
    <x v="4"/>
    <x v="1"/>
    <x v="4"/>
    <x v="4"/>
    <x v="4736"/>
    <x v="9"/>
    <x v="3"/>
  </r>
  <r>
    <n v="7373"/>
    <x v="3670"/>
    <x v="363"/>
    <d v="2018-01-09T00:00:00"/>
    <s v="Second Class"/>
    <x v="440"/>
    <s v="Jamie Frazer"/>
    <x v="0"/>
    <s v="United States"/>
    <s v="Long Beach"/>
    <x v="1"/>
    <n v="90805"/>
    <x v="1"/>
    <x v="1512"/>
    <x v="1"/>
    <x v="4"/>
    <x v="1499"/>
    <x v="4737"/>
    <x v="9"/>
    <x v="3"/>
  </r>
  <r>
    <n v="7374"/>
    <x v="3670"/>
    <x v="363"/>
    <d v="2018-01-09T00:00:00"/>
    <s v="Second Class"/>
    <x v="440"/>
    <s v="Jamie Frazer"/>
    <x v="0"/>
    <s v="United States"/>
    <s v="Long Beach"/>
    <x v="1"/>
    <n v="90805"/>
    <x v="1"/>
    <x v="1799"/>
    <x v="1"/>
    <x v="14"/>
    <x v="1789"/>
    <x v="4738"/>
    <x v="9"/>
    <x v="3"/>
  </r>
  <r>
    <n v="7375"/>
    <x v="3670"/>
    <x v="363"/>
    <d v="2018-01-09T00:00:00"/>
    <s v="Second Class"/>
    <x v="440"/>
    <s v="Jamie Frazer"/>
    <x v="0"/>
    <s v="United States"/>
    <s v="Long Beach"/>
    <x v="1"/>
    <n v="90805"/>
    <x v="1"/>
    <x v="550"/>
    <x v="1"/>
    <x v="13"/>
    <x v="128"/>
    <x v="2766"/>
    <x v="9"/>
    <x v="3"/>
  </r>
  <r>
    <n v="7376"/>
    <x v="3671"/>
    <x v="802"/>
    <d v="2018-08-20T00:00:00"/>
    <s v="Standard Class"/>
    <x v="149"/>
    <s v="Michael Kennedy"/>
    <x v="1"/>
    <s v="United States"/>
    <s v="San Diego"/>
    <x v="1"/>
    <n v="92037"/>
    <x v="1"/>
    <x v="491"/>
    <x v="1"/>
    <x v="8"/>
    <x v="491"/>
    <x v="4739"/>
    <x v="6"/>
    <x v="3"/>
  </r>
  <r>
    <n v="7377"/>
    <x v="3672"/>
    <x v="808"/>
    <d v="2018-11-05T00:00:00"/>
    <s v="First Class"/>
    <x v="55"/>
    <s v="Greg Guthrie"/>
    <x v="1"/>
    <s v="United States"/>
    <s v="Bloomington"/>
    <x v="10"/>
    <n v="61701"/>
    <x v="2"/>
    <x v="207"/>
    <x v="1"/>
    <x v="6"/>
    <x v="208"/>
    <x v="4740"/>
    <x v="0"/>
    <x v="3"/>
  </r>
  <r>
    <n v="7378"/>
    <x v="3673"/>
    <x v="111"/>
    <d v="2015-09-23T00:00:00"/>
    <s v="Standard Class"/>
    <x v="305"/>
    <s v="Mike Caudle"/>
    <x v="1"/>
    <s v="United States"/>
    <s v="Seattle"/>
    <x v="4"/>
    <n v="98115"/>
    <x v="1"/>
    <x v="421"/>
    <x v="1"/>
    <x v="4"/>
    <x v="421"/>
    <x v="448"/>
    <x v="8"/>
    <x v="2"/>
  </r>
  <r>
    <n v="7379"/>
    <x v="3674"/>
    <x v="70"/>
    <d v="2016-05-31T00:00:00"/>
    <s v="Same Day"/>
    <x v="761"/>
    <s v="Muhammed Lee"/>
    <x v="0"/>
    <s v="United States"/>
    <s v="Fayetteville"/>
    <x v="3"/>
    <n v="28314"/>
    <x v="0"/>
    <x v="1046"/>
    <x v="1"/>
    <x v="6"/>
    <x v="1035"/>
    <x v="1495"/>
    <x v="5"/>
    <x v="1"/>
  </r>
  <r>
    <n v="7380"/>
    <x v="3675"/>
    <x v="1160"/>
    <d v="2017-09-18T00:00:00"/>
    <s v="Standard Class"/>
    <x v="8"/>
    <s v="Alejandro Grove"/>
    <x v="0"/>
    <s v="United States"/>
    <s v="Omaha"/>
    <x v="8"/>
    <n v="68104"/>
    <x v="2"/>
    <x v="1033"/>
    <x v="1"/>
    <x v="4"/>
    <x v="1024"/>
    <x v="1344"/>
    <x v="8"/>
    <x v="0"/>
  </r>
  <r>
    <n v="7381"/>
    <x v="3675"/>
    <x v="1160"/>
    <d v="2017-09-18T00:00:00"/>
    <s v="Standard Class"/>
    <x v="8"/>
    <s v="Alejandro Grove"/>
    <x v="0"/>
    <s v="United States"/>
    <s v="Omaha"/>
    <x v="8"/>
    <n v="68104"/>
    <x v="2"/>
    <x v="1363"/>
    <x v="1"/>
    <x v="2"/>
    <x v="1349"/>
    <x v="928"/>
    <x v="8"/>
    <x v="0"/>
  </r>
  <r>
    <n v="7382"/>
    <x v="3675"/>
    <x v="1160"/>
    <d v="2017-09-18T00:00:00"/>
    <s v="Standard Class"/>
    <x v="8"/>
    <s v="Alejandro Grove"/>
    <x v="0"/>
    <s v="United States"/>
    <s v="Omaha"/>
    <x v="8"/>
    <n v="68104"/>
    <x v="2"/>
    <x v="1507"/>
    <x v="2"/>
    <x v="7"/>
    <x v="1494"/>
    <x v="179"/>
    <x v="8"/>
    <x v="0"/>
  </r>
  <r>
    <n v="7383"/>
    <x v="3675"/>
    <x v="1160"/>
    <d v="2017-09-18T00:00:00"/>
    <s v="Standard Class"/>
    <x v="8"/>
    <s v="Alejandro Grove"/>
    <x v="0"/>
    <s v="United States"/>
    <s v="Omaha"/>
    <x v="8"/>
    <n v="68104"/>
    <x v="2"/>
    <x v="1566"/>
    <x v="1"/>
    <x v="14"/>
    <x v="1557"/>
    <x v="2877"/>
    <x v="8"/>
    <x v="0"/>
  </r>
  <r>
    <n v="7384"/>
    <x v="3675"/>
    <x v="1160"/>
    <d v="2017-09-18T00:00:00"/>
    <s v="Standard Class"/>
    <x v="8"/>
    <s v="Alejandro Grove"/>
    <x v="0"/>
    <s v="United States"/>
    <s v="Omaha"/>
    <x v="8"/>
    <n v="68104"/>
    <x v="2"/>
    <x v="707"/>
    <x v="1"/>
    <x v="10"/>
    <x v="706"/>
    <x v="1200"/>
    <x v="8"/>
    <x v="0"/>
  </r>
  <r>
    <n v="7385"/>
    <x v="3675"/>
    <x v="1160"/>
    <d v="2017-09-18T00:00:00"/>
    <s v="Standard Class"/>
    <x v="8"/>
    <s v="Alejandro Grove"/>
    <x v="0"/>
    <s v="United States"/>
    <s v="Omaha"/>
    <x v="8"/>
    <n v="68104"/>
    <x v="2"/>
    <x v="1141"/>
    <x v="1"/>
    <x v="9"/>
    <x v="1129"/>
    <x v="4741"/>
    <x v="8"/>
    <x v="0"/>
  </r>
  <r>
    <n v="7386"/>
    <x v="3675"/>
    <x v="1160"/>
    <d v="2017-09-18T00:00:00"/>
    <s v="Standard Class"/>
    <x v="8"/>
    <s v="Alejandro Grove"/>
    <x v="0"/>
    <s v="United States"/>
    <s v="Omaha"/>
    <x v="8"/>
    <n v="68104"/>
    <x v="2"/>
    <x v="1017"/>
    <x v="1"/>
    <x v="10"/>
    <x v="1008"/>
    <x v="4459"/>
    <x v="8"/>
    <x v="0"/>
  </r>
  <r>
    <n v="7387"/>
    <x v="3675"/>
    <x v="1160"/>
    <d v="2017-09-18T00:00:00"/>
    <s v="Standard Class"/>
    <x v="8"/>
    <s v="Alejandro Grove"/>
    <x v="0"/>
    <s v="United States"/>
    <s v="Omaha"/>
    <x v="8"/>
    <n v="68104"/>
    <x v="2"/>
    <x v="821"/>
    <x v="1"/>
    <x v="4"/>
    <x v="817"/>
    <x v="3026"/>
    <x v="8"/>
    <x v="0"/>
  </r>
  <r>
    <n v="7388"/>
    <x v="3675"/>
    <x v="1160"/>
    <d v="2017-09-18T00:00:00"/>
    <s v="Standard Class"/>
    <x v="8"/>
    <s v="Alejandro Grove"/>
    <x v="0"/>
    <s v="United States"/>
    <s v="Omaha"/>
    <x v="8"/>
    <n v="68104"/>
    <x v="2"/>
    <x v="35"/>
    <x v="0"/>
    <x v="5"/>
    <x v="35"/>
    <x v="4742"/>
    <x v="8"/>
    <x v="0"/>
  </r>
  <r>
    <n v="7389"/>
    <x v="3675"/>
    <x v="1160"/>
    <d v="2017-09-18T00:00:00"/>
    <s v="Standard Class"/>
    <x v="8"/>
    <s v="Alejandro Grove"/>
    <x v="0"/>
    <s v="United States"/>
    <s v="Omaha"/>
    <x v="8"/>
    <n v="68104"/>
    <x v="2"/>
    <x v="1136"/>
    <x v="2"/>
    <x v="7"/>
    <x v="1124"/>
    <x v="2030"/>
    <x v="8"/>
    <x v="0"/>
  </r>
  <r>
    <n v="7390"/>
    <x v="3676"/>
    <x v="1161"/>
    <d v="2018-12-03T00:00:00"/>
    <s v="Standard Class"/>
    <x v="74"/>
    <s v="Ted Trevino"/>
    <x v="0"/>
    <s v="United States"/>
    <s v="Chattanooga"/>
    <x v="18"/>
    <n v="37421"/>
    <x v="0"/>
    <x v="1"/>
    <x v="0"/>
    <x v="1"/>
    <x v="1"/>
    <x v="4743"/>
    <x v="0"/>
    <x v="3"/>
  </r>
  <r>
    <n v="7391"/>
    <x v="3676"/>
    <x v="1161"/>
    <d v="2018-12-03T00:00:00"/>
    <s v="Standard Class"/>
    <x v="74"/>
    <s v="Ted Trevino"/>
    <x v="0"/>
    <s v="United States"/>
    <s v="Chattanooga"/>
    <x v="18"/>
    <n v="37421"/>
    <x v="0"/>
    <x v="216"/>
    <x v="0"/>
    <x v="5"/>
    <x v="1579"/>
    <x v="4744"/>
    <x v="0"/>
    <x v="3"/>
  </r>
  <r>
    <n v="7392"/>
    <x v="3677"/>
    <x v="769"/>
    <d v="2018-12-07T00:00:00"/>
    <s v="Second Class"/>
    <x v="398"/>
    <s v="Larry Tron"/>
    <x v="0"/>
    <s v="United States"/>
    <s v="Fairfield"/>
    <x v="24"/>
    <n v="45014"/>
    <x v="3"/>
    <x v="1174"/>
    <x v="1"/>
    <x v="10"/>
    <x v="1160"/>
    <x v="1339"/>
    <x v="4"/>
    <x v="3"/>
  </r>
  <r>
    <n v="7393"/>
    <x v="3678"/>
    <x v="743"/>
    <d v="2018-05-06T00:00:00"/>
    <s v="Standard Class"/>
    <x v="732"/>
    <s v="Dorothy Dickinson"/>
    <x v="0"/>
    <s v="United States"/>
    <s v="Los Angeles"/>
    <x v="1"/>
    <n v="90049"/>
    <x v="1"/>
    <x v="1407"/>
    <x v="1"/>
    <x v="10"/>
    <x v="1394"/>
    <x v="2195"/>
    <x v="5"/>
    <x v="3"/>
  </r>
  <r>
    <n v="7394"/>
    <x v="3678"/>
    <x v="743"/>
    <d v="2018-05-06T00:00:00"/>
    <s v="Standard Class"/>
    <x v="732"/>
    <s v="Dorothy Dickinson"/>
    <x v="0"/>
    <s v="United States"/>
    <s v="Los Angeles"/>
    <x v="1"/>
    <n v="90049"/>
    <x v="1"/>
    <x v="1500"/>
    <x v="1"/>
    <x v="6"/>
    <x v="1488"/>
    <x v="423"/>
    <x v="5"/>
    <x v="3"/>
  </r>
  <r>
    <n v="7395"/>
    <x v="3678"/>
    <x v="743"/>
    <d v="2018-05-06T00:00:00"/>
    <s v="Standard Class"/>
    <x v="732"/>
    <s v="Dorothy Dickinson"/>
    <x v="0"/>
    <s v="United States"/>
    <s v="Los Angeles"/>
    <x v="1"/>
    <n v="90049"/>
    <x v="1"/>
    <x v="320"/>
    <x v="1"/>
    <x v="10"/>
    <x v="320"/>
    <x v="340"/>
    <x v="5"/>
    <x v="3"/>
  </r>
  <r>
    <n v="7396"/>
    <x v="3679"/>
    <x v="591"/>
    <d v="2017-12-30T00:00:00"/>
    <s v="Standard Class"/>
    <x v="715"/>
    <s v="Darren Budd"/>
    <x v="1"/>
    <s v="United States"/>
    <s v="New York City"/>
    <x v="15"/>
    <n v="10024"/>
    <x v="3"/>
    <x v="971"/>
    <x v="0"/>
    <x v="3"/>
    <x v="965"/>
    <x v="4053"/>
    <x v="4"/>
    <x v="0"/>
  </r>
  <r>
    <n v="7397"/>
    <x v="3679"/>
    <x v="591"/>
    <d v="2017-12-30T00:00:00"/>
    <s v="Standard Class"/>
    <x v="715"/>
    <s v="Darren Budd"/>
    <x v="1"/>
    <s v="United States"/>
    <s v="New York City"/>
    <x v="15"/>
    <n v="10024"/>
    <x v="3"/>
    <x v="623"/>
    <x v="0"/>
    <x v="1"/>
    <x v="623"/>
    <x v="4745"/>
    <x v="4"/>
    <x v="0"/>
  </r>
  <r>
    <n v="7398"/>
    <x v="3680"/>
    <x v="587"/>
    <d v="2015-09-30T00:00:00"/>
    <s v="Same Day"/>
    <x v="678"/>
    <s v="Dario Medina"/>
    <x v="1"/>
    <s v="United States"/>
    <s v="Fairfield"/>
    <x v="24"/>
    <n v="45014"/>
    <x v="3"/>
    <x v="190"/>
    <x v="1"/>
    <x v="9"/>
    <x v="191"/>
    <x v="4746"/>
    <x v="8"/>
    <x v="2"/>
  </r>
  <r>
    <n v="7399"/>
    <x v="3681"/>
    <x v="136"/>
    <d v="2015-07-15T00:00:00"/>
    <s v="Second Class"/>
    <x v="250"/>
    <s v="Max Engle"/>
    <x v="0"/>
    <s v="United States"/>
    <s v="Chicago"/>
    <x v="10"/>
    <n v="60610"/>
    <x v="2"/>
    <x v="1050"/>
    <x v="1"/>
    <x v="10"/>
    <x v="1039"/>
    <x v="4747"/>
    <x v="7"/>
    <x v="2"/>
  </r>
  <r>
    <n v="7400"/>
    <x v="3681"/>
    <x v="136"/>
    <d v="2015-07-15T00:00:00"/>
    <s v="Second Class"/>
    <x v="250"/>
    <s v="Max Engle"/>
    <x v="0"/>
    <s v="United States"/>
    <s v="Chicago"/>
    <x v="10"/>
    <n v="60610"/>
    <x v="2"/>
    <x v="540"/>
    <x v="2"/>
    <x v="11"/>
    <x v="540"/>
    <x v="4748"/>
    <x v="7"/>
    <x v="2"/>
  </r>
  <r>
    <n v="7401"/>
    <x v="3682"/>
    <x v="162"/>
    <d v="2017-09-13T00:00:00"/>
    <s v="Standard Class"/>
    <x v="309"/>
    <s v="Toby Ritter"/>
    <x v="0"/>
    <s v="United States"/>
    <s v="Seattle"/>
    <x v="4"/>
    <n v="98103"/>
    <x v="1"/>
    <x v="484"/>
    <x v="0"/>
    <x v="5"/>
    <x v="484"/>
    <x v="3474"/>
    <x v="8"/>
    <x v="0"/>
  </r>
  <r>
    <n v="7402"/>
    <x v="3682"/>
    <x v="162"/>
    <d v="2017-09-13T00:00:00"/>
    <s v="Standard Class"/>
    <x v="309"/>
    <s v="Toby Ritter"/>
    <x v="0"/>
    <s v="United States"/>
    <s v="Seattle"/>
    <x v="4"/>
    <n v="98103"/>
    <x v="1"/>
    <x v="249"/>
    <x v="1"/>
    <x v="10"/>
    <x v="250"/>
    <x v="4749"/>
    <x v="8"/>
    <x v="0"/>
  </r>
  <r>
    <n v="7403"/>
    <x v="3683"/>
    <x v="634"/>
    <d v="2018-08-10T00:00:00"/>
    <s v="Standard Class"/>
    <x v="129"/>
    <s v="Shahid Hopkins"/>
    <x v="0"/>
    <s v="United States"/>
    <s v="New York City"/>
    <x v="15"/>
    <n v="10011"/>
    <x v="3"/>
    <x v="354"/>
    <x v="1"/>
    <x v="14"/>
    <x v="354"/>
    <x v="375"/>
    <x v="6"/>
    <x v="3"/>
  </r>
  <r>
    <n v="7404"/>
    <x v="3684"/>
    <x v="263"/>
    <d v="2016-05-19T00:00:00"/>
    <s v="Standard Class"/>
    <x v="118"/>
    <s v="Claudia Bergmann"/>
    <x v="1"/>
    <s v="United States"/>
    <s v="Camarillo"/>
    <x v="1"/>
    <n v="93010"/>
    <x v="1"/>
    <x v="574"/>
    <x v="0"/>
    <x v="0"/>
    <x v="574"/>
    <x v="4750"/>
    <x v="5"/>
    <x v="1"/>
  </r>
  <r>
    <n v="7405"/>
    <x v="3684"/>
    <x v="263"/>
    <d v="2016-05-19T00:00:00"/>
    <s v="Standard Class"/>
    <x v="118"/>
    <s v="Claudia Bergmann"/>
    <x v="1"/>
    <s v="United States"/>
    <s v="Camarillo"/>
    <x v="1"/>
    <n v="93010"/>
    <x v="1"/>
    <x v="514"/>
    <x v="0"/>
    <x v="5"/>
    <x v="514"/>
    <x v="4751"/>
    <x v="5"/>
    <x v="1"/>
  </r>
  <r>
    <n v="7406"/>
    <x v="3684"/>
    <x v="263"/>
    <d v="2016-05-19T00:00:00"/>
    <s v="Standard Class"/>
    <x v="118"/>
    <s v="Claudia Bergmann"/>
    <x v="1"/>
    <s v="United States"/>
    <s v="Camarillo"/>
    <x v="1"/>
    <n v="93010"/>
    <x v="1"/>
    <x v="1225"/>
    <x v="0"/>
    <x v="1"/>
    <x v="1209"/>
    <x v="1892"/>
    <x v="5"/>
    <x v="1"/>
  </r>
  <r>
    <n v="7407"/>
    <x v="3684"/>
    <x v="263"/>
    <d v="2016-05-19T00:00:00"/>
    <s v="Standard Class"/>
    <x v="118"/>
    <s v="Claudia Bergmann"/>
    <x v="1"/>
    <s v="United States"/>
    <s v="Camarillo"/>
    <x v="1"/>
    <n v="93010"/>
    <x v="1"/>
    <x v="1496"/>
    <x v="0"/>
    <x v="1"/>
    <x v="1484"/>
    <x v="938"/>
    <x v="5"/>
    <x v="1"/>
  </r>
  <r>
    <n v="7408"/>
    <x v="3685"/>
    <x v="176"/>
    <d v="2018-01-21T00:00:00"/>
    <s v="First Class"/>
    <x v="586"/>
    <s v="Maris LaWare"/>
    <x v="0"/>
    <s v="United States"/>
    <s v="Chicago"/>
    <x v="10"/>
    <n v="60653"/>
    <x v="2"/>
    <x v="745"/>
    <x v="1"/>
    <x v="2"/>
    <x v="743"/>
    <x v="132"/>
    <x v="9"/>
    <x v="3"/>
  </r>
  <r>
    <n v="7409"/>
    <x v="3686"/>
    <x v="198"/>
    <d v="2017-06-06T00:00:00"/>
    <s v="Standard Class"/>
    <x v="684"/>
    <s v="Jason Gross"/>
    <x v="1"/>
    <s v="United States"/>
    <s v="Los Angeles"/>
    <x v="1"/>
    <n v="90032"/>
    <x v="1"/>
    <x v="1478"/>
    <x v="0"/>
    <x v="5"/>
    <x v="1465"/>
    <x v="4752"/>
    <x v="5"/>
    <x v="0"/>
  </r>
  <r>
    <n v="7410"/>
    <x v="3687"/>
    <x v="918"/>
    <d v="2015-04-12T00:00:00"/>
    <s v="Standard Class"/>
    <x v="365"/>
    <s v="John Stevenson"/>
    <x v="0"/>
    <s v="United States"/>
    <s v="Toledo"/>
    <x v="24"/>
    <n v="43615"/>
    <x v="3"/>
    <x v="1666"/>
    <x v="0"/>
    <x v="3"/>
    <x v="1654"/>
    <x v="4753"/>
    <x v="3"/>
    <x v="2"/>
  </r>
  <r>
    <n v="7411"/>
    <x v="3688"/>
    <x v="149"/>
    <d v="2015-07-24T00:00:00"/>
    <s v="First Class"/>
    <x v="8"/>
    <s v="Alejandro Grove"/>
    <x v="0"/>
    <s v="United States"/>
    <s v="New York City"/>
    <x v="15"/>
    <n v="10011"/>
    <x v="3"/>
    <x v="959"/>
    <x v="2"/>
    <x v="11"/>
    <x v="952"/>
    <x v="2564"/>
    <x v="7"/>
    <x v="2"/>
  </r>
  <r>
    <n v="7412"/>
    <x v="3689"/>
    <x v="1109"/>
    <d v="2018-06-03T00:00:00"/>
    <s v="Standard Class"/>
    <x v="450"/>
    <s v="Michael Granlund"/>
    <x v="2"/>
    <s v="United States"/>
    <s v="Tigard"/>
    <x v="21"/>
    <n v="97224"/>
    <x v="1"/>
    <x v="1602"/>
    <x v="2"/>
    <x v="7"/>
    <x v="1594"/>
    <x v="2356"/>
    <x v="5"/>
    <x v="3"/>
  </r>
  <r>
    <n v="7413"/>
    <x v="3689"/>
    <x v="1109"/>
    <d v="2018-06-03T00:00:00"/>
    <s v="Standard Class"/>
    <x v="450"/>
    <s v="Michael Granlund"/>
    <x v="2"/>
    <s v="United States"/>
    <s v="Tigard"/>
    <x v="21"/>
    <n v="97224"/>
    <x v="1"/>
    <x v="176"/>
    <x v="2"/>
    <x v="11"/>
    <x v="177"/>
    <x v="1424"/>
    <x v="5"/>
    <x v="3"/>
  </r>
  <r>
    <n v="7414"/>
    <x v="3689"/>
    <x v="1109"/>
    <d v="2018-06-03T00:00:00"/>
    <s v="Standard Class"/>
    <x v="450"/>
    <s v="Michael Granlund"/>
    <x v="2"/>
    <s v="United States"/>
    <s v="Tigard"/>
    <x v="21"/>
    <n v="97224"/>
    <x v="1"/>
    <x v="1793"/>
    <x v="0"/>
    <x v="5"/>
    <x v="1783"/>
    <x v="4754"/>
    <x v="5"/>
    <x v="3"/>
  </r>
  <r>
    <n v="7415"/>
    <x v="3690"/>
    <x v="69"/>
    <d v="2017-03-15T00:00:00"/>
    <s v="Second Class"/>
    <x v="34"/>
    <s v="Stewart Carmichael"/>
    <x v="1"/>
    <s v="United States"/>
    <s v="Philadelphia"/>
    <x v="9"/>
    <n v="19134"/>
    <x v="3"/>
    <x v="157"/>
    <x v="0"/>
    <x v="1"/>
    <x v="158"/>
    <x v="4755"/>
    <x v="10"/>
    <x v="0"/>
  </r>
  <r>
    <n v="7416"/>
    <x v="3690"/>
    <x v="69"/>
    <d v="2017-03-15T00:00:00"/>
    <s v="Second Class"/>
    <x v="34"/>
    <s v="Stewart Carmichael"/>
    <x v="1"/>
    <s v="United States"/>
    <s v="Philadelphia"/>
    <x v="9"/>
    <n v="19134"/>
    <x v="3"/>
    <x v="1523"/>
    <x v="2"/>
    <x v="11"/>
    <x v="1510"/>
    <x v="4756"/>
    <x v="10"/>
    <x v="0"/>
  </r>
  <r>
    <n v="7417"/>
    <x v="3690"/>
    <x v="69"/>
    <d v="2017-03-15T00:00:00"/>
    <s v="Second Class"/>
    <x v="34"/>
    <s v="Stewart Carmichael"/>
    <x v="1"/>
    <s v="United States"/>
    <s v="Philadelphia"/>
    <x v="9"/>
    <n v="19134"/>
    <x v="3"/>
    <x v="716"/>
    <x v="2"/>
    <x v="7"/>
    <x v="715"/>
    <x v="4757"/>
    <x v="10"/>
    <x v="0"/>
  </r>
  <r>
    <n v="7418"/>
    <x v="3690"/>
    <x v="69"/>
    <d v="2017-03-15T00:00:00"/>
    <s v="Second Class"/>
    <x v="34"/>
    <s v="Stewart Carmichael"/>
    <x v="1"/>
    <s v="United States"/>
    <s v="Philadelphia"/>
    <x v="9"/>
    <n v="19134"/>
    <x v="3"/>
    <x v="1540"/>
    <x v="1"/>
    <x v="10"/>
    <x v="1528"/>
    <x v="4758"/>
    <x v="10"/>
    <x v="0"/>
  </r>
  <r>
    <n v="7419"/>
    <x v="3690"/>
    <x v="69"/>
    <d v="2017-03-15T00:00:00"/>
    <s v="Second Class"/>
    <x v="34"/>
    <s v="Stewart Carmichael"/>
    <x v="1"/>
    <s v="United States"/>
    <s v="Philadelphia"/>
    <x v="9"/>
    <n v="19134"/>
    <x v="3"/>
    <x v="1591"/>
    <x v="1"/>
    <x v="8"/>
    <x v="1583"/>
    <x v="4759"/>
    <x v="10"/>
    <x v="0"/>
  </r>
  <r>
    <n v="7420"/>
    <x v="3690"/>
    <x v="69"/>
    <d v="2017-03-15T00:00:00"/>
    <s v="Second Class"/>
    <x v="34"/>
    <s v="Stewart Carmichael"/>
    <x v="1"/>
    <s v="United States"/>
    <s v="Philadelphia"/>
    <x v="9"/>
    <n v="19134"/>
    <x v="3"/>
    <x v="942"/>
    <x v="1"/>
    <x v="4"/>
    <x v="935"/>
    <x v="1183"/>
    <x v="10"/>
    <x v="0"/>
  </r>
  <r>
    <n v="7421"/>
    <x v="3690"/>
    <x v="69"/>
    <d v="2017-03-15T00:00:00"/>
    <s v="Second Class"/>
    <x v="34"/>
    <s v="Stewart Carmichael"/>
    <x v="1"/>
    <s v="United States"/>
    <s v="Philadelphia"/>
    <x v="9"/>
    <n v="19134"/>
    <x v="3"/>
    <x v="1087"/>
    <x v="1"/>
    <x v="8"/>
    <x v="1077"/>
    <x v="3697"/>
    <x v="10"/>
    <x v="0"/>
  </r>
  <r>
    <n v="7422"/>
    <x v="3690"/>
    <x v="69"/>
    <d v="2017-03-15T00:00:00"/>
    <s v="Second Class"/>
    <x v="34"/>
    <s v="Stewart Carmichael"/>
    <x v="1"/>
    <s v="United States"/>
    <s v="Philadelphia"/>
    <x v="9"/>
    <n v="19134"/>
    <x v="3"/>
    <x v="1819"/>
    <x v="1"/>
    <x v="4"/>
    <x v="1808"/>
    <x v="4760"/>
    <x v="10"/>
    <x v="0"/>
  </r>
  <r>
    <n v="7423"/>
    <x v="3690"/>
    <x v="69"/>
    <d v="2017-03-15T00:00:00"/>
    <s v="Second Class"/>
    <x v="34"/>
    <s v="Stewart Carmichael"/>
    <x v="1"/>
    <s v="United States"/>
    <s v="Philadelphia"/>
    <x v="9"/>
    <n v="19134"/>
    <x v="3"/>
    <x v="206"/>
    <x v="2"/>
    <x v="15"/>
    <x v="1542"/>
    <x v="4761"/>
    <x v="10"/>
    <x v="0"/>
  </r>
  <r>
    <n v="7424"/>
    <x v="3691"/>
    <x v="318"/>
    <d v="2018-04-14T00:00:00"/>
    <s v="Standard Class"/>
    <x v="94"/>
    <s v="Bruce Stewart"/>
    <x v="0"/>
    <s v="United States"/>
    <s v="Philadelphia"/>
    <x v="9"/>
    <n v="19143"/>
    <x v="3"/>
    <x v="1306"/>
    <x v="1"/>
    <x v="9"/>
    <x v="1291"/>
    <x v="4762"/>
    <x v="3"/>
    <x v="3"/>
  </r>
  <r>
    <n v="7425"/>
    <x v="3691"/>
    <x v="318"/>
    <d v="2018-04-14T00:00:00"/>
    <s v="Standard Class"/>
    <x v="94"/>
    <s v="Bruce Stewart"/>
    <x v="0"/>
    <s v="United States"/>
    <s v="Philadelphia"/>
    <x v="9"/>
    <n v="19143"/>
    <x v="3"/>
    <x v="677"/>
    <x v="0"/>
    <x v="5"/>
    <x v="677"/>
    <x v="1272"/>
    <x v="3"/>
    <x v="3"/>
  </r>
  <r>
    <n v="7426"/>
    <x v="3692"/>
    <x v="674"/>
    <d v="2017-06-27T00:00:00"/>
    <s v="Second Class"/>
    <x v="95"/>
    <s v="Logan Currie"/>
    <x v="0"/>
    <s v="United States"/>
    <s v="Houston"/>
    <x v="5"/>
    <n v="77070"/>
    <x v="2"/>
    <x v="64"/>
    <x v="0"/>
    <x v="1"/>
    <x v="64"/>
    <x v="4763"/>
    <x v="1"/>
    <x v="0"/>
  </r>
  <r>
    <n v="7427"/>
    <x v="3692"/>
    <x v="674"/>
    <d v="2017-06-27T00:00:00"/>
    <s v="Second Class"/>
    <x v="95"/>
    <s v="Logan Currie"/>
    <x v="0"/>
    <s v="United States"/>
    <s v="Houston"/>
    <x v="5"/>
    <n v="77070"/>
    <x v="2"/>
    <x v="1535"/>
    <x v="0"/>
    <x v="5"/>
    <x v="1523"/>
    <x v="4764"/>
    <x v="1"/>
    <x v="0"/>
  </r>
  <r>
    <n v="7428"/>
    <x v="3693"/>
    <x v="461"/>
    <d v="2015-03-21T00:00:00"/>
    <s v="Standard Class"/>
    <x v="775"/>
    <s v="Mark Haberlin"/>
    <x v="1"/>
    <s v="United States"/>
    <s v="Jackson"/>
    <x v="35"/>
    <n v="39212"/>
    <x v="0"/>
    <x v="536"/>
    <x v="1"/>
    <x v="8"/>
    <x v="536"/>
    <x v="4765"/>
    <x v="10"/>
    <x v="2"/>
  </r>
  <r>
    <n v="7429"/>
    <x v="3693"/>
    <x v="461"/>
    <d v="2015-03-21T00:00:00"/>
    <s v="Standard Class"/>
    <x v="775"/>
    <s v="Mark Haberlin"/>
    <x v="1"/>
    <s v="United States"/>
    <s v="Jackson"/>
    <x v="35"/>
    <n v="39212"/>
    <x v="0"/>
    <x v="338"/>
    <x v="1"/>
    <x v="8"/>
    <x v="338"/>
    <x v="2628"/>
    <x v="10"/>
    <x v="2"/>
  </r>
  <r>
    <n v="7430"/>
    <x v="3693"/>
    <x v="461"/>
    <d v="2015-03-21T00:00:00"/>
    <s v="Standard Class"/>
    <x v="775"/>
    <s v="Mark Haberlin"/>
    <x v="1"/>
    <s v="United States"/>
    <s v="Jackson"/>
    <x v="35"/>
    <n v="39212"/>
    <x v="0"/>
    <x v="219"/>
    <x v="1"/>
    <x v="10"/>
    <x v="220"/>
    <x v="91"/>
    <x v="10"/>
    <x v="2"/>
  </r>
  <r>
    <n v="7431"/>
    <x v="3693"/>
    <x v="461"/>
    <d v="2015-03-21T00:00:00"/>
    <s v="Standard Class"/>
    <x v="775"/>
    <s v="Mark Haberlin"/>
    <x v="1"/>
    <s v="United States"/>
    <s v="Jackson"/>
    <x v="35"/>
    <n v="39212"/>
    <x v="0"/>
    <x v="1732"/>
    <x v="1"/>
    <x v="10"/>
    <x v="1720"/>
    <x v="4515"/>
    <x v="10"/>
    <x v="2"/>
  </r>
  <r>
    <n v="7432"/>
    <x v="3693"/>
    <x v="461"/>
    <d v="2015-03-21T00:00:00"/>
    <s v="Standard Class"/>
    <x v="775"/>
    <s v="Mark Haberlin"/>
    <x v="1"/>
    <s v="United States"/>
    <s v="Jackson"/>
    <x v="35"/>
    <n v="39212"/>
    <x v="0"/>
    <x v="930"/>
    <x v="1"/>
    <x v="9"/>
    <x v="923"/>
    <x v="4591"/>
    <x v="10"/>
    <x v="2"/>
  </r>
  <r>
    <n v="7433"/>
    <x v="3694"/>
    <x v="128"/>
    <d v="2015-08-13T00:00:00"/>
    <s v="Standard Class"/>
    <x v="742"/>
    <s v="Roger Demir"/>
    <x v="0"/>
    <s v="United States"/>
    <s v="Phoenix"/>
    <x v="16"/>
    <n v="85023"/>
    <x v="1"/>
    <x v="802"/>
    <x v="1"/>
    <x v="13"/>
    <x v="800"/>
    <x v="3743"/>
    <x v="6"/>
    <x v="2"/>
  </r>
  <r>
    <n v="7434"/>
    <x v="3694"/>
    <x v="128"/>
    <d v="2015-08-13T00:00:00"/>
    <s v="Standard Class"/>
    <x v="742"/>
    <s v="Roger Demir"/>
    <x v="0"/>
    <s v="United States"/>
    <s v="Phoenix"/>
    <x v="16"/>
    <n v="85023"/>
    <x v="1"/>
    <x v="799"/>
    <x v="1"/>
    <x v="8"/>
    <x v="797"/>
    <x v="4766"/>
    <x v="6"/>
    <x v="2"/>
  </r>
  <r>
    <n v="7435"/>
    <x v="3695"/>
    <x v="353"/>
    <d v="2016-07-31T00:00:00"/>
    <s v="Standard Class"/>
    <x v="162"/>
    <s v="Bart Pistole"/>
    <x v="1"/>
    <s v="United States"/>
    <s v="Oxnard"/>
    <x v="1"/>
    <n v="93030"/>
    <x v="1"/>
    <x v="536"/>
    <x v="1"/>
    <x v="8"/>
    <x v="536"/>
    <x v="1073"/>
    <x v="7"/>
    <x v="1"/>
  </r>
  <r>
    <n v="7436"/>
    <x v="3695"/>
    <x v="353"/>
    <d v="2016-07-31T00:00:00"/>
    <s v="Standard Class"/>
    <x v="162"/>
    <s v="Bart Pistole"/>
    <x v="1"/>
    <s v="United States"/>
    <s v="Oxnard"/>
    <x v="1"/>
    <n v="93030"/>
    <x v="1"/>
    <x v="308"/>
    <x v="1"/>
    <x v="8"/>
    <x v="308"/>
    <x v="4767"/>
    <x v="7"/>
    <x v="1"/>
  </r>
  <r>
    <n v="7437"/>
    <x v="3695"/>
    <x v="353"/>
    <d v="2016-07-31T00:00:00"/>
    <s v="Standard Class"/>
    <x v="162"/>
    <s v="Bart Pistole"/>
    <x v="1"/>
    <s v="United States"/>
    <s v="Oxnard"/>
    <x v="1"/>
    <n v="93030"/>
    <x v="1"/>
    <x v="1167"/>
    <x v="1"/>
    <x v="6"/>
    <x v="1154"/>
    <x v="1593"/>
    <x v="7"/>
    <x v="1"/>
  </r>
  <r>
    <n v="7438"/>
    <x v="3696"/>
    <x v="1162"/>
    <d v="2015-02-19T00:00:00"/>
    <s v="Standard Class"/>
    <x v="292"/>
    <s v="Barry Französisch"/>
    <x v="1"/>
    <s v="United States"/>
    <s v="Seattle"/>
    <x v="4"/>
    <n v="98105"/>
    <x v="1"/>
    <x v="880"/>
    <x v="1"/>
    <x v="8"/>
    <x v="874"/>
    <x v="788"/>
    <x v="11"/>
    <x v="2"/>
  </r>
  <r>
    <n v="7439"/>
    <x v="3697"/>
    <x v="539"/>
    <d v="2016-03-27T00:00:00"/>
    <s v="Second Class"/>
    <x v="434"/>
    <s v="Cathy Prescott"/>
    <x v="1"/>
    <s v="United States"/>
    <s v="Covington"/>
    <x v="4"/>
    <n v="98042"/>
    <x v="1"/>
    <x v="1441"/>
    <x v="0"/>
    <x v="5"/>
    <x v="1429"/>
    <x v="4768"/>
    <x v="10"/>
    <x v="1"/>
  </r>
  <r>
    <n v="7440"/>
    <x v="3698"/>
    <x v="264"/>
    <d v="2018-09-06T00:00:00"/>
    <s v="Standard Class"/>
    <x v="538"/>
    <s v="Janet Lee"/>
    <x v="0"/>
    <s v="United States"/>
    <s v="Los Angeles"/>
    <x v="1"/>
    <n v="90049"/>
    <x v="1"/>
    <x v="605"/>
    <x v="1"/>
    <x v="8"/>
    <x v="605"/>
    <x v="690"/>
    <x v="8"/>
    <x v="3"/>
  </r>
  <r>
    <n v="7441"/>
    <x v="3698"/>
    <x v="264"/>
    <d v="2018-09-06T00:00:00"/>
    <s v="Standard Class"/>
    <x v="538"/>
    <s v="Janet Lee"/>
    <x v="0"/>
    <s v="United States"/>
    <s v="Los Angeles"/>
    <x v="1"/>
    <n v="90049"/>
    <x v="1"/>
    <x v="1116"/>
    <x v="0"/>
    <x v="3"/>
    <x v="1104"/>
    <x v="4769"/>
    <x v="8"/>
    <x v="3"/>
  </r>
  <r>
    <n v="7442"/>
    <x v="3699"/>
    <x v="547"/>
    <d v="2016-11-18T00:00:00"/>
    <s v="First Class"/>
    <x v="189"/>
    <s v="John Grady"/>
    <x v="1"/>
    <s v="United States"/>
    <s v="San Diego"/>
    <x v="1"/>
    <n v="92105"/>
    <x v="1"/>
    <x v="165"/>
    <x v="1"/>
    <x v="2"/>
    <x v="166"/>
    <x v="1365"/>
    <x v="0"/>
    <x v="1"/>
  </r>
  <r>
    <n v="7443"/>
    <x v="3700"/>
    <x v="337"/>
    <d v="2015-12-11T00:00:00"/>
    <s v="First Class"/>
    <x v="778"/>
    <s v="Victoria Pisteka"/>
    <x v="1"/>
    <s v="United States"/>
    <s v="Brownsville"/>
    <x v="5"/>
    <n v="78521"/>
    <x v="2"/>
    <x v="128"/>
    <x v="1"/>
    <x v="10"/>
    <x v="129"/>
    <x v="1414"/>
    <x v="4"/>
    <x v="2"/>
  </r>
  <r>
    <n v="7444"/>
    <x v="3700"/>
    <x v="337"/>
    <d v="2015-12-11T00:00:00"/>
    <s v="First Class"/>
    <x v="778"/>
    <s v="Victoria Pisteka"/>
    <x v="1"/>
    <s v="United States"/>
    <s v="Brownsville"/>
    <x v="5"/>
    <n v="78521"/>
    <x v="2"/>
    <x v="595"/>
    <x v="1"/>
    <x v="4"/>
    <x v="595"/>
    <x v="4770"/>
    <x v="4"/>
    <x v="2"/>
  </r>
  <r>
    <n v="7445"/>
    <x v="3701"/>
    <x v="447"/>
    <d v="2018-02-07T00:00:00"/>
    <s v="Second Class"/>
    <x v="279"/>
    <s v="Ross DeVincentis"/>
    <x v="2"/>
    <s v="United States"/>
    <s v="Chicago"/>
    <x v="10"/>
    <n v="60610"/>
    <x v="2"/>
    <x v="778"/>
    <x v="1"/>
    <x v="10"/>
    <x v="777"/>
    <x v="1170"/>
    <x v="11"/>
    <x v="3"/>
  </r>
  <r>
    <n v="7446"/>
    <x v="3701"/>
    <x v="447"/>
    <d v="2018-02-07T00:00:00"/>
    <s v="Second Class"/>
    <x v="279"/>
    <s v="Ross DeVincentis"/>
    <x v="2"/>
    <s v="United States"/>
    <s v="Chicago"/>
    <x v="10"/>
    <n v="60610"/>
    <x v="2"/>
    <x v="1522"/>
    <x v="1"/>
    <x v="10"/>
    <x v="1509"/>
    <x v="4771"/>
    <x v="11"/>
    <x v="3"/>
  </r>
  <r>
    <n v="7447"/>
    <x v="3701"/>
    <x v="447"/>
    <d v="2018-02-07T00:00:00"/>
    <s v="Second Class"/>
    <x v="279"/>
    <s v="Ross DeVincentis"/>
    <x v="2"/>
    <s v="United States"/>
    <s v="Chicago"/>
    <x v="10"/>
    <n v="60610"/>
    <x v="2"/>
    <x v="1281"/>
    <x v="0"/>
    <x v="5"/>
    <x v="1266"/>
    <x v="496"/>
    <x v="11"/>
    <x v="3"/>
  </r>
  <r>
    <n v="7448"/>
    <x v="3701"/>
    <x v="447"/>
    <d v="2018-02-07T00:00:00"/>
    <s v="Second Class"/>
    <x v="279"/>
    <s v="Ross DeVincentis"/>
    <x v="2"/>
    <s v="United States"/>
    <s v="Chicago"/>
    <x v="10"/>
    <n v="60610"/>
    <x v="2"/>
    <x v="976"/>
    <x v="1"/>
    <x v="10"/>
    <x v="970"/>
    <x v="1242"/>
    <x v="11"/>
    <x v="3"/>
  </r>
  <r>
    <n v="7449"/>
    <x v="3702"/>
    <x v="343"/>
    <d v="2018-11-14T00:00:00"/>
    <s v="First Class"/>
    <x v="659"/>
    <s v="Michelle Huthwaite"/>
    <x v="0"/>
    <s v="United States"/>
    <s v="Knoxville"/>
    <x v="18"/>
    <n v="37918"/>
    <x v="0"/>
    <x v="642"/>
    <x v="0"/>
    <x v="5"/>
    <x v="642"/>
    <x v="4772"/>
    <x v="0"/>
    <x v="3"/>
  </r>
  <r>
    <n v="7450"/>
    <x v="3703"/>
    <x v="697"/>
    <d v="2018-09-22T00:00:00"/>
    <s v="Second Class"/>
    <x v="319"/>
    <s v="Sanjit Jacobs"/>
    <x v="2"/>
    <s v="United States"/>
    <s v="Houston"/>
    <x v="5"/>
    <n v="77036"/>
    <x v="2"/>
    <x v="105"/>
    <x v="1"/>
    <x v="6"/>
    <x v="105"/>
    <x v="4373"/>
    <x v="8"/>
    <x v="3"/>
  </r>
  <r>
    <n v="7451"/>
    <x v="3703"/>
    <x v="697"/>
    <d v="2018-09-22T00:00:00"/>
    <s v="Second Class"/>
    <x v="319"/>
    <s v="Sanjit Jacobs"/>
    <x v="2"/>
    <s v="United States"/>
    <s v="Houston"/>
    <x v="5"/>
    <n v="77036"/>
    <x v="2"/>
    <x v="1209"/>
    <x v="0"/>
    <x v="1"/>
    <x v="1194"/>
    <x v="2550"/>
    <x v="8"/>
    <x v="3"/>
  </r>
  <r>
    <n v="7452"/>
    <x v="3703"/>
    <x v="697"/>
    <d v="2018-09-22T00:00:00"/>
    <s v="Second Class"/>
    <x v="319"/>
    <s v="Sanjit Jacobs"/>
    <x v="2"/>
    <s v="United States"/>
    <s v="Houston"/>
    <x v="5"/>
    <n v="77036"/>
    <x v="2"/>
    <x v="326"/>
    <x v="1"/>
    <x v="8"/>
    <x v="326"/>
    <x v="4773"/>
    <x v="8"/>
    <x v="3"/>
  </r>
  <r>
    <n v="7453"/>
    <x v="3703"/>
    <x v="697"/>
    <d v="2018-09-22T00:00:00"/>
    <s v="Second Class"/>
    <x v="319"/>
    <s v="Sanjit Jacobs"/>
    <x v="2"/>
    <s v="United States"/>
    <s v="Houston"/>
    <x v="5"/>
    <n v="77036"/>
    <x v="2"/>
    <x v="1538"/>
    <x v="2"/>
    <x v="7"/>
    <x v="1526"/>
    <x v="4774"/>
    <x v="8"/>
    <x v="3"/>
  </r>
  <r>
    <n v="7454"/>
    <x v="3704"/>
    <x v="643"/>
    <d v="2018-07-01T00:00:00"/>
    <s v="Standard Class"/>
    <x v="248"/>
    <s v="Fred McMath"/>
    <x v="0"/>
    <s v="United States"/>
    <s v="Bolingbrook"/>
    <x v="10"/>
    <n v="60440"/>
    <x v="2"/>
    <x v="918"/>
    <x v="2"/>
    <x v="7"/>
    <x v="910"/>
    <x v="1467"/>
    <x v="1"/>
    <x v="3"/>
  </r>
  <r>
    <n v="7455"/>
    <x v="3705"/>
    <x v="679"/>
    <d v="2017-08-04T00:00:00"/>
    <s v="Standard Class"/>
    <x v="347"/>
    <s v="Katherine Hughes"/>
    <x v="0"/>
    <s v="United States"/>
    <s v="Chicago"/>
    <x v="10"/>
    <n v="60623"/>
    <x v="2"/>
    <x v="1387"/>
    <x v="1"/>
    <x v="2"/>
    <x v="1373"/>
    <x v="4579"/>
    <x v="7"/>
    <x v="0"/>
  </r>
  <r>
    <n v="7456"/>
    <x v="3705"/>
    <x v="679"/>
    <d v="2017-08-04T00:00:00"/>
    <s v="Standard Class"/>
    <x v="347"/>
    <s v="Katherine Hughes"/>
    <x v="0"/>
    <s v="United States"/>
    <s v="Chicago"/>
    <x v="10"/>
    <n v="60623"/>
    <x v="2"/>
    <x v="486"/>
    <x v="1"/>
    <x v="4"/>
    <x v="486"/>
    <x v="2479"/>
    <x v="7"/>
    <x v="0"/>
  </r>
  <r>
    <n v="7457"/>
    <x v="3706"/>
    <x v="392"/>
    <d v="2016-04-18T00:00:00"/>
    <s v="First Class"/>
    <x v="328"/>
    <s v="Lauren Leatherbury"/>
    <x v="0"/>
    <s v="United States"/>
    <s v="Waynesboro"/>
    <x v="17"/>
    <n v="22980"/>
    <x v="0"/>
    <x v="11"/>
    <x v="2"/>
    <x v="7"/>
    <x v="11"/>
    <x v="4775"/>
    <x v="3"/>
    <x v="1"/>
  </r>
  <r>
    <n v="7458"/>
    <x v="3706"/>
    <x v="392"/>
    <d v="2016-04-18T00:00:00"/>
    <s v="First Class"/>
    <x v="328"/>
    <s v="Lauren Leatherbury"/>
    <x v="0"/>
    <s v="United States"/>
    <s v="Waynesboro"/>
    <x v="17"/>
    <n v="22980"/>
    <x v="0"/>
    <x v="624"/>
    <x v="1"/>
    <x v="8"/>
    <x v="624"/>
    <x v="4776"/>
    <x v="3"/>
    <x v="1"/>
  </r>
  <r>
    <n v="7459"/>
    <x v="3706"/>
    <x v="392"/>
    <d v="2016-04-18T00:00:00"/>
    <s v="First Class"/>
    <x v="328"/>
    <s v="Lauren Leatherbury"/>
    <x v="0"/>
    <s v="United States"/>
    <s v="Waynesboro"/>
    <x v="17"/>
    <n v="22980"/>
    <x v="0"/>
    <x v="1304"/>
    <x v="0"/>
    <x v="5"/>
    <x v="1289"/>
    <x v="4777"/>
    <x v="3"/>
    <x v="1"/>
  </r>
  <r>
    <n v="7460"/>
    <x v="3706"/>
    <x v="392"/>
    <d v="2016-04-18T00:00:00"/>
    <s v="First Class"/>
    <x v="328"/>
    <s v="Lauren Leatherbury"/>
    <x v="0"/>
    <s v="United States"/>
    <s v="Waynesboro"/>
    <x v="17"/>
    <n v="22980"/>
    <x v="0"/>
    <x v="672"/>
    <x v="0"/>
    <x v="0"/>
    <x v="672"/>
    <x v="4778"/>
    <x v="3"/>
    <x v="1"/>
  </r>
  <r>
    <n v="7461"/>
    <x v="3707"/>
    <x v="347"/>
    <d v="2016-04-14T00:00:00"/>
    <s v="Second Class"/>
    <x v="481"/>
    <s v="Andy Reiter"/>
    <x v="0"/>
    <s v="United States"/>
    <s v="Los Angeles"/>
    <x v="1"/>
    <n v="90004"/>
    <x v="1"/>
    <x v="1687"/>
    <x v="2"/>
    <x v="16"/>
    <x v="1675"/>
    <x v="4779"/>
    <x v="3"/>
    <x v="1"/>
  </r>
  <r>
    <n v="7462"/>
    <x v="3707"/>
    <x v="347"/>
    <d v="2016-04-14T00:00:00"/>
    <s v="Second Class"/>
    <x v="481"/>
    <s v="Andy Reiter"/>
    <x v="0"/>
    <s v="United States"/>
    <s v="Los Angeles"/>
    <x v="1"/>
    <n v="90004"/>
    <x v="1"/>
    <x v="813"/>
    <x v="1"/>
    <x v="10"/>
    <x v="33"/>
    <x v="4780"/>
    <x v="3"/>
    <x v="1"/>
  </r>
  <r>
    <n v="7463"/>
    <x v="3708"/>
    <x v="914"/>
    <d v="2016-03-01T00:00:00"/>
    <s v="Second Class"/>
    <x v="73"/>
    <s v="Nora Paige"/>
    <x v="0"/>
    <s v="United States"/>
    <s v="Seattle"/>
    <x v="4"/>
    <n v="98105"/>
    <x v="1"/>
    <x v="333"/>
    <x v="2"/>
    <x v="11"/>
    <x v="333"/>
    <x v="4781"/>
    <x v="11"/>
    <x v="1"/>
  </r>
  <r>
    <n v="7464"/>
    <x v="3709"/>
    <x v="162"/>
    <d v="2017-09-15T00:00:00"/>
    <s v="Standard Class"/>
    <x v="431"/>
    <s v="Liz Preis"/>
    <x v="0"/>
    <s v="United States"/>
    <s v="Visalia"/>
    <x v="1"/>
    <n v="93277"/>
    <x v="1"/>
    <x v="1453"/>
    <x v="1"/>
    <x v="6"/>
    <x v="1439"/>
    <x v="3544"/>
    <x v="8"/>
    <x v="0"/>
  </r>
  <r>
    <n v="7465"/>
    <x v="3709"/>
    <x v="162"/>
    <d v="2017-09-15T00:00:00"/>
    <s v="Standard Class"/>
    <x v="431"/>
    <s v="Liz Preis"/>
    <x v="0"/>
    <s v="United States"/>
    <s v="Visalia"/>
    <x v="1"/>
    <n v="93277"/>
    <x v="1"/>
    <x v="1532"/>
    <x v="1"/>
    <x v="10"/>
    <x v="1520"/>
    <x v="1353"/>
    <x v="8"/>
    <x v="0"/>
  </r>
  <r>
    <n v="7466"/>
    <x v="3709"/>
    <x v="162"/>
    <d v="2017-09-15T00:00:00"/>
    <s v="Standard Class"/>
    <x v="431"/>
    <s v="Liz Preis"/>
    <x v="0"/>
    <s v="United States"/>
    <s v="Visalia"/>
    <x v="1"/>
    <n v="93277"/>
    <x v="1"/>
    <x v="533"/>
    <x v="1"/>
    <x v="4"/>
    <x v="533"/>
    <x v="2172"/>
    <x v="8"/>
    <x v="0"/>
  </r>
  <r>
    <n v="7467"/>
    <x v="3710"/>
    <x v="288"/>
    <d v="2017-05-23T00:00:00"/>
    <s v="Standard Class"/>
    <x v="706"/>
    <s v="Anna Häberlin"/>
    <x v="1"/>
    <s v="United States"/>
    <s v="Los Angeles"/>
    <x v="1"/>
    <n v="90008"/>
    <x v="1"/>
    <x v="1644"/>
    <x v="1"/>
    <x v="9"/>
    <x v="360"/>
    <x v="4782"/>
    <x v="5"/>
    <x v="0"/>
  </r>
  <r>
    <n v="7468"/>
    <x v="3711"/>
    <x v="343"/>
    <d v="2018-11-15T00:00:00"/>
    <s v="Second Class"/>
    <x v="353"/>
    <s v="Thomas Brumley"/>
    <x v="2"/>
    <s v="United States"/>
    <s v="Los Angeles"/>
    <x v="1"/>
    <n v="90045"/>
    <x v="1"/>
    <x v="698"/>
    <x v="0"/>
    <x v="5"/>
    <x v="698"/>
    <x v="4783"/>
    <x v="0"/>
    <x v="3"/>
  </r>
  <r>
    <n v="7469"/>
    <x v="3712"/>
    <x v="1114"/>
    <d v="2015-09-20T00:00:00"/>
    <s v="Standard Class"/>
    <x v="397"/>
    <s v="Alex Avila"/>
    <x v="0"/>
    <s v="United States"/>
    <s v="New York City"/>
    <x v="15"/>
    <n v="10011"/>
    <x v="3"/>
    <x v="811"/>
    <x v="1"/>
    <x v="10"/>
    <x v="33"/>
    <x v="1801"/>
    <x v="8"/>
    <x v="2"/>
  </r>
  <r>
    <n v="7470"/>
    <x v="3712"/>
    <x v="1114"/>
    <d v="2015-09-20T00:00:00"/>
    <s v="Standard Class"/>
    <x v="397"/>
    <s v="Alex Avila"/>
    <x v="0"/>
    <s v="United States"/>
    <s v="New York City"/>
    <x v="15"/>
    <n v="10011"/>
    <x v="3"/>
    <x v="1027"/>
    <x v="0"/>
    <x v="5"/>
    <x v="1018"/>
    <x v="58"/>
    <x v="8"/>
    <x v="2"/>
  </r>
  <r>
    <n v="7471"/>
    <x v="3713"/>
    <x v="426"/>
    <d v="2016-09-20T00:00:00"/>
    <s v="Standard Class"/>
    <x v="556"/>
    <s v="Ann Chong"/>
    <x v="1"/>
    <s v="United States"/>
    <s v="Philadelphia"/>
    <x v="9"/>
    <n v="19143"/>
    <x v="3"/>
    <x v="98"/>
    <x v="1"/>
    <x v="8"/>
    <x v="98"/>
    <x v="4784"/>
    <x v="8"/>
    <x v="1"/>
  </r>
  <r>
    <n v="7472"/>
    <x v="3713"/>
    <x v="426"/>
    <d v="2016-09-20T00:00:00"/>
    <s v="Standard Class"/>
    <x v="556"/>
    <s v="Ann Chong"/>
    <x v="1"/>
    <s v="United States"/>
    <s v="Philadelphia"/>
    <x v="9"/>
    <n v="19143"/>
    <x v="3"/>
    <x v="196"/>
    <x v="1"/>
    <x v="4"/>
    <x v="197"/>
    <x v="2706"/>
    <x v="8"/>
    <x v="1"/>
  </r>
  <r>
    <n v="7473"/>
    <x v="3714"/>
    <x v="949"/>
    <d v="2017-07-03T00:00:00"/>
    <s v="First Class"/>
    <x v="670"/>
    <s v="Eugene Moren"/>
    <x v="2"/>
    <s v="United States"/>
    <s v="Lehi"/>
    <x v="7"/>
    <n v="84043"/>
    <x v="1"/>
    <x v="1327"/>
    <x v="2"/>
    <x v="16"/>
    <x v="1313"/>
    <x v="4785"/>
    <x v="7"/>
    <x v="0"/>
  </r>
  <r>
    <n v="7474"/>
    <x v="3715"/>
    <x v="342"/>
    <d v="2017-04-15T00:00:00"/>
    <s v="Standard Class"/>
    <x v="425"/>
    <s v="Quincy Jones"/>
    <x v="1"/>
    <s v="United States"/>
    <s v="Chicago"/>
    <x v="10"/>
    <n v="60653"/>
    <x v="2"/>
    <x v="753"/>
    <x v="1"/>
    <x v="6"/>
    <x v="751"/>
    <x v="4786"/>
    <x v="3"/>
    <x v="0"/>
  </r>
  <r>
    <n v="7475"/>
    <x v="3716"/>
    <x v="1037"/>
    <d v="2015-01-10T00:00:00"/>
    <s v="Standard Class"/>
    <x v="467"/>
    <s v="Maria Etezadi"/>
    <x v="2"/>
    <s v="United States"/>
    <s v="Henderson"/>
    <x v="0"/>
    <n v="42420"/>
    <x v="0"/>
    <x v="120"/>
    <x v="0"/>
    <x v="1"/>
    <x v="120"/>
    <x v="4787"/>
    <x v="9"/>
    <x v="2"/>
  </r>
  <r>
    <n v="7476"/>
    <x v="3716"/>
    <x v="1037"/>
    <d v="2015-01-10T00:00:00"/>
    <s v="Standard Class"/>
    <x v="467"/>
    <s v="Maria Etezadi"/>
    <x v="2"/>
    <s v="United States"/>
    <s v="Henderson"/>
    <x v="0"/>
    <n v="42420"/>
    <x v="0"/>
    <x v="569"/>
    <x v="1"/>
    <x v="8"/>
    <x v="569"/>
    <x v="4788"/>
    <x v="9"/>
    <x v="2"/>
  </r>
  <r>
    <n v="7477"/>
    <x v="3716"/>
    <x v="1037"/>
    <d v="2015-01-10T00:00:00"/>
    <s v="Standard Class"/>
    <x v="467"/>
    <s v="Maria Etezadi"/>
    <x v="2"/>
    <s v="United States"/>
    <s v="Henderson"/>
    <x v="0"/>
    <n v="42420"/>
    <x v="0"/>
    <x v="448"/>
    <x v="1"/>
    <x v="6"/>
    <x v="448"/>
    <x v="4789"/>
    <x v="9"/>
    <x v="2"/>
  </r>
  <r>
    <n v="7478"/>
    <x v="3716"/>
    <x v="1037"/>
    <d v="2015-01-10T00:00:00"/>
    <s v="Standard Class"/>
    <x v="467"/>
    <s v="Maria Etezadi"/>
    <x v="2"/>
    <s v="United States"/>
    <s v="Henderson"/>
    <x v="0"/>
    <n v="42420"/>
    <x v="0"/>
    <x v="34"/>
    <x v="2"/>
    <x v="7"/>
    <x v="34"/>
    <x v="3627"/>
    <x v="9"/>
    <x v="2"/>
  </r>
  <r>
    <n v="7479"/>
    <x v="3716"/>
    <x v="1037"/>
    <d v="2015-01-10T00:00:00"/>
    <s v="Standard Class"/>
    <x v="467"/>
    <s v="Maria Etezadi"/>
    <x v="2"/>
    <s v="United States"/>
    <s v="Henderson"/>
    <x v="0"/>
    <n v="42420"/>
    <x v="0"/>
    <x v="867"/>
    <x v="2"/>
    <x v="7"/>
    <x v="861"/>
    <x v="4790"/>
    <x v="9"/>
    <x v="2"/>
  </r>
  <r>
    <n v="7480"/>
    <x v="3716"/>
    <x v="1037"/>
    <d v="2015-01-10T00:00:00"/>
    <s v="Standard Class"/>
    <x v="467"/>
    <s v="Maria Etezadi"/>
    <x v="2"/>
    <s v="United States"/>
    <s v="Henderson"/>
    <x v="0"/>
    <n v="42420"/>
    <x v="0"/>
    <x v="1506"/>
    <x v="1"/>
    <x v="13"/>
    <x v="1493"/>
    <x v="4791"/>
    <x v="9"/>
    <x v="2"/>
  </r>
  <r>
    <n v="7481"/>
    <x v="3716"/>
    <x v="1037"/>
    <d v="2015-01-10T00:00:00"/>
    <s v="Standard Class"/>
    <x v="467"/>
    <s v="Maria Etezadi"/>
    <x v="2"/>
    <s v="United States"/>
    <s v="Henderson"/>
    <x v="0"/>
    <n v="42420"/>
    <x v="0"/>
    <x v="783"/>
    <x v="1"/>
    <x v="10"/>
    <x v="782"/>
    <x v="2571"/>
    <x v="9"/>
    <x v="2"/>
  </r>
  <r>
    <n v="7482"/>
    <x v="3717"/>
    <x v="142"/>
    <d v="2017-09-03T00:00:00"/>
    <s v="Second Class"/>
    <x v="697"/>
    <s v="Laurel Beltran"/>
    <x v="2"/>
    <s v="United States"/>
    <s v="Huntington Beach"/>
    <x v="1"/>
    <n v="92646"/>
    <x v="1"/>
    <x v="118"/>
    <x v="1"/>
    <x v="12"/>
    <x v="118"/>
    <x v="4639"/>
    <x v="8"/>
    <x v="0"/>
  </r>
  <r>
    <n v="7483"/>
    <x v="3718"/>
    <x v="865"/>
    <d v="2015-09-30T00:00:00"/>
    <s v="Standard Class"/>
    <x v="655"/>
    <s v="Julie Prescott"/>
    <x v="2"/>
    <s v="United States"/>
    <s v="New York City"/>
    <x v="15"/>
    <n v="10011"/>
    <x v="3"/>
    <x v="68"/>
    <x v="1"/>
    <x v="8"/>
    <x v="68"/>
    <x v="4792"/>
    <x v="8"/>
    <x v="2"/>
  </r>
  <r>
    <n v="7484"/>
    <x v="3719"/>
    <x v="534"/>
    <d v="2015-12-17T00:00:00"/>
    <s v="Second Class"/>
    <x v="182"/>
    <s v="Ed Braxton"/>
    <x v="1"/>
    <s v="United States"/>
    <s v="Philadelphia"/>
    <x v="9"/>
    <n v="19140"/>
    <x v="3"/>
    <x v="1209"/>
    <x v="0"/>
    <x v="1"/>
    <x v="1194"/>
    <x v="4793"/>
    <x v="4"/>
    <x v="2"/>
  </r>
  <r>
    <n v="7485"/>
    <x v="3720"/>
    <x v="116"/>
    <d v="2019-01-02T00:00:00"/>
    <s v="Standard Class"/>
    <x v="37"/>
    <s v="Christopher Schild"/>
    <x v="2"/>
    <s v="United States"/>
    <s v="Fargo"/>
    <x v="46"/>
    <n v="58103"/>
    <x v="2"/>
    <x v="1820"/>
    <x v="1"/>
    <x v="6"/>
    <x v="772"/>
    <x v="4538"/>
    <x v="4"/>
    <x v="3"/>
  </r>
  <r>
    <n v="7486"/>
    <x v="3720"/>
    <x v="116"/>
    <d v="2019-01-02T00:00:00"/>
    <s v="Standard Class"/>
    <x v="37"/>
    <s v="Christopher Schild"/>
    <x v="2"/>
    <s v="United States"/>
    <s v="Fargo"/>
    <x v="46"/>
    <n v="58103"/>
    <x v="2"/>
    <x v="1499"/>
    <x v="1"/>
    <x v="8"/>
    <x v="1487"/>
    <x v="4063"/>
    <x v="4"/>
    <x v="3"/>
  </r>
  <r>
    <n v="7487"/>
    <x v="3721"/>
    <x v="546"/>
    <d v="2016-12-24T00:00:00"/>
    <s v="Second Class"/>
    <x v="327"/>
    <s v="Peter McVee"/>
    <x v="2"/>
    <s v="United States"/>
    <s v="Dover"/>
    <x v="38"/>
    <n v="3820"/>
    <x v="3"/>
    <x v="1331"/>
    <x v="1"/>
    <x v="10"/>
    <x v="1316"/>
    <x v="2680"/>
    <x v="4"/>
    <x v="1"/>
  </r>
  <r>
    <n v="7488"/>
    <x v="3721"/>
    <x v="546"/>
    <d v="2016-12-24T00:00:00"/>
    <s v="Second Class"/>
    <x v="327"/>
    <s v="Peter McVee"/>
    <x v="2"/>
    <s v="United States"/>
    <s v="Dover"/>
    <x v="38"/>
    <n v="3820"/>
    <x v="3"/>
    <x v="1287"/>
    <x v="2"/>
    <x v="11"/>
    <x v="1273"/>
    <x v="3522"/>
    <x v="4"/>
    <x v="1"/>
  </r>
  <r>
    <n v="7489"/>
    <x v="3721"/>
    <x v="546"/>
    <d v="2016-12-24T00:00:00"/>
    <s v="Second Class"/>
    <x v="327"/>
    <s v="Peter McVee"/>
    <x v="2"/>
    <s v="United States"/>
    <s v="Dover"/>
    <x v="38"/>
    <n v="3820"/>
    <x v="3"/>
    <x v="215"/>
    <x v="0"/>
    <x v="3"/>
    <x v="216"/>
    <x v="4794"/>
    <x v="4"/>
    <x v="1"/>
  </r>
  <r>
    <n v="7490"/>
    <x v="3722"/>
    <x v="60"/>
    <d v="2018-11-09T00:00:00"/>
    <s v="Standard Class"/>
    <x v="731"/>
    <s v="Anna Andreadi"/>
    <x v="0"/>
    <s v="United States"/>
    <s v="San Diego"/>
    <x v="1"/>
    <n v="92105"/>
    <x v="1"/>
    <x v="860"/>
    <x v="1"/>
    <x v="10"/>
    <x v="854"/>
    <x v="91"/>
    <x v="0"/>
    <x v="3"/>
  </r>
  <r>
    <n v="7491"/>
    <x v="3723"/>
    <x v="229"/>
    <d v="2016-09-16T00:00:00"/>
    <s v="Standard Class"/>
    <x v="135"/>
    <s v="Frank Atkinson"/>
    <x v="1"/>
    <s v="United States"/>
    <s v="Los Angeles"/>
    <x v="1"/>
    <n v="90032"/>
    <x v="1"/>
    <x v="90"/>
    <x v="0"/>
    <x v="5"/>
    <x v="90"/>
    <x v="4795"/>
    <x v="8"/>
    <x v="1"/>
  </r>
  <r>
    <n v="7492"/>
    <x v="3724"/>
    <x v="673"/>
    <d v="2018-11-16T00:00:00"/>
    <s v="Same Day"/>
    <x v="496"/>
    <s v="Charlotte Melton"/>
    <x v="0"/>
    <s v="United States"/>
    <s v="Utica"/>
    <x v="15"/>
    <n v="13501"/>
    <x v="3"/>
    <x v="1730"/>
    <x v="2"/>
    <x v="7"/>
    <x v="1717"/>
    <x v="580"/>
    <x v="0"/>
    <x v="3"/>
  </r>
  <r>
    <n v="7493"/>
    <x v="3725"/>
    <x v="220"/>
    <d v="2018-09-16T00:00:00"/>
    <s v="Standard Class"/>
    <x v="693"/>
    <s v="Cindy Chapman"/>
    <x v="0"/>
    <s v="United States"/>
    <s v="Houston"/>
    <x v="5"/>
    <n v="77070"/>
    <x v="2"/>
    <x v="1433"/>
    <x v="1"/>
    <x v="10"/>
    <x v="1421"/>
    <x v="1495"/>
    <x v="8"/>
    <x v="3"/>
  </r>
  <r>
    <n v="7494"/>
    <x v="3725"/>
    <x v="220"/>
    <d v="2018-09-16T00:00:00"/>
    <s v="Standard Class"/>
    <x v="693"/>
    <s v="Cindy Chapman"/>
    <x v="0"/>
    <s v="United States"/>
    <s v="Houston"/>
    <x v="5"/>
    <n v="77070"/>
    <x v="2"/>
    <x v="1213"/>
    <x v="0"/>
    <x v="3"/>
    <x v="1198"/>
    <x v="4796"/>
    <x v="8"/>
    <x v="3"/>
  </r>
  <r>
    <n v="7495"/>
    <x v="3725"/>
    <x v="220"/>
    <d v="2018-09-16T00:00:00"/>
    <s v="Standard Class"/>
    <x v="693"/>
    <s v="Cindy Chapman"/>
    <x v="0"/>
    <s v="United States"/>
    <s v="Houston"/>
    <x v="5"/>
    <n v="77070"/>
    <x v="2"/>
    <x v="1034"/>
    <x v="1"/>
    <x v="9"/>
    <x v="1025"/>
    <x v="4797"/>
    <x v="8"/>
    <x v="3"/>
  </r>
  <r>
    <n v="7496"/>
    <x v="3726"/>
    <x v="1163"/>
    <d v="2018-07-18T00:00:00"/>
    <s v="Standard Class"/>
    <x v="646"/>
    <s v="Toby Carlisle"/>
    <x v="0"/>
    <s v="United States"/>
    <s v="Westminster"/>
    <x v="1"/>
    <n v="92683"/>
    <x v="1"/>
    <x v="757"/>
    <x v="1"/>
    <x v="8"/>
    <x v="755"/>
    <x v="2999"/>
    <x v="7"/>
    <x v="3"/>
  </r>
  <r>
    <n v="7497"/>
    <x v="3726"/>
    <x v="1163"/>
    <d v="2018-07-18T00:00:00"/>
    <s v="Standard Class"/>
    <x v="646"/>
    <s v="Toby Carlisle"/>
    <x v="0"/>
    <s v="United States"/>
    <s v="Westminster"/>
    <x v="1"/>
    <n v="92683"/>
    <x v="1"/>
    <x v="737"/>
    <x v="0"/>
    <x v="5"/>
    <x v="736"/>
    <x v="3057"/>
    <x v="7"/>
    <x v="3"/>
  </r>
  <r>
    <n v="7498"/>
    <x v="3726"/>
    <x v="1163"/>
    <d v="2018-07-18T00:00:00"/>
    <s v="Standard Class"/>
    <x v="646"/>
    <s v="Toby Carlisle"/>
    <x v="0"/>
    <s v="United States"/>
    <s v="Westminster"/>
    <x v="1"/>
    <n v="92683"/>
    <x v="1"/>
    <x v="310"/>
    <x v="1"/>
    <x v="13"/>
    <x v="310"/>
    <x v="325"/>
    <x v="7"/>
    <x v="3"/>
  </r>
  <r>
    <n v="7499"/>
    <x v="3726"/>
    <x v="1163"/>
    <d v="2018-07-18T00:00:00"/>
    <s v="Standard Class"/>
    <x v="646"/>
    <s v="Toby Carlisle"/>
    <x v="0"/>
    <s v="United States"/>
    <s v="Westminster"/>
    <x v="1"/>
    <n v="92683"/>
    <x v="1"/>
    <x v="30"/>
    <x v="1"/>
    <x v="6"/>
    <x v="30"/>
    <x v="4798"/>
    <x v="7"/>
    <x v="3"/>
  </r>
  <r>
    <n v="7500"/>
    <x v="3726"/>
    <x v="1163"/>
    <d v="2018-07-18T00:00:00"/>
    <s v="Standard Class"/>
    <x v="646"/>
    <s v="Toby Carlisle"/>
    <x v="0"/>
    <s v="United States"/>
    <s v="Westminster"/>
    <x v="1"/>
    <n v="92683"/>
    <x v="1"/>
    <x v="191"/>
    <x v="0"/>
    <x v="5"/>
    <x v="192"/>
    <x v="605"/>
    <x v="7"/>
    <x v="3"/>
  </r>
  <r>
    <n v="7501"/>
    <x v="3726"/>
    <x v="1163"/>
    <d v="2018-07-18T00:00:00"/>
    <s v="Standard Class"/>
    <x v="646"/>
    <s v="Toby Carlisle"/>
    <x v="0"/>
    <s v="United States"/>
    <s v="Westminster"/>
    <x v="1"/>
    <n v="92683"/>
    <x v="1"/>
    <x v="437"/>
    <x v="2"/>
    <x v="11"/>
    <x v="437"/>
    <x v="4799"/>
    <x v="7"/>
    <x v="3"/>
  </r>
  <r>
    <n v="7502"/>
    <x v="3726"/>
    <x v="1163"/>
    <d v="2018-07-18T00:00:00"/>
    <s v="Standard Class"/>
    <x v="646"/>
    <s v="Toby Carlisle"/>
    <x v="0"/>
    <s v="United States"/>
    <s v="Westminster"/>
    <x v="1"/>
    <n v="92683"/>
    <x v="1"/>
    <x v="34"/>
    <x v="2"/>
    <x v="7"/>
    <x v="34"/>
    <x v="549"/>
    <x v="7"/>
    <x v="3"/>
  </r>
  <r>
    <n v="7503"/>
    <x v="3727"/>
    <x v="983"/>
    <d v="2018-03-30T00:00:00"/>
    <s v="Same Day"/>
    <x v="483"/>
    <s v="Tom Boeckenhauer"/>
    <x v="0"/>
    <s v="United States"/>
    <s v="Los Angeles"/>
    <x v="1"/>
    <n v="90036"/>
    <x v="1"/>
    <x v="1279"/>
    <x v="1"/>
    <x v="6"/>
    <x v="1264"/>
    <x v="2351"/>
    <x v="10"/>
    <x v="3"/>
  </r>
  <r>
    <n v="7504"/>
    <x v="3727"/>
    <x v="983"/>
    <d v="2018-03-30T00:00:00"/>
    <s v="Same Day"/>
    <x v="483"/>
    <s v="Tom Boeckenhauer"/>
    <x v="0"/>
    <s v="United States"/>
    <s v="Los Angeles"/>
    <x v="1"/>
    <n v="90036"/>
    <x v="1"/>
    <x v="53"/>
    <x v="2"/>
    <x v="7"/>
    <x v="53"/>
    <x v="4800"/>
    <x v="10"/>
    <x v="3"/>
  </r>
  <r>
    <n v="7505"/>
    <x v="3728"/>
    <x v="1011"/>
    <d v="2017-02-04T00:00:00"/>
    <s v="Second Class"/>
    <x v="759"/>
    <s v="Jason Klamczynski"/>
    <x v="1"/>
    <s v="United States"/>
    <s v="Atlantic City"/>
    <x v="30"/>
    <n v="8401"/>
    <x v="3"/>
    <x v="1040"/>
    <x v="1"/>
    <x v="12"/>
    <x v="153"/>
    <x v="368"/>
    <x v="9"/>
    <x v="0"/>
  </r>
  <r>
    <n v="7506"/>
    <x v="3729"/>
    <x v="110"/>
    <d v="2018-06-13T00:00:00"/>
    <s v="Standard Class"/>
    <x v="572"/>
    <s v="Ben Wallace"/>
    <x v="0"/>
    <s v="United States"/>
    <s v="Skokie"/>
    <x v="10"/>
    <n v="60076"/>
    <x v="2"/>
    <x v="338"/>
    <x v="1"/>
    <x v="8"/>
    <x v="338"/>
    <x v="359"/>
    <x v="1"/>
    <x v="3"/>
  </r>
  <r>
    <n v="7507"/>
    <x v="3730"/>
    <x v="981"/>
    <d v="2015-11-06T00:00:00"/>
    <s v="Standard Class"/>
    <x v="129"/>
    <s v="Shahid Hopkins"/>
    <x v="0"/>
    <s v="United States"/>
    <s v="San Francisco"/>
    <x v="1"/>
    <n v="94122"/>
    <x v="1"/>
    <x v="1129"/>
    <x v="2"/>
    <x v="7"/>
    <x v="1117"/>
    <x v="1925"/>
    <x v="0"/>
    <x v="2"/>
  </r>
  <r>
    <n v="7508"/>
    <x v="3730"/>
    <x v="981"/>
    <d v="2015-11-06T00:00:00"/>
    <s v="Standard Class"/>
    <x v="129"/>
    <s v="Shahid Hopkins"/>
    <x v="0"/>
    <s v="United States"/>
    <s v="San Francisco"/>
    <x v="1"/>
    <n v="94122"/>
    <x v="1"/>
    <x v="245"/>
    <x v="1"/>
    <x v="4"/>
    <x v="246"/>
    <x v="971"/>
    <x v="0"/>
    <x v="2"/>
  </r>
  <r>
    <n v="7509"/>
    <x v="3731"/>
    <x v="1163"/>
    <d v="2018-07-18T00:00:00"/>
    <s v="Standard Class"/>
    <x v="252"/>
    <s v="John Lee"/>
    <x v="0"/>
    <s v="United States"/>
    <s v="Columbus"/>
    <x v="24"/>
    <n v="43229"/>
    <x v="3"/>
    <x v="820"/>
    <x v="1"/>
    <x v="10"/>
    <x v="816"/>
    <x v="4579"/>
    <x v="7"/>
    <x v="3"/>
  </r>
  <r>
    <n v="7510"/>
    <x v="3731"/>
    <x v="1163"/>
    <d v="2018-07-18T00:00:00"/>
    <s v="Standard Class"/>
    <x v="252"/>
    <s v="John Lee"/>
    <x v="0"/>
    <s v="United States"/>
    <s v="Columbus"/>
    <x v="24"/>
    <n v="43229"/>
    <x v="3"/>
    <x v="754"/>
    <x v="2"/>
    <x v="7"/>
    <x v="752"/>
    <x v="4801"/>
    <x v="7"/>
    <x v="3"/>
  </r>
  <r>
    <n v="7511"/>
    <x v="3731"/>
    <x v="1163"/>
    <d v="2018-07-18T00:00:00"/>
    <s v="Standard Class"/>
    <x v="252"/>
    <s v="John Lee"/>
    <x v="0"/>
    <s v="United States"/>
    <s v="Columbus"/>
    <x v="24"/>
    <n v="43229"/>
    <x v="3"/>
    <x v="170"/>
    <x v="1"/>
    <x v="4"/>
    <x v="171"/>
    <x v="4495"/>
    <x v="7"/>
    <x v="3"/>
  </r>
  <r>
    <n v="7512"/>
    <x v="3731"/>
    <x v="1163"/>
    <d v="2018-07-18T00:00:00"/>
    <s v="Standard Class"/>
    <x v="252"/>
    <s v="John Lee"/>
    <x v="0"/>
    <s v="United States"/>
    <s v="Columbus"/>
    <x v="24"/>
    <n v="43229"/>
    <x v="3"/>
    <x v="1071"/>
    <x v="0"/>
    <x v="5"/>
    <x v="1060"/>
    <x v="4279"/>
    <x v="7"/>
    <x v="3"/>
  </r>
  <r>
    <n v="7513"/>
    <x v="3731"/>
    <x v="1163"/>
    <d v="2018-07-18T00:00:00"/>
    <s v="Standard Class"/>
    <x v="252"/>
    <s v="John Lee"/>
    <x v="0"/>
    <s v="United States"/>
    <s v="Columbus"/>
    <x v="24"/>
    <n v="43229"/>
    <x v="3"/>
    <x v="1354"/>
    <x v="1"/>
    <x v="4"/>
    <x v="1340"/>
    <x v="4802"/>
    <x v="7"/>
    <x v="3"/>
  </r>
  <r>
    <n v="7514"/>
    <x v="3731"/>
    <x v="1163"/>
    <d v="2018-07-18T00:00:00"/>
    <s v="Standard Class"/>
    <x v="252"/>
    <s v="John Lee"/>
    <x v="0"/>
    <s v="United States"/>
    <s v="Columbus"/>
    <x v="24"/>
    <n v="43229"/>
    <x v="3"/>
    <x v="346"/>
    <x v="1"/>
    <x v="6"/>
    <x v="346"/>
    <x v="1317"/>
    <x v="7"/>
    <x v="3"/>
  </r>
  <r>
    <n v="7515"/>
    <x v="3732"/>
    <x v="34"/>
    <d v="2018-12-12T00:00:00"/>
    <s v="Second Class"/>
    <x v="252"/>
    <s v="John Lee"/>
    <x v="0"/>
    <s v="United States"/>
    <s v="Richmond"/>
    <x v="0"/>
    <n v="40475"/>
    <x v="0"/>
    <x v="908"/>
    <x v="1"/>
    <x v="8"/>
    <x v="900"/>
    <x v="4803"/>
    <x v="4"/>
    <x v="3"/>
  </r>
  <r>
    <n v="7516"/>
    <x v="3732"/>
    <x v="34"/>
    <d v="2018-12-12T00:00:00"/>
    <s v="Second Class"/>
    <x v="252"/>
    <s v="John Lee"/>
    <x v="0"/>
    <s v="United States"/>
    <s v="Richmond"/>
    <x v="0"/>
    <n v="40475"/>
    <x v="0"/>
    <x v="1428"/>
    <x v="1"/>
    <x v="9"/>
    <x v="1416"/>
    <x v="4804"/>
    <x v="4"/>
    <x v="3"/>
  </r>
  <r>
    <n v="7517"/>
    <x v="3732"/>
    <x v="34"/>
    <d v="2018-12-12T00:00:00"/>
    <s v="Second Class"/>
    <x v="252"/>
    <s v="John Lee"/>
    <x v="0"/>
    <s v="United States"/>
    <s v="Richmond"/>
    <x v="0"/>
    <n v="40475"/>
    <x v="0"/>
    <x v="122"/>
    <x v="1"/>
    <x v="8"/>
    <x v="122"/>
    <x v="204"/>
    <x v="4"/>
    <x v="3"/>
  </r>
  <r>
    <n v="7518"/>
    <x v="3732"/>
    <x v="34"/>
    <d v="2018-12-12T00:00:00"/>
    <s v="Second Class"/>
    <x v="252"/>
    <s v="John Lee"/>
    <x v="0"/>
    <s v="United States"/>
    <s v="Richmond"/>
    <x v="0"/>
    <n v="40475"/>
    <x v="0"/>
    <x v="825"/>
    <x v="2"/>
    <x v="11"/>
    <x v="821"/>
    <x v="4805"/>
    <x v="4"/>
    <x v="3"/>
  </r>
  <r>
    <n v="7519"/>
    <x v="3732"/>
    <x v="34"/>
    <d v="2018-12-12T00:00:00"/>
    <s v="Second Class"/>
    <x v="252"/>
    <s v="John Lee"/>
    <x v="0"/>
    <s v="United States"/>
    <s v="Richmond"/>
    <x v="0"/>
    <n v="40475"/>
    <x v="0"/>
    <x v="464"/>
    <x v="1"/>
    <x v="4"/>
    <x v="465"/>
    <x v="4806"/>
    <x v="4"/>
    <x v="3"/>
  </r>
  <r>
    <n v="7520"/>
    <x v="3732"/>
    <x v="34"/>
    <d v="2018-12-12T00:00:00"/>
    <s v="Second Class"/>
    <x v="252"/>
    <s v="John Lee"/>
    <x v="0"/>
    <s v="United States"/>
    <s v="Richmond"/>
    <x v="0"/>
    <n v="40475"/>
    <x v="0"/>
    <x v="1568"/>
    <x v="1"/>
    <x v="2"/>
    <x v="1559"/>
    <x v="1755"/>
    <x v="4"/>
    <x v="3"/>
  </r>
  <r>
    <n v="7521"/>
    <x v="3732"/>
    <x v="34"/>
    <d v="2018-12-12T00:00:00"/>
    <s v="Second Class"/>
    <x v="252"/>
    <s v="John Lee"/>
    <x v="0"/>
    <s v="United States"/>
    <s v="Richmond"/>
    <x v="0"/>
    <n v="40475"/>
    <x v="0"/>
    <x v="890"/>
    <x v="2"/>
    <x v="16"/>
    <x v="883"/>
    <x v="4807"/>
    <x v="4"/>
    <x v="3"/>
  </r>
  <r>
    <n v="7522"/>
    <x v="3733"/>
    <x v="64"/>
    <d v="2017-09-11T00:00:00"/>
    <s v="Standard Class"/>
    <x v="198"/>
    <s v="Maribeth Dona"/>
    <x v="0"/>
    <s v="United States"/>
    <s v="Lancaster"/>
    <x v="24"/>
    <n v="43130"/>
    <x v="3"/>
    <x v="528"/>
    <x v="1"/>
    <x v="8"/>
    <x v="528"/>
    <x v="4808"/>
    <x v="8"/>
    <x v="0"/>
  </r>
  <r>
    <n v="7523"/>
    <x v="3733"/>
    <x v="64"/>
    <d v="2017-09-11T00:00:00"/>
    <s v="Standard Class"/>
    <x v="198"/>
    <s v="Maribeth Dona"/>
    <x v="0"/>
    <s v="United States"/>
    <s v="Lancaster"/>
    <x v="24"/>
    <n v="43130"/>
    <x v="3"/>
    <x v="1181"/>
    <x v="1"/>
    <x v="8"/>
    <x v="1167"/>
    <x v="3096"/>
    <x v="8"/>
    <x v="0"/>
  </r>
  <r>
    <n v="7524"/>
    <x v="3733"/>
    <x v="64"/>
    <d v="2017-09-11T00:00:00"/>
    <s v="Standard Class"/>
    <x v="198"/>
    <s v="Maribeth Dona"/>
    <x v="0"/>
    <s v="United States"/>
    <s v="Lancaster"/>
    <x v="24"/>
    <n v="43130"/>
    <x v="3"/>
    <x v="212"/>
    <x v="0"/>
    <x v="1"/>
    <x v="213"/>
    <x v="4763"/>
    <x v="8"/>
    <x v="0"/>
  </r>
  <r>
    <n v="7525"/>
    <x v="3734"/>
    <x v="1076"/>
    <d v="2015-09-16T00:00:00"/>
    <s v="Standard Class"/>
    <x v="52"/>
    <s v="Clay Ludtke"/>
    <x v="0"/>
    <s v="United States"/>
    <s v="Gresham"/>
    <x v="21"/>
    <n v="97030"/>
    <x v="1"/>
    <x v="776"/>
    <x v="1"/>
    <x v="12"/>
    <x v="775"/>
    <x v="4809"/>
    <x v="8"/>
    <x v="2"/>
  </r>
  <r>
    <n v="7526"/>
    <x v="3734"/>
    <x v="1076"/>
    <d v="2015-09-16T00:00:00"/>
    <s v="Standard Class"/>
    <x v="52"/>
    <s v="Clay Ludtke"/>
    <x v="0"/>
    <s v="United States"/>
    <s v="Gresham"/>
    <x v="21"/>
    <n v="97030"/>
    <x v="1"/>
    <x v="873"/>
    <x v="0"/>
    <x v="1"/>
    <x v="867"/>
    <x v="3241"/>
    <x v="8"/>
    <x v="2"/>
  </r>
  <r>
    <n v="7527"/>
    <x v="3735"/>
    <x v="986"/>
    <d v="2018-09-26T00:00:00"/>
    <s v="Same Day"/>
    <x v="19"/>
    <s v="Ruben Ausman"/>
    <x v="1"/>
    <s v="United States"/>
    <s v="San Francisco"/>
    <x v="1"/>
    <n v="94109"/>
    <x v="1"/>
    <x v="1606"/>
    <x v="1"/>
    <x v="12"/>
    <x v="153"/>
    <x v="3242"/>
    <x v="8"/>
    <x v="3"/>
  </r>
  <r>
    <n v="7528"/>
    <x v="3735"/>
    <x v="986"/>
    <d v="2018-09-26T00:00:00"/>
    <s v="Same Day"/>
    <x v="19"/>
    <s v="Ruben Ausman"/>
    <x v="1"/>
    <s v="United States"/>
    <s v="San Francisco"/>
    <x v="1"/>
    <n v="94109"/>
    <x v="1"/>
    <x v="1392"/>
    <x v="0"/>
    <x v="5"/>
    <x v="1378"/>
    <x v="354"/>
    <x v="8"/>
    <x v="3"/>
  </r>
  <r>
    <n v="7529"/>
    <x v="3735"/>
    <x v="986"/>
    <d v="2018-09-26T00:00:00"/>
    <s v="Same Day"/>
    <x v="19"/>
    <s v="Ruben Ausman"/>
    <x v="1"/>
    <s v="United States"/>
    <s v="San Francisco"/>
    <x v="1"/>
    <n v="94109"/>
    <x v="1"/>
    <x v="1357"/>
    <x v="1"/>
    <x v="10"/>
    <x v="1343"/>
    <x v="1197"/>
    <x v="8"/>
    <x v="3"/>
  </r>
  <r>
    <n v="7530"/>
    <x v="3735"/>
    <x v="986"/>
    <d v="2018-09-26T00:00:00"/>
    <s v="Same Day"/>
    <x v="19"/>
    <s v="Ruben Ausman"/>
    <x v="1"/>
    <s v="United States"/>
    <s v="San Francisco"/>
    <x v="1"/>
    <n v="94109"/>
    <x v="1"/>
    <x v="20"/>
    <x v="1"/>
    <x v="8"/>
    <x v="20"/>
    <x v="339"/>
    <x v="8"/>
    <x v="3"/>
  </r>
  <r>
    <n v="7531"/>
    <x v="3735"/>
    <x v="986"/>
    <d v="2018-09-26T00:00:00"/>
    <s v="Same Day"/>
    <x v="19"/>
    <s v="Ruben Ausman"/>
    <x v="1"/>
    <s v="United States"/>
    <s v="San Francisco"/>
    <x v="1"/>
    <n v="94109"/>
    <x v="1"/>
    <x v="760"/>
    <x v="1"/>
    <x v="8"/>
    <x v="758"/>
    <x v="2537"/>
    <x v="8"/>
    <x v="3"/>
  </r>
  <r>
    <n v="7532"/>
    <x v="3736"/>
    <x v="26"/>
    <d v="2017-06-19T00:00:00"/>
    <s v="First Class"/>
    <x v="62"/>
    <s v="Lena Creighton"/>
    <x v="0"/>
    <s v="United States"/>
    <s v="Longmont"/>
    <x v="22"/>
    <n v="80501"/>
    <x v="1"/>
    <x v="1319"/>
    <x v="0"/>
    <x v="5"/>
    <x v="1305"/>
    <x v="4429"/>
    <x v="1"/>
    <x v="0"/>
  </r>
  <r>
    <n v="7533"/>
    <x v="3736"/>
    <x v="26"/>
    <d v="2017-06-19T00:00:00"/>
    <s v="First Class"/>
    <x v="62"/>
    <s v="Lena Creighton"/>
    <x v="0"/>
    <s v="United States"/>
    <s v="Longmont"/>
    <x v="22"/>
    <n v="80501"/>
    <x v="1"/>
    <x v="531"/>
    <x v="0"/>
    <x v="1"/>
    <x v="531"/>
    <x v="4810"/>
    <x v="1"/>
    <x v="0"/>
  </r>
  <r>
    <n v="7534"/>
    <x v="3737"/>
    <x v="906"/>
    <d v="2018-03-01T00:00:00"/>
    <s v="Standard Class"/>
    <x v="573"/>
    <s v="Scot Wooten"/>
    <x v="0"/>
    <s v="United States"/>
    <s v="Greenville"/>
    <x v="3"/>
    <n v="27834"/>
    <x v="0"/>
    <x v="812"/>
    <x v="0"/>
    <x v="1"/>
    <x v="809"/>
    <x v="3174"/>
    <x v="11"/>
    <x v="3"/>
  </r>
  <r>
    <n v="7535"/>
    <x v="3737"/>
    <x v="906"/>
    <d v="2018-03-01T00:00:00"/>
    <s v="Standard Class"/>
    <x v="573"/>
    <s v="Scot Wooten"/>
    <x v="0"/>
    <s v="United States"/>
    <s v="Greenville"/>
    <x v="3"/>
    <n v="27834"/>
    <x v="0"/>
    <x v="266"/>
    <x v="0"/>
    <x v="0"/>
    <x v="266"/>
    <x v="3027"/>
    <x v="11"/>
    <x v="3"/>
  </r>
  <r>
    <n v="7536"/>
    <x v="3738"/>
    <x v="185"/>
    <d v="2018-04-07T00:00:00"/>
    <s v="Standard Class"/>
    <x v="428"/>
    <s v="Henry Goldwyn"/>
    <x v="1"/>
    <s v="United States"/>
    <s v="Los Angeles"/>
    <x v="1"/>
    <n v="90004"/>
    <x v="1"/>
    <x v="558"/>
    <x v="1"/>
    <x v="14"/>
    <x v="557"/>
    <x v="1271"/>
    <x v="10"/>
    <x v="3"/>
  </r>
  <r>
    <n v="7537"/>
    <x v="3739"/>
    <x v="734"/>
    <d v="2018-12-08T00:00:00"/>
    <s v="Standard Class"/>
    <x v="597"/>
    <s v="Mark Van Huff"/>
    <x v="0"/>
    <s v="United States"/>
    <s v="Houston"/>
    <x v="5"/>
    <n v="77041"/>
    <x v="2"/>
    <x v="1793"/>
    <x v="0"/>
    <x v="5"/>
    <x v="1783"/>
    <x v="4754"/>
    <x v="4"/>
    <x v="3"/>
  </r>
  <r>
    <n v="7538"/>
    <x v="3740"/>
    <x v="317"/>
    <d v="2017-02-22T00:00:00"/>
    <s v="Second Class"/>
    <x v="218"/>
    <s v="Greg Tran"/>
    <x v="0"/>
    <s v="United States"/>
    <s v="San Francisco"/>
    <x v="1"/>
    <n v="94109"/>
    <x v="1"/>
    <x v="129"/>
    <x v="1"/>
    <x v="10"/>
    <x v="130"/>
    <x v="2681"/>
    <x v="11"/>
    <x v="0"/>
  </r>
  <r>
    <n v="7539"/>
    <x v="3741"/>
    <x v="574"/>
    <d v="2018-12-06T00:00:00"/>
    <s v="Standard Class"/>
    <x v="510"/>
    <s v="Bill Stewart"/>
    <x v="1"/>
    <s v="United States"/>
    <s v="Denver"/>
    <x v="22"/>
    <n v="80219"/>
    <x v="1"/>
    <x v="384"/>
    <x v="1"/>
    <x v="4"/>
    <x v="385"/>
    <x v="4811"/>
    <x v="4"/>
    <x v="3"/>
  </r>
  <r>
    <n v="7540"/>
    <x v="3741"/>
    <x v="574"/>
    <d v="2018-12-06T00:00:00"/>
    <s v="Standard Class"/>
    <x v="510"/>
    <s v="Bill Stewart"/>
    <x v="1"/>
    <s v="United States"/>
    <s v="Denver"/>
    <x v="22"/>
    <n v="80219"/>
    <x v="1"/>
    <x v="785"/>
    <x v="1"/>
    <x v="8"/>
    <x v="784"/>
    <x v="933"/>
    <x v="4"/>
    <x v="3"/>
  </r>
  <r>
    <n v="7541"/>
    <x v="3741"/>
    <x v="574"/>
    <d v="2018-12-06T00:00:00"/>
    <s v="Standard Class"/>
    <x v="510"/>
    <s v="Bill Stewart"/>
    <x v="1"/>
    <s v="United States"/>
    <s v="Denver"/>
    <x v="22"/>
    <n v="80219"/>
    <x v="1"/>
    <x v="1659"/>
    <x v="0"/>
    <x v="0"/>
    <x v="1647"/>
    <x v="2463"/>
    <x v="4"/>
    <x v="3"/>
  </r>
  <r>
    <n v="7542"/>
    <x v="3741"/>
    <x v="574"/>
    <d v="2018-12-06T00:00:00"/>
    <s v="Standard Class"/>
    <x v="510"/>
    <s v="Bill Stewart"/>
    <x v="1"/>
    <s v="United States"/>
    <s v="Denver"/>
    <x v="22"/>
    <n v="80219"/>
    <x v="1"/>
    <x v="1670"/>
    <x v="2"/>
    <x v="7"/>
    <x v="1658"/>
    <x v="4812"/>
    <x v="4"/>
    <x v="3"/>
  </r>
  <r>
    <n v="7543"/>
    <x v="3741"/>
    <x v="574"/>
    <d v="2018-12-06T00:00:00"/>
    <s v="Standard Class"/>
    <x v="510"/>
    <s v="Bill Stewart"/>
    <x v="1"/>
    <s v="United States"/>
    <s v="Denver"/>
    <x v="22"/>
    <n v="80219"/>
    <x v="1"/>
    <x v="1060"/>
    <x v="0"/>
    <x v="5"/>
    <x v="1049"/>
    <x v="4813"/>
    <x v="4"/>
    <x v="3"/>
  </r>
  <r>
    <n v="7544"/>
    <x v="3741"/>
    <x v="574"/>
    <d v="2018-12-06T00:00:00"/>
    <s v="Standard Class"/>
    <x v="510"/>
    <s v="Bill Stewart"/>
    <x v="1"/>
    <s v="United States"/>
    <s v="Denver"/>
    <x v="22"/>
    <n v="80219"/>
    <x v="1"/>
    <x v="1378"/>
    <x v="2"/>
    <x v="7"/>
    <x v="1363"/>
    <x v="4814"/>
    <x v="4"/>
    <x v="3"/>
  </r>
  <r>
    <n v="7545"/>
    <x v="3741"/>
    <x v="574"/>
    <d v="2018-12-06T00:00:00"/>
    <s v="Standard Class"/>
    <x v="510"/>
    <s v="Bill Stewart"/>
    <x v="1"/>
    <s v="United States"/>
    <s v="Denver"/>
    <x v="22"/>
    <n v="80219"/>
    <x v="1"/>
    <x v="629"/>
    <x v="0"/>
    <x v="1"/>
    <x v="629"/>
    <x v="4815"/>
    <x v="4"/>
    <x v="3"/>
  </r>
  <r>
    <n v="7546"/>
    <x v="3742"/>
    <x v="982"/>
    <d v="2015-10-15T00:00:00"/>
    <s v="Standard Class"/>
    <x v="782"/>
    <s v="Craig Molinari"/>
    <x v="1"/>
    <s v="United States"/>
    <s v="Huntsville"/>
    <x v="5"/>
    <n v="77340"/>
    <x v="2"/>
    <x v="1521"/>
    <x v="2"/>
    <x v="7"/>
    <x v="1508"/>
    <x v="4816"/>
    <x v="2"/>
    <x v="2"/>
  </r>
  <r>
    <n v="7547"/>
    <x v="3742"/>
    <x v="982"/>
    <d v="2015-10-15T00:00:00"/>
    <s v="Standard Class"/>
    <x v="782"/>
    <s v="Craig Molinari"/>
    <x v="1"/>
    <s v="United States"/>
    <s v="Huntsville"/>
    <x v="5"/>
    <n v="77340"/>
    <x v="2"/>
    <x v="524"/>
    <x v="2"/>
    <x v="7"/>
    <x v="524"/>
    <x v="4817"/>
    <x v="2"/>
    <x v="2"/>
  </r>
  <r>
    <n v="7548"/>
    <x v="3742"/>
    <x v="982"/>
    <d v="2015-10-15T00:00:00"/>
    <s v="Standard Class"/>
    <x v="782"/>
    <s v="Craig Molinari"/>
    <x v="1"/>
    <s v="United States"/>
    <s v="Huntsville"/>
    <x v="5"/>
    <n v="77340"/>
    <x v="2"/>
    <x v="1224"/>
    <x v="1"/>
    <x v="8"/>
    <x v="1208"/>
    <x v="4818"/>
    <x v="2"/>
    <x v="2"/>
  </r>
  <r>
    <n v="7549"/>
    <x v="3742"/>
    <x v="982"/>
    <d v="2015-10-15T00:00:00"/>
    <s v="Standard Class"/>
    <x v="782"/>
    <s v="Craig Molinari"/>
    <x v="1"/>
    <s v="United States"/>
    <s v="Huntsville"/>
    <x v="5"/>
    <n v="77340"/>
    <x v="2"/>
    <x v="307"/>
    <x v="1"/>
    <x v="8"/>
    <x v="307"/>
    <x v="4819"/>
    <x v="2"/>
    <x v="2"/>
  </r>
  <r>
    <n v="7550"/>
    <x v="3743"/>
    <x v="64"/>
    <d v="2017-09-07T00:00:00"/>
    <s v="First Class"/>
    <x v="605"/>
    <s v="Elizabeth Moffitt"/>
    <x v="1"/>
    <s v="United States"/>
    <s v="Houston"/>
    <x v="5"/>
    <n v="77036"/>
    <x v="2"/>
    <x v="1381"/>
    <x v="0"/>
    <x v="5"/>
    <x v="1366"/>
    <x v="4820"/>
    <x v="8"/>
    <x v="0"/>
  </r>
  <r>
    <n v="7551"/>
    <x v="3744"/>
    <x v="1164"/>
    <d v="2015-11-25T00:00:00"/>
    <s v="Standard Class"/>
    <x v="542"/>
    <s v="Katharine Harms"/>
    <x v="1"/>
    <s v="United States"/>
    <s v="New York City"/>
    <x v="15"/>
    <n v="10024"/>
    <x v="3"/>
    <x v="1758"/>
    <x v="1"/>
    <x v="12"/>
    <x v="1711"/>
    <x v="4821"/>
    <x v="0"/>
    <x v="2"/>
  </r>
  <r>
    <n v="7552"/>
    <x v="3744"/>
    <x v="1164"/>
    <d v="2015-11-25T00:00:00"/>
    <s v="Standard Class"/>
    <x v="542"/>
    <s v="Katharine Harms"/>
    <x v="1"/>
    <s v="United States"/>
    <s v="New York City"/>
    <x v="15"/>
    <n v="10024"/>
    <x v="3"/>
    <x v="872"/>
    <x v="2"/>
    <x v="7"/>
    <x v="866"/>
    <x v="4822"/>
    <x v="0"/>
    <x v="2"/>
  </r>
  <r>
    <n v="7553"/>
    <x v="3744"/>
    <x v="1164"/>
    <d v="2015-11-25T00:00:00"/>
    <s v="Standard Class"/>
    <x v="542"/>
    <s v="Katharine Harms"/>
    <x v="1"/>
    <s v="United States"/>
    <s v="New York City"/>
    <x v="15"/>
    <n v="10024"/>
    <x v="3"/>
    <x v="806"/>
    <x v="1"/>
    <x v="8"/>
    <x v="804"/>
    <x v="91"/>
    <x v="0"/>
    <x v="2"/>
  </r>
  <r>
    <n v="7554"/>
    <x v="3744"/>
    <x v="1164"/>
    <d v="2015-11-25T00:00:00"/>
    <s v="Standard Class"/>
    <x v="542"/>
    <s v="Katharine Harms"/>
    <x v="1"/>
    <s v="United States"/>
    <s v="New York City"/>
    <x v="15"/>
    <n v="10024"/>
    <x v="3"/>
    <x v="1396"/>
    <x v="1"/>
    <x v="10"/>
    <x v="1383"/>
    <x v="233"/>
    <x v="0"/>
    <x v="2"/>
  </r>
  <r>
    <n v="7555"/>
    <x v="3745"/>
    <x v="1025"/>
    <d v="2015-05-14T00:00:00"/>
    <s v="Second Class"/>
    <x v="314"/>
    <s v="Art Foster"/>
    <x v="0"/>
    <s v="United States"/>
    <s v="Philadelphia"/>
    <x v="9"/>
    <n v="19134"/>
    <x v="3"/>
    <x v="899"/>
    <x v="0"/>
    <x v="0"/>
    <x v="892"/>
    <x v="4823"/>
    <x v="5"/>
    <x v="2"/>
  </r>
  <r>
    <n v="7556"/>
    <x v="3745"/>
    <x v="1025"/>
    <d v="2015-05-14T00:00:00"/>
    <s v="Second Class"/>
    <x v="314"/>
    <s v="Art Foster"/>
    <x v="0"/>
    <s v="United States"/>
    <s v="Philadelphia"/>
    <x v="9"/>
    <n v="19134"/>
    <x v="3"/>
    <x v="796"/>
    <x v="1"/>
    <x v="6"/>
    <x v="794"/>
    <x v="4545"/>
    <x v="5"/>
    <x v="2"/>
  </r>
  <r>
    <n v="7557"/>
    <x v="3746"/>
    <x v="344"/>
    <d v="2018-12-02T00:00:00"/>
    <s v="Standard Class"/>
    <x v="335"/>
    <s v="Justin Ritter"/>
    <x v="1"/>
    <s v="United States"/>
    <s v="Columbus"/>
    <x v="14"/>
    <n v="47201"/>
    <x v="2"/>
    <x v="954"/>
    <x v="1"/>
    <x v="10"/>
    <x v="947"/>
    <x v="4824"/>
    <x v="0"/>
    <x v="3"/>
  </r>
  <r>
    <n v="7558"/>
    <x v="3746"/>
    <x v="344"/>
    <d v="2018-12-02T00:00:00"/>
    <s v="Standard Class"/>
    <x v="335"/>
    <s v="Justin Ritter"/>
    <x v="1"/>
    <s v="United States"/>
    <s v="Columbus"/>
    <x v="14"/>
    <n v="47201"/>
    <x v="2"/>
    <x v="896"/>
    <x v="1"/>
    <x v="8"/>
    <x v="889"/>
    <x v="4825"/>
    <x v="0"/>
    <x v="3"/>
  </r>
  <r>
    <n v="7559"/>
    <x v="3747"/>
    <x v="301"/>
    <d v="2015-11-05T00:00:00"/>
    <s v="Standard Class"/>
    <x v="351"/>
    <s v="Daniel Lacy"/>
    <x v="0"/>
    <s v="United States"/>
    <s v="Long Beach"/>
    <x v="15"/>
    <n v="11561"/>
    <x v="3"/>
    <x v="159"/>
    <x v="1"/>
    <x v="9"/>
    <x v="160"/>
    <x v="4826"/>
    <x v="0"/>
    <x v="2"/>
  </r>
  <r>
    <n v="7560"/>
    <x v="3747"/>
    <x v="301"/>
    <d v="2015-11-05T00:00:00"/>
    <s v="Standard Class"/>
    <x v="351"/>
    <s v="Daniel Lacy"/>
    <x v="0"/>
    <s v="United States"/>
    <s v="Long Beach"/>
    <x v="15"/>
    <n v="11561"/>
    <x v="3"/>
    <x v="964"/>
    <x v="1"/>
    <x v="10"/>
    <x v="957"/>
    <x v="3730"/>
    <x v="0"/>
    <x v="2"/>
  </r>
  <r>
    <n v="7561"/>
    <x v="3747"/>
    <x v="301"/>
    <d v="2015-11-05T00:00:00"/>
    <s v="Standard Class"/>
    <x v="351"/>
    <s v="Daniel Lacy"/>
    <x v="0"/>
    <s v="United States"/>
    <s v="Long Beach"/>
    <x v="15"/>
    <n v="11561"/>
    <x v="3"/>
    <x v="1226"/>
    <x v="0"/>
    <x v="5"/>
    <x v="1210"/>
    <x v="2458"/>
    <x v="0"/>
    <x v="2"/>
  </r>
  <r>
    <n v="7562"/>
    <x v="3748"/>
    <x v="945"/>
    <d v="2018-01-01T00:00:00"/>
    <s v="First Class"/>
    <x v="205"/>
    <s v="Brian Dahlen"/>
    <x v="0"/>
    <s v="United States"/>
    <s v="Lancaster"/>
    <x v="9"/>
    <n v="17602"/>
    <x v="3"/>
    <x v="1"/>
    <x v="0"/>
    <x v="1"/>
    <x v="1"/>
    <x v="4827"/>
    <x v="4"/>
    <x v="0"/>
  </r>
  <r>
    <n v="7563"/>
    <x v="3749"/>
    <x v="323"/>
    <d v="2017-09-07T00:00:00"/>
    <s v="Standard Class"/>
    <x v="262"/>
    <s v="Rob Beeghly"/>
    <x v="0"/>
    <s v="United States"/>
    <s v="Chicago"/>
    <x v="10"/>
    <n v="60610"/>
    <x v="2"/>
    <x v="1638"/>
    <x v="0"/>
    <x v="0"/>
    <x v="1628"/>
    <x v="4578"/>
    <x v="8"/>
    <x v="0"/>
  </r>
  <r>
    <n v="7564"/>
    <x v="3750"/>
    <x v="361"/>
    <d v="2018-10-07T00:00:00"/>
    <s v="First Class"/>
    <x v="176"/>
    <s v="Ross Baird"/>
    <x v="2"/>
    <s v="United States"/>
    <s v="Denver"/>
    <x v="22"/>
    <n v="80219"/>
    <x v="1"/>
    <x v="685"/>
    <x v="2"/>
    <x v="11"/>
    <x v="685"/>
    <x v="4226"/>
    <x v="2"/>
    <x v="3"/>
  </r>
  <r>
    <n v="7565"/>
    <x v="3751"/>
    <x v="806"/>
    <d v="2017-02-01T00:00:00"/>
    <s v="Second Class"/>
    <x v="621"/>
    <s v="Tim Brockman"/>
    <x v="0"/>
    <s v="United States"/>
    <s v="Seattle"/>
    <x v="4"/>
    <n v="98103"/>
    <x v="1"/>
    <x v="1349"/>
    <x v="0"/>
    <x v="1"/>
    <x v="1335"/>
    <x v="4828"/>
    <x v="9"/>
    <x v="0"/>
  </r>
  <r>
    <n v="7566"/>
    <x v="3751"/>
    <x v="806"/>
    <d v="2017-02-01T00:00:00"/>
    <s v="Second Class"/>
    <x v="621"/>
    <s v="Tim Brockman"/>
    <x v="0"/>
    <s v="United States"/>
    <s v="Seattle"/>
    <x v="4"/>
    <n v="98103"/>
    <x v="1"/>
    <x v="1195"/>
    <x v="0"/>
    <x v="0"/>
    <x v="1180"/>
    <x v="4829"/>
    <x v="9"/>
    <x v="0"/>
  </r>
  <r>
    <n v="7567"/>
    <x v="3752"/>
    <x v="81"/>
    <d v="2018-04-23T00:00:00"/>
    <s v="First Class"/>
    <x v="471"/>
    <s v="Katherine Nockton"/>
    <x v="1"/>
    <s v="United States"/>
    <s v="Houston"/>
    <x v="5"/>
    <n v="77070"/>
    <x v="2"/>
    <x v="84"/>
    <x v="2"/>
    <x v="11"/>
    <x v="84"/>
    <x v="331"/>
    <x v="3"/>
    <x v="3"/>
  </r>
  <r>
    <n v="7568"/>
    <x v="3752"/>
    <x v="81"/>
    <d v="2018-04-23T00:00:00"/>
    <s v="First Class"/>
    <x v="471"/>
    <s v="Katherine Nockton"/>
    <x v="1"/>
    <s v="United States"/>
    <s v="Houston"/>
    <x v="5"/>
    <n v="77070"/>
    <x v="2"/>
    <x v="1483"/>
    <x v="1"/>
    <x v="10"/>
    <x v="1470"/>
    <x v="557"/>
    <x v="3"/>
    <x v="3"/>
  </r>
  <r>
    <n v="7569"/>
    <x v="3753"/>
    <x v="29"/>
    <d v="2015-12-10T00:00:00"/>
    <s v="Standard Class"/>
    <x v="210"/>
    <s v="Rob Lucas"/>
    <x v="0"/>
    <s v="United States"/>
    <s v="Los Angeles"/>
    <x v="1"/>
    <n v="90045"/>
    <x v="1"/>
    <x v="425"/>
    <x v="1"/>
    <x v="6"/>
    <x v="425"/>
    <x v="4830"/>
    <x v="4"/>
    <x v="2"/>
  </r>
  <r>
    <n v="7570"/>
    <x v="3753"/>
    <x v="29"/>
    <d v="2015-12-10T00:00:00"/>
    <s v="Standard Class"/>
    <x v="210"/>
    <s v="Rob Lucas"/>
    <x v="0"/>
    <s v="United States"/>
    <s v="Los Angeles"/>
    <x v="1"/>
    <n v="90045"/>
    <x v="1"/>
    <x v="1635"/>
    <x v="1"/>
    <x v="10"/>
    <x v="1625"/>
    <x v="335"/>
    <x v="4"/>
    <x v="2"/>
  </r>
  <r>
    <n v="7571"/>
    <x v="3753"/>
    <x v="29"/>
    <d v="2015-12-10T00:00:00"/>
    <s v="Standard Class"/>
    <x v="210"/>
    <s v="Rob Lucas"/>
    <x v="0"/>
    <s v="United States"/>
    <s v="Los Angeles"/>
    <x v="1"/>
    <n v="90045"/>
    <x v="1"/>
    <x v="659"/>
    <x v="1"/>
    <x v="13"/>
    <x v="659"/>
    <x v="1692"/>
    <x v="4"/>
    <x v="2"/>
  </r>
  <r>
    <n v="7572"/>
    <x v="3754"/>
    <x v="618"/>
    <d v="2015-10-26T00:00:00"/>
    <s v="Standard Class"/>
    <x v="395"/>
    <s v="Frank Hawley"/>
    <x v="1"/>
    <s v="United States"/>
    <s v="Newport News"/>
    <x v="17"/>
    <n v="23602"/>
    <x v="0"/>
    <x v="41"/>
    <x v="1"/>
    <x v="4"/>
    <x v="41"/>
    <x v="4831"/>
    <x v="2"/>
    <x v="2"/>
  </r>
  <r>
    <n v="7573"/>
    <x v="3754"/>
    <x v="618"/>
    <d v="2015-10-26T00:00:00"/>
    <s v="Standard Class"/>
    <x v="395"/>
    <s v="Frank Hawley"/>
    <x v="1"/>
    <s v="United States"/>
    <s v="Newport News"/>
    <x v="17"/>
    <n v="23602"/>
    <x v="0"/>
    <x v="1116"/>
    <x v="0"/>
    <x v="3"/>
    <x v="1104"/>
    <x v="4832"/>
    <x v="2"/>
    <x v="2"/>
  </r>
  <r>
    <n v="7574"/>
    <x v="3754"/>
    <x v="618"/>
    <d v="2015-10-26T00:00:00"/>
    <s v="Standard Class"/>
    <x v="395"/>
    <s v="Frank Hawley"/>
    <x v="1"/>
    <s v="United States"/>
    <s v="Newport News"/>
    <x v="17"/>
    <n v="23602"/>
    <x v="0"/>
    <x v="888"/>
    <x v="1"/>
    <x v="6"/>
    <x v="881"/>
    <x v="4833"/>
    <x v="2"/>
    <x v="2"/>
  </r>
  <r>
    <n v="7575"/>
    <x v="3755"/>
    <x v="575"/>
    <d v="2016-12-12T00:00:00"/>
    <s v="Standard Class"/>
    <x v="453"/>
    <s v="Yana Sorensen"/>
    <x v="1"/>
    <s v="United States"/>
    <s v="Los Angeles"/>
    <x v="1"/>
    <n v="90036"/>
    <x v="1"/>
    <x v="16"/>
    <x v="1"/>
    <x v="4"/>
    <x v="16"/>
    <x v="4834"/>
    <x v="4"/>
    <x v="1"/>
  </r>
  <r>
    <n v="7576"/>
    <x v="3755"/>
    <x v="575"/>
    <d v="2016-12-12T00:00:00"/>
    <s v="Standard Class"/>
    <x v="453"/>
    <s v="Yana Sorensen"/>
    <x v="1"/>
    <s v="United States"/>
    <s v="Los Angeles"/>
    <x v="1"/>
    <n v="90036"/>
    <x v="1"/>
    <x v="1013"/>
    <x v="2"/>
    <x v="11"/>
    <x v="1005"/>
    <x v="4835"/>
    <x v="4"/>
    <x v="1"/>
  </r>
  <r>
    <n v="7577"/>
    <x v="3756"/>
    <x v="981"/>
    <d v="2015-11-07T00:00:00"/>
    <s v="Second Class"/>
    <x v="406"/>
    <s v="Steven Ward"/>
    <x v="1"/>
    <s v="United States"/>
    <s v="Seattle"/>
    <x v="4"/>
    <n v="98115"/>
    <x v="1"/>
    <x v="917"/>
    <x v="2"/>
    <x v="11"/>
    <x v="909"/>
    <x v="4836"/>
    <x v="0"/>
    <x v="2"/>
  </r>
  <r>
    <n v="7578"/>
    <x v="3756"/>
    <x v="981"/>
    <d v="2015-11-07T00:00:00"/>
    <s v="Second Class"/>
    <x v="406"/>
    <s v="Steven Ward"/>
    <x v="1"/>
    <s v="United States"/>
    <s v="Seattle"/>
    <x v="4"/>
    <n v="98115"/>
    <x v="1"/>
    <x v="984"/>
    <x v="2"/>
    <x v="7"/>
    <x v="977"/>
    <x v="4837"/>
    <x v="0"/>
    <x v="2"/>
  </r>
  <r>
    <n v="7579"/>
    <x v="3757"/>
    <x v="122"/>
    <d v="2017-12-21T00:00:00"/>
    <s v="First Class"/>
    <x v="43"/>
    <s v="Parhena Norris"/>
    <x v="2"/>
    <s v="United States"/>
    <s v="Omaha"/>
    <x v="8"/>
    <n v="68104"/>
    <x v="2"/>
    <x v="499"/>
    <x v="0"/>
    <x v="1"/>
    <x v="499"/>
    <x v="3681"/>
    <x v="4"/>
    <x v="0"/>
  </r>
  <r>
    <n v="7580"/>
    <x v="3758"/>
    <x v="521"/>
    <d v="2016-11-27T00:00:00"/>
    <s v="Second Class"/>
    <x v="247"/>
    <s v="Annie Thurman"/>
    <x v="0"/>
    <s v="United States"/>
    <s v="Morristown"/>
    <x v="30"/>
    <n v="7960"/>
    <x v="3"/>
    <x v="1739"/>
    <x v="1"/>
    <x v="9"/>
    <x v="1728"/>
    <x v="4838"/>
    <x v="0"/>
    <x v="1"/>
  </r>
  <r>
    <n v="7581"/>
    <x v="3758"/>
    <x v="521"/>
    <d v="2016-11-27T00:00:00"/>
    <s v="Second Class"/>
    <x v="247"/>
    <s v="Annie Thurman"/>
    <x v="0"/>
    <s v="United States"/>
    <s v="Morristown"/>
    <x v="30"/>
    <n v="7960"/>
    <x v="3"/>
    <x v="879"/>
    <x v="1"/>
    <x v="6"/>
    <x v="873"/>
    <x v="1444"/>
    <x v="0"/>
    <x v="1"/>
  </r>
  <r>
    <n v="7582"/>
    <x v="3759"/>
    <x v="863"/>
    <d v="2016-08-16T00:00:00"/>
    <s v="First Class"/>
    <x v="719"/>
    <s v="Ed Jacobs"/>
    <x v="0"/>
    <s v="United States"/>
    <s v="Philadelphia"/>
    <x v="9"/>
    <n v="19143"/>
    <x v="3"/>
    <x v="718"/>
    <x v="1"/>
    <x v="4"/>
    <x v="717"/>
    <x v="4839"/>
    <x v="6"/>
    <x v="1"/>
  </r>
  <r>
    <n v="7583"/>
    <x v="3760"/>
    <x v="392"/>
    <d v="2016-04-21T00:00:00"/>
    <s v="Standard Class"/>
    <x v="664"/>
    <s v="Denise Monton"/>
    <x v="1"/>
    <s v="United States"/>
    <s v="New York City"/>
    <x v="15"/>
    <n v="10024"/>
    <x v="3"/>
    <x v="56"/>
    <x v="0"/>
    <x v="1"/>
    <x v="56"/>
    <x v="3947"/>
    <x v="3"/>
    <x v="1"/>
  </r>
  <r>
    <n v="7584"/>
    <x v="3761"/>
    <x v="90"/>
    <d v="2015-03-25T00:00:00"/>
    <s v="Standard Class"/>
    <x v="120"/>
    <s v="Kristen Hastings"/>
    <x v="1"/>
    <s v="United States"/>
    <s v="Springfield"/>
    <x v="17"/>
    <n v="22153"/>
    <x v="0"/>
    <x v="1577"/>
    <x v="2"/>
    <x v="7"/>
    <x v="1568"/>
    <x v="4840"/>
    <x v="10"/>
    <x v="2"/>
  </r>
  <r>
    <n v="7585"/>
    <x v="3761"/>
    <x v="90"/>
    <d v="2015-03-25T00:00:00"/>
    <s v="Standard Class"/>
    <x v="120"/>
    <s v="Kristen Hastings"/>
    <x v="1"/>
    <s v="United States"/>
    <s v="Springfield"/>
    <x v="17"/>
    <n v="22153"/>
    <x v="0"/>
    <x v="1568"/>
    <x v="1"/>
    <x v="2"/>
    <x v="1559"/>
    <x v="928"/>
    <x v="10"/>
    <x v="2"/>
  </r>
  <r>
    <n v="7586"/>
    <x v="3761"/>
    <x v="90"/>
    <d v="2015-03-25T00:00:00"/>
    <s v="Standard Class"/>
    <x v="120"/>
    <s v="Kristen Hastings"/>
    <x v="1"/>
    <s v="United States"/>
    <s v="Springfield"/>
    <x v="17"/>
    <n v="22153"/>
    <x v="0"/>
    <x v="1127"/>
    <x v="1"/>
    <x v="10"/>
    <x v="1115"/>
    <x v="1232"/>
    <x v="10"/>
    <x v="2"/>
  </r>
  <r>
    <n v="7587"/>
    <x v="3761"/>
    <x v="90"/>
    <d v="2015-03-25T00:00:00"/>
    <s v="Standard Class"/>
    <x v="120"/>
    <s v="Kristen Hastings"/>
    <x v="1"/>
    <s v="United States"/>
    <s v="Springfield"/>
    <x v="17"/>
    <n v="22153"/>
    <x v="0"/>
    <x v="372"/>
    <x v="1"/>
    <x v="6"/>
    <x v="373"/>
    <x v="397"/>
    <x v="10"/>
    <x v="2"/>
  </r>
  <r>
    <n v="7588"/>
    <x v="3761"/>
    <x v="90"/>
    <d v="2015-03-25T00:00:00"/>
    <s v="Standard Class"/>
    <x v="120"/>
    <s v="Kristen Hastings"/>
    <x v="1"/>
    <s v="United States"/>
    <s v="Springfield"/>
    <x v="17"/>
    <n v="22153"/>
    <x v="0"/>
    <x v="800"/>
    <x v="1"/>
    <x v="8"/>
    <x v="798"/>
    <x v="1522"/>
    <x v="10"/>
    <x v="2"/>
  </r>
  <r>
    <n v="7589"/>
    <x v="3762"/>
    <x v="673"/>
    <d v="2018-11-22T00:00:00"/>
    <s v="Standard Class"/>
    <x v="469"/>
    <s v="Mick Brown"/>
    <x v="0"/>
    <s v="United States"/>
    <s v="Roseville"/>
    <x v="1"/>
    <n v="95661"/>
    <x v="1"/>
    <x v="1137"/>
    <x v="0"/>
    <x v="5"/>
    <x v="1125"/>
    <x v="1732"/>
    <x v="0"/>
    <x v="3"/>
  </r>
  <r>
    <n v="7590"/>
    <x v="3763"/>
    <x v="12"/>
    <d v="2016-09-29T00:00:00"/>
    <s v="Standard Class"/>
    <x v="729"/>
    <s v="Dana Kaydos"/>
    <x v="0"/>
    <s v="United States"/>
    <s v="Rockford"/>
    <x v="10"/>
    <n v="61107"/>
    <x v="2"/>
    <x v="1243"/>
    <x v="1"/>
    <x v="6"/>
    <x v="1226"/>
    <x v="1986"/>
    <x v="8"/>
    <x v="1"/>
  </r>
  <r>
    <n v="7591"/>
    <x v="3764"/>
    <x v="64"/>
    <d v="2017-09-09T00:00:00"/>
    <s v="Standard Class"/>
    <x v="203"/>
    <s v="Dean Braden"/>
    <x v="0"/>
    <s v="United States"/>
    <s v="Philadelphia"/>
    <x v="9"/>
    <n v="19134"/>
    <x v="3"/>
    <x v="74"/>
    <x v="0"/>
    <x v="5"/>
    <x v="74"/>
    <x v="4841"/>
    <x v="8"/>
    <x v="0"/>
  </r>
  <r>
    <n v="7592"/>
    <x v="3764"/>
    <x v="64"/>
    <d v="2017-09-09T00:00:00"/>
    <s v="Standard Class"/>
    <x v="203"/>
    <s v="Dean Braden"/>
    <x v="0"/>
    <s v="United States"/>
    <s v="Philadelphia"/>
    <x v="9"/>
    <n v="19134"/>
    <x v="3"/>
    <x v="64"/>
    <x v="0"/>
    <x v="1"/>
    <x v="124"/>
    <x v="4842"/>
    <x v="8"/>
    <x v="0"/>
  </r>
  <r>
    <n v="7593"/>
    <x v="3764"/>
    <x v="64"/>
    <d v="2017-09-09T00:00:00"/>
    <s v="Standard Class"/>
    <x v="203"/>
    <s v="Dean Braden"/>
    <x v="0"/>
    <s v="United States"/>
    <s v="Philadelphia"/>
    <x v="9"/>
    <n v="19134"/>
    <x v="3"/>
    <x v="965"/>
    <x v="1"/>
    <x v="6"/>
    <x v="958"/>
    <x v="956"/>
    <x v="8"/>
    <x v="0"/>
  </r>
  <r>
    <n v="7594"/>
    <x v="3764"/>
    <x v="64"/>
    <d v="2017-09-09T00:00:00"/>
    <s v="Standard Class"/>
    <x v="203"/>
    <s v="Dean Braden"/>
    <x v="0"/>
    <s v="United States"/>
    <s v="Philadelphia"/>
    <x v="9"/>
    <n v="19134"/>
    <x v="3"/>
    <x v="774"/>
    <x v="0"/>
    <x v="1"/>
    <x v="773"/>
    <x v="4843"/>
    <x v="8"/>
    <x v="0"/>
  </r>
  <r>
    <n v="7595"/>
    <x v="3765"/>
    <x v="693"/>
    <d v="2018-04-24T00:00:00"/>
    <s v="Standard Class"/>
    <x v="610"/>
    <s v="Christina VanderZanden"/>
    <x v="0"/>
    <s v="United States"/>
    <s v="Detroit"/>
    <x v="12"/>
    <n v="48234"/>
    <x v="2"/>
    <x v="542"/>
    <x v="1"/>
    <x v="8"/>
    <x v="542"/>
    <x v="4844"/>
    <x v="3"/>
    <x v="3"/>
  </r>
  <r>
    <n v="7596"/>
    <x v="3765"/>
    <x v="693"/>
    <d v="2018-04-24T00:00:00"/>
    <s v="Standard Class"/>
    <x v="610"/>
    <s v="Christina VanderZanden"/>
    <x v="0"/>
    <s v="United States"/>
    <s v="Detroit"/>
    <x v="12"/>
    <n v="48234"/>
    <x v="2"/>
    <x v="624"/>
    <x v="1"/>
    <x v="8"/>
    <x v="624"/>
    <x v="3708"/>
    <x v="3"/>
    <x v="3"/>
  </r>
  <r>
    <n v="7597"/>
    <x v="3766"/>
    <x v="925"/>
    <d v="2016-06-19T00:00:00"/>
    <s v="Standard Class"/>
    <x v="136"/>
    <s v="Grace Kelly"/>
    <x v="1"/>
    <s v="United States"/>
    <s v="Los Angeles"/>
    <x v="1"/>
    <n v="90004"/>
    <x v="1"/>
    <x v="539"/>
    <x v="2"/>
    <x v="7"/>
    <x v="539"/>
    <x v="4845"/>
    <x v="1"/>
    <x v="1"/>
  </r>
  <r>
    <n v="7598"/>
    <x v="3767"/>
    <x v="328"/>
    <d v="2015-09-22T00:00:00"/>
    <s v="Standard Class"/>
    <x v="350"/>
    <s v="Joseph Airdo"/>
    <x v="0"/>
    <s v="United States"/>
    <s v="Springfield"/>
    <x v="21"/>
    <n v="97477"/>
    <x v="1"/>
    <x v="1355"/>
    <x v="1"/>
    <x v="6"/>
    <x v="1341"/>
    <x v="791"/>
    <x v="8"/>
    <x v="2"/>
  </r>
  <r>
    <n v="7599"/>
    <x v="3767"/>
    <x v="328"/>
    <d v="2015-09-22T00:00:00"/>
    <s v="Standard Class"/>
    <x v="350"/>
    <s v="Joseph Airdo"/>
    <x v="0"/>
    <s v="United States"/>
    <s v="Springfield"/>
    <x v="21"/>
    <n v="97477"/>
    <x v="1"/>
    <x v="947"/>
    <x v="1"/>
    <x v="6"/>
    <x v="940"/>
    <x v="4846"/>
    <x v="8"/>
    <x v="2"/>
  </r>
  <r>
    <n v="7600"/>
    <x v="3767"/>
    <x v="328"/>
    <d v="2015-09-22T00:00:00"/>
    <s v="Standard Class"/>
    <x v="350"/>
    <s v="Joseph Airdo"/>
    <x v="0"/>
    <s v="United States"/>
    <s v="Springfield"/>
    <x v="21"/>
    <n v="97477"/>
    <x v="1"/>
    <x v="1603"/>
    <x v="1"/>
    <x v="10"/>
    <x v="1595"/>
    <x v="4847"/>
    <x v="8"/>
    <x v="2"/>
  </r>
  <r>
    <n v="7601"/>
    <x v="3767"/>
    <x v="328"/>
    <d v="2015-09-22T00:00:00"/>
    <s v="Standard Class"/>
    <x v="350"/>
    <s v="Joseph Airdo"/>
    <x v="0"/>
    <s v="United States"/>
    <s v="Springfield"/>
    <x v="21"/>
    <n v="97477"/>
    <x v="1"/>
    <x v="1821"/>
    <x v="2"/>
    <x v="15"/>
    <x v="1809"/>
    <x v="4848"/>
    <x v="8"/>
    <x v="2"/>
  </r>
  <r>
    <n v="7602"/>
    <x v="3767"/>
    <x v="328"/>
    <d v="2015-09-22T00:00:00"/>
    <s v="Standard Class"/>
    <x v="350"/>
    <s v="Joseph Airdo"/>
    <x v="0"/>
    <s v="United States"/>
    <s v="Springfield"/>
    <x v="21"/>
    <n v="97477"/>
    <x v="1"/>
    <x v="334"/>
    <x v="1"/>
    <x v="10"/>
    <x v="334"/>
    <x v="4849"/>
    <x v="8"/>
    <x v="2"/>
  </r>
  <r>
    <n v="7603"/>
    <x v="3767"/>
    <x v="328"/>
    <d v="2015-09-22T00:00:00"/>
    <s v="Standard Class"/>
    <x v="350"/>
    <s v="Joseph Airdo"/>
    <x v="0"/>
    <s v="United States"/>
    <s v="Springfield"/>
    <x v="21"/>
    <n v="97477"/>
    <x v="1"/>
    <x v="60"/>
    <x v="2"/>
    <x v="11"/>
    <x v="60"/>
    <x v="2292"/>
    <x v="8"/>
    <x v="2"/>
  </r>
  <r>
    <n v="7604"/>
    <x v="3768"/>
    <x v="630"/>
    <d v="2017-07-12T00:00:00"/>
    <s v="Standard Class"/>
    <x v="764"/>
    <s v="Thea Hudgings"/>
    <x v="1"/>
    <s v="United States"/>
    <s v="Providence"/>
    <x v="34"/>
    <n v="2908"/>
    <x v="3"/>
    <x v="730"/>
    <x v="1"/>
    <x v="10"/>
    <x v="729"/>
    <x v="91"/>
    <x v="7"/>
    <x v="0"/>
  </r>
  <r>
    <n v="7605"/>
    <x v="3769"/>
    <x v="1022"/>
    <d v="2017-05-31T00:00:00"/>
    <s v="Standard Class"/>
    <x v="574"/>
    <s v="Brian Stugart"/>
    <x v="0"/>
    <s v="United States"/>
    <s v="Chicago"/>
    <x v="10"/>
    <n v="60623"/>
    <x v="2"/>
    <x v="1478"/>
    <x v="0"/>
    <x v="5"/>
    <x v="1465"/>
    <x v="962"/>
    <x v="5"/>
    <x v="0"/>
  </r>
  <r>
    <n v="7606"/>
    <x v="3769"/>
    <x v="1022"/>
    <d v="2017-05-31T00:00:00"/>
    <s v="Standard Class"/>
    <x v="574"/>
    <s v="Brian Stugart"/>
    <x v="0"/>
    <s v="United States"/>
    <s v="Chicago"/>
    <x v="10"/>
    <n v="60623"/>
    <x v="2"/>
    <x v="770"/>
    <x v="0"/>
    <x v="5"/>
    <x v="769"/>
    <x v="215"/>
    <x v="5"/>
    <x v="0"/>
  </r>
  <r>
    <n v="7607"/>
    <x v="3769"/>
    <x v="1022"/>
    <d v="2017-05-31T00:00:00"/>
    <s v="Standard Class"/>
    <x v="574"/>
    <s v="Brian Stugart"/>
    <x v="0"/>
    <s v="United States"/>
    <s v="Chicago"/>
    <x v="10"/>
    <n v="60623"/>
    <x v="2"/>
    <x v="734"/>
    <x v="1"/>
    <x v="4"/>
    <x v="733"/>
    <x v="4850"/>
    <x v="5"/>
    <x v="0"/>
  </r>
  <r>
    <n v="7608"/>
    <x v="3770"/>
    <x v="165"/>
    <d v="2018-12-27T00:00:00"/>
    <s v="First Class"/>
    <x v="515"/>
    <s v="Neola Schneider"/>
    <x v="0"/>
    <s v="United States"/>
    <s v="Dallas"/>
    <x v="5"/>
    <n v="75220"/>
    <x v="2"/>
    <x v="546"/>
    <x v="1"/>
    <x v="4"/>
    <x v="546"/>
    <x v="2071"/>
    <x v="4"/>
    <x v="3"/>
  </r>
  <r>
    <n v="7609"/>
    <x v="3771"/>
    <x v="898"/>
    <d v="2018-05-07T00:00:00"/>
    <s v="Standard Class"/>
    <x v="177"/>
    <s v="Mike Kennedy"/>
    <x v="0"/>
    <s v="United States"/>
    <s v="San Francisco"/>
    <x v="1"/>
    <n v="94122"/>
    <x v="1"/>
    <x v="778"/>
    <x v="1"/>
    <x v="10"/>
    <x v="777"/>
    <x v="233"/>
    <x v="5"/>
    <x v="3"/>
  </r>
  <r>
    <n v="7610"/>
    <x v="3771"/>
    <x v="898"/>
    <d v="2018-05-07T00:00:00"/>
    <s v="Standard Class"/>
    <x v="177"/>
    <s v="Mike Kennedy"/>
    <x v="0"/>
    <s v="United States"/>
    <s v="San Francisco"/>
    <x v="1"/>
    <n v="94122"/>
    <x v="1"/>
    <x v="279"/>
    <x v="1"/>
    <x v="6"/>
    <x v="279"/>
    <x v="1003"/>
    <x v="5"/>
    <x v="3"/>
  </r>
  <r>
    <n v="7611"/>
    <x v="3772"/>
    <x v="1165"/>
    <d v="2015-02-24T00:00:00"/>
    <s v="First Class"/>
    <x v="193"/>
    <s v="Sue Ann Reed"/>
    <x v="0"/>
    <s v="United States"/>
    <s v="Moreno Valley"/>
    <x v="1"/>
    <n v="92553"/>
    <x v="1"/>
    <x v="585"/>
    <x v="1"/>
    <x v="10"/>
    <x v="585"/>
    <x v="537"/>
    <x v="11"/>
    <x v="2"/>
  </r>
  <r>
    <n v="7612"/>
    <x v="3773"/>
    <x v="285"/>
    <d v="2016-02-11T00:00:00"/>
    <s v="First Class"/>
    <x v="3"/>
    <s v="Brosina Hoffman"/>
    <x v="0"/>
    <s v="United States"/>
    <s v="Garden City"/>
    <x v="41"/>
    <n v="67846"/>
    <x v="2"/>
    <x v="1446"/>
    <x v="1"/>
    <x v="10"/>
    <x v="1433"/>
    <x v="4033"/>
    <x v="11"/>
    <x v="1"/>
  </r>
  <r>
    <n v="7613"/>
    <x v="3773"/>
    <x v="285"/>
    <d v="2016-02-11T00:00:00"/>
    <s v="First Class"/>
    <x v="3"/>
    <s v="Brosina Hoffman"/>
    <x v="0"/>
    <s v="United States"/>
    <s v="Garden City"/>
    <x v="41"/>
    <n v="67846"/>
    <x v="2"/>
    <x v="195"/>
    <x v="1"/>
    <x v="13"/>
    <x v="196"/>
    <x v="4851"/>
    <x v="11"/>
    <x v="1"/>
  </r>
  <r>
    <n v="7614"/>
    <x v="3773"/>
    <x v="285"/>
    <d v="2016-02-11T00:00:00"/>
    <s v="First Class"/>
    <x v="3"/>
    <s v="Brosina Hoffman"/>
    <x v="0"/>
    <s v="United States"/>
    <s v="Garden City"/>
    <x v="41"/>
    <n v="67846"/>
    <x v="2"/>
    <x v="130"/>
    <x v="1"/>
    <x v="6"/>
    <x v="131"/>
    <x v="1755"/>
    <x v="11"/>
    <x v="1"/>
  </r>
  <r>
    <n v="7615"/>
    <x v="3774"/>
    <x v="252"/>
    <d v="2016-08-28T00:00:00"/>
    <s v="Second Class"/>
    <x v="618"/>
    <s v="Shahid Collister"/>
    <x v="0"/>
    <s v="United States"/>
    <s v="New York City"/>
    <x v="15"/>
    <n v="10035"/>
    <x v="3"/>
    <x v="527"/>
    <x v="0"/>
    <x v="5"/>
    <x v="527"/>
    <x v="3977"/>
    <x v="6"/>
    <x v="1"/>
  </r>
  <r>
    <n v="7616"/>
    <x v="3775"/>
    <x v="953"/>
    <d v="2015-12-04T00:00:00"/>
    <s v="Standard Class"/>
    <x v="575"/>
    <s v="Randy Ferguson"/>
    <x v="1"/>
    <s v="United States"/>
    <s v="Orlando"/>
    <x v="2"/>
    <n v="32839"/>
    <x v="0"/>
    <x v="1699"/>
    <x v="1"/>
    <x v="8"/>
    <x v="1687"/>
    <x v="4852"/>
    <x v="0"/>
    <x v="2"/>
  </r>
  <r>
    <n v="7617"/>
    <x v="3776"/>
    <x v="107"/>
    <d v="2017-12-16T00:00:00"/>
    <s v="Standard Class"/>
    <x v="632"/>
    <s v="Chris McAfee"/>
    <x v="0"/>
    <s v="United States"/>
    <s v="Watertown"/>
    <x v="15"/>
    <n v="13601"/>
    <x v="3"/>
    <x v="1286"/>
    <x v="1"/>
    <x v="10"/>
    <x v="1272"/>
    <x v="1878"/>
    <x v="4"/>
    <x v="0"/>
  </r>
  <r>
    <n v="7618"/>
    <x v="3776"/>
    <x v="107"/>
    <d v="2017-12-16T00:00:00"/>
    <s v="Standard Class"/>
    <x v="632"/>
    <s v="Chris McAfee"/>
    <x v="0"/>
    <s v="United States"/>
    <s v="Watertown"/>
    <x v="15"/>
    <n v="13601"/>
    <x v="3"/>
    <x v="13"/>
    <x v="1"/>
    <x v="8"/>
    <x v="13"/>
    <x v="4853"/>
    <x v="4"/>
    <x v="0"/>
  </r>
  <r>
    <n v="7619"/>
    <x v="3777"/>
    <x v="855"/>
    <d v="2018-10-29T00:00:00"/>
    <s v="First Class"/>
    <x v="487"/>
    <s v="Jim Mitchum"/>
    <x v="1"/>
    <s v="United States"/>
    <s v="Los Angeles"/>
    <x v="1"/>
    <n v="90032"/>
    <x v="1"/>
    <x v="10"/>
    <x v="0"/>
    <x v="3"/>
    <x v="10"/>
    <x v="4854"/>
    <x v="2"/>
    <x v="3"/>
  </r>
  <r>
    <n v="7620"/>
    <x v="3777"/>
    <x v="855"/>
    <d v="2018-10-29T00:00:00"/>
    <s v="First Class"/>
    <x v="487"/>
    <s v="Jim Mitchum"/>
    <x v="1"/>
    <s v="United States"/>
    <s v="Los Angeles"/>
    <x v="1"/>
    <n v="90032"/>
    <x v="1"/>
    <x v="1763"/>
    <x v="2"/>
    <x v="7"/>
    <x v="1752"/>
    <x v="994"/>
    <x v="2"/>
    <x v="3"/>
  </r>
  <r>
    <n v="7621"/>
    <x v="3778"/>
    <x v="641"/>
    <d v="2015-11-29T00:00:00"/>
    <s v="Standard Class"/>
    <x v="579"/>
    <s v="Richard Bierner"/>
    <x v="0"/>
    <s v="United States"/>
    <s v="Los Angeles"/>
    <x v="1"/>
    <n v="90004"/>
    <x v="1"/>
    <x v="233"/>
    <x v="2"/>
    <x v="7"/>
    <x v="234"/>
    <x v="4855"/>
    <x v="0"/>
    <x v="2"/>
  </r>
  <r>
    <n v="7622"/>
    <x v="3778"/>
    <x v="641"/>
    <d v="2015-11-29T00:00:00"/>
    <s v="Standard Class"/>
    <x v="579"/>
    <s v="Richard Bierner"/>
    <x v="0"/>
    <s v="United States"/>
    <s v="Los Angeles"/>
    <x v="1"/>
    <n v="90004"/>
    <x v="1"/>
    <x v="629"/>
    <x v="0"/>
    <x v="1"/>
    <x v="629"/>
    <x v="4856"/>
    <x v="0"/>
    <x v="2"/>
  </r>
  <r>
    <n v="7623"/>
    <x v="3778"/>
    <x v="641"/>
    <d v="2015-11-29T00:00:00"/>
    <s v="Standard Class"/>
    <x v="579"/>
    <s v="Richard Bierner"/>
    <x v="0"/>
    <s v="United States"/>
    <s v="Los Angeles"/>
    <x v="1"/>
    <n v="90004"/>
    <x v="1"/>
    <x v="1820"/>
    <x v="1"/>
    <x v="6"/>
    <x v="772"/>
    <x v="4857"/>
    <x v="0"/>
    <x v="2"/>
  </r>
  <r>
    <n v="7624"/>
    <x v="3779"/>
    <x v="686"/>
    <d v="2015-07-20T00:00:00"/>
    <s v="Standard Class"/>
    <x v="776"/>
    <s v="Shirley Schmidt"/>
    <x v="2"/>
    <s v="United States"/>
    <s v="Newark"/>
    <x v="13"/>
    <n v="19711"/>
    <x v="3"/>
    <x v="643"/>
    <x v="1"/>
    <x v="9"/>
    <x v="643"/>
    <x v="4858"/>
    <x v="7"/>
    <x v="2"/>
  </r>
  <r>
    <n v="7625"/>
    <x v="3780"/>
    <x v="293"/>
    <d v="2016-05-27T00:00:00"/>
    <s v="Second Class"/>
    <x v="134"/>
    <s v="Nathan Mautz"/>
    <x v="2"/>
    <s v="United States"/>
    <s v="Detroit"/>
    <x v="12"/>
    <n v="48234"/>
    <x v="2"/>
    <x v="1141"/>
    <x v="1"/>
    <x v="9"/>
    <x v="1129"/>
    <x v="4859"/>
    <x v="5"/>
    <x v="1"/>
  </r>
  <r>
    <n v="7626"/>
    <x v="3780"/>
    <x v="293"/>
    <d v="2016-05-27T00:00:00"/>
    <s v="Second Class"/>
    <x v="134"/>
    <s v="Nathan Mautz"/>
    <x v="2"/>
    <s v="United States"/>
    <s v="Detroit"/>
    <x v="12"/>
    <n v="48234"/>
    <x v="2"/>
    <x v="904"/>
    <x v="0"/>
    <x v="5"/>
    <x v="896"/>
    <x v="4860"/>
    <x v="5"/>
    <x v="1"/>
  </r>
  <r>
    <n v="7627"/>
    <x v="3781"/>
    <x v="82"/>
    <d v="2016-11-23T00:00:00"/>
    <s v="Second Class"/>
    <x v="313"/>
    <s v="Eudokia Martin"/>
    <x v="1"/>
    <s v="United States"/>
    <s v="Phoenix"/>
    <x v="16"/>
    <n v="85023"/>
    <x v="1"/>
    <x v="1527"/>
    <x v="1"/>
    <x v="9"/>
    <x v="1514"/>
    <x v="4861"/>
    <x v="0"/>
    <x v="1"/>
  </r>
  <r>
    <n v="7628"/>
    <x v="3781"/>
    <x v="82"/>
    <d v="2016-11-23T00:00:00"/>
    <s v="Second Class"/>
    <x v="313"/>
    <s v="Eudokia Martin"/>
    <x v="1"/>
    <s v="United States"/>
    <s v="Phoenix"/>
    <x v="16"/>
    <n v="85023"/>
    <x v="1"/>
    <x v="1207"/>
    <x v="2"/>
    <x v="11"/>
    <x v="1192"/>
    <x v="4862"/>
    <x v="0"/>
    <x v="1"/>
  </r>
  <r>
    <n v="7629"/>
    <x v="3781"/>
    <x v="82"/>
    <d v="2016-11-23T00:00:00"/>
    <s v="Second Class"/>
    <x v="313"/>
    <s v="Eudokia Martin"/>
    <x v="1"/>
    <s v="United States"/>
    <s v="Phoenix"/>
    <x v="16"/>
    <n v="85023"/>
    <x v="1"/>
    <x v="1008"/>
    <x v="1"/>
    <x v="2"/>
    <x v="1000"/>
    <x v="1045"/>
    <x v="0"/>
    <x v="1"/>
  </r>
  <r>
    <n v="7630"/>
    <x v="3782"/>
    <x v="809"/>
    <d v="2015-04-01T00:00:00"/>
    <s v="First Class"/>
    <x v="88"/>
    <s v="Mark Packer"/>
    <x v="2"/>
    <s v="United States"/>
    <s v="Brownsville"/>
    <x v="5"/>
    <n v="78521"/>
    <x v="2"/>
    <x v="556"/>
    <x v="1"/>
    <x v="12"/>
    <x v="555"/>
    <x v="4863"/>
    <x v="10"/>
    <x v="2"/>
  </r>
  <r>
    <n v="7631"/>
    <x v="3782"/>
    <x v="809"/>
    <d v="2015-04-01T00:00:00"/>
    <s v="First Class"/>
    <x v="88"/>
    <s v="Mark Packer"/>
    <x v="2"/>
    <s v="United States"/>
    <s v="Brownsville"/>
    <x v="5"/>
    <n v="78521"/>
    <x v="2"/>
    <x v="817"/>
    <x v="2"/>
    <x v="7"/>
    <x v="813"/>
    <x v="4864"/>
    <x v="10"/>
    <x v="2"/>
  </r>
  <r>
    <n v="7632"/>
    <x v="3782"/>
    <x v="809"/>
    <d v="2015-04-01T00:00:00"/>
    <s v="First Class"/>
    <x v="88"/>
    <s v="Mark Packer"/>
    <x v="2"/>
    <s v="United States"/>
    <s v="Brownsville"/>
    <x v="5"/>
    <n v="78521"/>
    <x v="2"/>
    <x v="792"/>
    <x v="0"/>
    <x v="1"/>
    <x v="790"/>
    <x v="4865"/>
    <x v="10"/>
    <x v="2"/>
  </r>
  <r>
    <n v="7633"/>
    <x v="3783"/>
    <x v="614"/>
    <d v="2019-01-01T00:00:00"/>
    <s v="Second Class"/>
    <x v="347"/>
    <s v="Katherine Hughes"/>
    <x v="0"/>
    <s v="United States"/>
    <s v="Louisville"/>
    <x v="0"/>
    <n v="40214"/>
    <x v="0"/>
    <x v="291"/>
    <x v="0"/>
    <x v="1"/>
    <x v="291"/>
    <x v="4866"/>
    <x v="4"/>
    <x v="3"/>
  </r>
  <r>
    <n v="7634"/>
    <x v="3783"/>
    <x v="614"/>
    <d v="2019-01-01T00:00:00"/>
    <s v="Second Class"/>
    <x v="347"/>
    <s v="Katherine Hughes"/>
    <x v="0"/>
    <s v="United States"/>
    <s v="Louisville"/>
    <x v="0"/>
    <n v="40214"/>
    <x v="0"/>
    <x v="1095"/>
    <x v="1"/>
    <x v="8"/>
    <x v="1085"/>
    <x v="4867"/>
    <x v="4"/>
    <x v="3"/>
  </r>
  <r>
    <n v="7635"/>
    <x v="3783"/>
    <x v="614"/>
    <d v="2019-01-01T00:00:00"/>
    <s v="Second Class"/>
    <x v="347"/>
    <s v="Katherine Hughes"/>
    <x v="0"/>
    <s v="United States"/>
    <s v="Louisville"/>
    <x v="0"/>
    <n v="40214"/>
    <x v="0"/>
    <x v="1261"/>
    <x v="1"/>
    <x v="6"/>
    <x v="1245"/>
    <x v="722"/>
    <x v="4"/>
    <x v="3"/>
  </r>
  <r>
    <n v="7636"/>
    <x v="3783"/>
    <x v="614"/>
    <d v="2019-01-01T00:00:00"/>
    <s v="Second Class"/>
    <x v="347"/>
    <s v="Katherine Hughes"/>
    <x v="0"/>
    <s v="United States"/>
    <s v="Louisville"/>
    <x v="0"/>
    <n v="40214"/>
    <x v="0"/>
    <x v="1496"/>
    <x v="0"/>
    <x v="1"/>
    <x v="1484"/>
    <x v="4868"/>
    <x v="4"/>
    <x v="3"/>
  </r>
  <r>
    <n v="7637"/>
    <x v="3783"/>
    <x v="614"/>
    <d v="2019-01-01T00:00:00"/>
    <s v="Second Class"/>
    <x v="347"/>
    <s v="Katherine Hughes"/>
    <x v="0"/>
    <s v="United States"/>
    <s v="Louisville"/>
    <x v="0"/>
    <n v="40214"/>
    <x v="0"/>
    <x v="866"/>
    <x v="0"/>
    <x v="1"/>
    <x v="860"/>
    <x v="4869"/>
    <x v="4"/>
    <x v="3"/>
  </r>
  <r>
    <n v="7638"/>
    <x v="3784"/>
    <x v="580"/>
    <d v="2018-03-08T00:00:00"/>
    <s v="Standard Class"/>
    <x v="587"/>
    <s v="Dorothy Badders"/>
    <x v="1"/>
    <s v="United States"/>
    <s v="Newark"/>
    <x v="13"/>
    <n v="19711"/>
    <x v="3"/>
    <x v="1500"/>
    <x v="1"/>
    <x v="6"/>
    <x v="1488"/>
    <x v="423"/>
    <x v="10"/>
    <x v="3"/>
  </r>
  <r>
    <n v="7639"/>
    <x v="3784"/>
    <x v="580"/>
    <d v="2018-03-08T00:00:00"/>
    <s v="Standard Class"/>
    <x v="587"/>
    <s v="Dorothy Badders"/>
    <x v="1"/>
    <s v="United States"/>
    <s v="Newark"/>
    <x v="13"/>
    <n v="19711"/>
    <x v="3"/>
    <x v="1451"/>
    <x v="1"/>
    <x v="12"/>
    <x v="153"/>
    <x v="3951"/>
    <x v="10"/>
    <x v="3"/>
  </r>
  <r>
    <n v="7640"/>
    <x v="3784"/>
    <x v="580"/>
    <d v="2018-03-08T00:00:00"/>
    <s v="Standard Class"/>
    <x v="587"/>
    <s v="Dorothy Badders"/>
    <x v="1"/>
    <s v="United States"/>
    <s v="Newark"/>
    <x v="13"/>
    <n v="19711"/>
    <x v="3"/>
    <x v="1487"/>
    <x v="0"/>
    <x v="0"/>
    <x v="1474"/>
    <x v="4870"/>
    <x v="10"/>
    <x v="3"/>
  </r>
  <r>
    <n v="7641"/>
    <x v="3784"/>
    <x v="580"/>
    <d v="2018-03-08T00:00:00"/>
    <s v="Standard Class"/>
    <x v="587"/>
    <s v="Dorothy Badders"/>
    <x v="1"/>
    <s v="United States"/>
    <s v="Newark"/>
    <x v="13"/>
    <n v="19711"/>
    <x v="3"/>
    <x v="1713"/>
    <x v="1"/>
    <x v="10"/>
    <x v="33"/>
    <x v="120"/>
    <x v="10"/>
    <x v="3"/>
  </r>
  <r>
    <n v="7642"/>
    <x v="3785"/>
    <x v="1099"/>
    <d v="2017-10-07T00:00:00"/>
    <s v="First Class"/>
    <x v="697"/>
    <s v="Laurel Beltran"/>
    <x v="2"/>
    <s v="United States"/>
    <s v="Pueblo"/>
    <x v="22"/>
    <n v="81001"/>
    <x v="1"/>
    <x v="1822"/>
    <x v="2"/>
    <x v="15"/>
    <x v="1810"/>
    <x v="4871"/>
    <x v="2"/>
    <x v="0"/>
  </r>
  <r>
    <n v="7643"/>
    <x v="3785"/>
    <x v="1099"/>
    <d v="2017-10-07T00:00:00"/>
    <s v="First Class"/>
    <x v="697"/>
    <s v="Laurel Beltran"/>
    <x v="2"/>
    <s v="United States"/>
    <s v="Pueblo"/>
    <x v="22"/>
    <n v="81001"/>
    <x v="1"/>
    <x v="528"/>
    <x v="1"/>
    <x v="8"/>
    <x v="528"/>
    <x v="3740"/>
    <x v="2"/>
    <x v="0"/>
  </r>
  <r>
    <n v="7644"/>
    <x v="3785"/>
    <x v="1099"/>
    <d v="2017-10-07T00:00:00"/>
    <s v="First Class"/>
    <x v="697"/>
    <s v="Laurel Beltran"/>
    <x v="2"/>
    <s v="United States"/>
    <s v="Pueblo"/>
    <x v="22"/>
    <n v="81001"/>
    <x v="1"/>
    <x v="1230"/>
    <x v="1"/>
    <x v="8"/>
    <x v="1213"/>
    <x v="4872"/>
    <x v="2"/>
    <x v="0"/>
  </r>
  <r>
    <n v="7645"/>
    <x v="3785"/>
    <x v="1099"/>
    <d v="2017-10-07T00:00:00"/>
    <s v="First Class"/>
    <x v="697"/>
    <s v="Laurel Beltran"/>
    <x v="2"/>
    <s v="United States"/>
    <s v="Pueblo"/>
    <x v="22"/>
    <n v="81001"/>
    <x v="1"/>
    <x v="1617"/>
    <x v="2"/>
    <x v="11"/>
    <x v="1608"/>
    <x v="4411"/>
    <x v="2"/>
    <x v="0"/>
  </r>
  <r>
    <n v="7646"/>
    <x v="3786"/>
    <x v="57"/>
    <d v="2016-04-11T00:00:00"/>
    <s v="Standard Class"/>
    <x v="662"/>
    <s v="Carol Adams"/>
    <x v="1"/>
    <s v="United States"/>
    <s v="Los Angeles"/>
    <x v="1"/>
    <n v="90036"/>
    <x v="1"/>
    <x v="873"/>
    <x v="0"/>
    <x v="1"/>
    <x v="867"/>
    <x v="1060"/>
    <x v="3"/>
    <x v="1"/>
  </r>
  <r>
    <n v="7647"/>
    <x v="3787"/>
    <x v="340"/>
    <d v="2015-09-13T00:00:00"/>
    <s v="Standard Class"/>
    <x v="351"/>
    <s v="Daniel Lacy"/>
    <x v="0"/>
    <s v="United States"/>
    <s v="Greenville"/>
    <x v="3"/>
    <n v="27834"/>
    <x v="0"/>
    <x v="1782"/>
    <x v="2"/>
    <x v="15"/>
    <x v="1772"/>
    <x v="4873"/>
    <x v="8"/>
    <x v="2"/>
  </r>
  <r>
    <n v="7648"/>
    <x v="3788"/>
    <x v="543"/>
    <d v="2017-03-16T00:00:00"/>
    <s v="First Class"/>
    <x v="712"/>
    <s v="Fred Chung"/>
    <x v="1"/>
    <s v="United States"/>
    <s v="San Francisco"/>
    <x v="1"/>
    <n v="94110"/>
    <x v="1"/>
    <x v="798"/>
    <x v="1"/>
    <x v="8"/>
    <x v="796"/>
    <x v="4874"/>
    <x v="10"/>
    <x v="0"/>
  </r>
  <r>
    <n v="7649"/>
    <x v="3788"/>
    <x v="543"/>
    <d v="2017-03-16T00:00:00"/>
    <s v="First Class"/>
    <x v="712"/>
    <s v="Fred Chung"/>
    <x v="1"/>
    <s v="United States"/>
    <s v="San Francisco"/>
    <x v="1"/>
    <n v="94110"/>
    <x v="1"/>
    <x v="774"/>
    <x v="0"/>
    <x v="1"/>
    <x v="773"/>
    <x v="4875"/>
    <x v="10"/>
    <x v="0"/>
  </r>
  <r>
    <n v="7650"/>
    <x v="3789"/>
    <x v="17"/>
    <d v="2016-12-31T00:00:00"/>
    <s v="Standard Class"/>
    <x v="106"/>
    <s v="David Bremer"/>
    <x v="1"/>
    <s v="United States"/>
    <s v="Marion"/>
    <x v="24"/>
    <n v="43302"/>
    <x v="3"/>
    <x v="738"/>
    <x v="0"/>
    <x v="3"/>
    <x v="737"/>
    <x v="4876"/>
    <x v="4"/>
    <x v="1"/>
  </r>
  <r>
    <n v="7651"/>
    <x v="3789"/>
    <x v="17"/>
    <d v="2016-12-31T00:00:00"/>
    <s v="Standard Class"/>
    <x v="106"/>
    <s v="David Bremer"/>
    <x v="1"/>
    <s v="United States"/>
    <s v="Marion"/>
    <x v="24"/>
    <n v="43302"/>
    <x v="3"/>
    <x v="1451"/>
    <x v="1"/>
    <x v="12"/>
    <x v="153"/>
    <x v="4877"/>
    <x v="4"/>
    <x v="1"/>
  </r>
  <r>
    <n v="7652"/>
    <x v="3790"/>
    <x v="783"/>
    <d v="2018-08-08T00:00:00"/>
    <s v="First Class"/>
    <x v="237"/>
    <s v="Chloris Kastensmidt"/>
    <x v="0"/>
    <s v="United States"/>
    <s v="Dallas"/>
    <x v="5"/>
    <n v="75081"/>
    <x v="2"/>
    <x v="100"/>
    <x v="2"/>
    <x v="11"/>
    <x v="100"/>
    <x v="4878"/>
    <x v="6"/>
    <x v="3"/>
  </r>
  <r>
    <n v="7653"/>
    <x v="3790"/>
    <x v="783"/>
    <d v="2018-08-08T00:00:00"/>
    <s v="First Class"/>
    <x v="237"/>
    <s v="Chloris Kastensmidt"/>
    <x v="0"/>
    <s v="United States"/>
    <s v="Dallas"/>
    <x v="5"/>
    <n v="75081"/>
    <x v="2"/>
    <x v="235"/>
    <x v="1"/>
    <x v="4"/>
    <x v="236"/>
    <x v="4879"/>
    <x v="6"/>
    <x v="3"/>
  </r>
  <r>
    <n v="7654"/>
    <x v="3791"/>
    <x v="204"/>
    <d v="2016-03-27T00:00:00"/>
    <s v="Standard Class"/>
    <x v="783"/>
    <s v="Fred Wasserman"/>
    <x v="1"/>
    <s v="United States"/>
    <s v="Huntsville"/>
    <x v="19"/>
    <n v="35810"/>
    <x v="0"/>
    <x v="1661"/>
    <x v="1"/>
    <x v="6"/>
    <x v="1649"/>
    <x v="634"/>
    <x v="10"/>
    <x v="1"/>
  </r>
  <r>
    <n v="7655"/>
    <x v="3792"/>
    <x v="672"/>
    <d v="2016-12-02T00:00:00"/>
    <s v="Second Class"/>
    <x v="622"/>
    <s v="John Murray"/>
    <x v="0"/>
    <s v="United States"/>
    <s v="Las Vegas"/>
    <x v="33"/>
    <n v="89115"/>
    <x v="1"/>
    <x v="1702"/>
    <x v="0"/>
    <x v="5"/>
    <x v="1691"/>
    <x v="4016"/>
    <x v="0"/>
    <x v="1"/>
  </r>
  <r>
    <n v="7656"/>
    <x v="3792"/>
    <x v="672"/>
    <d v="2016-12-02T00:00:00"/>
    <s v="Second Class"/>
    <x v="622"/>
    <s v="John Murray"/>
    <x v="0"/>
    <s v="United States"/>
    <s v="Las Vegas"/>
    <x v="33"/>
    <n v="89115"/>
    <x v="1"/>
    <x v="1465"/>
    <x v="1"/>
    <x v="10"/>
    <x v="1451"/>
    <x v="233"/>
    <x v="0"/>
    <x v="1"/>
  </r>
  <r>
    <n v="7657"/>
    <x v="3793"/>
    <x v="1166"/>
    <d v="2015-04-15T00:00:00"/>
    <s v="Same Day"/>
    <x v="28"/>
    <s v="Paul Stevenson"/>
    <x v="2"/>
    <s v="United States"/>
    <s v="Los Angeles"/>
    <x v="1"/>
    <n v="90049"/>
    <x v="1"/>
    <x v="650"/>
    <x v="1"/>
    <x v="9"/>
    <x v="650"/>
    <x v="1461"/>
    <x v="3"/>
    <x v="2"/>
  </r>
  <r>
    <n v="7658"/>
    <x v="3793"/>
    <x v="1166"/>
    <d v="2015-04-15T00:00:00"/>
    <s v="Same Day"/>
    <x v="28"/>
    <s v="Paul Stevenson"/>
    <x v="2"/>
    <s v="United States"/>
    <s v="Los Angeles"/>
    <x v="1"/>
    <n v="90049"/>
    <x v="1"/>
    <x v="267"/>
    <x v="0"/>
    <x v="5"/>
    <x v="267"/>
    <x v="4880"/>
    <x v="3"/>
    <x v="2"/>
  </r>
  <r>
    <n v="7659"/>
    <x v="3794"/>
    <x v="245"/>
    <d v="2018-08-02T00:00:00"/>
    <s v="First Class"/>
    <x v="679"/>
    <s v="Tony Chapman"/>
    <x v="2"/>
    <s v="United States"/>
    <s v="Lakewood"/>
    <x v="24"/>
    <n v="44107"/>
    <x v="3"/>
    <x v="669"/>
    <x v="1"/>
    <x v="8"/>
    <x v="669"/>
    <x v="1963"/>
    <x v="7"/>
    <x v="3"/>
  </r>
  <r>
    <n v="7660"/>
    <x v="3795"/>
    <x v="702"/>
    <d v="2018-06-05T00:00:00"/>
    <s v="Standard Class"/>
    <x v="51"/>
    <s v="Cynthia Voltz"/>
    <x v="1"/>
    <s v="United States"/>
    <s v="Fremont"/>
    <x v="8"/>
    <n v="68025"/>
    <x v="2"/>
    <x v="828"/>
    <x v="1"/>
    <x v="8"/>
    <x v="824"/>
    <x v="4881"/>
    <x v="1"/>
    <x v="3"/>
  </r>
  <r>
    <n v="7661"/>
    <x v="3796"/>
    <x v="1167"/>
    <d v="2015-01-12T00:00:00"/>
    <s v="Standard Class"/>
    <x v="745"/>
    <s v="Vivek Sundaresam"/>
    <x v="0"/>
    <s v="United States"/>
    <s v="Huntsville"/>
    <x v="5"/>
    <n v="77340"/>
    <x v="2"/>
    <x v="441"/>
    <x v="0"/>
    <x v="5"/>
    <x v="441"/>
    <x v="4882"/>
    <x v="9"/>
    <x v="2"/>
  </r>
  <r>
    <n v="7662"/>
    <x v="3796"/>
    <x v="1167"/>
    <d v="2015-01-12T00:00:00"/>
    <s v="Standard Class"/>
    <x v="745"/>
    <s v="Vivek Sundaresam"/>
    <x v="0"/>
    <s v="United States"/>
    <s v="Huntsville"/>
    <x v="5"/>
    <n v="77340"/>
    <x v="2"/>
    <x v="985"/>
    <x v="1"/>
    <x v="8"/>
    <x v="978"/>
    <x v="4883"/>
    <x v="9"/>
    <x v="2"/>
  </r>
  <r>
    <n v="7663"/>
    <x v="3797"/>
    <x v="365"/>
    <d v="2018-10-01T00:00:00"/>
    <s v="First Class"/>
    <x v="623"/>
    <s v="Sonia Cooley"/>
    <x v="0"/>
    <s v="United States"/>
    <s v="Los Angeles"/>
    <x v="1"/>
    <n v="90036"/>
    <x v="1"/>
    <x v="1167"/>
    <x v="1"/>
    <x v="6"/>
    <x v="1154"/>
    <x v="1593"/>
    <x v="8"/>
    <x v="3"/>
  </r>
  <r>
    <n v="7664"/>
    <x v="3798"/>
    <x v="1168"/>
    <d v="2018-09-19T00:00:00"/>
    <s v="Standard Class"/>
    <x v="611"/>
    <s v="Speros Goranitis"/>
    <x v="0"/>
    <s v="United States"/>
    <s v="Asheville"/>
    <x v="3"/>
    <n v="28806"/>
    <x v="0"/>
    <x v="703"/>
    <x v="1"/>
    <x v="6"/>
    <x v="703"/>
    <x v="204"/>
    <x v="8"/>
    <x v="3"/>
  </r>
  <r>
    <n v="7665"/>
    <x v="3799"/>
    <x v="68"/>
    <d v="2015-10-26T00:00:00"/>
    <s v="Standard Class"/>
    <x v="630"/>
    <s v="Nicole Brennan"/>
    <x v="1"/>
    <s v="United States"/>
    <s v="Bossier City"/>
    <x v="28"/>
    <n v="71111"/>
    <x v="0"/>
    <x v="1525"/>
    <x v="0"/>
    <x v="5"/>
    <x v="1512"/>
    <x v="677"/>
    <x v="2"/>
    <x v="2"/>
  </r>
  <r>
    <n v="7666"/>
    <x v="3800"/>
    <x v="964"/>
    <d v="2017-10-08T00:00:00"/>
    <s v="Standard Class"/>
    <x v="660"/>
    <s v="Daniel Raglin"/>
    <x v="2"/>
    <s v="United States"/>
    <s v="Providence"/>
    <x v="34"/>
    <n v="2908"/>
    <x v="3"/>
    <x v="999"/>
    <x v="1"/>
    <x v="8"/>
    <x v="991"/>
    <x v="3265"/>
    <x v="2"/>
    <x v="0"/>
  </r>
  <r>
    <n v="7667"/>
    <x v="3800"/>
    <x v="964"/>
    <d v="2017-10-08T00:00:00"/>
    <s v="Standard Class"/>
    <x v="660"/>
    <s v="Daniel Raglin"/>
    <x v="2"/>
    <s v="United States"/>
    <s v="Providence"/>
    <x v="34"/>
    <n v="2908"/>
    <x v="3"/>
    <x v="306"/>
    <x v="2"/>
    <x v="16"/>
    <x v="306"/>
    <x v="4884"/>
    <x v="2"/>
    <x v="0"/>
  </r>
  <r>
    <n v="7668"/>
    <x v="3800"/>
    <x v="964"/>
    <d v="2017-10-08T00:00:00"/>
    <s v="Standard Class"/>
    <x v="660"/>
    <s v="Daniel Raglin"/>
    <x v="2"/>
    <s v="United States"/>
    <s v="Providence"/>
    <x v="34"/>
    <n v="2908"/>
    <x v="3"/>
    <x v="1716"/>
    <x v="1"/>
    <x v="4"/>
    <x v="1703"/>
    <x v="4885"/>
    <x v="2"/>
    <x v="0"/>
  </r>
  <r>
    <n v="7669"/>
    <x v="3801"/>
    <x v="154"/>
    <d v="2016-11-29T00:00:00"/>
    <s v="Second Class"/>
    <x v="15"/>
    <s v="Matt Abelman"/>
    <x v="2"/>
    <s v="United States"/>
    <s v="Everett"/>
    <x v="31"/>
    <n v="2149"/>
    <x v="3"/>
    <x v="578"/>
    <x v="1"/>
    <x v="10"/>
    <x v="578"/>
    <x v="1574"/>
    <x v="0"/>
    <x v="1"/>
  </r>
  <r>
    <n v="7670"/>
    <x v="3801"/>
    <x v="154"/>
    <d v="2016-11-29T00:00:00"/>
    <s v="Second Class"/>
    <x v="15"/>
    <s v="Matt Abelman"/>
    <x v="2"/>
    <s v="United States"/>
    <s v="Everett"/>
    <x v="31"/>
    <n v="2149"/>
    <x v="3"/>
    <x v="681"/>
    <x v="1"/>
    <x v="10"/>
    <x v="681"/>
    <x v="725"/>
    <x v="0"/>
    <x v="1"/>
  </r>
  <r>
    <n v="7671"/>
    <x v="3801"/>
    <x v="154"/>
    <d v="2016-11-29T00:00:00"/>
    <s v="Second Class"/>
    <x v="15"/>
    <s v="Matt Abelman"/>
    <x v="2"/>
    <s v="United States"/>
    <s v="Everett"/>
    <x v="31"/>
    <n v="2149"/>
    <x v="3"/>
    <x v="1301"/>
    <x v="2"/>
    <x v="11"/>
    <x v="1286"/>
    <x v="4886"/>
    <x v="0"/>
    <x v="1"/>
  </r>
  <r>
    <n v="7672"/>
    <x v="3801"/>
    <x v="154"/>
    <d v="2016-11-29T00:00:00"/>
    <s v="Second Class"/>
    <x v="15"/>
    <s v="Matt Abelman"/>
    <x v="2"/>
    <s v="United States"/>
    <s v="Everett"/>
    <x v="31"/>
    <n v="2149"/>
    <x v="3"/>
    <x v="1528"/>
    <x v="0"/>
    <x v="0"/>
    <x v="1515"/>
    <x v="4887"/>
    <x v="0"/>
    <x v="1"/>
  </r>
  <r>
    <n v="7673"/>
    <x v="3801"/>
    <x v="154"/>
    <d v="2016-11-29T00:00:00"/>
    <s v="Second Class"/>
    <x v="15"/>
    <s v="Matt Abelman"/>
    <x v="2"/>
    <s v="United States"/>
    <s v="Everett"/>
    <x v="31"/>
    <n v="2149"/>
    <x v="3"/>
    <x v="1823"/>
    <x v="0"/>
    <x v="5"/>
    <x v="1811"/>
    <x v="2731"/>
    <x v="0"/>
    <x v="1"/>
  </r>
  <r>
    <n v="7674"/>
    <x v="3801"/>
    <x v="154"/>
    <d v="2016-11-29T00:00:00"/>
    <s v="Second Class"/>
    <x v="15"/>
    <s v="Matt Abelman"/>
    <x v="2"/>
    <s v="United States"/>
    <s v="Everett"/>
    <x v="31"/>
    <n v="2149"/>
    <x v="3"/>
    <x v="1019"/>
    <x v="1"/>
    <x v="10"/>
    <x v="1010"/>
    <x v="894"/>
    <x v="0"/>
    <x v="1"/>
  </r>
  <r>
    <n v="7675"/>
    <x v="3801"/>
    <x v="154"/>
    <d v="2016-11-29T00:00:00"/>
    <s v="Second Class"/>
    <x v="15"/>
    <s v="Matt Abelman"/>
    <x v="2"/>
    <s v="United States"/>
    <s v="Everett"/>
    <x v="31"/>
    <n v="2149"/>
    <x v="3"/>
    <x v="898"/>
    <x v="0"/>
    <x v="3"/>
    <x v="891"/>
    <x v="4888"/>
    <x v="0"/>
    <x v="1"/>
  </r>
  <r>
    <n v="7676"/>
    <x v="3802"/>
    <x v="636"/>
    <d v="2018-05-09T00:00:00"/>
    <s v="Second Class"/>
    <x v="772"/>
    <s v="Trudy Schmidt"/>
    <x v="0"/>
    <s v="United States"/>
    <s v="Rancho Cucamonga"/>
    <x v="1"/>
    <n v="91730"/>
    <x v="1"/>
    <x v="473"/>
    <x v="1"/>
    <x v="9"/>
    <x v="474"/>
    <x v="509"/>
    <x v="5"/>
    <x v="3"/>
  </r>
  <r>
    <n v="7677"/>
    <x v="3803"/>
    <x v="1169"/>
    <d v="2015-10-08T00:00:00"/>
    <s v="Same Day"/>
    <x v="161"/>
    <s v="Jack Garza"/>
    <x v="0"/>
    <s v="United States"/>
    <s v="Charlotte"/>
    <x v="3"/>
    <n v="28205"/>
    <x v="0"/>
    <x v="1599"/>
    <x v="2"/>
    <x v="11"/>
    <x v="1591"/>
    <x v="2953"/>
    <x v="2"/>
    <x v="2"/>
  </r>
  <r>
    <n v="7678"/>
    <x v="3804"/>
    <x v="520"/>
    <d v="2016-01-07T00:00:00"/>
    <s v="Standard Class"/>
    <x v="454"/>
    <s v="Katherine Murray"/>
    <x v="2"/>
    <s v="United States"/>
    <s v="Providence"/>
    <x v="34"/>
    <n v="2908"/>
    <x v="3"/>
    <x v="1689"/>
    <x v="1"/>
    <x v="10"/>
    <x v="1677"/>
    <x v="3483"/>
    <x v="4"/>
    <x v="2"/>
  </r>
  <r>
    <n v="7679"/>
    <x v="3804"/>
    <x v="520"/>
    <d v="2016-01-07T00:00:00"/>
    <s v="Standard Class"/>
    <x v="454"/>
    <s v="Katherine Murray"/>
    <x v="2"/>
    <s v="United States"/>
    <s v="Providence"/>
    <x v="34"/>
    <n v="2908"/>
    <x v="3"/>
    <x v="1025"/>
    <x v="1"/>
    <x v="10"/>
    <x v="1016"/>
    <x v="1801"/>
    <x v="4"/>
    <x v="2"/>
  </r>
  <r>
    <n v="7680"/>
    <x v="3804"/>
    <x v="520"/>
    <d v="2016-01-07T00:00:00"/>
    <s v="Standard Class"/>
    <x v="454"/>
    <s v="Katherine Murray"/>
    <x v="2"/>
    <s v="United States"/>
    <s v="Providence"/>
    <x v="34"/>
    <n v="2908"/>
    <x v="3"/>
    <x v="695"/>
    <x v="2"/>
    <x v="11"/>
    <x v="1062"/>
    <x v="2761"/>
    <x v="4"/>
    <x v="2"/>
  </r>
  <r>
    <n v="7681"/>
    <x v="3804"/>
    <x v="520"/>
    <d v="2016-01-07T00:00:00"/>
    <s v="Standard Class"/>
    <x v="454"/>
    <s v="Katherine Murray"/>
    <x v="2"/>
    <s v="United States"/>
    <s v="Providence"/>
    <x v="34"/>
    <n v="2908"/>
    <x v="3"/>
    <x v="1057"/>
    <x v="0"/>
    <x v="0"/>
    <x v="1046"/>
    <x v="2600"/>
    <x v="4"/>
    <x v="2"/>
  </r>
  <r>
    <n v="7682"/>
    <x v="3804"/>
    <x v="520"/>
    <d v="2016-01-07T00:00:00"/>
    <s v="Standard Class"/>
    <x v="454"/>
    <s v="Katherine Murray"/>
    <x v="2"/>
    <s v="United States"/>
    <s v="Providence"/>
    <x v="34"/>
    <n v="2908"/>
    <x v="3"/>
    <x v="38"/>
    <x v="0"/>
    <x v="1"/>
    <x v="38"/>
    <x v="4889"/>
    <x v="4"/>
    <x v="2"/>
  </r>
  <r>
    <n v="7683"/>
    <x v="3805"/>
    <x v="152"/>
    <d v="2016-05-01T00:00:00"/>
    <s v="First Class"/>
    <x v="174"/>
    <s v="Shirley Daniels"/>
    <x v="2"/>
    <s v="United States"/>
    <s v="Midland"/>
    <x v="12"/>
    <n v="48640"/>
    <x v="2"/>
    <x v="1470"/>
    <x v="1"/>
    <x v="9"/>
    <x v="1457"/>
    <x v="4890"/>
    <x v="3"/>
    <x v="1"/>
  </r>
  <r>
    <n v="7684"/>
    <x v="3805"/>
    <x v="152"/>
    <d v="2016-05-01T00:00:00"/>
    <s v="First Class"/>
    <x v="174"/>
    <s v="Shirley Daniels"/>
    <x v="2"/>
    <s v="United States"/>
    <s v="Midland"/>
    <x v="12"/>
    <n v="48640"/>
    <x v="2"/>
    <x v="450"/>
    <x v="1"/>
    <x v="8"/>
    <x v="451"/>
    <x v="4891"/>
    <x v="3"/>
    <x v="1"/>
  </r>
  <r>
    <n v="7685"/>
    <x v="3806"/>
    <x v="966"/>
    <d v="2016-02-21T00:00:00"/>
    <s v="Standard Class"/>
    <x v="74"/>
    <s v="Ted Trevino"/>
    <x v="0"/>
    <s v="United States"/>
    <s v="Rochester"/>
    <x v="15"/>
    <n v="14609"/>
    <x v="3"/>
    <x v="1812"/>
    <x v="1"/>
    <x v="8"/>
    <x v="1802"/>
    <x v="4892"/>
    <x v="11"/>
    <x v="1"/>
  </r>
  <r>
    <n v="7686"/>
    <x v="3806"/>
    <x v="966"/>
    <d v="2016-02-21T00:00:00"/>
    <s v="Standard Class"/>
    <x v="74"/>
    <s v="Ted Trevino"/>
    <x v="0"/>
    <s v="United States"/>
    <s v="Rochester"/>
    <x v="15"/>
    <n v="14609"/>
    <x v="3"/>
    <x v="1718"/>
    <x v="2"/>
    <x v="7"/>
    <x v="1705"/>
    <x v="4893"/>
    <x v="11"/>
    <x v="1"/>
  </r>
  <r>
    <n v="7687"/>
    <x v="3807"/>
    <x v="881"/>
    <d v="2017-11-29T00:00:00"/>
    <s v="Standard Class"/>
    <x v="179"/>
    <s v="Brenda Bowman"/>
    <x v="1"/>
    <s v="United States"/>
    <s v="Jackson"/>
    <x v="12"/>
    <n v="49201"/>
    <x v="2"/>
    <x v="616"/>
    <x v="0"/>
    <x v="3"/>
    <x v="616"/>
    <x v="4894"/>
    <x v="0"/>
    <x v="0"/>
  </r>
  <r>
    <n v="7688"/>
    <x v="3807"/>
    <x v="881"/>
    <d v="2017-11-29T00:00:00"/>
    <s v="Standard Class"/>
    <x v="179"/>
    <s v="Brenda Bowman"/>
    <x v="1"/>
    <s v="United States"/>
    <s v="Jackson"/>
    <x v="12"/>
    <n v="49201"/>
    <x v="2"/>
    <x v="153"/>
    <x v="1"/>
    <x v="8"/>
    <x v="154"/>
    <x v="4895"/>
    <x v="0"/>
    <x v="0"/>
  </r>
  <r>
    <n v="7689"/>
    <x v="3807"/>
    <x v="881"/>
    <d v="2017-11-29T00:00:00"/>
    <s v="Standard Class"/>
    <x v="179"/>
    <s v="Brenda Bowman"/>
    <x v="1"/>
    <s v="United States"/>
    <s v="Jackson"/>
    <x v="12"/>
    <n v="49201"/>
    <x v="2"/>
    <x v="1824"/>
    <x v="2"/>
    <x v="11"/>
    <x v="1812"/>
    <x v="4896"/>
    <x v="0"/>
    <x v="0"/>
  </r>
  <r>
    <n v="7690"/>
    <x v="3808"/>
    <x v="663"/>
    <d v="2018-07-17T00:00:00"/>
    <s v="First Class"/>
    <x v="602"/>
    <s v="Ricardo Sperren"/>
    <x v="1"/>
    <s v="United States"/>
    <s v="Suffolk"/>
    <x v="17"/>
    <n v="23434"/>
    <x v="0"/>
    <x v="810"/>
    <x v="1"/>
    <x v="9"/>
    <x v="808"/>
    <x v="3857"/>
    <x v="7"/>
    <x v="3"/>
  </r>
  <r>
    <n v="7691"/>
    <x v="3808"/>
    <x v="663"/>
    <d v="2018-07-17T00:00:00"/>
    <s v="First Class"/>
    <x v="602"/>
    <s v="Ricardo Sperren"/>
    <x v="1"/>
    <s v="United States"/>
    <s v="Suffolk"/>
    <x v="17"/>
    <n v="23434"/>
    <x v="0"/>
    <x v="309"/>
    <x v="0"/>
    <x v="3"/>
    <x v="309"/>
    <x v="1295"/>
    <x v="7"/>
    <x v="3"/>
  </r>
  <r>
    <n v="7692"/>
    <x v="3808"/>
    <x v="663"/>
    <d v="2018-07-17T00:00:00"/>
    <s v="First Class"/>
    <x v="602"/>
    <s v="Ricardo Sperren"/>
    <x v="1"/>
    <s v="United States"/>
    <s v="Suffolk"/>
    <x v="17"/>
    <n v="23434"/>
    <x v="0"/>
    <x v="89"/>
    <x v="1"/>
    <x v="10"/>
    <x v="89"/>
    <x v="91"/>
    <x v="7"/>
    <x v="3"/>
  </r>
  <r>
    <n v="7693"/>
    <x v="3809"/>
    <x v="282"/>
    <d v="2016-01-03T00:00:00"/>
    <s v="Standard Class"/>
    <x v="482"/>
    <s v="Arianne Irving"/>
    <x v="0"/>
    <s v="United States"/>
    <s v="Brentwood"/>
    <x v="1"/>
    <n v="94513"/>
    <x v="1"/>
    <x v="429"/>
    <x v="1"/>
    <x v="2"/>
    <x v="429"/>
    <x v="330"/>
    <x v="4"/>
    <x v="2"/>
  </r>
  <r>
    <n v="7694"/>
    <x v="3809"/>
    <x v="282"/>
    <d v="2016-01-03T00:00:00"/>
    <s v="Standard Class"/>
    <x v="482"/>
    <s v="Arianne Irving"/>
    <x v="0"/>
    <s v="United States"/>
    <s v="Brentwood"/>
    <x v="1"/>
    <n v="94513"/>
    <x v="1"/>
    <x v="1278"/>
    <x v="2"/>
    <x v="7"/>
    <x v="1263"/>
    <x v="1864"/>
    <x v="4"/>
    <x v="2"/>
  </r>
  <r>
    <n v="7695"/>
    <x v="3810"/>
    <x v="554"/>
    <d v="2017-03-22T00:00:00"/>
    <s v="Same Day"/>
    <x v="507"/>
    <s v="Marc Crier"/>
    <x v="0"/>
    <s v="United States"/>
    <s v="Seattle"/>
    <x v="4"/>
    <n v="98103"/>
    <x v="1"/>
    <x v="1144"/>
    <x v="0"/>
    <x v="1"/>
    <x v="1132"/>
    <x v="4897"/>
    <x v="10"/>
    <x v="0"/>
  </r>
  <r>
    <n v="7696"/>
    <x v="3811"/>
    <x v="1170"/>
    <d v="2018-07-05T00:00:00"/>
    <s v="First Class"/>
    <x v="571"/>
    <s v="Adrian Hane"/>
    <x v="2"/>
    <s v="United States"/>
    <s v="Houston"/>
    <x v="5"/>
    <n v="77036"/>
    <x v="2"/>
    <x v="447"/>
    <x v="1"/>
    <x v="10"/>
    <x v="447"/>
    <x v="2844"/>
    <x v="7"/>
    <x v="3"/>
  </r>
  <r>
    <n v="7697"/>
    <x v="3811"/>
    <x v="1170"/>
    <d v="2018-07-05T00:00:00"/>
    <s v="First Class"/>
    <x v="571"/>
    <s v="Adrian Hane"/>
    <x v="2"/>
    <s v="United States"/>
    <s v="Houston"/>
    <x v="5"/>
    <n v="77036"/>
    <x v="2"/>
    <x v="1504"/>
    <x v="1"/>
    <x v="8"/>
    <x v="1491"/>
    <x v="1836"/>
    <x v="7"/>
    <x v="3"/>
  </r>
  <r>
    <n v="7698"/>
    <x v="3812"/>
    <x v="817"/>
    <d v="2018-12-18T00:00:00"/>
    <s v="Standard Class"/>
    <x v="408"/>
    <s v="Ben Ferrer"/>
    <x v="2"/>
    <s v="United States"/>
    <s v="Lawrence"/>
    <x v="31"/>
    <n v="1841"/>
    <x v="3"/>
    <x v="349"/>
    <x v="2"/>
    <x v="16"/>
    <x v="349"/>
    <x v="4898"/>
    <x v="4"/>
    <x v="3"/>
  </r>
  <r>
    <n v="7699"/>
    <x v="3812"/>
    <x v="817"/>
    <d v="2018-12-18T00:00:00"/>
    <s v="Standard Class"/>
    <x v="408"/>
    <s v="Ben Ferrer"/>
    <x v="2"/>
    <s v="United States"/>
    <s v="Lawrence"/>
    <x v="31"/>
    <n v="1841"/>
    <x v="3"/>
    <x v="235"/>
    <x v="1"/>
    <x v="4"/>
    <x v="236"/>
    <x v="4899"/>
    <x v="4"/>
    <x v="3"/>
  </r>
  <r>
    <n v="7700"/>
    <x v="3812"/>
    <x v="817"/>
    <d v="2018-12-18T00:00:00"/>
    <s v="Standard Class"/>
    <x v="408"/>
    <s v="Ben Ferrer"/>
    <x v="2"/>
    <s v="United States"/>
    <s v="Lawrence"/>
    <x v="31"/>
    <n v="1841"/>
    <x v="3"/>
    <x v="1257"/>
    <x v="1"/>
    <x v="14"/>
    <x v="1241"/>
    <x v="3462"/>
    <x v="4"/>
    <x v="3"/>
  </r>
  <r>
    <n v="7701"/>
    <x v="3812"/>
    <x v="817"/>
    <d v="2018-12-18T00:00:00"/>
    <s v="Standard Class"/>
    <x v="408"/>
    <s v="Ben Ferrer"/>
    <x v="2"/>
    <s v="United States"/>
    <s v="Lawrence"/>
    <x v="31"/>
    <n v="1841"/>
    <x v="3"/>
    <x v="1579"/>
    <x v="1"/>
    <x v="13"/>
    <x v="1570"/>
    <x v="1300"/>
    <x v="4"/>
    <x v="3"/>
  </r>
  <r>
    <n v="7702"/>
    <x v="3812"/>
    <x v="817"/>
    <d v="2018-12-18T00:00:00"/>
    <s v="Standard Class"/>
    <x v="408"/>
    <s v="Ben Ferrer"/>
    <x v="2"/>
    <s v="United States"/>
    <s v="Lawrence"/>
    <x v="31"/>
    <n v="1841"/>
    <x v="3"/>
    <x v="215"/>
    <x v="0"/>
    <x v="3"/>
    <x v="216"/>
    <x v="4900"/>
    <x v="4"/>
    <x v="3"/>
  </r>
  <r>
    <n v="7703"/>
    <x v="3813"/>
    <x v="370"/>
    <d v="2017-09-02T00:00:00"/>
    <s v="Standard Class"/>
    <x v="4"/>
    <s v="Andrew Allen"/>
    <x v="0"/>
    <s v="United States"/>
    <s v="Detroit"/>
    <x v="12"/>
    <n v="48234"/>
    <x v="2"/>
    <x v="820"/>
    <x v="1"/>
    <x v="10"/>
    <x v="816"/>
    <x v="1049"/>
    <x v="6"/>
    <x v="0"/>
  </r>
  <r>
    <n v="7704"/>
    <x v="3813"/>
    <x v="370"/>
    <d v="2017-09-02T00:00:00"/>
    <s v="Standard Class"/>
    <x v="4"/>
    <s v="Andrew Allen"/>
    <x v="0"/>
    <s v="United States"/>
    <s v="Detroit"/>
    <x v="12"/>
    <n v="48234"/>
    <x v="2"/>
    <x v="599"/>
    <x v="2"/>
    <x v="7"/>
    <x v="599"/>
    <x v="2713"/>
    <x v="6"/>
    <x v="0"/>
  </r>
  <r>
    <n v="7705"/>
    <x v="3813"/>
    <x v="370"/>
    <d v="2017-09-02T00:00:00"/>
    <s v="Standard Class"/>
    <x v="4"/>
    <s v="Andrew Allen"/>
    <x v="0"/>
    <s v="United States"/>
    <s v="Detroit"/>
    <x v="12"/>
    <n v="48234"/>
    <x v="2"/>
    <x v="823"/>
    <x v="0"/>
    <x v="3"/>
    <x v="819"/>
    <x v="982"/>
    <x v="6"/>
    <x v="0"/>
  </r>
  <r>
    <n v="7706"/>
    <x v="3813"/>
    <x v="370"/>
    <d v="2017-09-02T00:00:00"/>
    <s v="Standard Class"/>
    <x v="4"/>
    <s v="Andrew Allen"/>
    <x v="0"/>
    <s v="United States"/>
    <s v="Detroit"/>
    <x v="12"/>
    <n v="48234"/>
    <x v="2"/>
    <x v="331"/>
    <x v="2"/>
    <x v="11"/>
    <x v="331"/>
    <x v="647"/>
    <x v="6"/>
    <x v="0"/>
  </r>
  <r>
    <n v="7707"/>
    <x v="3813"/>
    <x v="370"/>
    <d v="2017-09-02T00:00:00"/>
    <s v="Standard Class"/>
    <x v="4"/>
    <s v="Andrew Allen"/>
    <x v="0"/>
    <s v="United States"/>
    <s v="Detroit"/>
    <x v="12"/>
    <n v="48234"/>
    <x v="2"/>
    <x v="671"/>
    <x v="1"/>
    <x v="6"/>
    <x v="671"/>
    <x v="874"/>
    <x v="6"/>
    <x v="0"/>
  </r>
  <r>
    <n v="7708"/>
    <x v="3814"/>
    <x v="453"/>
    <d v="2018-10-19T00:00:00"/>
    <s v="Standard Class"/>
    <x v="458"/>
    <s v="Stuart Van"/>
    <x v="1"/>
    <s v="United States"/>
    <s v="Orem"/>
    <x v="7"/>
    <n v="84057"/>
    <x v="1"/>
    <x v="1663"/>
    <x v="1"/>
    <x v="6"/>
    <x v="1651"/>
    <x v="2582"/>
    <x v="2"/>
    <x v="3"/>
  </r>
  <r>
    <n v="7709"/>
    <x v="3815"/>
    <x v="1089"/>
    <d v="2015-10-29T00:00:00"/>
    <s v="Standard Class"/>
    <x v="699"/>
    <s v="Evan Henry"/>
    <x v="0"/>
    <s v="United States"/>
    <s v="Philadelphia"/>
    <x v="9"/>
    <n v="19120"/>
    <x v="3"/>
    <x v="1617"/>
    <x v="2"/>
    <x v="11"/>
    <x v="1608"/>
    <x v="2795"/>
    <x v="2"/>
    <x v="2"/>
  </r>
  <r>
    <n v="7710"/>
    <x v="3815"/>
    <x v="1089"/>
    <d v="2015-10-29T00:00:00"/>
    <s v="Standard Class"/>
    <x v="699"/>
    <s v="Evan Henry"/>
    <x v="0"/>
    <s v="United States"/>
    <s v="Philadelphia"/>
    <x v="9"/>
    <n v="19120"/>
    <x v="3"/>
    <x v="338"/>
    <x v="1"/>
    <x v="8"/>
    <x v="338"/>
    <x v="4901"/>
    <x v="2"/>
    <x v="2"/>
  </r>
  <r>
    <n v="7711"/>
    <x v="3816"/>
    <x v="788"/>
    <d v="2016-04-07T00:00:00"/>
    <s v="Standard Class"/>
    <x v="139"/>
    <s v="John Lucas"/>
    <x v="0"/>
    <s v="United States"/>
    <s v="Mesa"/>
    <x v="16"/>
    <n v="85204"/>
    <x v="1"/>
    <x v="1513"/>
    <x v="2"/>
    <x v="7"/>
    <x v="1500"/>
    <x v="4253"/>
    <x v="3"/>
    <x v="1"/>
  </r>
  <r>
    <n v="7712"/>
    <x v="3817"/>
    <x v="960"/>
    <d v="2018-10-30T00:00:00"/>
    <s v="Second Class"/>
    <x v="49"/>
    <s v="Janet Martin"/>
    <x v="0"/>
    <s v="United States"/>
    <s v="Fayetteville"/>
    <x v="3"/>
    <n v="28314"/>
    <x v="0"/>
    <x v="1416"/>
    <x v="0"/>
    <x v="5"/>
    <x v="1403"/>
    <x v="2486"/>
    <x v="2"/>
    <x v="3"/>
  </r>
  <r>
    <n v="7713"/>
    <x v="3817"/>
    <x v="960"/>
    <d v="2018-10-30T00:00:00"/>
    <s v="Second Class"/>
    <x v="49"/>
    <s v="Janet Martin"/>
    <x v="0"/>
    <s v="United States"/>
    <s v="Fayetteville"/>
    <x v="3"/>
    <n v="28314"/>
    <x v="0"/>
    <x v="196"/>
    <x v="1"/>
    <x v="4"/>
    <x v="197"/>
    <x v="2706"/>
    <x v="2"/>
    <x v="3"/>
  </r>
  <r>
    <n v="7714"/>
    <x v="3817"/>
    <x v="960"/>
    <d v="2018-10-30T00:00:00"/>
    <s v="Second Class"/>
    <x v="49"/>
    <s v="Janet Martin"/>
    <x v="0"/>
    <s v="United States"/>
    <s v="Fayetteville"/>
    <x v="3"/>
    <n v="28314"/>
    <x v="0"/>
    <x v="1785"/>
    <x v="1"/>
    <x v="10"/>
    <x v="1775"/>
    <x v="1097"/>
    <x v="2"/>
    <x v="3"/>
  </r>
  <r>
    <n v="7715"/>
    <x v="3818"/>
    <x v="29"/>
    <d v="2015-12-07T00:00:00"/>
    <s v="First Class"/>
    <x v="102"/>
    <s v="Joni Blumstein"/>
    <x v="0"/>
    <s v="United States"/>
    <s v="Los Angeles"/>
    <x v="1"/>
    <n v="90032"/>
    <x v="1"/>
    <x v="586"/>
    <x v="1"/>
    <x v="9"/>
    <x v="586"/>
    <x v="4902"/>
    <x v="4"/>
    <x v="2"/>
  </r>
  <r>
    <n v="7716"/>
    <x v="3819"/>
    <x v="132"/>
    <d v="2018-11-08T00:00:00"/>
    <s v="Standard Class"/>
    <x v="287"/>
    <s v="Peter Bühler"/>
    <x v="0"/>
    <s v="United States"/>
    <s v="Philadelphia"/>
    <x v="9"/>
    <n v="19140"/>
    <x v="3"/>
    <x v="1617"/>
    <x v="2"/>
    <x v="11"/>
    <x v="1608"/>
    <x v="2795"/>
    <x v="0"/>
    <x v="3"/>
  </r>
  <r>
    <n v="7717"/>
    <x v="3820"/>
    <x v="1171"/>
    <d v="2016-01-12T00:00:00"/>
    <s v="Standard Class"/>
    <x v="407"/>
    <s v="Stefania Perrino"/>
    <x v="1"/>
    <s v="United States"/>
    <s v="Colorado Springs"/>
    <x v="22"/>
    <n v="80906"/>
    <x v="1"/>
    <x v="956"/>
    <x v="1"/>
    <x v="10"/>
    <x v="949"/>
    <x v="458"/>
    <x v="9"/>
    <x v="1"/>
  </r>
  <r>
    <n v="7718"/>
    <x v="3820"/>
    <x v="1171"/>
    <d v="2016-01-12T00:00:00"/>
    <s v="Standard Class"/>
    <x v="407"/>
    <s v="Stefania Perrino"/>
    <x v="1"/>
    <s v="United States"/>
    <s v="Colorado Springs"/>
    <x v="22"/>
    <n v="80906"/>
    <x v="1"/>
    <x v="507"/>
    <x v="1"/>
    <x v="8"/>
    <x v="507"/>
    <x v="4903"/>
    <x v="9"/>
    <x v="1"/>
  </r>
  <r>
    <n v="7719"/>
    <x v="3821"/>
    <x v="428"/>
    <d v="2018-09-14T00:00:00"/>
    <s v="Standard Class"/>
    <x v="204"/>
    <s v="Matt Connell"/>
    <x v="1"/>
    <s v="United States"/>
    <s v="Los Angeles"/>
    <x v="1"/>
    <n v="90032"/>
    <x v="1"/>
    <x v="1227"/>
    <x v="2"/>
    <x v="11"/>
    <x v="1211"/>
    <x v="3092"/>
    <x v="8"/>
    <x v="3"/>
  </r>
  <r>
    <n v="7720"/>
    <x v="3822"/>
    <x v="956"/>
    <d v="2016-01-10T00:00:00"/>
    <s v="Standard Class"/>
    <x v="410"/>
    <s v="Brooke Gillingham"/>
    <x v="1"/>
    <s v="United States"/>
    <s v="New York City"/>
    <x v="15"/>
    <n v="10009"/>
    <x v="3"/>
    <x v="1500"/>
    <x v="1"/>
    <x v="6"/>
    <x v="1488"/>
    <x v="423"/>
    <x v="9"/>
    <x v="1"/>
  </r>
  <r>
    <n v="7721"/>
    <x v="3822"/>
    <x v="956"/>
    <d v="2016-01-10T00:00:00"/>
    <s v="Standard Class"/>
    <x v="410"/>
    <s v="Brooke Gillingham"/>
    <x v="1"/>
    <s v="United States"/>
    <s v="New York City"/>
    <x v="15"/>
    <n v="10009"/>
    <x v="3"/>
    <x v="755"/>
    <x v="1"/>
    <x v="12"/>
    <x v="753"/>
    <x v="1897"/>
    <x v="9"/>
    <x v="1"/>
  </r>
  <r>
    <n v="7722"/>
    <x v="3822"/>
    <x v="956"/>
    <d v="2016-01-10T00:00:00"/>
    <s v="Standard Class"/>
    <x v="410"/>
    <s v="Brooke Gillingham"/>
    <x v="1"/>
    <s v="United States"/>
    <s v="New York City"/>
    <x v="15"/>
    <n v="10009"/>
    <x v="3"/>
    <x v="1263"/>
    <x v="1"/>
    <x v="8"/>
    <x v="1247"/>
    <x v="4904"/>
    <x v="9"/>
    <x v="1"/>
  </r>
  <r>
    <n v="7723"/>
    <x v="3823"/>
    <x v="513"/>
    <d v="2018-04-20T00:00:00"/>
    <s v="Standard Class"/>
    <x v="270"/>
    <s v="Jesus Ocampo"/>
    <x v="2"/>
    <s v="United States"/>
    <s v="San Francisco"/>
    <x v="1"/>
    <n v="94109"/>
    <x v="1"/>
    <x v="1825"/>
    <x v="1"/>
    <x v="9"/>
    <x v="1813"/>
    <x v="1344"/>
    <x v="3"/>
    <x v="3"/>
  </r>
  <r>
    <n v="7724"/>
    <x v="3824"/>
    <x v="229"/>
    <d v="2016-09-14T00:00:00"/>
    <s v="Standard Class"/>
    <x v="753"/>
    <s v="Alex Russell"/>
    <x v="1"/>
    <s v="United States"/>
    <s v="Austin"/>
    <x v="5"/>
    <n v="78745"/>
    <x v="2"/>
    <x v="1189"/>
    <x v="0"/>
    <x v="1"/>
    <x v="1175"/>
    <x v="4905"/>
    <x v="8"/>
    <x v="1"/>
  </r>
  <r>
    <n v="7725"/>
    <x v="3825"/>
    <x v="477"/>
    <d v="2017-09-29T00:00:00"/>
    <s v="Standard Class"/>
    <x v="700"/>
    <s v="Tony Sayre"/>
    <x v="0"/>
    <s v="United States"/>
    <s v="Cleveland"/>
    <x v="24"/>
    <n v="44105"/>
    <x v="3"/>
    <x v="847"/>
    <x v="1"/>
    <x v="9"/>
    <x v="841"/>
    <x v="4906"/>
    <x v="8"/>
    <x v="0"/>
  </r>
  <r>
    <n v="7726"/>
    <x v="3825"/>
    <x v="477"/>
    <d v="2017-09-29T00:00:00"/>
    <s v="Standard Class"/>
    <x v="700"/>
    <s v="Tony Sayre"/>
    <x v="0"/>
    <s v="United States"/>
    <s v="Cleveland"/>
    <x v="24"/>
    <n v="44105"/>
    <x v="3"/>
    <x v="464"/>
    <x v="1"/>
    <x v="4"/>
    <x v="465"/>
    <x v="4907"/>
    <x v="8"/>
    <x v="0"/>
  </r>
  <r>
    <n v="7727"/>
    <x v="3825"/>
    <x v="477"/>
    <d v="2017-09-29T00:00:00"/>
    <s v="Standard Class"/>
    <x v="700"/>
    <s v="Tony Sayre"/>
    <x v="0"/>
    <s v="United States"/>
    <s v="Cleveland"/>
    <x v="24"/>
    <n v="44105"/>
    <x v="3"/>
    <x v="942"/>
    <x v="1"/>
    <x v="4"/>
    <x v="935"/>
    <x v="3956"/>
    <x v="8"/>
    <x v="0"/>
  </r>
  <r>
    <n v="7728"/>
    <x v="3826"/>
    <x v="199"/>
    <d v="2016-03-20T00:00:00"/>
    <s v="Second Class"/>
    <x v="82"/>
    <s v="Jim Kriz"/>
    <x v="2"/>
    <s v="United States"/>
    <s v="New York City"/>
    <x v="15"/>
    <n v="10009"/>
    <x v="3"/>
    <x v="1663"/>
    <x v="1"/>
    <x v="6"/>
    <x v="1651"/>
    <x v="254"/>
    <x v="10"/>
    <x v="1"/>
  </r>
  <r>
    <n v="7729"/>
    <x v="3827"/>
    <x v="491"/>
    <d v="2017-12-02T00:00:00"/>
    <s v="Standard Class"/>
    <x v="654"/>
    <s v="George Ashbrook"/>
    <x v="0"/>
    <s v="United States"/>
    <s v="El Paso"/>
    <x v="5"/>
    <n v="79907"/>
    <x v="2"/>
    <x v="796"/>
    <x v="1"/>
    <x v="6"/>
    <x v="794"/>
    <x v="326"/>
    <x v="0"/>
    <x v="0"/>
  </r>
  <r>
    <n v="7730"/>
    <x v="3828"/>
    <x v="182"/>
    <d v="2017-10-01T00:00:00"/>
    <s v="Standard Class"/>
    <x v="184"/>
    <s v="Tanja Norvell"/>
    <x v="2"/>
    <s v="United States"/>
    <s v="Tallahassee"/>
    <x v="2"/>
    <n v="32303"/>
    <x v="0"/>
    <x v="1332"/>
    <x v="2"/>
    <x v="11"/>
    <x v="1317"/>
    <x v="2087"/>
    <x v="8"/>
    <x v="0"/>
  </r>
  <r>
    <n v="7731"/>
    <x v="3829"/>
    <x v="487"/>
    <d v="2018-06-19T00:00:00"/>
    <s v="Standard Class"/>
    <x v="69"/>
    <s v="Tamara Willingham"/>
    <x v="2"/>
    <s v="United States"/>
    <s v="Seattle"/>
    <x v="4"/>
    <n v="98103"/>
    <x v="1"/>
    <x v="1209"/>
    <x v="0"/>
    <x v="1"/>
    <x v="1194"/>
    <x v="4908"/>
    <x v="1"/>
    <x v="3"/>
  </r>
  <r>
    <n v="7732"/>
    <x v="3830"/>
    <x v="65"/>
    <d v="2018-09-21T00:00:00"/>
    <s v="First Class"/>
    <x v="50"/>
    <s v="Pete Armstrong"/>
    <x v="2"/>
    <s v="United States"/>
    <s v="Dallas"/>
    <x v="5"/>
    <n v="75220"/>
    <x v="2"/>
    <x v="81"/>
    <x v="1"/>
    <x v="12"/>
    <x v="81"/>
    <x v="4909"/>
    <x v="8"/>
    <x v="3"/>
  </r>
  <r>
    <n v="7733"/>
    <x v="3831"/>
    <x v="455"/>
    <d v="2018-06-08T00:00:00"/>
    <s v="Standard Class"/>
    <x v="479"/>
    <s v="John Dryer"/>
    <x v="0"/>
    <s v="United States"/>
    <s v="Houston"/>
    <x v="5"/>
    <n v="77070"/>
    <x v="2"/>
    <x v="578"/>
    <x v="1"/>
    <x v="10"/>
    <x v="578"/>
    <x v="1414"/>
    <x v="1"/>
    <x v="3"/>
  </r>
  <r>
    <n v="7734"/>
    <x v="3832"/>
    <x v="666"/>
    <d v="2017-05-19T00:00:00"/>
    <s v="Second Class"/>
    <x v="438"/>
    <s v="Michael Nguyen"/>
    <x v="0"/>
    <s v="United States"/>
    <s v="Springfield"/>
    <x v="24"/>
    <n v="45503"/>
    <x v="3"/>
    <x v="1393"/>
    <x v="1"/>
    <x v="10"/>
    <x v="1379"/>
    <x v="300"/>
    <x v="5"/>
    <x v="0"/>
  </r>
  <r>
    <n v="7735"/>
    <x v="3833"/>
    <x v="175"/>
    <d v="2018-09-20T00:00:00"/>
    <s v="Standard Class"/>
    <x v="421"/>
    <s v="Gene McClure"/>
    <x v="0"/>
    <s v="United States"/>
    <s v="Seattle"/>
    <x v="4"/>
    <n v="98103"/>
    <x v="1"/>
    <x v="154"/>
    <x v="1"/>
    <x v="6"/>
    <x v="155"/>
    <x v="2122"/>
    <x v="8"/>
    <x v="3"/>
  </r>
  <r>
    <n v="7736"/>
    <x v="3834"/>
    <x v="250"/>
    <d v="2017-08-26T00:00:00"/>
    <s v="Standard Class"/>
    <x v="375"/>
    <s v="Deirdre Greer"/>
    <x v="1"/>
    <s v="United States"/>
    <s v="Seattle"/>
    <x v="4"/>
    <n v="98105"/>
    <x v="1"/>
    <x v="680"/>
    <x v="1"/>
    <x v="10"/>
    <x v="680"/>
    <x v="537"/>
    <x v="6"/>
    <x v="0"/>
  </r>
  <r>
    <n v="7737"/>
    <x v="3835"/>
    <x v="992"/>
    <d v="2015-06-06T00:00:00"/>
    <s v="Standard Class"/>
    <x v="506"/>
    <s v="James Galang"/>
    <x v="0"/>
    <s v="United States"/>
    <s v="New York City"/>
    <x v="15"/>
    <n v="10024"/>
    <x v="3"/>
    <x v="715"/>
    <x v="1"/>
    <x v="8"/>
    <x v="714"/>
    <x v="464"/>
    <x v="5"/>
    <x v="2"/>
  </r>
  <r>
    <n v="7738"/>
    <x v="3836"/>
    <x v="404"/>
    <d v="2018-12-20T00:00:00"/>
    <s v="First Class"/>
    <x v="743"/>
    <s v="Alex Grayson"/>
    <x v="0"/>
    <s v="United States"/>
    <s v="Charlotte"/>
    <x v="3"/>
    <n v="28205"/>
    <x v="0"/>
    <x v="1039"/>
    <x v="1"/>
    <x v="6"/>
    <x v="1029"/>
    <x v="2485"/>
    <x v="4"/>
    <x v="3"/>
  </r>
  <r>
    <n v="7739"/>
    <x v="3837"/>
    <x v="245"/>
    <d v="2018-08-06T00:00:00"/>
    <s v="Standard Class"/>
    <x v="282"/>
    <s v="Jay Fein"/>
    <x v="0"/>
    <s v="United States"/>
    <s v="Baltimore"/>
    <x v="39"/>
    <n v="21215"/>
    <x v="3"/>
    <x v="831"/>
    <x v="2"/>
    <x v="7"/>
    <x v="826"/>
    <x v="4910"/>
    <x v="7"/>
    <x v="3"/>
  </r>
  <r>
    <n v="7740"/>
    <x v="3838"/>
    <x v="871"/>
    <d v="2015-11-26T00:00:00"/>
    <s v="Standard Class"/>
    <x v="649"/>
    <s v="Steve Carroll"/>
    <x v="2"/>
    <s v="United States"/>
    <s v="San Francisco"/>
    <x v="1"/>
    <n v="94110"/>
    <x v="1"/>
    <x v="1128"/>
    <x v="1"/>
    <x v="10"/>
    <x v="1116"/>
    <x v="1521"/>
    <x v="0"/>
    <x v="2"/>
  </r>
  <r>
    <n v="7741"/>
    <x v="3838"/>
    <x v="871"/>
    <d v="2015-11-26T00:00:00"/>
    <s v="Standard Class"/>
    <x v="649"/>
    <s v="Steve Carroll"/>
    <x v="2"/>
    <s v="United States"/>
    <s v="San Francisco"/>
    <x v="1"/>
    <n v="94110"/>
    <x v="1"/>
    <x v="1523"/>
    <x v="2"/>
    <x v="11"/>
    <x v="1510"/>
    <x v="4911"/>
    <x v="0"/>
    <x v="2"/>
  </r>
  <r>
    <n v="7742"/>
    <x v="3839"/>
    <x v="496"/>
    <d v="2016-09-26T00:00:00"/>
    <s v="Second Class"/>
    <x v="619"/>
    <s v="Carlos Meador"/>
    <x v="0"/>
    <s v="United States"/>
    <s v="Tucson"/>
    <x v="16"/>
    <n v="85705"/>
    <x v="1"/>
    <x v="1513"/>
    <x v="2"/>
    <x v="7"/>
    <x v="1500"/>
    <x v="427"/>
    <x v="8"/>
    <x v="1"/>
  </r>
  <r>
    <n v="7743"/>
    <x v="3840"/>
    <x v="648"/>
    <d v="2018-08-27T00:00:00"/>
    <s v="Standard Class"/>
    <x v="409"/>
    <s v="Kean Thornton"/>
    <x v="0"/>
    <s v="United States"/>
    <s v="Los Angeles"/>
    <x v="1"/>
    <n v="90036"/>
    <x v="1"/>
    <x v="988"/>
    <x v="1"/>
    <x v="10"/>
    <x v="981"/>
    <x v="233"/>
    <x v="6"/>
    <x v="3"/>
  </r>
  <r>
    <n v="7744"/>
    <x v="3841"/>
    <x v="26"/>
    <d v="2017-06-22T00:00:00"/>
    <s v="Standard Class"/>
    <x v="291"/>
    <s v="Christine Phan"/>
    <x v="1"/>
    <s v="United States"/>
    <s v="Waterbury"/>
    <x v="29"/>
    <n v="6708"/>
    <x v="3"/>
    <x v="1406"/>
    <x v="1"/>
    <x v="8"/>
    <x v="1393"/>
    <x v="1181"/>
    <x v="1"/>
    <x v="0"/>
  </r>
  <r>
    <n v="7745"/>
    <x v="3841"/>
    <x v="26"/>
    <d v="2017-06-22T00:00:00"/>
    <s v="Standard Class"/>
    <x v="291"/>
    <s v="Christine Phan"/>
    <x v="1"/>
    <s v="United States"/>
    <s v="Waterbury"/>
    <x v="29"/>
    <n v="6708"/>
    <x v="3"/>
    <x v="867"/>
    <x v="2"/>
    <x v="7"/>
    <x v="861"/>
    <x v="4912"/>
    <x v="1"/>
    <x v="0"/>
  </r>
  <r>
    <n v="7746"/>
    <x v="3841"/>
    <x v="26"/>
    <d v="2017-06-22T00:00:00"/>
    <s v="Standard Class"/>
    <x v="291"/>
    <s v="Christine Phan"/>
    <x v="1"/>
    <s v="United States"/>
    <s v="Waterbury"/>
    <x v="29"/>
    <n v="6708"/>
    <x v="3"/>
    <x v="950"/>
    <x v="1"/>
    <x v="6"/>
    <x v="943"/>
    <x v="294"/>
    <x v="1"/>
    <x v="0"/>
  </r>
  <r>
    <n v="7747"/>
    <x v="3842"/>
    <x v="546"/>
    <d v="2016-12-23T00:00:00"/>
    <s v="Standard Class"/>
    <x v="735"/>
    <s v="Eileen Kiefer"/>
    <x v="2"/>
    <s v="United States"/>
    <s v="Chicago"/>
    <x v="10"/>
    <n v="60610"/>
    <x v="2"/>
    <x v="788"/>
    <x v="2"/>
    <x v="11"/>
    <x v="786"/>
    <x v="2079"/>
    <x v="4"/>
    <x v="1"/>
  </r>
  <r>
    <n v="7748"/>
    <x v="3843"/>
    <x v="70"/>
    <d v="2016-06-02T00:00:00"/>
    <s v="Second Class"/>
    <x v="194"/>
    <s v="Carl Weiss"/>
    <x v="2"/>
    <s v="United States"/>
    <s v="Long Beach"/>
    <x v="15"/>
    <n v="11561"/>
    <x v="3"/>
    <x v="242"/>
    <x v="1"/>
    <x v="13"/>
    <x v="243"/>
    <x v="261"/>
    <x v="5"/>
    <x v="1"/>
  </r>
  <r>
    <n v="7749"/>
    <x v="3844"/>
    <x v="652"/>
    <d v="2016-06-24T00:00:00"/>
    <s v="Standard Class"/>
    <x v="168"/>
    <s v="Keith Herrera"/>
    <x v="0"/>
    <s v="United States"/>
    <s v="Arlington"/>
    <x v="17"/>
    <n v="22204"/>
    <x v="0"/>
    <x v="1492"/>
    <x v="0"/>
    <x v="5"/>
    <x v="1479"/>
    <x v="3909"/>
    <x v="1"/>
    <x v="1"/>
  </r>
  <r>
    <n v="7750"/>
    <x v="3844"/>
    <x v="652"/>
    <d v="2016-06-24T00:00:00"/>
    <s v="Standard Class"/>
    <x v="168"/>
    <s v="Keith Herrera"/>
    <x v="0"/>
    <s v="United States"/>
    <s v="Arlington"/>
    <x v="17"/>
    <n v="22204"/>
    <x v="0"/>
    <x v="906"/>
    <x v="1"/>
    <x v="4"/>
    <x v="898"/>
    <x v="4913"/>
    <x v="1"/>
    <x v="1"/>
  </r>
  <r>
    <n v="7751"/>
    <x v="3844"/>
    <x v="652"/>
    <d v="2016-06-24T00:00:00"/>
    <s v="Standard Class"/>
    <x v="168"/>
    <s v="Keith Herrera"/>
    <x v="0"/>
    <s v="United States"/>
    <s v="Arlington"/>
    <x v="17"/>
    <n v="22204"/>
    <x v="0"/>
    <x v="153"/>
    <x v="1"/>
    <x v="8"/>
    <x v="154"/>
    <x v="4914"/>
    <x v="1"/>
    <x v="1"/>
  </r>
  <r>
    <n v="7752"/>
    <x v="3844"/>
    <x v="652"/>
    <d v="2016-06-24T00:00:00"/>
    <s v="Standard Class"/>
    <x v="168"/>
    <s v="Keith Herrera"/>
    <x v="0"/>
    <s v="United States"/>
    <s v="Arlington"/>
    <x v="17"/>
    <n v="22204"/>
    <x v="0"/>
    <x v="495"/>
    <x v="2"/>
    <x v="7"/>
    <x v="495"/>
    <x v="4915"/>
    <x v="1"/>
    <x v="1"/>
  </r>
  <r>
    <n v="7753"/>
    <x v="3844"/>
    <x v="652"/>
    <d v="2016-06-24T00:00:00"/>
    <s v="Standard Class"/>
    <x v="168"/>
    <s v="Keith Herrera"/>
    <x v="0"/>
    <s v="United States"/>
    <s v="Arlington"/>
    <x v="17"/>
    <n v="22204"/>
    <x v="0"/>
    <x v="729"/>
    <x v="1"/>
    <x v="8"/>
    <x v="728"/>
    <x v="4916"/>
    <x v="1"/>
    <x v="1"/>
  </r>
  <r>
    <n v="7754"/>
    <x v="3845"/>
    <x v="672"/>
    <d v="2016-12-03T00:00:00"/>
    <s v="First Class"/>
    <x v="448"/>
    <s v="Ann Blume"/>
    <x v="1"/>
    <s v="United States"/>
    <s v="Jacksonville"/>
    <x v="3"/>
    <n v="28540"/>
    <x v="0"/>
    <x v="1445"/>
    <x v="0"/>
    <x v="5"/>
    <x v="1432"/>
    <x v="1217"/>
    <x v="0"/>
    <x v="1"/>
  </r>
  <r>
    <n v="7755"/>
    <x v="3846"/>
    <x v="379"/>
    <d v="2016-12-23T00:00:00"/>
    <s v="Second Class"/>
    <x v="340"/>
    <s v="Adam Hart"/>
    <x v="1"/>
    <s v="United States"/>
    <s v="Columbus"/>
    <x v="24"/>
    <n v="43229"/>
    <x v="3"/>
    <x v="868"/>
    <x v="1"/>
    <x v="6"/>
    <x v="862"/>
    <x v="4917"/>
    <x v="4"/>
    <x v="1"/>
  </r>
  <r>
    <n v="7756"/>
    <x v="3847"/>
    <x v="701"/>
    <d v="2018-11-21T00:00:00"/>
    <s v="Standard Class"/>
    <x v="242"/>
    <s v="Clytie Kelty"/>
    <x v="0"/>
    <s v="United States"/>
    <s v="Charlotte"/>
    <x v="3"/>
    <n v="28205"/>
    <x v="0"/>
    <x v="1826"/>
    <x v="1"/>
    <x v="10"/>
    <x v="1814"/>
    <x v="4918"/>
    <x v="0"/>
    <x v="3"/>
  </r>
  <r>
    <n v="7757"/>
    <x v="3847"/>
    <x v="701"/>
    <d v="2018-11-21T00:00:00"/>
    <s v="Standard Class"/>
    <x v="242"/>
    <s v="Clytie Kelty"/>
    <x v="0"/>
    <s v="United States"/>
    <s v="Charlotte"/>
    <x v="3"/>
    <n v="28205"/>
    <x v="0"/>
    <x v="619"/>
    <x v="2"/>
    <x v="11"/>
    <x v="619"/>
    <x v="4919"/>
    <x v="0"/>
    <x v="3"/>
  </r>
  <r>
    <n v="7758"/>
    <x v="3848"/>
    <x v="38"/>
    <d v="2018-11-16T00:00:00"/>
    <s v="Second Class"/>
    <x v="407"/>
    <s v="Stefania Perrino"/>
    <x v="1"/>
    <s v="United States"/>
    <s v="Buffalo"/>
    <x v="15"/>
    <n v="14215"/>
    <x v="3"/>
    <x v="47"/>
    <x v="2"/>
    <x v="7"/>
    <x v="47"/>
    <x v="3477"/>
    <x v="0"/>
    <x v="3"/>
  </r>
  <r>
    <n v="7759"/>
    <x v="3848"/>
    <x v="38"/>
    <d v="2018-11-16T00:00:00"/>
    <s v="Second Class"/>
    <x v="407"/>
    <s v="Stefania Perrino"/>
    <x v="1"/>
    <s v="United States"/>
    <s v="Buffalo"/>
    <x v="15"/>
    <n v="14215"/>
    <x v="3"/>
    <x v="1704"/>
    <x v="0"/>
    <x v="5"/>
    <x v="1693"/>
    <x v="4920"/>
    <x v="0"/>
    <x v="3"/>
  </r>
  <r>
    <n v="7760"/>
    <x v="3849"/>
    <x v="1057"/>
    <d v="2017-10-28T00:00:00"/>
    <s v="Standard Class"/>
    <x v="687"/>
    <s v="Jennifer Patt"/>
    <x v="1"/>
    <s v="United States"/>
    <s v="Houston"/>
    <x v="5"/>
    <n v="77041"/>
    <x v="2"/>
    <x v="934"/>
    <x v="1"/>
    <x v="10"/>
    <x v="927"/>
    <x v="12"/>
    <x v="2"/>
    <x v="0"/>
  </r>
  <r>
    <n v="7761"/>
    <x v="3850"/>
    <x v="776"/>
    <d v="2015-12-11T00:00:00"/>
    <s v="Standard Class"/>
    <x v="767"/>
    <s v="Barry Gonzalez"/>
    <x v="0"/>
    <s v="United States"/>
    <s v="Memphis"/>
    <x v="18"/>
    <n v="38109"/>
    <x v="0"/>
    <x v="954"/>
    <x v="1"/>
    <x v="10"/>
    <x v="947"/>
    <x v="4921"/>
    <x v="4"/>
    <x v="2"/>
  </r>
  <r>
    <n v="7762"/>
    <x v="3851"/>
    <x v="734"/>
    <d v="2018-12-06T00:00:00"/>
    <s v="First Class"/>
    <x v="142"/>
    <s v="Clay Cheatham"/>
    <x v="0"/>
    <s v="United States"/>
    <s v="Plano"/>
    <x v="5"/>
    <n v="75023"/>
    <x v="2"/>
    <x v="1151"/>
    <x v="1"/>
    <x v="10"/>
    <x v="1139"/>
    <x v="559"/>
    <x v="4"/>
    <x v="3"/>
  </r>
  <r>
    <n v="7763"/>
    <x v="3852"/>
    <x v="986"/>
    <d v="2018-09-28T00:00:00"/>
    <s v="First Class"/>
    <x v="359"/>
    <s v="Sara Luxemburg"/>
    <x v="2"/>
    <s v="United States"/>
    <s v="Salem"/>
    <x v="21"/>
    <n v="97301"/>
    <x v="1"/>
    <x v="1061"/>
    <x v="1"/>
    <x v="6"/>
    <x v="1050"/>
    <x v="4922"/>
    <x v="8"/>
    <x v="3"/>
  </r>
  <r>
    <n v="7764"/>
    <x v="3853"/>
    <x v="302"/>
    <d v="2016-02-07T00:00:00"/>
    <s v="Standard Class"/>
    <x v="383"/>
    <s v="Frank Olsen"/>
    <x v="0"/>
    <s v="United States"/>
    <s v="Columbus"/>
    <x v="32"/>
    <n v="31907"/>
    <x v="0"/>
    <x v="1451"/>
    <x v="1"/>
    <x v="12"/>
    <x v="153"/>
    <x v="4923"/>
    <x v="11"/>
    <x v="1"/>
  </r>
  <r>
    <n v="7765"/>
    <x v="3854"/>
    <x v="801"/>
    <d v="2018-08-12T00:00:00"/>
    <s v="Same Day"/>
    <x v="179"/>
    <s v="Brenda Bowman"/>
    <x v="1"/>
    <s v="United States"/>
    <s v="Columbia"/>
    <x v="39"/>
    <n v="21044"/>
    <x v="3"/>
    <x v="512"/>
    <x v="1"/>
    <x v="6"/>
    <x v="512"/>
    <x v="254"/>
    <x v="6"/>
    <x v="3"/>
  </r>
  <r>
    <n v="7766"/>
    <x v="3854"/>
    <x v="801"/>
    <d v="2018-08-12T00:00:00"/>
    <s v="Same Day"/>
    <x v="179"/>
    <s v="Brenda Bowman"/>
    <x v="1"/>
    <s v="United States"/>
    <s v="Columbia"/>
    <x v="39"/>
    <n v="21044"/>
    <x v="3"/>
    <x v="406"/>
    <x v="0"/>
    <x v="1"/>
    <x v="407"/>
    <x v="4924"/>
    <x v="6"/>
    <x v="3"/>
  </r>
  <r>
    <n v="7767"/>
    <x v="3854"/>
    <x v="801"/>
    <d v="2018-08-12T00:00:00"/>
    <s v="Same Day"/>
    <x v="179"/>
    <s v="Brenda Bowman"/>
    <x v="1"/>
    <s v="United States"/>
    <s v="Columbia"/>
    <x v="39"/>
    <n v="21044"/>
    <x v="3"/>
    <x v="399"/>
    <x v="1"/>
    <x v="6"/>
    <x v="400"/>
    <x v="4925"/>
    <x v="6"/>
    <x v="3"/>
  </r>
  <r>
    <n v="7768"/>
    <x v="3855"/>
    <x v="252"/>
    <d v="2016-08-26T00:00:00"/>
    <s v="First Class"/>
    <x v="157"/>
    <s v="Denny Ordway"/>
    <x v="0"/>
    <s v="United States"/>
    <s v="Portland"/>
    <x v="21"/>
    <n v="97206"/>
    <x v="1"/>
    <x v="79"/>
    <x v="1"/>
    <x v="6"/>
    <x v="79"/>
    <x v="485"/>
    <x v="6"/>
    <x v="1"/>
  </r>
  <r>
    <n v="7769"/>
    <x v="3856"/>
    <x v="105"/>
    <d v="2018-11-17T00:00:00"/>
    <s v="Standard Class"/>
    <x v="445"/>
    <s v="Larry Blacks"/>
    <x v="0"/>
    <s v="United States"/>
    <s v="Tallahassee"/>
    <x v="2"/>
    <n v="32303"/>
    <x v="0"/>
    <x v="652"/>
    <x v="1"/>
    <x v="10"/>
    <x v="652"/>
    <x v="2979"/>
    <x v="0"/>
    <x v="3"/>
  </r>
  <r>
    <n v="7770"/>
    <x v="3857"/>
    <x v="1147"/>
    <d v="2017-08-01T00:00:00"/>
    <s v="Same Day"/>
    <x v="131"/>
    <s v="Thomas Seio"/>
    <x v="1"/>
    <s v="United States"/>
    <s v="Riverside"/>
    <x v="1"/>
    <n v="92503"/>
    <x v="1"/>
    <x v="1148"/>
    <x v="2"/>
    <x v="7"/>
    <x v="1136"/>
    <x v="4926"/>
    <x v="6"/>
    <x v="0"/>
  </r>
  <r>
    <n v="7771"/>
    <x v="3857"/>
    <x v="1147"/>
    <d v="2017-08-01T00:00:00"/>
    <s v="Same Day"/>
    <x v="131"/>
    <s v="Thomas Seio"/>
    <x v="1"/>
    <s v="United States"/>
    <s v="Riverside"/>
    <x v="1"/>
    <n v="92503"/>
    <x v="1"/>
    <x v="9"/>
    <x v="1"/>
    <x v="9"/>
    <x v="9"/>
    <x v="4927"/>
    <x v="6"/>
    <x v="0"/>
  </r>
  <r>
    <n v="7772"/>
    <x v="3858"/>
    <x v="881"/>
    <d v="2017-12-02T00:00:00"/>
    <s v="Standard Class"/>
    <x v="473"/>
    <s v="Cindy Stewart"/>
    <x v="0"/>
    <s v="United States"/>
    <s v="Lancaster"/>
    <x v="24"/>
    <n v="43130"/>
    <x v="3"/>
    <x v="692"/>
    <x v="1"/>
    <x v="8"/>
    <x v="692"/>
    <x v="4928"/>
    <x v="0"/>
    <x v="0"/>
  </r>
  <r>
    <n v="7773"/>
    <x v="3858"/>
    <x v="881"/>
    <d v="2017-12-02T00:00:00"/>
    <s v="Standard Class"/>
    <x v="473"/>
    <s v="Cindy Stewart"/>
    <x v="0"/>
    <s v="United States"/>
    <s v="Lancaster"/>
    <x v="24"/>
    <n v="43130"/>
    <x v="3"/>
    <x v="1497"/>
    <x v="2"/>
    <x v="15"/>
    <x v="1485"/>
    <x v="4929"/>
    <x v="0"/>
    <x v="0"/>
  </r>
  <r>
    <n v="7774"/>
    <x v="3858"/>
    <x v="881"/>
    <d v="2017-12-02T00:00:00"/>
    <s v="Standard Class"/>
    <x v="473"/>
    <s v="Cindy Stewart"/>
    <x v="0"/>
    <s v="United States"/>
    <s v="Lancaster"/>
    <x v="24"/>
    <n v="43130"/>
    <x v="3"/>
    <x v="1827"/>
    <x v="2"/>
    <x v="11"/>
    <x v="1815"/>
    <x v="4930"/>
    <x v="0"/>
    <x v="0"/>
  </r>
  <r>
    <n v="7775"/>
    <x v="3859"/>
    <x v="1172"/>
    <d v="2017-04-15T00:00:00"/>
    <s v="First Class"/>
    <x v="727"/>
    <s v="Susan Pistek"/>
    <x v="0"/>
    <s v="United States"/>
    <s v="San Francisco"/>
    <x v="1"/>
    <n v="94109"/>
    <x v="1"/>
    <x v="29"/>
    <x v="1"/>
    <x v="12"/>
    <x v="29"/>
    <x v="4931"/>
    <x v="3"/>
    <x v="0"/>
  </r>
  <r>
    <n v="7776"/>
    <x v="3860"/>
    <x v="422"/>
    <d v="2015-12-31T00:00:00"/>
    <s v="Standard Class"/>
    <x v="522"/>
    <s v="Cynthia Delaney"/>
    <x v="2"/>
    <s v="United States"/>
    <s v="Moreno Valley"/>
    <x v="1"/>
    <n v="92553"/>
    <x v="1"/>
    <x v="1644"/>
    <x v="1"/>
    <x v="9"/>
    <x v="360"/>
    <x v="4932"/>
    <x v="4"/>
    <x v="2"/>
  </r>
  <r>
    <n v="7777"/>
    <x v="3860"/>
    <x v="422"/>
    <d v="2015-12-31T00:00:00"/>
    <s v="Standard Class"/>
    <x v="522"/>
    <s v="Cynthia Delaney"/>
    <x v="2"/>
    <s v="United States"/>
    <s v="Moreno Valley"/>
    <x v="1"/>
    <n v="92553"/>
    <x v="1"/>
    <x v="1711"/>
    <x v="1"/>
    <x v="13"/>
    <x v="128"/>
    <x v="1974"/>
    <x v="4"/>
    <x v="2"/>
  </r>
  <r>
    <n v="7778"/>
    <x v="3860"/>
    <x v="422"/>
    <d v="2015-12-31T00:00:00"/>
    <s v="Standard Class"/>
    <x v="522"/>
    <s v="Cynthia Delaney"/>
    <x v="2"/>
    <s v="United States"/>
    <s v="Moreno Valley"/>
    <x v="1"/>
    <n v="92553"/>
    <x v="1"/>
    <x v="456"/>
    <x v="1"/>
    <x v="4"/>
    <x v="457"/>
    <x v="488"/>
    <x v="4"/>
    <x v="2"/>
  </r>
  <r>
    <n v="7779"/>
    <x v="3860"/>
    <x v="422"/>
    <d v="2015-12-31T00:00:00"/>
    <s v="Standard Class"/>
    <x v="522"/>
    <s v="Cynthia Delaney"/>
    <x v="2"/>
    <s v="United States"/>
    <s v="Moreno Valley"/>
    <x v="1"/>
    <n v="92553"/>
    <x v="1"/>
    <x v="1087"/>
    <x v="1"/>
    <x v="8"/>
    <x v="1077"/>
    <x v="4505"/>
    <x v="4"/>
    <x v="2"/>
  </r>
  <r>
    <n v="7780"/>
    <x v="3861"/>
    <x v="724"/>
    <d v="2017-04-22T00:00:00"/>
    <s v="Standard Class"/>
    <x v="167"/>
    <s v="Roy Französisch"/>
    <x v="0"/>
    <s v="United States"/>
    <s v="Chesapeake"/>
    <x v="17"/>
    <n v="23320"/>
    <x v="0"/>
    <x v="473"/>
    <x v="1"/>
    <x v="9"/>
    <x v="474"/>
    <x v="2572"/>
    <x v="3"/>
    <x v="0"/>
  </r>
  <r>
    <n v="7781"/>
    <x v="3861"/>
    <x v="724"/>
    <d v="2017-04-22T00:00:00"/>
    <s v="Standard Class"/>
    <x v="167"/>
    <s v="Roy Französisch"/>
    <x v="0"/>
    <s v="United States"/>
    <s v="Chesapeake"/>
    <x v="17"/>
    <n v="23320"/>
    <x v="0"/>
    <x v="1179"/>
    <x v="2"/>
    <x v="7"/>
    <x v="1165"/>
    <x v="4933"/>
    <x v="3"/>
    <x v="0"/>
  </r>
  <r>
    <n v="7782"/>
    <x v="3862"/>
    <x v="936"/>
    <d v="2016-03-12T00:00:00"/>
    <s v="Standard Class"/>
    <x v="383"/>
    <s v="Frank Olsen"/>
    <x v="0"/>
    <s v="United States"/>
    <s v="Chicago"/>
    <x v="10"/>
    <n v="60623"/>
    <x v="2"/>
    <x v="276"/>
    <x v="1"/>
    <x v="8"/>
    <x v="276"/>
    <x v="835"/>
    <x v="10"/>
    <x v="1"/>
  </r>
  <r>
    <n v="7783"/>
    <x v="3863"/>
    <x v="254"/>
    <d v="2017-11-06T00:00:00"/>
    <s v="Second Class"/>
    <x v="45"/>
    <s v="Elpida Rittenbach"/>
    <x v="1"/>
    <s v="United States"/>
    <s v="Charlotte"/>
    <x v="3"/>
    <n v="28205"/>
    <x v="0"/>
    <x v="86"/>
    <x v="1"/>
    <x v="4"/>
    <x v="86"/>
    <x v="3395"/>
    <x v="0"/>
    <x v="0"/>
  </r>
  <r>
    <n v="7784"/>
    <x v="3863"/>
    <x v="254"/>
    <d v="2017-11-06T00:00:00"/>
    <s v="Second Class"/>
    <x v="45"/>
    <s v="Elpida Rittenbach"/>
    <x v="1"/>
    <s v="United States"/>
    <s v="Charlotte"/>
    <x v="3"/>
    <n v="28205"/>
    <x v="0"/>
    <x v="277"/>
    <x v="0"/>
    <x v="3"/>
    <x v="277"/>
    <x v="4934"/>
    <x v="0"/>
    <x v="0"/>
  </r>
  <r>
    <n v="7785"/>
    <x v="3863"/>
    <x v="254"/>
    <d v="2017-11-06T00:00:00"/>
    <s v="Second Class"/>
    <x v="45"/>
    <s v="Elpida Rittenbach"/>
    <x v="1"/>
    <s v="United States"/>
    <s v="Charlotte"/>
    <x v="3"/>
    <n v="28205"/>
    <x v="0"/>
    <x v="413"/>
    <x v="1"/>
    <x v="14"/>
    <x v="413"/>
    <x v="439"/>
    <x v="0"/>
    <x v="0"/>
  </r>
  <r>
    <n v="7786"/>
    <x v="3864"/>
    <x v="503"/>
    <d v="2015-12-06T00:00:00"/>
    <s v="Standard Class"/>
    <x v="171"/>
    <s v="Philip Brown"/>
    <x v="0"/>
    <s v="United States"/>
    <s v="New York City"/>
    <x v="15"/>
    <n v="10009"/>
    <x v="3"/>
    <x v="49"/>
    <x v="1"/>
    <x v="2"/>
    <x v="49"/>
    <x v="2910"/>
    <x v="0"/>
    <x v="2"/>
  </r>
  <r>
    <n v="7787"/>
    <x v="3865"/>
    <x v="624"/>
    <d v="2017-05-20T00:00:00"/>
    <s v="First Class"/>
    <x v="560"/>
    <s v="Luke Weiss"/>
    <x v="0"/>
    <s v="United States"/>
    <s v="Chicago"/>
    <x v="10"/>
    <n v="60653"/>
    <x v="2"/>
    <x v="1784"/>
    <x v="1"/>
    <x v="8"/>
    <x v="1774"/>
    <x v="793"/>
    <x v="5"/>
    <x v="0"/>
  </r>
  <r>
    <n v="7788"/>
    <x v="3865"/>
    <x v="624"/>
    <d v="2017-05-20T00:00:00"/>
    <s v="First Class"/>
    <x v="560"/>
    <s v="Luke Weiss"/>
    <x v="0"/>
    <s v="United States"/>
    <s v="Chicago"/>
    <x v="10"/>
    <n v="60653"/>
    <x v="2"/>
    <x v="1321"/>
    <x v="1"/>
    <x v="13"/>
    <x v="1307"/>
    <x v="4935"/>
    <x v="5"/>
    <x v="0"/>
  </r>
  <r>
    <n v="7789"/>
    <x v="3865"/>
    <x v="624"/>
    <d v="2017-05-20T00:00:00"/>
    <s v="First Class"/>
    <x v="560"/>
    <s v="Luke Weiss"/>
    <x v="0"/>
    <s v="United States"/>
    <s v="Chicago"/>
    <x v="10"/>
    <n v="60653"/>
    <x v="2"/>
    <x v="1155"/>
    <x v="0"/>
    <x v="5"/>
    <x v="1143"/>
    <x v="1803"/>
    <x v="5"/>
    <x v="0"/>
  </r>
  <r>
    <n v="7790"/>
    <x v="3865"/>
    <x v="624"/>
    <d v="2017-05-20T00:00:00"/>
    <s v="First Class"/>
    <x v="560"/>
    <s v="Luke Weiss"/>
    <x v="0"/>
    <s v="United States"/>
    <s v="Chicago"/>
    <x v="10"/>
    <n v="60653"/>
    <x v="2"/>
    <x v="1446"/>
    <x v="1"/>
    <x v="10"/>
    <x v="1433"/>
    <x v="4936"/>
    <x v="5"/>
    <x v="0"/>
  </r>
  <r>
    <n v="7791"/>
    <x v="3866"/>
    <x v="20"/>
    <d v="2018-09-19T00:00:00"/>
    <s v="Same Day"/>
    <x v="435"/>
    <s v="Frank Gastineau"/>
    <x v="2"/>
    <s v="United States"/>
    <s v="Philadelphia"/>
    <x v="9"/>
    <n v="19120"/>
    <x v="3"/>
    <x v="636"/>
    <x v="1"/>
    <x v="8"/>
    <x v="636"/>
    <x v="4937"/>
    <x v="8"/>
    <x v="3"/>
  </r>
  <r>
    <n v="7792"/>
    <x v="3867"/>
    <x v="1054"/>
    <d v="2017-12-24T00:00:00"/>
    <s v="Standard Class"/>
    <x v="771"/>
    <s v="Barry Pond"/>
    <x v="1"/>
    <s v="United States"/>
    <s v="Chicago"/>
    <x v="10"/>
    <n v="60623"/>
    <x v="2"/>
    <x v="751"/>
    <x v="1"/>
    <x v="8"/>
    <x v="749"/>
    <x v="4938"/>
    <x v="4"/>
    <x v="0"/>
  </r>
  <r>
    <n v="7793"/>
    <x v="3868"/>
    <x v="386"/>
    <d v="2018-10-15T00:00:00"/>
    <s v="First Class"/>
    <x v="133"/>
    <s v="Sung Pak"/>
    <x v="1"/>
    <s v="United States"/>
    <s v="Dallas"/>
    <x v="5"/>
    <n v="75217"/>
    <x v="2"/>
    <x v="606"/>
    <x v="2"/>
    <x v="11"/>
    <x v="606"/>
    <x v="3806"/>
    <x v="2"/>
    <x v="3"/>
  </r>
  <r>
    <n v="7794"/>
    <x v="3869"/>
    <x v="295"/>
    <d v="2016-12-15T00:00:00"/>
    <s v="Second Class"/>
    <x v="63"/>
    <s v="Jonathan Doherty"/>
    <x v="1"/>
    <s v="United States"/>
    <s v="Las Vegas"/>
    <x v="33"/>
    <n v="89115"/>
    <x v="1"/>
    <x v="329"/>
    <x v="1"/>
    <x v="10"/>
    <x v="329"/>
    <x v="56"/>
    <x v="4"/>
    <x v="1"/>
  </r>
  <r>
    <n v="7795"/>
    <x v="3869"/>
    <x v="295"/>
    <d v="2016-12-15T00:00:00"/>
    <s v="Second Class"/>
    <x v="63"/>
    <s v="Jonathan Doherty"/>
    <x v="1"/>
    <s v="United States"/>
    <s v="Las Vegas"/>
    <x v="33"/>
    <n v="89115"/>
    <x v="1"/>
    <x v="126"/>
    <x v="1"/>
    <x v="10"/>
    <x v="127"/>
    <x v="3038"/>
    <x v="4"/>
    <x v="1"/>
  </r>
  <r>
    <n v="7796"/>
    <x v="3870"/>
    <x v="984"/>
    <d v="2016-07-18T00:00:00"/>
    <s v="Standard Class"/>
    <x v="248"/>
    <s v="Fred McMath"/>
    <x v="0"/>
    <s v="United States"/>
    <s v="Amarillo"/>
    <x v="5"/>
    <n v="79109"/>
    <x v="2"/>
    <x v="1485"/>
    <x v="2"/>
    <x v="7"/>
    <x v="1472"/>
    <x v="4939"/>
    <x v="7"/>
    <x v="1"/>
  </r>
  <r>
    <n v="7797"/>
    <x v="3871"/>
    <x v="653"/>
    <d v="2016-10-06T00:00:00"/>
    <s v="Standard Class"/>
    <x v="172"/>
    <s v="Michael Paige"/>
    <x v="1"/>
    <s v="United States"/>
    <s v="Middletown"/>
    <x v="29"/>
    <n v="6457"/>
    <x v="3"/>
    <x v="61"/>
    <x v="1"/>
    <x v="8"/>
    <x v="61"/>
    <x v="4940"/>
    <x v="2"/>
    <x v="1"/>
  </r>
  <r>
    <n v="7798"/>
    <x v="3872"/>
    <x v="668"/>
    <d v="2018-03-27T00:00:00"/>
    <s v="First Class"/>
    <x v="403"/>
    <s v="Harold Ryan"/>
    <x v="1"/>
    <s v="United States"/>
    <s v="New York City"/>
    <x v="15"/>
    <n v="10035"/>
    <x v="3"/>
    <x v="1358"/>
    <x v="1"/>
    <x v="12"/>
    <x v="1344"/>
    <x v="4941"/>
    <x v="10"/>
    <x v="3"/>
  </r>
  <r>
    <n v="7799"/>
    <x v="3872"/>
    <x v="668"/>
    <d v="2018-03-27T00:00:00"/>
    <s v="First Class"/>
    <x v="403"/>
    <s v="Harold Ryan"/>
    <x v="1"/>
    <s v="United States"/>
    <s v="New York City"/>
    <x v="15"/>
    <n v="10035"/>
    <x v="3"/>
    <x v="1147"/>
    <x v="2"/>
    <x v="7"/>
    <x v="1135"/>
    <x v="4942"/>
    <x v="10"/>
    <x v="3"/>
  </r>
  <r>
    <n v="7800"/>
    <x v="3872"/>
    <x v="668"/>
    <d v="2018-03-27T00:00:00"/>
    <s v="First Class"/>
    <x v="403"/>
    <s v="Harold Ryan"/>
    <x v="1"/>
    <s v="United States"/>
    <s v="New York City"/>
    <x v="15"/>
    <n v="10035"/>
    <x v="3"/>
    <x v="389"/>
    <x v="0"/>
    <x v="1"/>
    <x v="390"/>
    <x v="415"/>
    <x v="10"/>
    <x v="3"/>
  </r>
  <r>
    <n v="7801"/>
    <x v="3873"/>
    <x v="702"/>
    <d v="2018-06-06T00:00:00"/>
    <s v="Standard Class"/>
    <x v="768"/>
    <s v="Barry Weirich"/>
    <x v="0"/>
    <s v="United States"/>
    <s v="Philadelphia"/>
    <x v="9"/>
    <n v="19120"/>
    <x v="3"/>
    <x v="273"/>
    <x v="1"/>
    <x v="4"/>
    <x v="273"/>
    <x v="4943"/>
    <x v="1"/>
    <x v="3"/>
  </r>
  <r>
    <n v="7802"/>
    <x v="3874"/>
    <x v="977"/>
    <d v="2015-03-29T00:00:00"/>
    <s v="Second Class"/>
    <x v="384"/>
    <s v="Maurice Satty"/>
    <x v="0"/>
    <s v="United States"/>
    <s v="Fresno"/>
    <x v="1"/>
    <n v="93727"/>
    <x v="1"/>
    <x v="1702"/>
    <x v="0"/>
    <x v="5"/>
    <x v="1691"/>
    <x v="582"/>
    <x v="10"/>
    <x v="2"/>
  </r>
  <r>
    <n v="7803"/>
    <x v="3875"/>
    <x v="357"/>
    <d v="2016-09-26T00:00:00"/>
    <s v="Standard Class"/>
    <x v="319"/>
    <s v="Sanjit Jacobs"/>
    <x v="2"/>
    <s v="United States"/>
    <s v="Franklin"/>
    <x v="18"/>
    <n v="37064"/>
    <x v="0"/>
    <x v="1171"/>
    <x v="1"/>
    <x v="2"/>
    <x v="1157"/>
    <x v="4944"/>
    <x v="8"/>
    <x v="1"/>
  </r>
  <r>
    <n v="7804"/>
    <x v="3875"/>
    <x v="357"/>
    <d v="2016-09-26T00:00:00"/>
    <s v="Standard Class"/>
    <x v="319"/>
    <s v="Sanjit Jacobs"/>
    <x v="2"/>
    <s v="United States"/>
    <s v="Franklin"/>
    <x v="18"/>
    <n v="37064"/>
    <x v="0"/>
    <x v="906"/>
    <x v="1"/>
    <x v="4"/>
    <x v="898"/>
    <x v="2889"/>
    <x v="8"/>
    <x v="1"/>
  </r>
  <r>
    <n v="7805"/>
    <x v="3875"/>
    <x v="357"/>
    <d v="2016-09-26T00:00:00"/>
    <s v="Standard Class"/>
    <x v="319"/>
    <s v="Sanjit Jacobs"/>
    <x v="2"/>
    <s v="United States"/>
    <s v="Franklin"/>
    <x v="18"/>
    <n v="37064"/>
    <x v="0"/>
    <x v="967"/>
    <x v="1"/>
    <x v="4"/>
    <x v="960"/>
    <x v="4945"/>
    <x v="8"/>
    <x v="1"/>
  </r>
  <r>
    <n v="7806"/>
    <x v="3875"/>
    <x v="357"/>
    <d v="2016-09-26T00:00:00"/>
    <s v="Standard Class"/>
    <x v="319"/>
    <s v="Sanjit Jacobs"/>
    <x v="2"/>
    <s v="United States"/>
    <s v="Franklin"/>
    <x v="18"/>
    <n v="37064"/>
    <x v="0"/>
    <x v="1039"/>
    <x v="1"/>
    <x v="6"/>
    <x v="1029"/>
    <x v="1850"/>
    <x v="8"/>
    <x v="1"/>
  </r>
  <r>
    <n v="7807"/>
    <x v="3875"/>
    <x v="357"/>
    <d v="2016-09-26T00:00:00"/>
    <s v="Standard Class"/>
    <x v="319"/>
    <s v="Sanjit Jacobs"/>
    <x v="2"/>
    <s v="United States"/>
    <s v="Franklin"/>
    <x v="18"/>
    <n v="37064"/>
    <x v="0"/>
    <x v="961"/>
    <x v="1"/>
    <x v="8"/>
    <x v="954"/>
    <x v="2193"/>
    <x v="8"/>
    <x v="1"/>
  </r>
  <r>
    <n v="7808"/>
    <x v="3876"/>
    <x v="1134"/>
    <d v="2017-01-13T00:00:00"/>
    <s v="Standard Class"/>
    <x v="745"/>
    <s v="Vivek Sundaresam"/>
    <x v="0"/>
    <s v="United States"/>
    <s v="Raleigh"/>
    <x v="3"/>
    <n v="27604"/>
    <x v="0"/>
    <x v="908"/>
    <x v="1"/>
    <x v="8"/>
    <x v="900"/>
    <x v="4946"/>
    <x v="9"/>
    <x v="0"/>
  </r>
  <r>
    <n v="7809"/>
    <x v="3876"/>
    <x v="1134"/>
    <d v="2017-01-13T00:00:00"/>
    <s v="Standard Class"/>
    <x v="745"/>
    <s v="Vivek Sundaresam"/>
    <x v="0"/>
    <s v="United States"/>
    <s v="Raleigh"/>
    <x v="3"/>
    <n v="27604"/>
    <x v="0"/>
    <x v="1041"/>
    <x v="1"/>
    <x v="6"/>
    <x v="1030"/>
    <x v="1634"/>
    <x v="9"/>
    <x v="0"/>
  </r>
  <r>
    <n v="7810"/>
    <x v="3876"/>
    <x v="1134"/>
    <d v="2017-01-13T00:00:00"/>
    <s v="Standard Class"/>
    <x v="745"/>
    <s v="Vivek Sundaresam"/>
    <x v="0"/>
    <s v="United States"/>
    <s v="Raleigh"/>
    <x v="3"/>
    <n v="27604"/>
    <x v="0"/>
    <x v="1787"/>
    <x v="2"/>
    <x v="7"/>
    <x v="1777"/>
    <x v="2955"/>
    <x v="9"/>
    <x v="0"/>
  </r>
  <r>
    <n v="7811"/>
    <x v="3877"/>
    <x v="1173"/>
    <d v="2017-02-15T00:00:00"/>
    <s v="First Class"/>
    <x v="54"/>
    <s v="Dave Kipp"/>
    <x v="0"/>
    <s v="United States"/>
    <s v="Clinton"/>
    <x v="39"/>
    <n v="20735"/>
    <x v="3"/>
    <x v="1446"/>
    <x v="1"/>
    <x v="10"/>
    <x v="1433"/>
    <x v="4947"/>
    <x v="11"/>
    <x v="0"/>
  </r>
  <r>
    <n v="7812"/>
    <x v="3877"/>
    <x v="1173"/>
    <d v="2017-02-15T00:00:00"/>
    <s v="First Class"/>
    <x v="54"/>
    <s v="Dave Kipp"/>
    <x v="0"/>
    <s v="United States"/>
    <s v="Clinton"/>
    <x v="39"/>
    <n v="20735"/>
    <x v="3"/>
    <x v="1596"/>
    <x v="1"/>
    <x v="6"/>
    <x v="1588"/>
    <x v="3277"/>
    <x v="11"/>
    <x v="0"/>
  </r>
  <r>
    <n v="7813"/>
    <x v="3877"/>
    <x v="1173"/>
    <d v="2017-02-15T00:00:00"/>
    <s v="First Class"/>
    <x v="54"/>
    <s v="Dave Kipp"/>
    <x v="0"/>
    <s v="United States"/>
    <s v="Clinton"/>
    <x v="39"/>
    <n v="20735"/>
    <x v="3"/>
    <x v="736"/>
    <x v="0"/>
    <x v="3"/>
    <x v="735"/>
    <x v="4948"/>
    <x v="11"/>
    <x v="0"/>
  </r>
  <r>
    <n v="7814"/>
    <x v="3877"/>
    <x v="1173"/>
    <d v="2017-02-15T00:00:00"/>
    <s v="First Class"/>
    <x v="54"/>
    <s v="Dave Kipp"/>
    <x v="0"/>
    <s v="United States"/>
    <s v="Clinton"/>
    <x v="39"/>
    <n v="20735"/>
    <x v="3"/>
    <x v="247"/>
    <x v="0"/>
    <x v="5"/>
    <x v="248"/>
    <x v="232"/>
    <x v="11"/>
    <x v="0"/>
  </r>
  <r>
    <n v="7815"/>
    <x v="3878"/>
    <x v="110"/>
    <d v="2018-06-10T00:00:00"/>
    <s v="First Class"/>
    <x v="67"/>
    <s v="Maureen Gastineau"/>
    <x v="2"/>
    <s v="United States"/>
    <s v="Los Angeles"/>
    <x v="1"/>
    <n v="90049"/>
    <x v="1"/>
    <x v="26"/>
    <x v="0"/>
    <x v="0"/>
    <x v="26"/>
    <x v="4949"/>
    <x v="1"/>
    <x v="3"/>
  </r>
  <r>
    <n v="7816"/>
    <x v="3878"/>
    <x v="110"/>
    <d v="2018-06-10T00:00:00"/>
    <s v="First Class"/>
    <x v="67"/>
    <s v="Maureen Gastineau"/>
    <x v="2"/>
    <s v="United States"/>
    <s v="Los Angeles"/>
    <x v="1"/>
    <n v="90049"/>
    <x v="1"/>
    <x v="850"/>
    <x v="2"/>
    <x v="7"/>
    <x v="843"/>
    <x v="254"/>
    <x v="1"/>
    <x v="3"/>
  </r>
  <r>
    <n v="7817"/>
    <x v="3879"/>
    <x v="147"/>
    <d v="2017-10-26T00:00:00"/>
    <s v="Second Class"/>
    <x v="503"/>
    <s v="Dennis Pardue"/>
    <x v="2"/>
    <s v="United States"/>
    <s v="North Las Vegas"/>
    <x v="33"/>
    <n v="89031"/>
    <x v="1"/>
    <x v="978"/>
    <x v="1"/>
    <x v="6"/>
    <x v="971"/>
    <x v="4950"/>
    <x v="2"/>
    <x v="0"/>
  </r>
  <r>
    <n v="7818"/>
    <x v="3879"/>
    <x v="147"/>
    <d v="2017-10-26T00:00:00"/>
    <s v="Second Class"/>
    <x v="503"/>
    <s v="Dennis Pardue"/>
    <x v="2"/>
    <s v="United States"/>
    <s v="North Las Vegas"/>
    <x v="33"/>
    <n v="89031"/>
    <x v="1"/>
    <x v="1776"/>
    <x v="1"/>
    <x v="10"/>
    <x v="1766"/>
    <x v="1197"/>
    <x v="2"/>
    <x v="0"/>
  </r>
  <r>
    <n v="7819"/>
    <x v="3879"/>
    <x v="147"/>
    <d v="2017-10-26T00:00:00"/>
    <s v="Second Class"/>
    <x v="503"/>
    <s v="Dennis Pardue"/>
    <x v="2"/>
    <s v="United States"/>
    <s v="North Las Vegas"/>
    <x v="33"/>
    <n v="89031"/>
    <x v="1"/>
    <x v="1625"/>
    <x v="1"/>
    <x v="8"/>
    <x v="1615"/>
    <x v="4951"/>
    <x v="2"/>
    <x v="0"/>
  </r>
  <r>
    <n v="7820"/>
    <x v="3880"/>
    <x v="795"/>
    <d v="2018-01-30T00:00:00"/>
    <s v="Standard Class"/>
    <x v="170"/>
    <s v="Caroline Jumper"/>
    <x v="0"/>
    <s v="United States"/>
    <s v="San Francisco"/>
    <x v="1"/>
    <n v="94109"/>
    <x v="1"/>
    <x v="1084"/>
    <x v="1"/>
    <x v="13"/>
    <x v="1074"/>
    <x v="1559"/>
    <x v="9"/>
    <x v="3"/>
  </r>
  <r>
    <n v="7821"/>
    <x v="3881"/>
    <x v="166"/>
    <d v="2018-12-10T00:00:00"/>
    <s v="Second Class"/>
    <x v="194"/>
    <s v="Carl Weiss"/>
    <x v="2"/>
    <s v="United States"/>
    <s v="Cranston"/>
    <x v="34"/>
    <n v="2920"/>
    <x v="3"/>
    <x v="595"/>
    <x v="1"/>
    <x v="4"/>
    <x v="595"/>
    <x v="4952"/>
    <x v="4"/>
    <x v="3"/>
  </r>
  <r>
    <n v="7822"/>
    <x v="3882"/>
    <x v="147"/>
    <d v="2017-10-24T00:00:00"/>
    <s v="Second Class"/>
    <x v="543"/>
    <s v="Giulietta Weimer"/>
    <x v="0"/>
    <s v="United States"/>
    <s v="Jackson"/>
    <x v="18"/>
    <n v="38301"/>
    <x v="0"/>
    <x v="1018"/>
    <x v="1"/>
    <x v="4"/>
    <x v="1519"/>
    <x v="2637"/>
    <x v="2"/>
    <x v="0"/>
  </r>
  <r>
    <n v="7823"/>
    <x v="3883"/>
    <x v="86"/>
    <d v="2015-09-01T00:00:00"/>
    <s v="Standard Class"/>
    <x v="452"/>
    <s v="Paul Prost"/>
    <x v="2"/>
    <s v="United States"/>
    <s v="Newark"/>
    <x v="13"/>
    <n v="19711"/>
    <x v="3"/>
    <x v="1007"/>
    <x v="1"/>
    <x v="6"/>
    <x v="999"/>
    <x v="874"/>
    <x v="6"/>
    <x v="2"/>
  </r>
  <r>
    <n v="7824"/>
    <x v="3883"/>
    <x v="86"/>
    <d v="2015-09-01T00:00:00"/>
    <s v="Standard Class"/>
    <x v="452"/>
    <s v="Paul Prost"/>
    <x v="2"/>
    <s v="United States"/>
    <s v="Newark"/>
    <x v="13"/>
    <n v="19711"/>
    <x v="3"/>
    <x v="1233"/>
    <x v="2"/>
    <x v="11"/>
    <x v="1216"/>
    <x v="145"/>
    <x v="6"/>
    <x v="2"/>
  </r>
  <r>
    <n v="7825"/>
    <x v="3884"/>
    <x v="1174"/>
    <d v="2015-05-23T00:00:00"/>
    <s v="Standard Class"/>
    <x v="463"/>
    <s v="Pauline Webber"/>
    <x v="1"/>
    <s v="United States"/>
    <s v="Los Angeles"/>
    <x v="1"/>
    <n v="90036"/>
    <x v="1"/>
    <x v="1340"/>
    <x v="0"/>
    <x v="1"/>
    <x v="1325"/>
    <x v="3047"/>
    <x v="5"/>
    <x v="2"/>
  </r>
  <r>
    <n v="7826"/>
    <x v="3885"/>
    <x v="302"/>
    <d v="2016-02-07T00:00:00"/>
    <s v="Standard Class"/>
    <x v="463"/>
    <s v="Pauline Webber"/>
    <x v="1"/>
    <s v="United States"/>
    <s v="Rome"/>
    <x v="15"/>
    <n v="13440"/>
    <x v="3"/>
    <x v="38"/>
    <x v="0"/>
    <x v="1"/>
    <x v="38"/>
    <x v="4953"/>
    <x v="11"/>
    <x v="1"/>
  </r>
  <r>
    <n v="7827"/>
    <x v="3886"/>
    <x v="1108"/>
    <d v="2018-11-05T00:00:00"/>
    <s v="Standard Class"/>
    <x v="388"/>
    <s v="Craig Yedwab"/>
    <x v="1"/>
    <s v="United States"/>
    <s v="Chicago"/>
    <x v="10"/>
    <n v="60610"/>
    <x v="2"/>
    <x v="559"/>
    <x v="2"/>
    <x v="7"/>
    <x v="558"/>
    <x v="4954"/>
    <x v="2"/>
    <x v="3"/>
  </r>
  <r>
    <n v="7828"/>
    <x v="3886"/>
    <x v="1108"/>
    <d v="2018-11-05T00:00:00"/>
    <s v="Standard Class"/>
    <x v="388"/>
    <s v="Craig Yedwab"/>
    <x v="1"/>
    <s v="United States"/>
    <s v="Chicago"/>
    <x v="10"/>
    <n v="60610"/>
    <x v="2"/>
    <x v="318"/>
    <x v="1"/>
    <x v="12"/>
    <x v="318"/>
    <x v="4373"/>
    <x v="2"/>
    <x v="3"/>
  </r>
  <r>
    <n v="7829"/>
    <x v="3887"/>
    <x v="33"/>
    <d v="2016-05-01T00:00:00"/>
    <s v="Standard Class"/>
    <x v="308"/>
    <s v="Bart Watters"/>
    <x v="1"/>
    <s v="United States"/>
    <s v="San Diego"/>
    <x v="1"/>
    <n v="92105"/>
    <x v="1"/>
    <x v="1391"/>
    <x v="0"/>
    <x v="1"/>
    <x v="1377"/>
    <x v="2796"/>
    <x v="3"/>
    <x v="1"/>
  </r>
  <r>
    <n v="7830"/>
    <x v="3887"/>
    <x v="33"/>
    <d v="2016-05-01T00:00:00"/>
    <s v="Standard Class"/>
    <x v="308"/>
    <s v="Bart Watters"/>
    <x v="1"/>
    <s v="United States"/>
    <s v="San Diego"/>
    <x v="1"/>
    <n v="92105"/>
    <x v="1"/>
    <x v="397"/>
    <x v="1"/>
    <x v="6"/>
    <x v="398"/>
    <x v="423"/>
    <x v="3"/>
    <x v="1"/>
  </r>
  <r>
    <n v="7831"/>
    <x v="3887"/>
    <x v="33"/>
    <d v="2016-05-01T00:00:00"/>
    <s v="Standard Class"/>
    <x v="308"/>
    <s v="Bart Watters"/>
    <x v="1"/>
    <s v="United States"/>
    <s v="San Diego"/>
    <x v="1"/>
    <n v="92105"/>
    <x v="1"/>
    <x v="1765"/>
    <x v="2"/>
    <x v="7"/>
    <x v="1754"/>
    <x v="2977"/>
    <x v="3"/>
    <x v="1"/>
  </r>
  <r>
    <n v="7832"/>
    <x v="3887"/>
    <x v="33"/>
    <d v="2016-05-01T00:00:00"/>
    <s v="Standard Class"/>
    <x v="308"/>
    <s v="Bart Watters"/>
    <x v="1"/>
    <s v="United States"/>
    <s v="San Diego"/>
    <x v="1"/>
    <n v="92105"/>
    <x v="1"/>
    <x v="301"/>
    <x v="1"/>
    <x v="8"/>
    <x v="301"/>
    <x v="4338"/>
    <x v="3"/>
    <x v="1"/>
  </r>
  <r>
    <n v="7833"/>
    <x v="3888"/>
    <x v="195"/>
    <d v="2017-05-13T00:00:00"/>
    <s v="Standard Class"/>
    <x v="469"/>
    <s v="Mick Brown"/>
    <x v="0"/>
    <s v="United States"/>
    <s v="Houston"/>
    <x v="5"/>
    <n v="77036"/>
    <x v="2"/>
    <x v="179"/>
    <x v="2"/>
    <x v="7"/>
    <x v="180"/>
    <x v="4336"/>
    <x v="5"/>
    <x v="0"/>
  </r>
  <r>
    <n v="7834"/>
    <x v="3889"/>
    <x v="1175"/>
    <d v="2016-01-28T00:00:00"/>
    <s v="Standard Class"/>
    <x v="736"/>
    <s v="Cyra Reiten"/>
    <x v="2"/>
    <s v="United States"/>
    <s v="West Palm Beach"/>
    <x v="2"/>
    <n v="33407"/>
    <x v="0"/>
    <x v="346"/>
    <x v="1"/>
    <x v="6"/>
    <x v="346"/>
    <x v="1317"/>
    <x v="9"/>
    <x v="1"/>
  </r>
  <r>
    <n v="7835"/>
    <x v="3890"/>
    <x v="657"/>
    <d v="2016-04-17T00:00:00"/>
    <s v="Second Class"/>
    <x v="686"/>
    <s v="Eugene Barchas"/>
    <x v="0"/>
    <s v="United States"/>
    <s v="Los Angeles"/>
    <x v="1"/>
    <n v="90045"/>
    <x v="1"/>
    <x v="1000"/>
    <x v="0"/>
    <x v="3"/>
    <x v="992"/>
    <x v="472"/>
    <x v="3"/>
    <x v="1"/>
  </r>
  <r>
    <n v="7836"/>
    <x v="3890"/>
    <x v="657"/>
    <d v="2016-04-17T00:00:00"/>
    <s v="Second Class"/>
    <x v="686"/>
    <s v="Eugene Barchas"/>
    <x v="0"/>
    <s v="United States"/>
    <s v="Los Angeles"/>
    <x v="1"/>
    <n v="90045"/>
    <x v="1"/>
    <x v="716"/>
    <x v="2"/>
    <x v="7"/>
    <x v="715"/>
    <x v="4955"/>
    <x v="3"/>
    <x v="1"/>
  </r>
  <r>
    <n v="7837"/>
    <x v="3891"/>
    <x v="12"/>
    <d v="2016-09-30T00:00:00"/>
    <s v="Standard Class"/>
    <x v="64"/>
    <s v="Sally Hughsby"/>
    <x v="1"/>
    <s v="United States"/>
    <s v="Seattle"/>
    <x v="4"/>
    <n v="98103"/>
    <x v="1"/>
    <x v="992"/>
    <x v="0"/>
    <x v="1"/>
    <x v="984"/>
    <x v="393"/>
    <x v="8"/>
    <x v="1"/>
  </r>
  <r>
    <n v="7838"/>
    <x v="3891"/>
    <x v="12"/>
    <d v="2016-09-30T00:00:00"/>
    <s v="Standard Class"/>
    <x v="64"/>
    <s v="Sally Hughsby"/>
    <x v="1"/>
    <s v="United States"/>
    <s v="Seattle"/>
    <x v="4"/>
    <n v="98103"/>
    <x v="1"/>
    <x v="1621"/>
    <x v="1"/>
    <x v="2"/>
    <x v="1612"/>
    <x v="2336"/>
    <x v="8"/>
    <x v="1"/>
  </r>
  <r>
    <n v="7839"/>
    <x v="3891"/>
    <x v="12"/>
    <d v="2016-09-30T00:00:00"/>
    <s v="Standard Class"/>
    <x v="64"/>
    <s v="Sally Hughsby"/>
    <x v="1"/>
    <s v="United States"/>
    <s v="Seattle"/>
    <x v="4"/>
    <n v="98103"/>
    <x v="1"/>
    <x v="428"/>
    <x v="2"/>
    <x v="11"/>
    <x v="428"/>
    <x v="457"/>
    <x v="8"/>
    <x v="1"/>
  </r>
  <r>
    <n v="7840"/>
    <x v="3892"/>
    <x v="1176"/>
    <d v="2015-04-02T00:00:00"/>
    <s v="Standard Class"/>
    <x v="610"/>
    <s v="Christina VanderZanden"/>
    <x v="0"/>
    <s v="United States"/>
    <s v="Des Moines"/>
    <x v="23"/>
    <n v="50315"/>
    <x v="2"/>
    <x v="29"/>
    <x v="1"/>
    <x v="12"/>
    <x v="29"/>
    <x v="4931"/>
    <x v="10"/>
    <x v="2"/>
  </r>
  <r>
    <n v="7841"/>
    <x v="3892"/>
    <x v="1176"/>
    <d v="2015-04-02T00:00:00"/>
    <s v="Standard Class"/>
    <x v="610"/>
    <s v="Christina VanderZanden"/>
    <x v="0"/>
    <s v="United States"/>
    <s v="Des Moines"/>
    <x v="23"/>
    <n v="50315"/>
    <x v="2"/>
    <x v="1234"/>
    <x v="0"/>
    <x v="3"/>
    <x v="1217"/>
    <x v="4956"/>
    <x v="10"/>
    <x v="2"/>
  </r>
  <r>
    <n v="7842"/>
    <x v="3893"/>
    <x v="19"/>
    <d v="2017-07-22T00:00:00"/>
    <s v="Standard Class"/>
    <x v="247"/>
    <s v="Annie Thurman"/>
    <x v="0"/>
    <s v="United States"/>
    <s v="New York City"/>
    <x v="15"/>
    <n v="10024"/>
    <x v="3"/>
    <x v="9"/>
    <x v="1"/>
    <x v="9"/>
    <x v="9"/>
    <x v="4927"/>
    <x v="7"/>
    <x v="0"/>
  </r>
  <r>
    <n v="7843"/>
    <x v="3894"/>
    <x v="987"/>
    <d v="2015-04-23T00:00:00"/>
    <s v="Second Class"/>
    <x v="369"/>
    <s v="Allen Goldenen"/>
    <x v="0"/>
    <s v="United States"/>
    <s v="Arlington"/>
    <x v="17"/>
    <n v="22204"/>
    <x v="0"/>
    <x v="612"/>
    <x v="1"/>
    <x v="8"/>
    <x v="612"/>
    <x v="701"/>
    <x v="3"/>
    <x v="2"/>
  </r>
  <r>
    <n v="7844"/>
    <x v="3894"/>
    <x v="987"/>
    <d v="2015-04-23T00:00:00"/>
    <s v="Second Class"/>
    <x v="369"/>
    <s v="Allen Goldenen"/>
    <x v="0"/>
    <s v="United States"/>
    <s v="Arlington"/>
    <x v="17"/>
    <n v="22204"/>
    <x v="0"/>
    <x v="55"/>
    <x v="1"/>
    <x v="10"/>
    <x v="55"/>
    <x v="4204"/>
    <x v="3"/>
    <x v="2"/>
  </r>
  <r>
    <n v="7845"/>
    <x v="3895"/>
    <x v="246"/>
    <d v="2018-07-25T00:00:00"/>
    <s v="Standard Class"/>
    <x v="421"/>
    <s v="Gene McClure"/>
    <x v="0"/>
    <s v="United States"/>
    <s v="Pharr"/>
    <x v="5"/>
    <n v="78577"/>
    <x v="2"/>
    <x v="972"/>
    <x v="0"/>
    <x v="3"/>
    <x v="966"/>
    <x v="4957"/>
    <x v="7"/>
    <x v="3"/>
  </r>
  <r>
    <n v="7846"/>
    <x v="3896"/>
    <x v="874"/>
    <d v="2016-10-02T00:00:00"/>
    <s v="Standard Class"/>
    <x v="523"/>
    <s v="Jamie Kunitz"/>
    <x v="0"/>
    <s v="United States"/>
    <s v="Arlington"/>
    <x v="17"/>
    <n v="22204"/>
    <x v="0"/>
    <x v="1030"/>
    <x v="1"/>
    <x v="10"/>
    <x v="1021"/>
    <x v="894"/>
    <x v="8"/>
    <x v="1"/>
  </r>
  <r>
    <n v="7847"/>
    <x v="3896"/>
    <x v="874"/>
    <d v="2016-10-02T00:00:00"/>
    <s v="Standard Class"/>
    <x v="523"/>
    <s v="Jamie Kunitz"/>
    <x v="0"/>
    <s v="United States"/>
    <s v="Arlington"/>
    <x v="17"/>
    <n v="22204"/>
    <x v="0"/>
    <x v="495"/>
    <x v="2"/>
    <x v="7"/>
    <x v="495"/>
    <x v="4958"/>
    <x v="8"/>
    <x v="1"/>
  </r>
  <r>
    <n v="7848"/>
    <x v="3897"/>
    <x v="535"/>
    <d v="2017-03-02T00:00:00"/>
    <s v="Standard Class"/>
    <x v="386"/>
    <s v="Don Weiss"/>
    <x v="0"/>
    <s v="United States"/>
    <s v="Houston"/>
    <x v="5"/>
    <n v="77070"/>
    <x v="2"/>
    <x v="1653"/>
    <x v="0"/>
    <x v="5"/>
    <x v="1642"/>
    <x v="2674"/>
    <x v="11"/>
    <x v="0"/>
  </r>
  <r>
    <n v="7849"/>
    <x v="3898"/>
    <x v="440"/>
    <d v="2017-05-06T00:00:00"/>
    <s v="Standard Class"/>
    <x v="548"/>
    <s v="Adam Shillingsburg"/>
    <x v="0"/>
    <s v="United States"/>
    <s v="Irving"/>
    <x v="5"/>
    <n v="75061"/>
    <x v="2"/>
    <x v="1555"/>
    <x v="1"/>
    <x v="4"/>
    <x v="1543"/>
    <x v="2206"/>
    <x v="5"/>
    <x v="0"/>
  </r>
  <r>
    <n v="7850"/>
    <x v="3898"/>
    <x v="440"/>
    <d v="2017-05-06T00:00:00"/>
    <s v="Standard Class"/>
    <x v="548"/>
    <s v="Adam Shillingsburg"/>
    <x v="0"/>
    <s v="United States"/>
    <s v="Irving"/>
    <x v="5"/>
    <n v="75061"/>
    <x v="2"/>
    <x v="1505"/>
    <x v="1"/>
    <x v="4"/>
    <x v="1492"/>
    <x v="2485"/>
    <x v="5"/>
    <x v="0"/>
  </r>
  <r>
    <n v="7851"/>
    <x v="3898"/>
    <x v="440"/>
    <d v="2017-05-06T00:00:00"/>
    <s v="Standard Class"/>
    <x v="548"/>
    <s v="Adam Shillingsburg"/>
    <x v="0"/>
    <s v="United States"/>
    <s v="Irving"/>
    <x v="5"/>
    <n v="75061"/>
    <x v="2"/>
    <x v="840"/>
    <x v="1"/>
    <x v="2"/>
    <x v="834"/>
    <x v="1310"/>
    <x v="5"/>
    <x v="0"/>
  </r>
  <r>
    <n v="7852"/>
    <x v="3899"/>
    <x v="337"/>
    <d v="2015-12-15T00:00:00"/>
    <s v="Standard Class"/>
    <x v="131"/>
    <s v="Thomas Seio"/>
    <x v="1"/>
    <s v="United States"/>
    <s v="Chicago"/>
    <x v="10"/>
    <n v="60653"/>
    <x v="2"/>
    <x v="1714"/>
    <x v="1"/>
    <x v="10"/>
    <x v="1701"/>
    <x v="578"/>
    <x v="4"/>
    <x v="2"/>
  </r>
  <r>
    <n v="7853"/>
    <x v="3899"/>
    <x v="337"/>
    <d v="2015-12-15T00:00:00"/>
    <s v="Standard Class"/>
    <x v="131"/>
    <s v="Thomas Seio"/>
    <x v="1"/>
    <s v="United States"/>
    <s v="Chicago"/>
    <x v="10"/>
    <n v="60653"/>
    <x v="2"/>
    <x v="543"/>
    <x v="1"/>
    <x v="9"/>
    <x v="543"/>
    <x v="4959"/>
    <x v="4"/>
    <x v="2"/>
  </r>
  <r>
    <n v="7854"/>
    <x v="3900"/>
    <x v="707"/>
    <d v="2016-12-29T00:00:00"/>
    <s v="Standard Class"/>
    <x v="598"/>
    <s v="Sean Miller"/>
    <x v="2"/>
    <s v="United States"/>
    <s v="Los Angeles"/>
    <x v="1"/>
    <n v="90049"/>
    <x v="1"/>
    <x v="1050"/>
    <x v="1"/>
    <x v="10"/>
    <x v="1039"/>
    <x v="739"/>
    <x v="4"/>
    <x v="1"/>
  </r>
  <r>
    <n v="7855"/>
    <x v="3901"/>
    <x v="226"/>
    <d v="2018-12-12T00:00:00"/>
    <s v="Standard Class"/>
    <x v="3"/>
    <s v="Brosina Hoffman"/>
    <x v="0"/>
    <s v="United States"/>
    <s v="Hattiesburg"/>
    <x v="35"/>
    <n v="39401"/>
    <x v="0"/>
    <x v="1317"/>
    <x v="1"/>
    <x v="9"/>
    <x v="1303"/>
    <x v="4960"/>
    <x v="4"/>
    <x v="3"/>
  </r>
  <r>
    <n v="7856"/>
    <x v="3901"/>
    <x v="226"/>
    <d v="2018-12-12T00:00:00"/>
    <s v="Standard Class"/>
    <x v="3"/>
    <s v="Brosina Hoffman"/>
    <x v="0"/>
    <s v="United States"/>
    <s v="Hattiesburg"/>
    <x v="35"/>
    <n v="39401"/>
    <x v="0"/>
    <x v="197"/>
    <x v="2"/>
    <x v="11"/>
    <x v="198"/>
    <x v="4961"/>
    <x v="4"/>
    <x v="3"/>
  </r>
  <r>
    <n v="7857"/>
    <x v="3902"/>
    <x v="992"/>
    <d v="2015-06-01T00:00:00"/>
    <s v="First Class"/>
    <x v="429"/>
    <s v="Laurel Workman"/>
    <x v="1"/>
    <s v="United States"/>
    <s v="New York City"/>
    <x v="15"/>
    <n v="10024"/>
    <x v="3"/>
    <x v="1399"/>
    <x v="1"/>
    <x v="8"/>
    <x v="1386"/>
    <x v="2171"/>
    <x v="5"/>
    <x v="2"/>
  </r>
  <r>
    <n v="7858"/>
    <x v="3902"/>
    <x v="992"/>
    <d v="2015-06-01T00:00:00"/>
    <s v="First Class"/>
    <x v="429"/>
    <s v="Laurel Workman"/>
    <x v="1"/>
    <s v="United States"/>
    <s v="New York City"/>
    <x v="15"/>
    <n v="10024"/>
    <x v="3"/>
    <x v="918"/>
    <x v="2"/>
    <x v="7"/>
    <x v="910"/>
    <x v="4962"/>
    <x v="5"/>
    <x v="2"/>
  </r>
  <r>
    <n v="7859"/>
    <x v="3902"/>
    <x v="992"/>
    <d v="2015-06-01T00:00:00"/>
    <s v="First Class"/>
    <x v="429"/>
    <s v="Laurel Workman"/>
    <x v="1"/>
    <s v="United States"/>
    <s v="New York City"/>
    <x v="15"/>
    <n v="10024"/>
    <x v="3"/>
    <x v="1152"/>
    <x v="1"/>
    <x v="9"/>
    <x v="1140"/>
    <x v="4963"/>
    <x v="5"/>
    <x v="2"/>
  </r>
  <r>
    <n v="7860"/>
    <x v="3902"/>
    <x v="992"/>
    <d v="2015-06-01T00:00:00"/>
    <s v="First Class"/>
    <x v="429"/>
    <s v="Laurel Workman"/>
    <x v="1"/>
    <s v="United States"/>
    <s v="New York City"/>
    <x v="15"/>
    <n v="10024"/>
    <x v="3"/>
    <x v="991"/>
    <x v="1"/>
    <x v="10"/>
    <x v="983"/>
    <x v="786"/>
    <x v="5"/>
    <x v="2"/>
  </r>
  <r>
    <n v="7861"/>
    <x v="3903"/>
    <x v="580"/>
    <d v="2018-03-06T00:00:00"/>
    <s v="Standard Class"/>
    <x v="350"/>
    <s v="Joseph Airdo"/>
    <x v="0"/>
    <s v="United States"/>
    <s v="Cuyahoga Falls"/>
    <x v="24"/>
    <n v="44221"/>
    <x v="3"/>
    <x v="1087"/>
    <x v="1"/>
    <x v="8"/>
    <x v="1077"/>
    <x v="4964"/>
    <x v="10"/>
    <x v="3"/>
  </r>
  <r>
    <n v="7862"/>
    <x v="3904"/>
    <x v="88"/>
    <d v="2016-10-17T00:00:00"/>
    <s v="Standard Class"/>
    <x v="567"/>
    <s v="Kelly Andreada"/>
    <x v="0"/>
    <s v="United States"/>
    <s v="Seattle"/>
    <x v="4"/>
    <n v="98103"/>
    <x v="1"/>
    <x v="1044"/>
    <x v="2"/>
    <x v="11"/>
    <x v="1033"/>
    <x v="1488"/>
    <x v="2"/>
    <x v="1"/>
  </r>
  <r>
    <n v="7863"/>
    <x v="3904"/>
    <x v="88"/>
    <d v="2016-10-17T00:00:00"/>
    <s v="Standard Class"/>
    <x v="567"/>
    <s v="Kelly Andreada"/>
    <x v="0"/>
    <s v="United States"/>
    <s v="Seattle"/>
    <x v="4"/>
    <n v="98103"/>
    <x v="1"/>
    <x v="356"/>
    <x v="1"/>
    <x v="4"/>
    <x v="356"/>
    <x v="3314"/>
    <x v="2"/>
    <x v="1"/>
  </r>
  <r>
    <n v="7864"/>
    <x v="3905"/>
    <x v="1177"/>
    <d v="2016-07-19T00:00:00"/>
    <s v="Second Class"/>
    <x v="592"/>
    <s v="Toby Gnade"/>
    <x v="0"/>
    <s v="United States"/>
    <s v="Mesa"/>
    <x v="16"/>
    <n v="85204"/>
    <x v="1"/>
    <x v="418"/>
    <x v="1"/>
    <x v="4"/>
    <x v="418"/>
    <x v="693"/>
    <x v="7"/>
    <x v="1"/>
  </r>
  <r>
    <n v="7865"/>
    <x v="3905"/>
    <x v="1177"/>
    <d v="2016-07-19T00:00:00"/>
    <s v="Second Class"/>
    <x v="592"/>
    <s v="Toby Gnade"/>
    <x v="0"/>
    <s v="United States"/>
    <s v="Mesa"/>
    <x v="16"/>
    <n v="85204"/>
    <x v="1"/>
    <x v="1828"/>
    <x v="1"/>
    <x v="10"/>
    <x v="1816"/>
    <x v="281"/>
    <x v="7"/>
    <x v="1"/>
  </r>
  <r>
    <n v="7866"/>
    <x v="3905"/>
    <x v="1177"/>
    <d v="2016-07-19T00:00:00"/>
    <s v="Second Class"/>
    <x v="592"/>
    <s v="Toby Gnade"/>
    <x v="0"/>
    <s v="United States"/>
    <s v="Mesa"/>
    <x v="16"/>
    <n v="85204"/>
    <x v="1"/>
    <x v="157"/>
    <x v="0"/>
    <x v="1"/>
    <x v="158"/>
    <x v="4965"/>
    <x v="7"/>
    <x v="1"/>
  </r>
  <r>
    <n v="7867"/>
    <x v="3905"/>
    <x v="1177"/>
    <d v="2016-07-19T00:00:00"/>
    <s v="Second Class"/>
    <x v="592"/>
    <s v="Toby Gnade"/>
    <x v="0"/>
    <s v="United States"/>
    <s v="Mesa"/>
    <x v="16"/>
    <n v="85204"/>
    <x v="1"/>
    <x v="1544"/>
    <x v="0"/>
    <x v="0"/>
    <x v="1532"/>
    <x v="3947"/>
    <x v="7"/>
    <x v="1"/>
  </r>
  <r>
    <n v="7868"/>
    <x v="3906"/>
    <x v="84"/>
    <d v="2015-11-24T00:00:00"/>
    <s v="Second Class"/>
    <x v="748"/>
    <s v="Dennis Bolton"/>
    <x v="2"/>
    <s v="United States"/>
    <s v="Salt Lake City"/>
    <x v="7"/>
    <n v="84106"/>
    <x v="1"/>
    <x v="447"/>
    <x v="1"/>
    <x v="10"/>
    <x v="1228"/>
    <x v="1668"/>
    <x v="0"/>
    <x v="2"/>
  </r>
  <r>
    <n v="7869"/>
    <x v="3907"/>
    <x v="1022"/>
    <d v="2017-06-02T00:00:00"/>
    <s v="Standard Class"/>
    <x v="201"/>
    <s v="Lynn Smith"/>
    <x v="0"/>
    <s v="United States"/>
    <s v="Los Angeles"/>
    <x v="1"/>
    <n v="90045"/>
    <x v="1"/>
    <x v="1070"/>
    <x v="1"/>
    <x v="10"/>
    <x v="1059"/>
    <x v="4966"/>
    <x v="5"/>
    <x v="0"/>
  </r>
  <r>
    <n v="7870"/>
    <x v="3908"/>
    <x v="445"/>
    <d v="2018-07-09T00:00:00"/>
    <s v="Standard Class"/>
    <x v="657"/>
    <s v="Michael Oakman"/>
    <x v="0"/>
    <s v="United States"/>
    <s v="Jacksonville"/>
    <x v="3"/>
    <n v="28540"/>
    <x v="0"/>
    <x v="46"/>
    <x v="2"/>
    <x v="11"/>
    <x v="46"/>
    <x v="728"/>
    <x v="7"/>
    <x v="3"/>
  </r>
  <r>
    <n v="7871"/>
    <x v="3909"/>
    <x v="145"/>
    <d v="2018-09-29T00:00:00"/>
    <s v="Standard Class"/>
    <x v="662"/>
    <s v="Carol Adams"/>
    <x v="1"/>
    <s v="United States"/>
    <s v="Lakewood"/>
    <x v="24"/>
    <n v="44107"/>
    <x v="3"/>
    <x v="661"/>
    <x v="1"/>
    <x v="12"/>
    <x v="661"/>
    <x v="667"/>
    <x v="8"/>
    <x v="3"/>
  </r>
  <r>
    <n v="7872"/>
    <x v="3910"/>
    <x v="339"/>
    <d v="2017-10-07T00:00:00"/>
    <s v="Standard Class"/>
    <x v="626"/>
    <s v="Daniel Byrd"/>
    <x v="2"/>
    <s v="United States"/>
    <s v="Lake Forest"/>
    <x v="1"/>
    <n v="92630"/>
    <x v="1"/>
    <x v="641"/>
    <x v="1"/>
    <x v="2"/>
    <x v="641"/>
    <x v="51"/>
    <x v="2"/>
    <x v="0"/>
  </r>
  <r>
    <n v="7873"/>
    <x v="3910"/>
    <x v="339"/>
    <d v="2017-10-07T00:00:00"/>
    <s v="Standard Class"/>
    <x v="626"/>
    <s v="Daniel Byrd"/>
    <x v="2"/>
    <s v="United States"/>
    <s v="Lake Forest"/>
    <x v="1"/>
    <n v="92630"/>
    <x v="1"/>
    <x v="120"/>
    <x v="0"/>
    <x v="1"/>
    <x v="120"/>
    <x v="4232"/>
    <x v="2"/>
    <x v="0"/>
  </r>
  <r>
    <n v="7874"/>
    <x v="3910"/>
    <x v="339"/>
    <d v="2017-10-07T00:00:00"/>
    <s v="Standard Class"/>
    <x v="626"/>
    <s v="Daniel Byrd"/>
    <x v="2"/>
    <s v="United States"/>
    <s v="Lake Forest"/>
    <x v="1"/>
    <n v="92630"/>
    <x v="1"/>
    <x v="1532"/>
    <x v="1"/>
    <x v="10"/>
    <x v="1520"/>
    <x v="18"/>
    <x v="2"/>
    <x v="0"/>
  </r>
  <r>
    <n v="7875"/>
    <x v="3910"/>
    <x v="339"/>
    <d v="2017-10-07T00:00:00"/>
    <s v="Standard Class"/>
    <x v="626"/>
    <s v="Daniel Byrd"/>
    <x v="2"/>
    <s v="United States"/>
    <s v="Lake Forest"/>
    <x v="1"/>
    <n v="92630"/>
    <x v="1"/>
    <x v="1184"/>
    <x v="1"/>
    <x v="10"/>
    <x v="1170"/>
    <x v="615"/>
    <x v="2"/>
    <x v="0"/>
  </r>
  <r>
    <n v="7876"/>
    <x v="3911"/>
    <x v="428"/>
    <d v="2018-09-15T00:00:00"/>
    <s v="Standard Class"/>
    <x v="460"/>
    <s v="Damala Kotsonis"/>
    <x v="1"/>
    <s v="United States"/>
    <s v="Portland"/>
    <x v="21"/>
    <n v="97206"/>
    <x v="1"/>
    <x v="329"/>
    <x v="1"/>
    <x v="10"/>
    <x v="329"/>
    <x v="276"/>
    <x v="8"/>
    <x v="3"/>
  </r>
  <r>
    <n v="7877"/>
    <x v="3911"/>
    <x v="428"/>
    <d v="2018-09-15T00:00:00"/>
    <s v="Standard Class"/>
    <x v="460"/>
    <s v="Damala Kotsonis"/>
    <x v="1"/>
    <s v="United States"/>
    <s v="Portland"/>
    <x v="21"/>
    <n v="97206"/>
    <x v="1"/>
    <x v="1803"/>
    <x v="1"/>
    <x v="9"/>
    <x v="1793"/>
    <x v="4967"/>
    <x v="8"/>
    <x v="3"/>
  </r>
  <r>
    <n v="7878"/>
    <x v="3912"/>
    <x v="899"/>
    <d v="2016-03-18T00:00:00"/>
    <s v="Standard Class"/>
    <x v="432"/>
    <s v="Evan Bailliet"/>
    <x v="0"/>
    <s v="United States"/>
    <s v="Charlotte"/>
    <x v="3"/>
    <n v="28205"/>
    <x v="0"/>
    <x v="1042"/>
    <x v="1"/>
    <x v="2"/>
    <x v="1031"/>
    <x v="1310"/>
    <x v="10"/>
    <x v="1"/>
  </r>
  <r>
    <n v="7879"/>
    <x v="3913"/>
    <x v="896"/>
    <d v="2017-12-04T00:00:00"/>
    <s v="Second Class"/>
    <x v="660"/>
    <s v="Daniel Raglin"/>
    <x v="2"/>
    <s v="United States"/>
    <s v="Aurora"/>
    <x v="10"/>
    <n v="60505"/>
    <x v="2"/>
    <x v="1814"/>
    <x v="0"/>
    <x v="5"/>
    <x v="1804"/>
    <x v="4968"/>
    <x v="0"/>
    <x v="0"/>
  </r>
  <r>
    <n v="7880"/>
    <x v="3914"/>
    <x v="403"/>
    <d v="2017-06-21T00:00:00"/>
    <s v="Standard Class"/>
    <x v="40"/>
    <s v="Jim Sink"/>
    <x v="1"/>
    <s v="United States"/>
    <s v="Philadelphia"/>
    <x v="9"/>
    <n v="19140"/>
    <x v="3"/>
    <x v="1660"/>
    <x v="0"/>
    <x v="3"/>
    <x v="1648"/>
    <x v="4969"/>
    <x v="1"/>
    <x v="0"/>
  </r>
  <r>
    <n v="7881"/>
    <x v="3915"/>
    <x v="734"/>
    <d v="2018-12-06T00:00:00"/>
    <s v="Second Class"/>
    <x v="48"/>
    <s v="Lena Cacioppo"/>
    <x v="0"/>
    <s v="United States"/>
    <s v="Thornton"/>
    <x v="22"/>
    <n v="80229"/>
    <x v="1"/>
    <x v="449"/>
    <x v="1"/>
    <x v="6"/>
    <x v="449"/>
    <x v="3832"/>
    <x v="4"/>
    <x v="3"/>
  </r>
  <r>
    <n v="7882"/>
    <x v="3915"/>
    <x v="734"/>
    <d v="2018-12-06T00:00:00"/>
    <s v="Second Class"/>
    <x v="48"/>
    <s v="Lena Cacioppo"/>
    <x v="0"/>
    <s v="United States"/>
    <s v="Thornton"/>
    <x v="22"/>
    <n v="80229"/>
    <x v="1"/>
    <x v="1097"/>
    <x v="2"/>
    <x v="11"/>
    <x v="1087"/>
    <x v="3398"/>
    <x v="4"/>
    <x v="3"/>
  </r>
  <r>
    <n v="7883"/>
    <x v="3915"/>
    <x v="734"/>
    <d v="2018-12-06T00:00:00"/>
    <s v="Second Class"/>
    <x v="48"/>
    <s v="Lena Cacioppo"/>
    <x v="0"/>
    <s v="United States"/>
    <s v="Thornton"/>
    <x v="22"/>
    <n v="80229"/>
    <x v="1"/>
    <x v="1097"/>
    <x v="2"/>
    <x v="11"/>
    <x v="1087"/>
    <x v="1129"/>
    <x v="4"/>
    <x v="3"/>
  </r>
  <r>
    <n v="7884"/>
    <x v="3915"/>
    <x v="734"/>
    <d v="2018-12-06T00:00:00"/>
    <s v="Second Class"/>
    <x v="48"/>
    <s v="Lena Cacioppo"/>
    <x v="0"/>
    <s v="United States"/>
    <s v="Thornton"/>
    <x v="22"/>
    <n v="80229"/>
    <x v="1"/>
    <x v="1408"/>
    <x v="1"/>
    <x v="10"/>
    <x v="1395"/>
    <x v="4970"/>
    <x v="4"/>
    <x v="3"/>
  </r>
  <r>
    <n v="7885"/>
    <x v="3915"/>
    <x v="734"/>
    <d v="2018-12-06T00:00:00"/>
    <s v="Second Class"/>
    <x v="48"/>
    <s v="Lena Cacioppo"/>
    <x v="0"/>
    <s v="United States"/>
    <s v="Thornton"/>
    <x v="22"/>
    <n v="80229"/>
    <x v="1"/>
    <x v="1566"/>
    <x v="1"/>
    <x v="14"/>
    <x v="1557"/>
    <x v="4971"/>
    <x v="4"/>
    <x v="3"/>
  </r>
  <r>
    <n v="7886"/>
    <x v="3915"/>
    <x v="734"/>
    <d v="2018-12-06T00:00:00"/>
    <s v="Second Class"/>
    <x v="48"/>
    <s v="Lena Cacioppo"/>
    <x v="0"/>
    <s v="United States"/>
    <s v="Thornton"/>
    <x v="22"/>
    <n v="80229"/>
    <x v="1"/>
    <x v="221"/>
    <x v="0"/>
    <x v="5"/>
    <x v="222"/>
    <x v="4972"/>
    <x v="4"/>
    <x v="3"/>
  </r>
  <r>
    <n v="7887"/>
    <x v="3915"/>
    <x v="734"/>
    <d v="2018-12-06T00:00:00"/>
    <s v="Second Class"/>
    <x v="48"/>
    <s v="Lena Cacioppo"/>
    <x v="0"/>
    <s v="United States"/>
    <s v="Thornton"/>
    <x v="22"/>
    <n v="80229"/>
    <x v="1"/>
    <x v="1006"/>
    <x v="0"/>
    <x v="5"/>
    <x v="998"/>
    <x v="2423"/>
    <x v="4"/>
    <x v="3"/>
  </r>
  <r>
    <n v="7888"/>
    <x v="3915"/>
    <x v="734"/>
    <d v="2018-12-06T00:00:00"/>
    <s v="Second Class"/>
    <x v="48"/>
    <s v="Lena Cacioppo"/>
    <x v="0"/>
    <s v="United States"/>
    <s v="Thornton"/>
    <x v="22"/>
    <n v="80229"/>
    <x v="1"/>
    <x v="1653"/>
    <x v="0"/>
    <x v="5"/>
    <x v="1642"/>
    <x v="2674"/>
    <x v="4"/>
    <x v="3"/>
  </r>
  <r>
    <n v="7889"/>
    <x v="3916"/>
    <x v="765"/>
    <d v="2017-08-22T00:00:00"/>
    <s v="Standard Class"/>
    <x v="187"/>
    <s v="Jeremy Pistek"/>
    <x v="0"/>
    <s v="United States"/>
    <s v="Davis"/>
    <x v="1"/>
    <n v="95616"/>
    <x v="1"/>
    <x v="712"/>
    <x v="1"/>
    <x v="10"/>
    <x v="711"/>
    <x v="56"/>
    <x v="6"/>
    <x v="0"/>
  </r>
  <r>
    <n v="7890"/>
    <x v="3917"/>
    <x v="591"/>
    <d v="2017-12-29T00:00:00"/>
    <s v="Standard Class"/>
    <x v="772"/>
    <s v="Trudy Schmidt"/>
    <x v="0"/>
    <s v="United States"/>
    <s v="Fayetteville"/>
    <x v="36"/>
    <n v="72701"/>
    <x v="0"/>
    <x v="453"/>
    <x v="1"/>
    <x v="6"/>
    <x v="454"/>
    <x v="4973"/>
    <x v="4"/>
    <x v="0"/>
  </r>
  <r>
    <n v="7891"/>
    <x v="3917"/>
    <x v="591"/>
    <d v="2017-12-29T00:00:00"/>
    <s v="Standard Class"/>
    <x v="772"/>
    <s v="Trudy Schmidt"/>
    <x v="0"/>
    <s v="United States"/>
    <s v="Fayetteville"/>
    <x v="36"/>
    <n v="72701"/>
    <x v="0"/>
    <x v="651"/>
    <x v="2"/>
    <x v="11"/>
    <x v="651"/>
    <x v="4974"/>
    <x v="4"/>
    <x v="0"/>
  </r>
  <r>
    <n v="7892"/>
    <x v="3917"/>
    <x v="591"/>
    <d v="2017-12-29T00:00:00"/>
    <s v="Standard Class"/>
    <x v="772"/>
    <s v="Trudy Schmidt"/>
    <x v="0"/>
    <s v="United States"/>
    <s v="Fayetteville"/>
    <x v="36"/>
    <n v="72701"/>
    <x v="0"/>
    <x v="568"/>
    <x v="0"/>
    <x v="5"/>
    <x v="568"/>
    <x v="4975"/>
    <x v="4"/>
    <x v="0"/>
  </r>
  <r>
    <n v="7893"/>
    <x v="3917"/>
    <x v="591"/>
    <d v="2017-12-29T00:00:00"/>
    <s v="Standard Class"/>
    <x v="772"/>
    <s v="Trudy Schmidt"/>
    <x v="0"/>
    <s v="United States"/>
    <s v="Fayetteville"/>
    <x v="36"/>
    <n v="72701"/>
    <x v="0"/>
    <x v="1733"/>
    <x v="1"/>
    <x v="10"/>
    <x v="1721"/>
    <x v="1907"/>
    <x v="4"/>
    <x v="0"/>
  </r>
  <r>
    <n v="7894"/>
    <x v="3918"/>
    <x v="283"/>
    <d v="2018-07-30T00:00:00"/>
    <s v="Standard Class"/>
    <x v="134"/>
    <s v="Nathan Mautz"/>
    <x v="2"/>
    <s v="United States"/>
    <s v="New York City"/>
    <x v="15"/>
    <n v="10011"/>
    <x v="3"/>
    <x v="326"/>
    <x v="1"/>
    <x v="8"/>
    <x v="326"/>
    <x v="3961"/>
    <x v="7"/>
    <x v="3"/>
  </r>
  <r>
    <n v="7895"/>
    <x v="3919"/>
    <x v="548"/>
    <d v="2018-06-25T00:00:00"/>
    <s v="Standard Class"/>
    <x v="258"/>
    <s v="Eugene Hildebrand"/>
    <x v="2"/>
    <s v="United States"/>
    <s v="Wheeling"/>
    <x v="48"/>
    <n v="26003"/>
    <x v="3"/>
    <x v="91"/>
    <x v="1"/>
    <x v="8"/>
    <x v="91"/>
    <x v="4976"/>
    <x v="1"/>
    <x v="3"/>
  </r>
  <r>
    <n v="7896"/>
    <x v="3919"/>
    <x v="548"/>
    <d v="2018-06-25T00:00:00"/>
    <s v="Standard Class"/>
    <x v="258"/>
    <s v="Eugene Hildebrand"/>
    <x v="2"/>
    <s v="United States"/>
    <s v="Wheeling"/>
    <x v="48"/>
    <n v="26003"/>
    <x v="3"/>
    <x v="744"/>
    <x v="1"/>
    <x v="8"/>
    <x v="742"/>
    <x v="869"/>
    <x v="1"/>
    <x v="3"/>
  </r>
  <r>
    <n v="7897"/>
    <x v="3919"/>
    <x v="548"/>
    <d v="2018-06-25T00:00:00"/>
    <s v="Standard Class"/>
    <x v="258"/>
    <s v="Eugene Hildebrand"/>
    <x v="2"/>
    <s v="United States"/>
    <s v="Wheeling"/>
    <x v="48"/>
    <n v="26003"/>
    <x v="3"/>
    <x v="314"/>
    <x v="1"/>
    <x v="10"/>
    <x v="366"/>
    <x v="982"/>
    <x v="1"/>
    <x v="3"/>
  </r>
  <r>
    <n v="7898"/>
    <x v="3920"/>
    <x v="802"/>
    <d v="2018-08-18T00:00:00"/>
    <s v="Standard Class"/>
    <x v="419"/>
    <s v="Dan Campbell"/>
    <x v="0"/>
    <s v="United States"/>
    <s v="Memphis"/>
    <x v="18"/>
    <n v="38109"/>
    <x v="0"/>
    <x v="535"/>
    <x v="1"/>
    <x v="9"/>
    <x v="535"/>
    <x v="4977"/>
    <x v="6"/>
    <x v="3"/>
  </r>
  <r>
    <n v="7899"/>
    <x v="3920"/>
    <x v="802"/>
    <d v="2018-08-18T00:00:00"/>
    <s v="Standard Class"/>
    <x v="419"/>
    <s v="Dan Campbell"/>
    <x v="0"/>
    <s v="United States"/>
    <s v="Memphis"/>
    <x v="18"/>
    <n v="38109"/>
    <x v="0"/>
    <x v="1176"/>
    <x v="1"/>
    <x v="8"/>
    <x v="1162"/>
    <x v="4978"/>
    <x v="6"/>
    <x v="3"/>
  </r>
  <r>
    <n v="7900"/>
    <x v="3920"/>
    <x v="802"/>
    <d v="2018-08-18T00:00:00"/>
    <s v="Standard Class"/>
    <x v="419"/>
    <s v="Dan Campbell"/>
    <x v="0"/>
    <s v="United States"/>
    <s v="Memphis"/>
    <x v="18"/>
    <n v="38109"/>
    <x v="0"/>
    <x v="829"/>
    <x v="1"/>
    <x v="13"/>
    <x v="128"/>
    <x v="1867"/>
    <x v="6"/>
    <x v="3"/>
  </r>
  <r>
    <n v="7901"/>
    <x v="3920"/>
    <x v="802"/>
    <d v="2018-08-18T00:00:00"/>
    <s v="Standard Class"/>
    <x v="419"/>
    <s v="Dan Campbell"/>
    <x v="0"/>
    <s v="United States"/>
    <s v="Memphis"/>
    <x v="18"/>
    <n v="38109"/>
    <x v="0"/>
    <x v="1425"/>
    <x v="2"/>
    <x v="11"/>
    <x v="1413"/>
    <x v="4979"/>
    <x v="6"/>
    <x v="3"/>
  </r>
  <r>
    <n v="7902"/>
    <x v="3920"/>
    <x v="802"/>
    <d v="2018-08-18T00:00:00"/>
    <s v="Standard Class"/>
    <x v="419"/>
    <s v="Dan Campbell"/>
    <x v="0"/>
    <s v="United States"/>
    <s v="Memphis"/>
    <x v="18"/>
    <n v="38109"/>
    <x v="0"/>
    <x v="892"/>
    <x v="0"/>
    <x v="5"/>
    <x v="885"/>
    <x v="236"/>
    <x v="6"/>
    <x v="3"/>
  </r>
  <r>
    <n v="7903"/>
    <x v="3920"/>
    <x v="802"/>
    <d v="2018-08-18T00:00:00"/>
    <s v="Standard Class"/>
    <x v="419"/>
    <s v="Dan Campbell"/>
    <x v="0"/>
    <s v="United States"/>
    <s v="Memphis"/>
    <x v="18"/>
    <n v="38109"/>
    <x v="0"/>
    <x v="436"/>
    <x v="1"/>
    <x v="12"/>
    <x v="436"/>
    <x v="1787"/>
    <x v="6"/>
    <x v="3"/>
  </r>
  <r>
    <n v="7904"/>
    <x v="3920"/>
    <x v="802"/>
    <d v="2018-08-18T00:00:00"/>
    <s v="Standard Class"/>
    <x v="419"/>
    <s v="Dan Campbell"/>
    <x v="0"/>
    <s v="United States"/>
    <s v="Memphis"/>
    <x v="18"/>
    <n v="38109"/>
    <x v="0"/>
    <x v="1802"/>
    <x v="0"/>
    <x v="1"/>
    <x v="1792"/>
    <x v="4980"/>
    <x v="6"/>
    <x v="3"/>
  </r>
  <r>
    <n v="7905"/>
    <x v="3921"/>
    <x v="209"/>
    <d v="2016-11-13T00:00:00"/>
    <s v="Standard Class"/>
    <x v="770"/>
    <s v="Doug O'Connell"/>
    <x v="0"/>
    <s v="United States"/>
    <s v="Houston"/>
    <x v="5"/>
    <n v="77036"/>
    <x v="2"/>
    <x v="1052"/>
    <x v="1"/>
    <x v="10"/>
    <x v="1041"/>
    <x v="4981"/>
    <x v="0"/>
    <x v="1"/>
  </r>
  <r>
    <n v="7906"/>
    <x v="3922"/>
    <x v="52"/>
    <d v="2016-10-22T00:00:00"/>
    <s v="Standard Class"/>
    <x v="60"/>
    <s v="Lindsay Shagiari"/>
    <x v="2"/>
    <s v="United States"/>
    <s v="Dallas"/>
    <x v="5"/>
    <n v="75217"/>
    <x v="2"/>
    <x v="407"/>
    <x v="1"/>
    <x v="12"/>
    <x v="153"/>
    <x v="3743"/>
    <x v="2"/>
    <x v="1"/>
  </r>
  <r>
    <n v="7907"/>
    <x v="3922"/>
    <x v="52"/>
    <d v="2016-10-22T00:00:00"/>
    <s v="Standard Class"/>
    <x v="60"/>
    <s v="Lindsay Shagiari"/>
    <x v="2"/>
    <s v="United States"/>
    <s v="Dallas"/>
    <x v="5"/>
    <n v="75217"/>
    <x v="2"/>
    <x v="922"/>
    <x v="1"/>
    <x v="8"/>
    <x v="914"/>
    <x v="532"/>
    <x v="2"/>
    <x v="1"/>
  </r>
  <r>
    <n v="7908"/>
    <x v="3923"/>
    <x v="679"/>
    <d v="2017-08-02T00:00:00"/>
    <s v="First Class"/>
    <x v="338"/>
    <s v="Rob Williams"/>
    <x v="1"/>
    <s v="United States"/>
    <s v="San Francisco"/>
    <x v="1"/>
    <n v="94122"/>
    <x v="1"/>
    <x v="847"/>
    <x v="1"/>
    <x v="9"/>
    <x v="841"/>
    <x v="4019"/>
    <x v="7"/>
    <x v="0"/>
  </r>
  <r>
    <n v="7909"/>
    <x v="3924"/>
    <x v="275"/>
    <d v="2017-12-07T00:00:00"/>
    <s v="Standard Class"/>
    <x v="742"/>
    <s v="Roger Demir"/>
    <x v="0"/>
    <s v="United States"/>
    <s v="Morgan Hill"/>
    <x v="1"/>
    <n v="95037"/>
    <x v="1"/>
    <x v="823"/>
    <x v="0"/>
    <x v="3"/>
    <x v="819"/>
    <x v="4982"/>
    <x v="4"/>
    <x v="0"/>
  </r>
  <r>
    <n v="7910"/>
    <x v="3924"/>
    <x v="275"/>
    <d v="2017-12-07T00:00:00"/>
    <s v="Standard Class"/>
    <x v="742"/>
    <s v="Roger Demir"/>
    <x v="0"/>
    <s v="United States"/>
    <s v="Morgan Hill"/>
    <x v="1"/>
    <n v="95037"/>
    <x v="1"/>
    <x v="448"/>
    <x v="1"/>
    <x v="6"/>
    <x v="448"/>
    <x v="4983"/>
    <x v="4"/>
    <x v="0"/>
  </r>
  <r>
    <n v="7911"/>
    <x v="3924"/>
    <x v="275"/>
    <d v="2017-12-07T00:00:00"/>
    <s v="Standard Class"/>
    <x v="742"/>
    <s v="Roger Demir"/>
    <x v="0"/>
    <s v="United States"/>
    <s v="Morgan Hill"/>
    <x v="1"/>
    <n v="95037"/>
    <x v="1"/>
    <x v="720"/>
    <x v="1"/>
    <x v="4"/>
    <x v="719"/>
    <x v="4984"/>
    <x v="4"/>
    <x v="0"/>
  </r>
  <r>
    <n v="7912"/>
    <x v="3924"/>
    <x v="275"/>
    <d v="2017-12-07T00:00:00"/>
    <s v="Standard Class"/>
    <x v="742"/>
    <s v="Roger Demir"/>
    <x v="0"/>
    <s v="United States"/>
    <s v="Morgan Hill"/>
    <x v="1"/>
    <n v="95037"/>
    <x v="1"/>
    <x v="430"/>
    <x v="0"/>
    <x v="0"/>
    <x v="430"/>
    <x v="4153"/>
    <x v="4"/>
    <x v="0"/>
  </r>
  <r>
    <n v="7913"/>
    <x v="3925"/>
    <x v="236"/>
    <d v="2017-04-30T00:00:00"/>
    <s v="Second Class"/>
    <x v="262"/>
    <s v="Rob Beeghly"/>
    <x v="0"/>
    <s v="United States"/>
    <s v="Saint Charles"/>
    <x v="10"/>
    <n v="60174"/>
    <x v="2"/>
    <x v="767"/>
    <x v="0"/>
    <x v="5"/>
    <x v="766"/>
    <x v="4985"/>
    <x v="3"/>
    <x v="0"/>
  </r>
  <r>
    <n v="7914"/>
    <x v="3926"/>
    <x v="326"/>
    <d v="2018-08-27T00:00:00"/>
    <s v="First Class"/>
    <x v="555"/>
    <s v="Joe Elijah"/>
    <x v="0"/>
    <s v="United States"/>
    <s v="Cleveland"/>
    <x v="24"/>
    <n v="44105"/>
    <x v="3"/>
    <x v="1229"/>
    <x v="1"/>
    <x v="4"/>
    <x v="1212"/>
    <x v="4986"/>
    <x v="6"/>
    <x v="3"/>
  </r>
  <r>
    <n v="7915"/>
    <x v="3927"/>
    <x v="46"/>
    <d v="2018-06-21T00:00:00"/>
    <s v="Standard Class"/>
    <x v="256"/>
    <s v="Steven Roelle"/>
    <x v="2"/>
    <s v="United States"/>
    <s v="New York City"/>
    <x v="15"/>
    <n v="10024"/>
    <x v="3"/>
    <x v="1829"/>
    <x v="2"/>
    <x v="15"/>
    <x v="1817"/>
    <x v="4987"/>
    <x v="1"/>
    <x v="3"/>
  </r>
  <r>
    <n v="7916"/>
    <x v="3927"/>
    <x v="46"/>
    <d v="2018-06-21T00:00:00"/>
    <s v="Standard Class"/>
    <x v="256"/>
    <s v="Steven Roelle"/>
    <x v="2"/>
    <s v="United States"/>
    <s v="New York City"/>
    <x v="15"/>
    <n v="10024"/>
    <x v="3"/>
    <x v="1735"/>
    <x v="2"/>
    <x v="11"/>
    <x v="1724"/>
    <x v="3803"/>
    <x v="1"/>
    <x v="3"/>
  </r>
  <r>
    <n v="7917"/>
    <x v="3928"/>
    <x v="312"/>
    <d v="2016-11-24T00:00:00"/>
    <s v="Standard Class"/>
    <x v="285"/>
    <s v="Phillina Ober"/>
    <x v="2"/>
    <s v="United States"/>
    <s v="Philadelphia"/>
    <x v="9"/>
    <n v="19140"/>
    <x v="3"/>
    <x v="812"/>
    <x v="0"/>
    <x v="1"/>
    <x v="809"/>
    <x v="4988"/>
    <x v="0"/>
    <x v="1"/>
  </r>
  <r>
    <n v="7918"/>
    <x v="3929"/>
    <x v="507"/>
    <d v="2018-09-08T00:00:00"/>
    <s v="Second Class"/>
    <x v="451"/>
    <s v="Julie Kriz"/>
    <x v="2"/>
    <s v="United States"/>
    <s v="Garland"/>
    <x v="5"/>
    <n v="75043"/>
    <x v="2"/>
    <x v="108"/>
    <x v="1"/>
    <x v="6"/>
    <x v="108"/>
    <x v="4989"/>
    <x v="8"/>
    <x v="3"/>
  </r>
  <r>
    <n v="7919"/>
    <x v="3930"/>
    <x v="433"/>
    <d v="2016-07-08T00:00:00"/>
    <s v="Second Class"/>
    <x v="655"/>
    <s v="Julie Prescott"/>
    <x v="2"/>
    <s v="United States"/>
    <s v="San Diego"/>
    <x v="1"/>
    <n v="92024"/>
    <x v="1"/>
    <x v="276"/>
    <x v="1"/>
    <x v="8"/>
    <x v="276"/>
    <x v="2489"/>
    <x v="7"/>
    <x v="1"/>
  </r>
  <r>
    <n v="7920"/>
    <x v="3931"/>
    <x v="175"/>
    <d v="2018-09-21T00:00:00"/>
    <s v="Standard Class"/>
    <x v="656"/>
    <s v="Dean percer"/>
    <x v="2"/>
    <s v="United States"/>
    <s v="Waterbury"/>
    <x v="29"/>
    <n v="6708"/>
    <x v="3"/>
    <x v="1220"/>
    <x v="1"/>
    <x v="4"/>
    <x v="1204"/>
    <x v="4990"/>
    <x v="8"/>
    <x v="3"/>
  </r>
  <r>
    <n v="7921"/>
    <x v="3931"/>
    <x v="175"/>
    <d v="2018-09-21T00:00:00"/>
    <s v="Standard Class"/>
    <x v="656"/>
    <s v="Dean percer"/>
    <x v="2"/>
    <s v="United States"/>
    <s v="Waterbury"/>
    <x v="29"/>
    <n v="6708"/>
    <x v="3"/>
    <x v="1600"/>
    <x v="2"/>
    <x v="11"/>
    <x v="1592"/>
    <x v="2759"/>
    <x v="8"/>
    <x v="3"/>
  </r>
  <r>
    <n v="7922"/>
    <x v="3932"/>
    <x v="677"/>
    <d v="2018-03-17T00:00:00"/>
    <s v="Standard Class"/>
    <x v="677"/>
    <s v="Joy Bell-"/>
    <x v="0"/>
    <s v="United States"/>
    <s v="Columbia"/>
    <x v="39"/>
    <n v="21044"/>
    <x v="3"/>
    <x v="920"/>
    <x v="1"/>
    <x v="8"/>
    <x v="912"/>
    <x v="4991"/>
    <x v="10"/>
    <x v="3"/>
  </r>
  <r>
    <n v="7923"/>
    <x v="3933"/>
    <x v="241"/>
    <d v="2018-09-29T00:00:00"/>
    <s v="Standard Class"/>
    <x v="452"/>
    <s v="Paul Prost"/>
    <x v="2"/>
    <s v="United States"/>
    <s v="Hollywood"/>
    <x v="2"/>
    <n v="33021"/>
    <x v="0"/>
    <x v="1485"/>
    <x v="2"/>
    <x v="7"/>
    <x v="1472"/>
    <x v="3202"/>
    <x v="8"/>
    <x v="3"/>
  </r>
  <r>
    <n v="7924"/>
    <x v="3933"/>
    <x v="241"/>
    <d v="2018-09-29T00:00:00"/>
    <s v="Standard Class"/>
    <x v="452"/>
    <s v="Paul Prost"/>
    <x v="2"/>
    <s v="United States"/>
    <s v="Hollywood"/>
    <x v="2"/>
    <n v="33021"/>
    <x v="0"/>
    <x v="153"/>
    <x v="1"/>
    <x v="8"/>
    <x v="154"/>
    <x v="4735"/>
    <x v="8"/>
    <x v="3"/>
  </r>
  <r>
    <n v="7925"/>
    <x v="3934"/>
    <x v="572"/>
    <d v="2017-08-16T00:00:00"/>
    <s v="First Class"/>
    <x v="167"/>
    <s v="Roy Französisch"/>
    <x v="0"/>
    <s v="United States"/>
    <s v="Springfield"/>
    <x v="17"/>
    <n v="22153"/>
    <x v="0"/>
    <x v="78"/>
    <x v="1"/>
    <x v="8"/>
    <x v="78"/>
    <x v="4545"/>
    <x v="6"/>
    <x v="0"/>
  </r>
  <r>
    <n v="7926"/>
    <x v="3934"/>
    <x v="572"/>
    <d v="2017-08-16T00:00:00"/>
    <s v="First Class"/>
    <x v="167"/>
    <s v="Roy Französisch"/>
    <x v="0"/>
    <s v="United States"/>
    <s v="Springfield"/>
    <x v="17"/>
    <n v="22153"/>
    <x v="0"/>
    <x v="429"/>
    <x v="1"/>
    <x v="2"/>
    <x v="429"/>
    <x v="819"/>
    <x v="6"/>
    <x v="0"/>
  </r>
  <r>
    <n v="7927"/>
    <x v="3935"/>
    <x v="225"/>
    <d v="2018-11-24T00:00:00"/>
    <s v="Second Class"/>
    <x v="542"/>
    <s v="Katharine Harms"/>
    <x v="1"/>
    <s v="United States"/>
    <s v="New York City"/>
    <x v="15"/>
    <n v="10035"/>
    <x v="3"/>
    <x v="1430"/>
    <x v="2"/>
    <x v="11"/>
    <x v="1418"/>
    <x v="1179"/>
    <x v="0"/>
    <x v="3"/>
  </r>
  <r>
    <n v="7928"/>
    <x v="3935"/>
    <x v="225"/>
    <d v="2018-11-24T00:00:00"/>
    <s v="Second Class"/>
    <x v="542"/>
    <s v="Katharine Harms"/>
    <x v="1"/>
    <s v="United States"/>
    <s v="New York City"/>
    <x v="15"/>
    <n v="10035"/>
    <x v="3"/>
    <x v="432"/>
    <x v="2"/>
    <x v="7"/>
    <x v="432"/>
    <x v="4992"/>
    <x v="0"/>
    <x v="3"/>
  </r>
  <r>
    <n v="7929"/>
    <x v="3935"/>
    <x v="225"/>
    <d v="2018-11-24T00:00:00"/>
    <s v="Second Class"/>
    <x v="542"/>
    <s v="Katharine Harms"/>
    <x v="1"/>
    <s v="United States"/>
    <s v="New York City"/>
    <x v="15"/>
    <n v="10035"/>
    <x v="3"/>
    <x v="1793"/>
    <x v="0"/>
    <x v="5"/>
    <x v="1783"/>
    <x v="4187"/>
    <x v="0"/>
    <x v="3"/>
  </r>
  <r>
    <n v="7930"/>
    <x v="3936"/>
    <x v="800"/>
    <d v="2018-07-27T00:00:00"/>
    <s v="First Class"/>
    <x v="773"/>
    <s v="Evan Minnotte"/>
    <x v="2"/>
    <s v="United States"/>
    <s v="Dallas"/>
    <x v="5"/>
    <n v="75217"/>
    <x v="2"/>
    <x v="1169"/>
    <x v="0"/>
    <x v="3"/>
    <x v="1156"/>
    <x v="4993"/>
    <x v="7"/>
    <x v="3"/>
  </r>
  <r>
    <n v="7931"/>
    <x v="3937"/>
    <x v="869"/>
    <d v="2017-03-27T00:00:00"/>
    <s v="Second Class"/>
    <x v="460"/>
    <s v="Damala Kotsonis"/>
    <x v="1"/>
    <s v="United States"/>
    <s v="New York City"/>
    <x v="15"/>
    <n v="10024"/>
    <x v="3"/>
    <x v="1041"/>
    <x v="1"/>
    <x v="6"/>
    <x v="1030"/>
    <x v="423"/>
    <x v="10"/>
    <x v="0"/>
  </r>
  <r>
    <n v="7932"/>
    <x v="3938"/>
    <x v="692"/>
    <d v="2017-07-20T00:00:00"/>
    <s v="Standard Class"/>
    <x v="466"/>
    <s v="Mark Cousins"/>
    <x v="1"/>
    <s v="United States"/>
    <s v="Portland"/>
    <x v="21"/>
    <n v="97206"/>
    <x v="1"/>
    <x v="370"/>
    <x v="0"/>
    <x v="1"/>
    <x v="371"/>
    <x v="2145"/>
    <x v="7"/>
    <x v="0"/>
  </r>
  <r>
    <n v="7933"/>
    <x v="3938"/>
    <x v="692"/>
    <d v="2017-07-20T00:00:00"/>
    <s v="Standard Class"/>
    <x v="466"/>
    <s v="Mark Cousins"/>
    <x v="1"/>
    <s v="United States"/>
    <s v="Portland"/>
    <x v="21"/>
    <n v="97206"/>
    <x v="1"/>
    <x v="954"/>
    <x v="1"/>
    <x v="10"/>
    <x v="947"/>
    <x v="151"/>
    <x v="7"/>
    <x v="0"/>
  </r>
  <r>
    <n v="7934"/>
    <x v="3939"/>
    <x v="629"/>
    <d v="2018-08-24T00:00:00"/>
    <s v="Standard Class"/>
    <x v="459"/>
    <s v="Rick Wilson"/>
    <x v="1"/>
    <s v="United States"/>
    <s v="Brentwood"/>
    <x v="1"/>
    <n v="94513"/>
    <x v="1"/>
    <x v="1040"/>
    <x v="1"/>
    <x v="12"/>
    <x v="153"/>
    <x v="368"/>
    <x v="6"/>
    <x v="3"/>
  </r>
  <r>
    <n v="7935"/>
    <x v="3939"/>
    <x v="629"/>
    <d v="2018-08-24T00:00:00"/>
    <s v="Standard Class"/>
    <x v="459"/>
    <s v="Rick Wilson"/>
    <x v="1"/>
    <s v="United States"/>
    <s v="Brentwood"/>
    <x v="1"/>
    <n v="94513"/>
    <x v="1"/>
    <x v="993"/>
    <x v="2"/>
    <x v="7"/>
    <x v="985"/>
    <x v="973"/>
    <x v="6"/>
    <x v="3"/>
  </r>
  <r>
    <n v="7936"/>
    <x v="3939"/>
    <x v="629"/>
    <d v="2018-08-24T00:00:00"/>
    <s v="Standard Class"/>
    <x v="459"/>
    <s v="Rick Wilson"/>
    <x v="1"/>
    <s v="United States"/>
    <s v="Brentwood"/>
    <x v="1"/>
    <n v="94513"/>
    <x v="1"/>
    <x v="1117"/>
    <x v="1"/>
    <x v="10"/>
    <x v="1105"/>
    <x v="18"/>
    <x v="6"/>
    <x v="3"/>
  </r>
  <r>
    <n v="7937"/>
    <x v="3939"/>
    <x v="629"/>
    <d v="2018-08-24T00:00:00"/>
    <s v="Standard Class"/>
    <x v="459"/>
    <s v="Rick Wilson"/>
    <x v="1"/>
    <s v="United States"/>
    <s v="Brentwood"/>
    <x v="1"/>
    <n v="94513"/>
    <x v="1"/>
    <x v="1458"/>
    <x v="1"/>
    <x v="8"/>
    <x v="1444"/>
    <x v="3961"/>
    <x v="6"/>
    <x v="3"/>
  </r>
  <r>
    <n v="7938"/>
    <x v="3939"/>
    <x v="629"/>
    <d v="2018-08-24T00:00:00"/>
    <s v="Standard Class"/>
    <x v="459"/>
    <s v="Rick Wilson"/>
    <x v="1"/>
    <s v="United States"/>
    <s v="Brentwood"/>
    <x v="1"/>
    <n v="94513"/>
    <x v="1"/>
    <x v="137"/>
    <x v="1"/>
    <x v="9"/>
    <x v="138"/>
    <x v="4994"/>
    <x v="6"/>
    <x v="3"/>
  </r>
  <r>
    <n v="7939"/>
    <x v="3939"/>
    <x v="629"/>
    <d v="2018-08-24T00:00:00"/>
    <s v="Standard Class"/>
    <x v="459"/>
    <s v="Rick Wilson"/>
    <x v="1"/>
    <s v="United States"/>
    <s v="Brentwood"/>
    <x v="1"/>
    <n v="94513"/>
    <x v="1"/>
    <x v="734"/>
    <x v="1"/>
    <x v="4"/>
    <x v="733"/>
    <x v="857"/>
    <x v="6"/>
    <x v="3"/>
  </r>
  <r>
    <n v="7940"/>
    <x v="3939"/>
    <x v="629"/>
    <d v="2018-08-24T00:00:00"/>
    <s v="Standard Class"/>
    <x v="459"/>
    <s v="Rick Wilson"/>
    <x v="1"/>
    <s v="United States"/>
    <s v="Brentwood"/>
    <x v="1"/>
    <n v="94513"/>
    <x v="1"/>
    <x v="655"/>
    <x v="1"/>
    <x v="8"/>
    <x v="655"/>
    <x v="4995"/>
    <x v="6"/>
    <x v="3"/>
  </r>
  <r>
    <n v="7941"/>
    <x v="3940"/>
    <x v="882"/>
    <d v="2017-12-17T00:00:00"/>
    <s v="First Class"/>
    <x v="103"/>
    <s v="David Smith"/>
    <x v="1"/>
    <s v="United States"/>
    <s v="San Diego"/>
    <x v="1"/>
    <n v="92037"/>
    <x v="1"/>
    <x v="64"/>
    <x v="0"/>
    <x v="1"/>
    <x v="124"/>
    <x v="125"/>
    <x v="4"/>
    <x v="0"/>
  </r>
  <r>
    <n v="7942"/>
    <x v="3940"/>
    <x v="882"/>
    <d v="2017-12-17T00:00:00"/>
    <s v="First Class"/>
    <x v="103"/>
    <s v="David Smith"/>
    <x v="1"/>
    <s v="United States"/>
    <s v="San Diego"/>
    <x v="1"/>
    <n v="92037"/>
    <x v="1"/>
    <x v="146"/>
    <x v="1"/>
    <x v="4"/>
    <x v="147"/>
    <x v="4996"/>
    <x v="4"/>
    <x v="0"/>
  </r>
  <r>
    <n v="7943"/>
    <x v="3941"/>
    <x v="53"/>
    <d v="2019-01-01T00:00:00"/>
    <s v="Standard Class"/>
    <x v="315"/>
    <s v="Guy Armstrong"/>
    <x v="0"/>
    <s v="United States"/>
    <s v="Dallas"/>
    <x v="5"/>
    <n v="75081"/>
    <x v="2"/>
    <x v="715"/>
    <x v="1"/>
    <x v="8"/>
    <x v="714"/>
    <x v="4997"/>
    <x v="4"/>
    <x v="3"/>
  </r>
  <r>
    <n v="7944"/>
    <x v="3941"/>
    <x v="53"/>
    <d v="2019-01-01T00:00:00"/>
    <s v="Standard Class"/>
    <x v="315"/>
    <s v="Guy Armstrong"/>
    <x v="0"/>
    <s v="United States"/>
    <s v="Dallas"/>
    <x v="5"/>
    <n v="75081"/>
    <x v="2"/>
    <x v="1444"/>
    <x v="1"/>
    <x v="14"/>
    <x v="327"/>
    <x v="4998"/>
    <x v="4"/>
    <x v="3"/>
  </r>
  <r>
    <n v="7945"/>
    <x v="3941"/>
    <x v="53"/>
    <d v="2019-01-01T00:00:00"/>
    <s v="Standard Class"/>
    <x v="315"/>
    <s v="Guy Armstrong"/>
    <x v="0"/>
    <s v="United States"/>
    <s v="Dallas"/>
    <x v="5"/>
    <n v="75081"/>
    <x v="2"/>
    <x v="1500"/>
    <x v="1"/>
    <x v="6"/>
    <x v="1488"/>
    <x v="3993"/>
    <x v="4"/>
    <x v="3"/>
  </r>
  <r>
    <n v="7946"/>
    <x v="3941"/>
    <x v="53"/>
    <d v="2019-01-01T00:00:00"/>
    <s v="Standard Class"/>
    <x v="315"/>
    <s v="Guy Armstrong"/>
    <x v="0"/>
    <s v="United States"/>
    <s v="Dallas"/>
    <x v="5"/>
    <n v="75081"/>
    <x v="2"/>
    <x v="800"/>
    <x v="1"/>
    <x v="8"/>
    <x v="798"/>
    <x v="4999"/>
    <x v="4"/>
    <x v="3"/>
  </r>
  <r>
    <n v="7947"/>
    <x v="3941"/>
    <x v="53"/>
    <d v="2019-01-01T00:00:00"/>
    <s v="Standard Class"/>
    <x v="315"/>
    <s v="Guy Armstrong"/>
    <x v="0"/>
    <s v="United States"/>
    <s v="Dallas"/>
    <x v="5"/>
    <n v="75081"/>
    <x v="2"/>
    <x v="1085"/>
    <x v="1"/>
    <x v="8"/>
    <x v="1075"/>
    <x v="754"/>
    <x v="4"/>
    <x v="3"/>
  </r>
  <r>
    <n v="7948"/>
    <x v="3942"/>
    <x v="72"/>
    <d v="2015-03-05T00:00:00"/>
    <s v="Standard Class"/>
    <x v="618"/>
    <s v="Shahid Collister"/>
    <x v="0"/>
    <s v="United States"/>
    <s v="El Paso"/>
    <x v="5"/>
    <n v="79907"/>
    <x v="2"/>
    <x v="1217"/>
    <x v="1"/>
    <x v="13"/>
    <x v="1201"/>
    <x v="605"/>
    <x v="10"/>
    <x v="2"/>
  </r>
  <r>
    <n v="7949"/>
    <x v="3942"/>
    <x v="72"/>
    <d v="2015-03-05T00:00:00"/>
    <s v="Standard Class"/>
    <x v="618"/>
    <s v="Shahid Collister"/>
    <x v="0"/>
    <s v="United States"/>
    <s v="El Paso"/>
    <x v="5"/>
    <n v="79907"/>
    <x v="2"/>
    <x v="866"/>
    <x v="0"/>
    <x v="1"/>
    <x v="860"/>
    <x v="5000"/>
    <x v="10"/>
    <x v="2"/>
  </r>
  <r>
    <n v="7950"/>
    <x v="3942"/>
    <x v="72"/>
    <d v="2015-03-05T00:00:00"/>
    <s v="Standard Class"/>
    <x v="618"/>
    <s v="Shahid Collister"/>
    <x v="0"/>
    <s v="United States"/>
    <s v="El Paso"/>
    <x v="5"/>
    <n v="79907"/>
    <x v="2"/>
    <x v="750"/>
    <x v="0"/>
    <x v="5"/>
    <x v="748"/>
    <x v="3020"/>
    <x v="10"/>
    <x v="2"/>
  </r>
  <r>
    <n v="7951"/>
    <x v="3942"/>
    <x v="72"/>
    <d v="2015-03-05T00:00:00"/>
    <s v="Standard Class"/>
    <x v="618"/>
    <s v="Shahid Collister"/>
    <x v="0"/>
    <s v="United States"/>
    <s v="El Paso"/>
    <x v="5"/>
    <n v="79907"/>
    <x v="2"/>
    <x v="398"/>
    <x v="1"/>
    <x v="4"/>
    <x v="399"/>
    <x v="5001"/>
    <x v="10"/>
    <x v="2"/>
  </r>
  <r>
    <n v="7952"/>
    <x v="3943"/>
    <x v="902"/>
    <d v="2016-11-24T00:00:00"/>
    <s v="Standard Class"/>
    <x v="44"/>
    <s v="Katherine Ducich"/>
    <x v="0"/>
    <s v="United States"/>
    <s v="New York City"/>
    <x v="15"/>
    <n v="10035"/>
    <x v="3"/>
    <x v="1390"/>
    <x v="1"/>
    <x v="8"/>
    <x v="1376"/>
    <x v="4290"/>
    <x v="0"/>
    <x v="1"/>
  </r>
  <r>
    <n v="7953"/>
    <x v="3943"/>
    <x v="902"/>
    <d v="2016-11-24T00:00:00"/>
    <s v="Standard Class"/>
    <x v="44"/>
    <s v="Katherine Ducich"/>
    <x v="0"/>
    <s v="United States"/>
    <s v="New York City"/>
    <x v="15"/>
    <n v="10035"/>
    <x v="3"/>
    <x v="883"/>
    <x v="2"/>
    <x v="7"/>
    <x v="1480"/>
    <x v="5002"/>
    <x v="0"/>
    <x v="1"/>
  </r>
  <r>
    <n v="7954"/>
    <x v="3944"/>
    <x v="470"/>
    <d v="2015-04-06T00:00:00"/>
    <s v="Standard Class"/>
    <x v="542"/>
    <s v="Katharine Harms"/>
    <x v="1"/>
    <s v="United States"/>
    <s v="Revere"/>
    <x v="31"/>
    <n v="2151"/>
    <x v="3"/>
    <x v="1764"/>
    <x v="1"/>
    <x v="4"/>
    <x v="1753"/>
    <x v="5003"/>
    <x v="3"/>
    <x v="2"/>
  </r>
  <r>
    <n v="7955"/>
    <x v="3944"/>
    <x v="470"/>
    <d v="2015-04-06T00:00:00"/>
    <s v="Standard Class"/>
    <x v="542"/>
    <s v="Katharine Harms"/>
    <x v="1"/>
    <s v="United States"/>
    <s v="Revere"/>
    <x v="31"/>
    <n v="2151"/>
    <x v="3"/>
    <x v="744"/>
    <x v="1"/>
    <x v="8"/>
    <x v="742"/>
    <x v="869"/>
    <x v="3"/>
    <x v="2"/>
  </r>
  <r>
    <n v="7956"/>
    <x v="3945"/>
    <x v="361"/>
    <d v="2018-10-10T00:00:00"/>
    <s v="Standard Class"/>
    <x v="55"/>
    <s v="Greg Guthrie"/>
    <x v="1"/>
    <s v="United States"/>
    <s v="Chico"/>
    <x v="1"/>
    <n v="95928"/>
    <x v="1"/>
    <x v="1349"/>
    <x v="0"/>
    <x v="1"/>
    <x v="1335"/>
    <x v="4828"/>
    <x v="2"/>
    <x v="3"/>
  </r>
  <r>
    <n v="7957"/>
    <x v="3945"/>
    <x v="361"/>
    <d v="2018-10-10T00:00:00"/>
    <s v="Standard Class"/>
    <x v="55"/>
    <s v="Greg Guthrie"/>
    <x v="1"/>
    <s v="United States"/>
    <s v="Chico"/>
    <x v="1"/>
    <n v="95928"/>
    <x v="1"/>
    <x v="127"/>
    <x v="1"/>
    <x v="13"/>
    <x v="128"/>
    <x v="81"/>
    <x v="2"/>
    <x v="3"/>
  </r>
  <r>
    <n v="7958"/>
    <x v="3945"/>
    <x v="361"/>
    <d v="2018-10-10T00:00:00"/>
    <s v="Standard Class"/>
    <x v="55"/>
    <s v="Greg Guthrie"/>
    <x v="1"/>
    <s v="United States"/>
    <s v="Chico"/>
    <x v="1"/>
    <n v="95928"/>
    <x v="1"/>
    <x v="1683"/>
    <x v="1"/>
    <x v="9"/>
    <x v="1671"/>
    <x v="2347"/>
    <x v="2"/>
    <x v="3"/>
  </r>
  <r>
    <n v="7959"/>
    <x v="3945"/>
    <x v="361"/>
    <d v="2018-10-10T00:00:00"/>
    <s v="Standard Class"/>
    <x v="55"/>
    <s v="Greg Guthrie"/>
    <x v="1"/>
    <s v="United States"/>
    <s v="Chico"/>
    <x v="1"/>
    <n v="95928"/>
    <x v="1"/>
    <x v="1474"/>
    <x v="0"/>
    <x v="5"/>
    <x v="1461"/>
    <x v="5004"/>
    <x v="2"/>
    <x v="3"/>
  </r>
  <r>
    <n v="7960"/>
    <x v="3945"/>
    <x v="361"/>
    <d v="2018-10-10T00:00:00"/>
    <s v="Standard Class"/>
    <x v="55"/>
    <s v="Greg Guthrie"/>
    <x v="1"/>
    <s v="United States"/>
    <s v="Chico"/>
    <x v="1"/>
    <n v="95928"/>
    <x v="1"/>
    <x v="838"/>
    <x v="0"/>
    <x v="3"/>
    <x v="832"/>
    <x v="5005"/>
    <x v="2"/>
    <x v="3"/>
  </r>
  <r>
    <n v="7961"/>
    <x v="3945"/>
    <x v="361"/>
    <d v="2018-10-10T00:00:00"/>
    <s v="Standard Class"/>
    <x v="55"/>
    <s v="Greg Guthrie"/>
    <x v="1"/>
    <s v="United States"/>
    <s v="Chico"/>
    <x v="1"/>
    <n v="95928"/>
    <x v="1"/>
    <x v="312"/>
    <x v="2"/>
    <x v="7"/>
    <x v="312"/>
    <x v="462"/>
    <x v="2"/>
    <x v="3"/>
  </r>
  <r>
    <n v="7962"/>
    <x v="3946"/>
    <x v="551"/>
    <d v="2018-11-23T00:00:00"/>
    <s v="Second Class"/>
    <x v="40"/>
    <s v="Jim Sink"/>
    <x v="1"/>
    <s v="United States"/>
    <s v="Miramar"/>
    <x v="2"/>
    <n v="33023"/>
    <x v="0"/>
    <x v="1512"/>
    <x v="1"/>
    <x v="4"/>
    <x v="1499"/>
    <x v="5006"/>
    <x v="0"/>
    <x v="3"/>
  </r>
  <r>
    <n v="7963"/>
    <x v="3946"/>
    <x v="551"/>
    <d v="2018-11-23T00:00:00"/>
    <s v="Second Class"/>
    <x v="40"/>
    <s v="Jim Sink"/>
    <x v="1"/>
    <s v="United States"/>
    <s v="Miramar"/>
    <x v="2"/>
    <n v="33023"/>
    <x v="0"/>
    <x v="674"/>
    <x v="1"/>
    <x v="8"/>
    <x v="674"/>
    <x v="3163"/>
    <x v="0"/>
    <x v="3"/>
  </r>
  <r>
    <n v="7964"/>
    <x v="3946"/>
    <x v="551"/>
    <d v="2018-11-23T00:00:00"/>
    <s v="Second Class"/>
    <x v="40"/>
    <s v="Jim Sink"/>
    <x v="1"/>
    <s v="United States"/>
    <s v="Miramar"/>
    <x v="2"/>
    <n v="33023"/>
    <x v="0"/>
    <x v="166"/>
    <x v="1"/>
    <x v="9"/>
    <x v="167"/>
    <x v="5007"/>
    <x v="0"/>
    <x v="3"/>
  </r>
  <r>
    <n v="7965"/>
    <x v="3946"/>
    <x v="551"/>
    <d v="2018-11-23T00:00:00"/>
    <s v="Second Class"/>
    <x v="40"/>
    <s v="Jim Sink"/>
    <x v="1"/>
    <s v="United States"/>
    <s v="Miramar"/>
    <x v="2"/>
    <n v="33023"/>
    <x v="0"/>
    <x v="1516"/>
    <x v="1"/>
    <x v="10"/>
    <x v="1503"/>
    <x v="557"/>
    <x v="0"/>
    <x v="3"/>
  </r>
  <r>
    <n v="7966"/>
    <x v="3946"/>
    <x v="551"/>
    <d v="2018-11-23T00:00:00"/>
    <s v="Second Class"/>
    <x v="40"/>
    <s v="Jim Sink"/>
    <x v="1"/>
    <s v="United States"/>
    <s v="Miramar"/>
    <x v="2"/>
    <n v="33023"/>
    <x v="0"/>
    <x v="1165"/>
    <x v="1"/>
    <x v="10"/>
    <x v="1152"/>
    <x v="753"/>
    <x v="0"/>
    <x v="3"/>
  </r>
  <r>
    <n v="7967"/>
    <x v="3947"/>
    <x v="391"/>
    <d v="2016-03-30T00:00:00"/>
    <s v="Standard Class"/>
    <x v="162"/>
    <s v="Bart Pistole"/>
    <x v="1"/>
    <s v="United States"/>
    <s v="Los Angeles"/>
    <x v="1"/>
    <n v="90049"/>
    <x v="1"/>
    <x v="1305"/>
    <x v="1"/>
    <x v="10"/>
    <x v="1290"/>
    <x v="1707"/>
    <x v="10"/>
    <x v="1"/>
  </r>
  <r>
    <n v="7968"/>
    <x v="3948"/>
    <x v="1155"/>
    <d v="2017-10-12T00:00:00"/>
    <s v="First Class"/>
    <x v="566"/>
    <s v="Corey Catlett"/>
    <x v="1"/>
    <s v="United States"/>
    <s v="Denver"/>
    <x v="22"/>
    <n v="80219"/>
    <x v="1"/>
    <x v="1830"/>
    <x v="0"/>
    <x v="0"/>
    <x v="1818"/>
    <x v="4953"/>
    <x v="2"/>
    <x v="0"/>
  </r>
  <r>
    <n v="7969"/>
    <x v="3948"/>
    <x v="1155"/>
    <d v="2017-10-12T00:00:00"/>
    <s v="First Class"/>
    <x v="566"/>
    <s v="Corey Catlett"/>
    <x v="1"/>
    <s v="United States"/>
    <s v="Denver"/>
    <x v="22"/>
    <n v="80219"/>
    <x v="1"/>
    <x v="1730"/>
    <x v="2"/>
    <x v="7"/>
    <x v="1717"/>
    <x v="312"/>
    <x v="2"/>
    <x v="0"/>
  </r>
  <r>
    <n v="7970"/>
    <x v="3948"/>
    <x v="1155"/>
    <d v="2017-10-12T00:00:00"/>
    <s v="First Class"/>
    <x v="566"/>
    <s v="Corey Catlett"/>
    <x v="1"/>
    <s v="United States"/>
    <s v="Denver"/>
    <x v="22"/>
    <n v="80219"/>
    <x v="1"/>
    <x v="531"/>
    <x v="0"/>
    <x v="1"/>
    <x v="531"/>
    <x v="3115"/>
    <x v="2"/>
    <x v="0"/>
  </r>
  <r>
    <n v="7971"/>
    <x v="3949"/>
    <x v="748"/>
    <d v="2016-08-20T00:00:00"/>
    <s v="Standard Class"/>
    <x v="133"/>
    <s v="Sung Pak"/>
    <x v="1"/>
    <s v="United States"/>
    <s v="Philadelphia"/>
    <x v="9"/>
    <n v="19134"/>
    <x v="3"/>
    <x v="1015"/>
    <x v="2"/>
    <x v="7"/>
    <x v="1006"/>
    <x v="5008"/>
    <x v="6"/>
    <x v="1"/>
  </r>
  <r>
    <n v="7972"/>
    <x v="3949"/>
    <x v="748"/>
    <d v="2016-08-20T00:00:00"/>
    <s v="Standard Class"/>
    <x v="133"/>
    <s v="Sung Pak"/>
    <x v="1"/>
    <s v="United States"/>
    <s v="Philadelphia"/>
    <x v="9"/>
    <n v="19134"/>
    <x v="3"/>
    <x v="1421"/>
    <x v="2"/>
    <x v="11"/>
    <x v="1409"/>
    <x v="5009"/>
    <x v="6"/>
    <x v="1"/>
  </r>
  <r>
    <n v="7973"/>
    <x v="3949"/>
    <x v="748"/>
    <d v="2016-08-20T00:00:00"/>
    <s v="Standard Class"/>
    <x v="133"/>
    <s v="Sung Pak"/>
    <x v="1"/>
    <s v="United States"/>
    <s v="Philadelphia"/>
    <x v="9"/>
    <n v="19134"/>
    <x v="3"/>
    <x v="1290"/>
    <x v="1"/>
    <x v="10"/>
    <x v="1276"/>
    <x v="559"/>
    <x v="6"/>
    <x v="1"/>
  </r>
  <r>
    <n v="7974"/>
    <x v="3949"/>
    <x v="748"/>
    <d v="2016-08-20T00:00:00"/>
    <s v="Standard Class"/>
    <x v="133"/>
    <s v="Sung Pak"/>
    <x v="1"/>
    <s v="United States"/>
    <s v="Philadelphia"/>
    <x v="9"/>
    <n v="19134"/>
    <x v="3"/>
    <x v="109"/>
    <x v="1"/>
    <x v="8"/>
    <x v="109"/>
    <x v="625"/>
    <x v="6"/>
    <x v="1"/>
  </r>
  <r>
    <n v="7975"/>
    <x v="3949"/>
    <x v="748"/>
    <d v="2016-08-20T00:00:00"/>
    <s v="Standard Class"/>
    <x v="133"/>
    <s v="Sung Pak"/>
    <x v="1"/>
    <s v="United States"/>
    <s v="Philadelphia"/>
    <x v="9"/>
    <n v="19134"/>
    <x v="3"/>
    <x v="1060"/>
    <x v="0"/>
    <x v="5"/>
    <x v="1049"/>
    <x v="1796"/>
    <x v="6"/>
    <x v="1"/>
  </r>
  <r>
    <n v="7976"/>
    <x v="3949"/>
    <x v="748"/>
    <d v="2016-08-20T00:00:00"/>
    <s v="Standard Class"/>
    <x v="133"/>
    <s v="Sung Pak"/>
    <x v="1"/>
    <s v="United States"/>
    <s v="Philadelphia"/>
    <x v="9"/>
    <n v="19134"/>
    <x v="3"/>
    <x v="807"/>
    <x v="1"/>
    <x v="8"/>
    <x v="805"/>
    <x v="5010"/>
    <x v="6"/>
    <x v="1"/>
  </r>
  <r>
    <n v="7977"/>
    <x v="3949"/>
    <x v="748"/>
    <d v="2016-08-20T00:00:00"/>
    <s v="Standard Class"/>
    <x v="133"/>
    <s v="Sung Pak"/>
    <x v="1"/>
    <s v="United States"/>
    <s v="Philadelphia"/>
    <x v="9"/>
    <n v="19134"/>
    <x v="3"/>
    <x v="1012"/>
    <x v="1"/>
    <x v="10"/>
    <x v="1004"/>
    <x v="1495"/>
    <x v="6"/>
    <x v="1"/>
  </r>
  <r>
    <n v="7978"/>
    <x v="3950"/>
    <x v="1178"/>
    <d v="2015-06-05T00:00:00"/>
    <s v="Standard Class"/>
    <x v="600"/>
    <s v="Jim Karlsson"/>
    <x v="0"/>
    <s v="United States"/>
    <s v="Jackson"/>
    <x v="35"/>
    <n v="39212"/>
    <x v="0"/>
    <x v="420"/>
    <x v="2"/>
    <x v="7"/>
    <x v="420"/>
    <x v="5011"/>
    <x v="5"/>
    <x v="2"/>
  </r>
  <r>
    <n v="7979"/>
    <x v="3950"/>
    <x v="1178"/>
    <d v="2015-06-05T00:00:00"/>
    <s v="Standard Class"/>
    <x v="600"/>
    <s v="Jim Karlsson"/>
    <x v="0"/>
    <s v="United States"/>
    <s v="Jackson"/>
    <x v="35"/>
    <n v="39212"/>
    <x v="0"/>
    <x v="529"/>
    <x v="2"/>
    <x v="7"/>
    <x v="529"/>
    <x v="4175"/>
    <x v="5"/>
    <x v="2"/>
  </r>
  <r>
    <n v="7980"/>
    <x v="3951"/>
    <x v="375"/>
    <d v="2016-08-31T00:00:00"/>
    <s v="Standard Class"/>
    <x v="385"/>
    <s v="Chad Cunningham"/>
    <x v="2"/>
    <s v="United States"/>
    <s v="Los Angeles"/>
    <x v="1"/>
    <n v="90045"/>
    <x v="1"/>
    <x v="1206"/>
    <x v="1"/>
    <x v="8"/>
    <x v="1191"/>
    <x v="1670"/>
    <x v="6"/>
    <x v="1"/>
  </r>
  <r>
    <n v="7981"/>
    <x v="3952"/>
    <x v="1179"/>
    <d v="2015-01-07T00:00:00"/>
    <s v="Standard Class"/>
    <x v="24"/>
    <s v="Darren Powers"/>
    <x v="0"/>
    <s v="United States"/>
    <s v="Houston"/>
    <x v="5"/>
    <n v="77095"/>
    <x v="2"/>
    <x v="1536"/>
    <x v="1"/>
    <x v="10"/>
    <x v="1524"/>
    <x v="2789"/>
    <x v="9"/>
    <x v="2"/>
  </r>
  <r>
    <n v="7982"/>
    <x v="3953"/>
    <x v="1076"/>
    <d v="2015-09-13T00:00:00"/>
    <s v="First Class"/>
    <x v="11"/>
    <s v="Sandra Flanagan"/>
    <x v="0"/>
    <s v="United States"/>
    <s v="Clifton"/>
    <x v="30"/>
    <n v="7011"/>
    <x v="3"/>
    <x v="564"/>
    <x v="1"/>
    <x v="9"/>
    <x v="564"/>
    <x v="1058"/>
    <x v="8"/>
    <x v="2"/>
  </r>
  <r>
    <n v="7983"/>
    <x v="3953"/>
    <x v="1076"/>
    <d v="2015-09-13T00:00:00"/>
    <s v="First Class"/>
    <x v="11"/>
    <s v="Sandra Flanagan"/>
    <x v="0"/>
    <s v="United States"/>
    <s v="Clifton"/>
    <x v="30"/>
    <n v="7011"/>
    <x v="3"/>
    <x v="1154"/>
    <x v="0"/>
    <x v="5"/>
    <x v="1142"/>
    <x v="2518"/>
    <x v="8"/>
    <x v="2"/>
  </r>
  <r>
    <n v="7984"/>
    <x v="3954"/>
    <x v="203"/>
    <d v="2018-01-25T00:00:00"/>
    <s v="Second Class"/>
    <x v="553"/>
    <s v="Edward Hooks"/>
    <x v="1"/>
    <s v="United States"/>
    <s v="Chicago"/>
    <x v="10"/>
    <n v="60623"/>
    <x v="2"/>
    <x v="1228"/>
    <x v="1"/>
    <x v="13"/>
    <x v="128"/>
    <x v="1138"/>
    <x v="9"/>
    <x v="3"/>
  </r>
  <r>
    <n v="7985"/>
    <x v="3954"/>
    <x v="203"/>
    <d v="2018-01-25T00:00:00"/>
    <s v="Second Class"/>
    <x v="553"/>
    <s v="Edward Hooks"/>
    <x v="1"/>
    <s v="United States"/>
    <s v="Chicago"/>
    <x v="10"/>
    <n v="60623"/>
    <x v="2"/>
    <x v="1609"/>
    <x v="1"/>
    <x v="6"/>
    <x v="1600"/>
    <x v="956"/>
    <x v="9"/>
    <x v="3"/>
  </r>
  <r>
    <n v="7986"/>
    <x v="3955"/>
    <x v="438"/>
    <d v="2017-04-24T00:00:00"/>
    <s v="First Class"/>
    <x v="35"/>
    <s v="Duane Noonan"/>
    <x v="0"/>
    <s v="United States"/>
    <s v="Seattle"/>
    <x v="4"/>
    <n v="98115"/>
    <x v="1"/>
    <x v="255"/>
    <x v="1"/>
    <x v="8"/>
    <x v="256"/>
    <x v="1350"/>
    <x v="3"/>
    <x v="0"/>
  </r>
  <r>
    <n v="7987"/>
    <x v="3956"/>
    <x v="1180"/>
    <d v="2017-07-23T00:00:00"/>
    <s v="Second Class"/>
    <x v="307"/>
    <s v="Pauline Johnson"/>
    <x v="0"/>
    <s v="United States"/>
    <s v="Long Beach"/>
    <x v="15"/>
    <n v="11561"/>
    <x v="3"/>
    <x v="831"/>
    <x v="2"/>
    <x v="7"/>
    <x v="826"/>
    <x v="4910"/>
    <x v="7"/>
    <x v="0"/>
  </r>
  <r>
    <n v="7988"/>
    <x v="3957"/>
    <x v="828"/>
    <d v="2017-08-29T00:00:00"/>
    <s v="Standard Class"/>
    <x v="15"/>
    <s v="Matt Abelman"/>
    <x v="2"/>
    <s v="United States"/>
    <s v="Sheboygan"/>
    <x v="6"/>
    <n v="53081"/>
    <x v="2"/>
    <x v="1621"/>
    <x v="1"/>
    <x v="2"/>
    <x v="1612"/>
    <x v="5012"/>
    <x v="6"/>
    <x v="0"/>
  </r>
  <r>
    <n v="7989"/>
    <x v="3957"/>
    <x v="828"/>
    <d v="2017-08-29T00:00:00"/>
    <s v="Standard Class"/>
    <x v="15"/>
    <s v="Matt Abelman"/>
    <x v="2"/>
    <s v="United States"/>
    <s v="Sheboygan"/>
    <x v="6"/>
    <n v="53081"/>
    <x v="2"/>
    <x v="1586"/>
    <x v="1"/>
    <x v="2"/>
    <x v="1577"/>
    <x v="3101"/>
    <x v="6"/>
    <x v="0"/>
  </r>
  <r>
    <n v="7990"/>
    <x v="3957"/>
    <x v="828"/>
    <d v="2017-08-29T00:00:00"/>
    <s v="Standard Class"/>
    <x v="15"/>
    <s v="Matt Abelman"/>
    <x v="2"/>
    <s v="United States"/>
    <s v="Sheboygan"/>
    <x v="6"/>
    <n v="53081"/>
    <x v="2"/>
    <x v="328"/>
    <x v="1"/>
    <x v="4"/>
    <x v="328"/>
    <x v="2684"/>
    <x v="6"/>
    <x v="0"/>
  </r>
  <r>
    <n v="7991"/>
    <x v="3957"/>
    <x v="828"/>
    <d v="2017-08-29T00:00:00"/>
    <s v="Standard Class"/>
    <x v="15"/>
    <s v="Matt Abelman"/>
    <x v="2"/>
    <s v="United States"/>
    <s v="Sheboygan"/>
    <x v="6"/>
    <n v="53081"/>
    <x v="2"/>
    <x v="1430"/>
    <x v="2"/>
    <x v="11"/>
    <x v="1418"/>
    <x v="5013"/>
    <x v="6"/>
    <x v="0"/>
  </r>
  <r>
    <n v="7992"/>
    <x v="3958"/>
    <x v="403"/>
    <d v="2017-06-17T00:00:00"/>
    <s v="First Class"/>
    <x v="718"/>
    <s v="Vivian Mathis"/>
    <x v="0"/>
    <s v="United States"/>
    <s v="Boca Raton"/>
    <x v="2"/>
    <n v="33433"/>
    <x v="0"/>
    <x v="1197"/>
    <x v="1"/>
    <x v="8"/>
    <x v="1182"/>
    <x v="5014"/>
    <x v="1"/>
    <x v="0"/>
  </r>
  <r>
    <n v="7993"/>
    <x v="3958"/>
    <x v="403"/>
    <d v="2017-06-17T00:00:00"/>
    <s v="First Class"/>
    <x v="718"/>
    <s v="Vivian Mathis"/>
    <x v="0"/>
    <s v="United States"/>
    <s v="Boca Raton"/>
    <x v="2"/>
    <n v="33433"/>
    <x v="0"/>
    <x v="1575"/>
    <x v="2"/>
    <x v="11"/>
    <x v="1566"/>
    <x v="4792"/>
    <x v="1"/>
    <x v="0"/>
  </r>
  <r>
    <n v="7994"/>
    <x v="3959"/>
    <x v="312"/>
    <d v="2016-11-23T00:00:00"/>
    <s v="Second Class"/>
    <x v="514"/>
    <s v="Michelle Moray"/>
    <x v="0"/>
    <s v="United States"/>
    <s v="Aurora"/>
    <x v="22"/>
    <n v="80013"/>
    <x v="1"/>
    <x v="304"/>
    <x v="1"/>
    <x v="8"/>
    <x v="304"/>
    <x v="319"/>
    <x v="0"/>
    <x v="1"/>
  </r>
  <r>
    <n v="7995"/>
    <x v="3959"/>
    <x v="312"/>
    <d v="2016-11-23T00:00:00"/>
    <s v="Second Class"/>
    <x v="514"/>
    <s v="Michelle Moray"/>
    <x v="0"/>
    <s v="United States"/>
    <s v="Aurora"/>
    <x v="22"/>
    <n v="80013"/>
    <x v="1"/>
    <x v="317"/>
    <x v="0"/>
    <x v="0"/>
    <x v="317"/>
    <x v="3388"/>
    <x v="0"/>
    <x v="1"/>
  </r>
  <r>
    <n v="7996"/>
    <x v="3959"/>
    <x v="312"/>
    <d v="2016-11-23T00:00:00"/>
    <s v="Second Class"/>
    <x v="514"/>
    <s v="Michelle Moray"/>
    <x v="0"/>
    <s v="United States"/>
    <s v="Aurora"/>
    <x v="22"/>
    <n v="80013"/>
    <x v="1"/>
    <x v="951"/>
    <x v="1"/>
    <x v="8"/>
    <x v="944"/>
    <x v="5015"/>
    <x v="0"/>
    <x v="1"/>
  </r>
  <r>
    <n v="7997"/>
    <x v="3960"/>
    <x v="132"/>
    <d v="2018-11-05T00:00:00"/>
    <s v="First Class"/>
    <x v="615"/>
    <s v="Clay Rozendal"/>
    <x v="2"/>
    <s v="United States"/>
    <s v="San Diego"/>
    <x v="1"/>
    <n v="92037"/>
    <x v="1"/>
    <x v="240"/>
    <x v="2"/>
    <x v="11"/>
    <x v="241"/>
    <x v="5016"/>
    <x v="0"/>
    <x v="3"/>
  </r>
  <r>
    <n v="7998"/>
    <x v="3960"/>
    <x v="132"/>
    <d v="2018-11-05T00:00:00"/>
    <s v="First Class"/>
    <x v="615"/>
    <s v="Clay Rozendal"/>
    <x v="2"/>
    <s v="United States"/>
    <s v="San Diego"/>
    <x v="1"/>
    <n v="92037"/>
    <x v="1"/>
    <x v="616"/>
    <x v="0"/>
    <x v="3"/>
    <x v="616"/>
    <x v="5017"/>
    <x v="0"/>
    <x v="3"/>
  </r>
  <r>
    <n v="7999"/>
    <x v="3961"/>
    <x v="417"/>
    <d v="2015-05-07T00:00:00"/>
    <s v="First Class"/>
    <x v="740"/>
    <s v="Bill Shonely"/>
    <x v="1"/>
    <s v="United States"/>
    <s v="Seattle"/>
    <x v="4"/>
    <n v="98105"/>
    <x v="1"/>
    <x v="852"/>
    <x v="0"/>
    <x v="5"/>
    <x v="845"/>
    <x v="5018"/>
    <x v="5"/>
    <x v="2"/>
  </r>
  <r>
    <n v="8000"/>
    <x v="3961"/>
    <x v="417"/>
    <d v="2015-05-07T00:00:00"/>
    <s v="First Class"/>
    <x v="740"/>
    <s v="Bill Shonely"/>
    <x v="1"/>
    <s v="United States"/>
    <s v="Seattle"/>
    <x v="4"/>
    <n v="98105"/>
    <x v="1"/>
    <x v="336"/>
    <x v="1"/>
    <x v="9"/>
    <x v="336"/>
    <x v="5019"/>
    <x v="5"/>
    <x v="2"/>
  </r>
  <r>
    <n v="8001"/>
    <x v="3962"/>
    <x v="627"/>
    <d v="2016-11-12T00:00:00"/>
    <s v="Standard Class"/>
    <x v="361"/>
    <s v="Rob Dowd"/>
    <x v="0"/>
    <s v="United States"/>
    <s v="Dubuque"/>
    <x v="23"/>
    <n v="52001"/>
    <x v="2"/>
    <x v="781"/>
    <x v="2"/>
    <x v="7"/>
    <x v="780"/>
    <x v="1259"/>
    <x v="0"/>
    <x v="1"/>
  </r>
  <r>
    <n v="8002"/>
    <x v="3963"/>
    <x v="295"/>
    <d v="2016-12-15T00:00:00"/>
    <s v="First Class"/>
    <x v="30"/>
    <s v="Karen Daniels"/>
    <x v="0"/>
    <s v="United States"/>
    <s v="Los Angeles"/>
    <x v="1"/>
    <n v="90032"/>
    <x v="1"/>
    <x v="1135"/>
    <x v="2"/>
    <x v="11"/>
    <x v="1123"/>
    <x v="5020"/>
    <x v="4"/>
    <x v="1"/>
  </r>
  <r>
    <n v="8003"/>
    <x v="3963"/>
    <x v="295"/>
    <d v="2016-12-15T00:00:00"/>
    <s v="First Class"/>
    <x v="30"/>
    <s v="Karen Daniels"/>
    <x v="0"/>
    <s v="United States"/>
    <s v="Los Angeles"/>
    <x v="1"/>
    <n v="90032"/>
    <x v="1"/>
    <x v="327"/>
    <x v="1"/>
    <x v="14"/>
    <x v="327"/>
    <x v="4564"/>
    <x v="4"/>
    <x v="1"/>
  </r>
  <r>
    <n v="8004"/>
    <x v="3964"/>
    <x v="588"/>
    <d v="2015-12-03T00:00:00"/>
    <s v="First Class"/>
    <x v="731"/>
    <s v="Anna Andreadi"/>
    <x v="0"/>
    <s v="United States"/>
    <s v="Lowell"/>
    <x v="31"/>
    <n v="1852"/>
    <x v="3"/>
    <x v="1623"/>
    <x v="2"/>
    <x v="7"/>
    <x v="1613"/>
    <x v="5021"/>
    <x v="4"/>
    <x v="2"/>
  </r>
  <r>
    <n v="8005"/>
    <x v="3964"/>
    <x v="588"/>
    <d v="2015-12-03T00:00:00"/>
    <s v="First Class"/>
    <x v="731"/>
    <s v="Anna Andreadi"/>
    <x v="0"/>
    <s v="United States"/>
    <s v="Lowell"/>
    <x v="31"/>
    <n v="1852"/>
    <x v="3"/>
    <x v="677"/>
    <x v="0"/>
    <x v="5"/>
    <x v="677"/>
    <x v="2732"/>
    <x v="4"/>
    <x v="2"/>
  </r>
  <r>
    <n v="8006"/>
    <x v="3964"/>
    <x v="588"/>
    <d v="2015-12-03T00:00:00"/>
    <s v="First Class"/>
    <x v="731"/>
    <s v="Anna Andreadi"/>
    <x v="0"/>
    <s v="United States"/>
    <s v="Lowell"/>
    <x v="31"/>
    <n v="1852"/>
    <x v="3"/>
    <x v="875"/>
    <x v="0"/>
    <x v="5"/>
    <x v="869"/>
    <x v="759"/>
    <x v="4"/>
    <x v="2"/>
  </r>
  <r>
    <n v="8007"/>
    <x v="3965"/>
    <x v="877"/>
    <d v="2017-10-11T00:00:00"/>
    <s v="Standard Class"/>
    <x v="498"/>
    <s v="Mick Crebagga"/>
    <x v="0"/>
    <s v="United States"/>
    <s v="Marysville"/>
    <x v="4"/>
    <n v="98270"/>
    <x v="1"/>
    <x v="1506"/>
    <x v="1"/>
    <x v="13"/>
    <x v="1493"/>
    <x v="5022"/>
    <x v="2"/>
    <x v="0"/>
  </r>
  <r>
    <n v="8008"/>
    <x v="3966"/>
    <x v="972"/>
    <d v="2016-11-24T00:00:00"/>
    <s v="Standard Class"/>
    <x v="731"/>
    <s v="Anna Andreadi"/>
    <x v="0"/>
    <s v="United States"/>
    <s v="Oklahoma City"/>
    <x v="26"/>
    <n v="73120"/>
    <x v="2"/>
    <x v="273"/>
    <x v="1"/>
    <x v="4"/>
    <x v="273"/>
    <x v="5023"/>
    <x v="0"/>
    <x v="1"/>
  </r>
  <r>
    <n v="8009"/>
    <x v="3966"/>
    <x v="972"/>
    <d v="2016-11-24T00:00:00"/>
    <s v="Standard Class"/>
    <x v="731"/>
    <s v="Anna Andreadi"/>
    <x v="0"/>
    <s v="United States"/>
    <s v="Oklahoma City"/>
    <x v="26"/>
    <n v="73120"/>
    <x v="2"/>
    <x v="258"/>
    <x v="1"/>
    <x v="10"/>
    <x v="33"/>
    <x v="1907"/>
    <x v="0"/>
    <x v="1"/>
  </r>
  <r>
    <n v="8010"/>
    <x v="3966"/>
    <x v="972"/>
    <d v="2016-11-24T00:00:00"/>
    <s v="Standard Class"/>
    <x v="731"/>
    <s v="Anna Andreadi"/>
    <x v="0"/>
    <s v="United States"/>
    <s v="Oklahoma City"/>
    <x v="26"/>
    <n v="73120"/>
    <x v="2"/>
    <x v="1802"/>
    <x v="0"/>
    <x v="1"/>
    <x v="1792"/>
    <x v="5024"/>
    <x v="0"/>
    <x v="1"/>
  </r>
  <r>
    <n v="8011"/>
    <x v="3967"/>
    <x v="461"/>
    <d v="2015-03-20T00:00:00"/>
    <s v="Second Class"/>
    <x v="425"/>
    <s v="Quincy Jones"/>
    <x v="1"/>
    <s v="United States"/>
    <s v="Philadelphia"/>
    <x v="9"/>
    <n v="19134"/>
    <x v="3"/>
    <x v="954"/>
    <x v="1"/>
    <x v="10"/>
    <x v="947"/>
    <x v="5025"/>
    <x v="10"/>
    <x v="2"/>
  </r>
  <r>
    <n v="8012"/>
    <x v="3968"/>
    <x v="782"/>
    <d v="2016-06-23T00:00:00"/>
    <s v="First Class"/>
    <x v="594"/>
    <s v="Justin MacKendrick"/>
    <x v="0"/>
    <s v="United States"/>
    <s v="Aurora"/>
    <x v="22"/>
    <n v="80013"/>
    <x v="1"/>
    <x v="1804"/>
    <x v="2"/>
    <x v="7"/>
    <x v="1794"/>
    <x v="5026"/>
    <x v="1"/>
    <x v="1"/>
  </r>
  <r>
    <n v="8013"/>
    <x v="3969"/>
    <x v="1126"/>
    <d v="2018-05-25T00:00:00"/>
    <s v="Same Day"/>
    <x v="577"/>
    <s v="Trudy Brown"/>
    <x v="0"/>
    <s v="United States"/>
    <s v="New York City"/>
    <x v="15"/>
    <n v="10009"/>
    <x v="3"/>
    <x v="896"/>
    <x v="1"/>
    <x v="8"/>
    <x v="889"/>
    <x v="5027"/>
    <x v="5"/>
    <x v="3"/>
  </r>
  <r>
    <n v="8014"/>
    <x v="3969"/>
    <x v="1126"/>
    <d v="2018-05-25T00:00:00"/>
    <s v="Same Day"/>
    <x v="577"/>
    <s v="Trudy Brown"/>
    <x v="0"/>
    <s v="United States"/>
    <s v="New York City"/>
    <x v="15"/>
    <n v="10009"/>
    <x v="3"/>
    <x v="46"/>
    <x v="2"/>
    <x v="11"/>
    <x v="46"/>
    <x v="5028"/>
    <x v="5"/>
    <x v="3"/>
  </r>
  <r>
    <n v="8015"/>
    <x v="3969"/>
    <x v="1126"/>
    <d v="2018-05-25T00:00:00"/>
    <s v="Same Day"/>
    <x v="577"/>
    <s v="Trudy Brown"/>
    <x v="0"/>
    <s v="United States"/>
    <s v="New York City"/>
    <x v="15"/>
    <n v="10009"/>
    <x v="3"/>
    <x v="1321"/>
    <x v="1"/>
    <x v="13"/>
    <x v="1307"/>
    <x v="5029"/>
    <x v="5"/>
    <x v="3"/>
  </r>
  <r>
    <n v="8016"/>
    <x v="3969"/>
    <x v="1126"/>
    <d v="2018-05-25T00:00:00"/>
    <s v="Same Day"/>
    <x v="577"/>
    <s v="Trudy Brown"/>
    <x v="0"/>
    <s v="United States"/>
    <s v="New York City"/>
    <x v="15"/>
    <n v="10009"/>
    <x v="3"/>
    <x v="545"/>
    <x v="0"/>
    <x v="5"/>
    <x v="545"/>
    <x v="605"/>
    <x v="5"/>
    <x v="3"/>
  </r>
  <r>
    <n v="8017"/>
    <x v="3970"/>
    <x v="340"/>
    <d v="2015-09-11T00:00:00"/>
    <s v="First Class"/>
    <x v="376"/>
    <s v="Nicole Fjeld"/>
    <x v="2"/>
    <s v="United States"/>
    <s v="Lancaster"/>
    <x v="24"/>
    <n v="43130"/>
    <x v="3"/>
    <x v="1308"/>
    <x v="0"/>
    <x v="5"/>
    <x v="1293"/>
    <x v="1256"/>
    <x v="8"/>
    <x v="2"/>
  </r>
  <r>
    <n v="8018"/>
    <x v="3970"/>
    <x v="340"/>
    <d v="2015-09-11T00:00:00"/>
    <s v="First Class"/>
    <x v="376"/>
    <s v="Nicole Fjeld"/>
    <x v="2"/>
    <s v="United States"/>
    <s v="Lancaster"/>
    <x v="24"/>
    <n v="43130"/>
    <x v="3"/>
    <x v="1005"/>
    <x v="1"/>
    <x v="6"/>
    <x v="997"/>
    <x v="2723"/>
    <x v="8"/>
    <x v="2"/>
  </r>
  <r>
    <n v="8019"/>
    <x v="3971"/>
    <x v="161"/>
    <d v="2018-10-19T00:00:00"/>
    <s v="Second Class"/>
    <x v="292"/>
    <s v="Barry Französisch"/>
    <x v="1"/>
    <s v="United States"/>
    <s v="Modesto"/>
    <x v="1"/>
    <n v="95351"/>
    <x v="1"/>
    <x v="194"/>
    <x v="2"/>
    <x v="7"/>
    <x v="195"/>
    <x v="4837"/>
    <x v="2"/>
    <x v="3"/>
  </r>
  <r>
    <n v="8020"/>
    <x v="3972"/>
    <x v="808"/>
    <d v="2018-11-05T00:00:00"/>
    <s v="First Class"/>
    <x v="73"/>
    <s v="Nora Paige"/>
    <x v="0"/>
    <s v="United States"/>
    <s v="Saint Louis"/>
    <x v="25"/>
    <n v="63116"/>
    <x v="2"/>
    <x v="1612"/>
    <x v="1"/>
    <x v="9"/>
    <x v="1603"/>
    <x v="4412"/>
    <x v="0"/>
    <x v="3"/>
  </r>
  <r>
    <n v="8021"/>
    <x v="3972"/>
    <x v="808"/>
    <d v="2018-11-05T00:00:00"/>
    <s v="First Class"/>
    <x v="73"/>
    <s v="Nora Paige"/>
    <x v="0"/>
    <s v="United States"/>
    <s v="Saint Louis"/>
    <x v="25"/>
    <n v="63116"/>
    <x v="2"/>
    <x v="1017"/>
    <x v="1"/>
    <x v="10"/>
    <x v="1008"/>
    <x v="2660"/>
    <x v="0"/>
    <x v="3"/>
  </r>
  <r>
    <n v="8022"/>
    <x v="3973"/>
    <x v="609"/>
    <d v="2015-07-25T00:00:00"/>
    <s v="Standard Class"/>
    <x v="447"/>
    <s v="Harry Marie"/>
    <x v="1"/>
    <s v="United States"/>
    <s v="Dallas"/>
    <x v="5"/>
    <n v="75217"/>
    <x v="2"/>
    <x v="1252"/>
    <x v="1"/>
    <x v="9"/>
    <x v="1236"/>
    <x v="3688"/>
    <x v="7"/>
    <x v="2"/>
  </r>
  <r>
    <n v="8023"/>
    <x v="3973"/>
    <x v="609"/>
    <d v="2015-07-25T00:00:00"/>
    <s v="Standard Class"/>
    <x v="447"/>
    <s v="Harry Marie"/>
    <x v="1"/>
    <s v="United States"/>
    <s v="Dallas"/>
    <x v="5"/>
    <n v="75217"/>
    <x v="2"/>
    <x v="1664"/>
    <x v="1"/>
    <x v="12"/>
    <x v="1652"/>
    <x v="1177"/>
    <x v="7"/>
    <x v="2"/>
  </r>
  <r>
    <n v="8024"/>
    <x v="3973"/>
    <x v="609"/>
    <d v="2015-07-25T00:00:00"/>
    <s v="Standard Class"/>
    <x v="447"/>
    <s v="Harry Marie"/>
    <x v="1"/>
    <s v="United States"/>
    <s v="Dallas"/>
    <x v="5"/>
    <n v="75217"/>
    <x v="2"/>
    <x v="499"/>
    <x v="0"/>
    <x v="1"/>
    <x v="499"/>
    <x v="2782"/>
    <x v="7"/>
    <x v="2"/>
  </r>
  <r>
    <n v="8025"/>
    <x v="3973"/>
    <x v="609"/>
    <d v="2015-07-25T00:00:00"/>
    <s v="Standard Class"/>
    <x v="447"/>
    <s v="Harry Marie"/>
    <x v="1"/>
    <s v="United States"/>
    <s v="Dallas"/>
    <x v="5"/>
    <n v="75217"/>
    <x v="2"/>
    <x v="1581"/>
    <x v="1"/>
    <x v="8"/>
    <x v="1572"/>
    <x v="5030"/>
    <x v="7"/>
    <x v="2"/>
  </r>
  <r>
    <n v="8026"/>
    <x v="3974"/>
    <x v="861"/>
    <d v="2016-09-15T00:00:00"/>
    <s v="Second Class"/>
    <x v="760"/>
    <s v="Don Miller"/>
    <x v="1"/>
    <s v="United States"/>
    <s v="New York City"/>
    <x v="15"/>
    <n v="10035"/>
    <x v="3"/>
    <x v="1805"/>
    <x v="0"/>
    <x v="5"/>
    <x v="1795"/>
    <x v="5031"/>
    <x v="8"/>
    <x v="1"/>
  </r>
  <r>
    <n v="8027"/>
    <x v="3974"/>
    <x v="861"/>
    <d v="2016-09-15T00:00:00"/>
    <s v="Second Class"/>
    <x v="760"/>
    <s v="Don Miller"/>
    <x v="1"/>
    <s v="United States"/>
    <s v="New York City"/>
    <x v="15"/>
    <n v="10035"/>
    <x v="3"/>
    <x v="1819"/>
    <x v="1"/>
    <x v="4"/>
    <x v="1808"/>
    <x v="5032"/>
    <x v="8"/>
    <x v="1"/>
  </r>
  <r>
    <n v="8028"/>
    <x v="3974"/>
    <x v="861"/>
    <d v="2016-09-15T00:00:00"/>
    <s v="Second Class"/>
    <x v="760"/>
    <s v="Don Miller"/>
    <x v="1"/>
    <s v="United States"/>
    <s v="New York City"/>
    <x v="15"/>
    <n v="10035"/>
    <x v="3"/>
    <x v="84"/>
    <x v="2"/>
    <x v="11"/>
    <x v="84"/>
    <x v="86"/>
    <x v="8"/>
    <x v="1"/>
  </r>
  <r>
    <n v="8029"/>
    <x v="3974"/>
    <x v="861"/>
    <d v="2016-09-15T00:00:00"/>
    <s v="Second Class"/>
    <x v="760"/>
    <s v="Don Miller"/>
    <x v="1"/>
    <s v="United States"/>
    <s v="New York City"/>
    <x v="15"/>
    <n v="10035"/>
    <x v="3"/>
    <x v="1662"/>
    <x v="1"/>
    <x v="4"/>
    <x v="1650"/>
    <x v="3404"/>
    <x v="8"/>
    <x v="1"/>
  </r>
  <r>
    <n v="8030"/>
    <x v="3975"/>
    <x v="147"/>
    <d v="2017-10-25T00:00:00"/>
    <s v="Standard Class"/>
    <x v="535"/>
    <s v="Jill Fjeld"/>
    <x v="0"/>
    <s v="United States"/>
    <s v="San Antonio"/>
    <x v="5"/>
    <n v="78207"/>
    <x v="2"/>
    <x v="176"/>
    <x v="2"/>
    <x v="11"/>
    <x v="177"/>
    <x v="5033"/>
    <x v="2"/>
    <x v="0"/>
  </r>
  <r>
    <n v="8031"/>
    <x v="3976"/>
    <x v="676"/>
    <d v="2017-01-11T00:00:00"/>
    <s v="Standard Class"/>
    <x v="392"/>
    <s v="Neoma Murray"/>
    <x v="0"/>
    <s v="United States"/>
    <s v="Amarillo"/>
    <x v="5"/>
    <n v="79109"/>
    <x v="2"/>
    <x v="1006"/>
    <x v="0"/>
    <x v="5"/>
    <x v="1381"/>
    <x v="5034"/>
    <x v="9"/>
    <x v="0"/>
  </r>
  <r>
    <n v="8032"/>
    <x v="3976"/>
    <x v="676"/>
    <d v="2017-01-11T00:00:00"/>
    <s v="Standard Class"/>
    <x v="392"/>
    <s v="Neoma Murray"/>
    <x v="0"/>
    <s v="United States"/>
    <s v="Amarillo"/>
    <x v="5"/>
    <n v="79109"/>
    <x v="2"/>
    <x v="747"/>
    <x v="1"/>
    <x v="10"/>
    <x v="745"/>
    <x v="233"/>
    <x v="9"/>
    <x v="0"/>
  </r>
  <r>
    <n v="8033"/>
    <x v="3977"/>
    <x v="608"/>
    <d v="2016-06-28T00:00:00"/>
    <s v="First Class"/>
    <x v="597"/>
    <s v="Mark Van Huff"/>
    <x v="0"/>
    <s v="United States"/>
    <s v="Houston"/>
    <x v="5"/>
    <n v="77041"/>
    <x v="2"/>
    <x v="681"/>
    <x v="1"/>
    <x v="10"/>
    <x v="681"/>
    <x v="1097"/>
    <x v="1"/>
    <x v="1"/>
  </r>
  <r>
    <n v="8034"/>
    <x v="3977"/>
    <x v="608"/>
    <d v="2016-06-28T00:00:00"/>
    <s v="First Class"/>
    <x v="597"/>
    <s v="Mark Van Huff"/>
    <x v="0"/>
    <s v="United States"/>
    <s v="Houston"/>
    <x v="5"/>
    <n v="77041"/>
    <x v="2"/>
    <x v="1699"/>
    <x v="1"/>
    <x v="8"/>
    <x v="1687"/>
    <x v="5035"/>
    <x v="1"/>
    <x v="1"/>
  </r>
  <r>
    <n v="8035"/>
    <x v="3977"/>
    <x v="608"/>
    <d v="2016-06-28T00:00:00"/>
    <s v="First Class"/>
    <x v="597"/>
    <s v="Mark Van Huff"/>
    <x v="0"/>
    <s v="United States"/>
    <s v="Houston"/>
    <x v="5"/>
    <n v="77041"/>
    <x v="2"/>
    <x v="1377"/>
    <x v="0"/>
    <x v="5"/>
    <x v="1362"/>
    <x v="5036"/>
    <x v="1"/>
    <x v="1"/>
  </r>
  <r>
    <n v="8036"/>
    <x v="3977"/>
    <x v="608"/>
    <d v="2016-06-28T00:00:00"/>
    <s v="First Class"/>
    <x v="597"/>
    <s v="Mark Van Huff"/>
    <x v="0"/>
    <s v="United States"/>
    <s v="Houston"/>
    <x v="5"/>
    <n v="77041"/>
    <x v="2"/>
    <x v="745"/>
    <x v="1"/>
    <x v="2"/>
    <x v="743"/>
    <x v="871"/>
    <x v="1"/>
    <x v="1"/>
  </r>
  <r>
    <n v="8037"/>
    <x v="3978"/>
    <x v="1181"/>
    <d v="2016-09-22T00:00:00"/>
    <s v="First Class"/>
    <x v="8"/>
    <s v="Alejandro Grove"/>
    <x v="0"/>
    <s v="United States"/>
    <s v="Lawrence"/>
    <x v="31"/>
    <n v="1841"/>
    <x v="3"/>
    <x v="1375"/>
    <x v="1"/>
    <x v="8"/>
    <x v="1360"/>
    <x v="1015"/>
    <x v="8"/>
    <x v="1"/>
  </r>
  <r>
    <n v="8038"/>
    <x v="3979"/>
    <x v="815"/>
    <d v="2018-07-14T00:00:00"/>
    <s v="Standard Class"/>
    <x v="667"/>
    <s v="Beth Fritzler"/>
    <x v="1"/>
    <s v="United States"/>
    <s v="Columbus"/>
    <x v="32"/>
    <n v="31907"/>
    <x v="0"/>
    <x v="1803"/>
    <x v="1"/>
    <x v="9"/>
    <x v="1793"/>
    <x v="5037"/>
    <x v="7"/>
    <x v="3"/>
  </r>
  <r>
    <n v="8039"/>
    <x v="3980"/>
    <x v="160"/>
    <d v="2018-07-02T00:00:00"/>
    <s v="Second Class"/>
    <x v="547"/>
    <s v="John Castell"/>
    <x v="0"/>
    <s v="United States"/>
    <s v="Los Angeles"/>
    <x v="1"/>
    <n v="90032"/>
    <x v="1"/>
    <x v="1106"/>
    <x v="0"/>
    <x v="0"/>
    <x v="1095"/>
    <x v="2621"/>
    <x v="1"/>
    <x v="3"/>
  </r>
  <r>
    <n v="8040"/>
    <x v="3981"/>
    <x v="170"/>
    <d v="2018-08-25T00:00:00"/>
    <s v="Second Class"/>
    <x v="698"/>
    <s v="Candace McMahon"/>
    <x v="1"/>
    <s v="United States"/>
    <s v="Seattle"/>
    <x v="4"/>
    <n v="98115"/>
    <x v="1"/>
    <x v="167"/>
    <x v="0"/>
    <x v="1"/>
    <x v="168"/>
    <x v="337"/>
    <x v="6"/>
    <x v="3"/>
  </r>
  <r>
    <n v="8041"/>
    <x v="3981"/>
    <x v="170"/>
    <d v="2018-08-25T00:00:00"/>
    <s v="Second Class"/>
    <x v="698"/>
    <s v="Candace McMahon"/>
    <x v="1"/>
    <s v="United States"/>
    <s v="Seattle"/>
    <x v="4"/>
    <n v="98115"/>
    <x v="1"/>
    <x v="621"/>
    <x v="1"/>
    <x v="4"/>
    <x v="621"/>
    <x v="714"/>
    <x v="6"/>
    <x v="3"/>
  </r>
  <r>
    <n v="8042"/>
    <x v="3981"/>
    <x v="170"/>
    <d v="2018-08-25T00:00:00"/>
    <s v="Second Class"/>
    <x v="698"/>
    <s v="Candace McMahon"/>
    <x v="1"/>
    <s v="United States"/>
    <s v="Seattle"/>
    <x v="4"/>
    <n v="98115"/>
    <x v="1"/>
    <x v="1350"/>
    <x v="2"/>
    <x v="11"/>
    <x v="1336"/>
    <x v="5038"/>
    <x v="6"/>
    <x v="3"/>
  </r>
  <r>
    <n v="8043"/>
    <x v="3982"/>
    <x v="825"/>
    <d v="2018-03-15T00:00:00"/>
    <s v="Standard Class"/>
    <x v="391"/>
    <s v="Paul Van Hugh"/>
    <x v="2"/>
    <s v="United States"/>
    <s v="Cambridge"/>
    <x v="31"/>
    <n v="2138"/>
    <x v="3"/>
    <x v="404"/>
    <x v="2"/>
    <x v="11"/>
    <x v="405"/>
    <x v="430"/>
    <x v="10"/>
    <x v="3"/>
  </r>
  <r>
    <n v="8044"/>
    <x v="3982"/>
    <x v="825"/>
    <d v="2018-03-15T00:00:00"/>
    <s v="Standard Class"/>
    <x v="391"/>
    <s v="Paul Van Hugh"/>
    <x v="2"/>
    <s v="United States"/>
    <s v="Cambridge"/>
    <x v="31"/>
    <n v="2138"/>
    <x v="3"/>
    <x v="1831"/>
    <x v="0"/>
    <x v="5"/>
    <x v="1819"/>
    <x v="2979"/>
    <x v="10"/>
    <x v="3"/>
  </r>
  <r>
    <n v="8045"/>
    <x v="3983"/>
    <x v="175"/>
    <d v="2018-09-17T00:00:00"/>
    <s v="Second Class"/>
    <x v="770"/>
    <s v="Doug O'Connell"/>
    <x v="0"/>
    <s v="United States"/>
    <s v="Salt Lake City"/>
    <x v="7"/>
    <n v="84106"/>
    <x v="1"/>
    <x v="102"/>
    <x v="1"/>
    <x v="8"/>
    <x v="102"/>
    <x v="5039"/>
    <x v="8"/>
    <x v="3"/>
  </r>
  <r>
    <n v="8046"/>
    <x v="3984"/>
    <x v="873"/>
    <d v="2017-09-24T00:00:00"/>
    <s v="Standard Class"/>
    <x v="456"/>
    <s v="Helen Abelman"/>
    <x v="0"/>
    <s v="United States"/>
    <s v="New York City"/>
    <x v="15"/>
    <n v="10035"/>
    <x v="3"/>
    <x v="1152"/>
    <x v="1"/>
    <x v="9"/>
    <x v="1140"/>
    <x v="5040"/>
    <x v="8"/>
    <x v="0"/>
  </r>
  <r>
    <n v="8047"/>
    <x v="3985"/>
    <x v="272"/>
    <d v="2017-12-17T00:00:00"/>
    <s v="Second Class"/>
    <x v="129"/>
    <s v="Shahid Hopkins"/>
    <x v="0"/>
    <s v="United States"/>
    <s v="Cuyahoga Falls"/>
    <x v="24"/>
    <n v="44221"/>
    <x v="3"/>
    <x v="1699"/>
    <x v="1"/>
    <x v="8"/>
    <x v="1687"/>
    <x v="3520"/>
    <x v="4"/>
    <x v="0"/>
  </r>
  <r>
    <n v="8048"/>
    <x v="3986"/>
    <x v="132"/>
    <d v="2018-11-06T00:00:00"/>
    <s v="Second Class"/>
    <x v="594"/>
    <s v="Justin MacKendrick"/>
    <x v="0"/>
    <s v="United States"/>
    <s v="Wilmington"/>
    <x v="3"/>
    <n v="28403"/>
    <x v="0"/>
    <x v="987"/>
    <x v="1"/>
    <x v="10"/>
    <x v="980"/>
    <x v="3834"/>
    <x v="0"/>
    <x v="3"/>
  </r>
  <r>
    <n v="8049"/>
    <x v="3987"/>
    <x v="894"/>
    <d v="2017-07-07T00:00:00"/>
    <s v="Standard Class"/>
    <x v="158"/>
    <s v="Dean Katz"/>
    <x v="1"/>
    <s v="United States"/>
    <s v="New York City"/>
    <x v="15"/>
    <n v="10035"/>
    <x v="3"/>
    <x v="1725"/>
    <x v="1"/>
    <x v="9"/>
    <x v="1712"/>
    <x v="3706"/>
    <x v="7"/>
    <x v="0"/>
  </r>
  <r>
    <n v="8050"/>
    <x v="3988"/>
    <x v="467"/>
    <d v="2015-09-30T00:00:00"/>
    <s v="Standard Class"/>
    <x v="782"/>
    <s v="Craig Molinari"/>
    <x v="1"/>
    <s v="United States"/>
    <s v="Philadelphia"/>
    <x v="9"/>
    <n v="19140"/>
    <x v="3"/>
    <x v="122"/>
    <x v="1"/>
    <x v="8"/>
    <x v="122"/>
    <x v="3537"/>
    <x v="8"/>
    <x v="2"/>
  </r>
  <r>
    <n v="8051"/>
    <x v="3988"/>
    <x v="467"/>
    <d v="2015-09-30T00:00:00"/>
    <s v="Standard Class"/>
    <x v="782"/>
    <s v="Craig Molinari"/>
    <x v="1"/>
    <s v="United States"/>
    <s v="Philadelphia"/>
    <x v="9"/>
    <n v="19140"/>
    <x v="3"/>
    <x v="750"/>
    <x v="0"/>
    <x v="5"/>
    <x v="748"/>
    <x v="4399"/>
    <x v="8"/>
    <x v="2"/>
  </r>
  <r>
    <n v="8052"/>
    <x v="3988"/>
    <x v="467"/>
    <d v="2015-09-30T00:00:00"/>
    <s v="Standard Class"/>
    <x v="782"/>
    <s v="Craig Molinari"/>
    <x v="1"/>
    <s v="United States"/>
    <s v="Philadelphia"/>
    <x v="9"/>
    <n v="19140"/>
    <x v="3"/>
    <x v="22"/>
    <x v="1"/>
    <x v="9"/>
    <x v="22"/>
    <x v="3021"/>
    <x v="8"/>
    <x v="2"/>
  </r>
  <r>
    <n v="8053"/>
    <x v="3989"/>
    <x v="686"/>
    <d v="2015-07-17T00:00:00"/>
    <s v="Second Class"/>
    <x v="541"/>
    <s v="Barbara Fisher"/>
    <x v="1"/>
    <s v="United States"/>
    <s v="New York City"/>
    <x v="15"/>
    <n v="10009"/>
    <x v="3"/>
    <x v="879"/>
    <x v="1"/>
    <x v="6"/>
    <x v="873"/>
    <x v="1444"/>
    <x v="7"/>
    <x v="2"/>
  </r>
  <r>
    <n v="8054"/>
    <x v="3990"/>
    <x v="394"/>
    <d v="2018-10-05T00:00:00"/>
    <s v="Standard Class"/>
    <x v="245"/>
    <s v="Sylvia Foulston"/>
    <x v="1"/>
    <s v="United States"/>
    <s v="Philadelphia"/>
    <x v="9"/>
    <n v="19134"/>
    <x v="3"/>
    <x v="608"/>
    <x v="1"/>
    <x v="8"/>
    <x v="608"/>
    <x v="5041"/>
    <x v="8"/>
    <x v="3"/>
  </r>
  <r>
    <n v="8055"/>
    <x v="3991"/>
    <x v="834"/>
    <d v="2016-09-04T00:00:00"/>
    <s v="Standard Class"/>
    <x v="90"/>
    <s v="Cassandra Brandow"/>
    <x v="0"/>
    <s v="United States"/>
    <s v="Los Angeles"/>
    <x v="1"/>
    <n v="90049"/>
    <x v="1"/>
    <x v="518"/>
    <x v="1"/>
    <x v="4"/>
    <x v="518"/>
    <x v="5042"/>
    <x v="6"/>
    <x v="1"/>
  </r>
  <r>
    <n v="8056"/>
    <x v="3991"/>
    <x v="834"/>
    <d v="2016-09-04T00:00:00"/>
    <s v="Standard Class"/>
    <x v="90"/>
    <s v="Cassandra Brandow"/>
    <x v="0"/>
    <s v="United States"/>
    <s v="Los Angeles"/>
    <x v="1"/>
    <n v="90049"/>
    <x v="1"/>
    <x v="199"/>
    <x v="0"/>
    <x v="0"/>
    <x v="200"/>
    <x v="1473"/>
    <x v="6"/>
    <x v="1"/>
  </r>
  <r>
    <n v="8057"/>
    <x v="3991"/>
    <x v="834"/>
    <d v="2016-09-04T00:00:00"/>
    <s v="Standard Class"/>
    <x v="90"/>
    <s v="Cassandra Brandow"/>
    <x v="0"/>
    <s v="United States"/>
    <s v="Los Angeles"/>
    <x v="1"/>
    <n v="90049"/>
    <x v="1"/>
    <x v="459"/>
    <x v="1"/>
    <x v="4"/>
    <x v="460"/>
    <x v="5043"/>
    <x v="6"/>
    <x v="1"/>
  </r>
  <r>
    <n v="8058"/>
    <x v="3991"/>
    <x v="834"/>
    <d v="2016-09-04T00:00:00"/>
    <s v="Standard Class"/>
    <x v="90"/>
    <s v="Cassandra Brandow"/>
    <x v="0"/>
    <s v="United States"/>
    <s v="Los Angeles"/>
    <x v="1"/>
    <n v="90049"/>
    <x v="1"/>
    <x v="1339"/>
    <x v="1"/>
    <x v="8"/>
    <x v="1324"/>
    <x v="5044"/>
    <x v="6"/>
    <x v="1"/>
  </r>
  <r>
    <n v="8059"/>
    <x v="3991"/>
    <x v="834"/>
    <d v="2016-09-04T00:00:00"/>
    <s v="Standard Class"/>
    <x v="90"/>
    <s v="Cassandra Brandow"/>
    <x v="0"/>
    <s v="United States"/>
    <s v="Los Angeles"/>
    <x v="1"/>
    <n v="90049"/>
    <x v="1"/>
    <x v="831"/>
    <x v="2"/>
    <x v="7"/>
    <x v="826"/>
    <x v="746"/>
    <x v="6"/>
    <x v="1"/>
  </r>
  <r>
    <n v="8060"/>
    <x v="3991"/>
    <x v="834"/>
    <d v="2016-09-04T00:00:00"/>
    <s v="Standard Class"/>
    <x v="90"/>
    <s v="Cassandra Brandow"/>
    <x v="0"/>
    <s v="United States"/>
    <s v="Los Angeles"/>
    <x v="1"/>
    <n v="90049"/>
    <x v="1"/>
    <x v="1035"/>
    <x v="0"/>
    <x v="5"/>
    <x v="325"/>
    <x v="1337"/>
    <x v="6"/>
    <x v="1"/>
  </r>
  <r>
    <n v="8061"/>
    <x v="3992"/>
    <x v="1181"/>
    <d v="2016-09-26T00:00:00"/>
    <s v="Standard Class"/>
    <x v="568"/>
    <s v="Tamara Chand"/>
    <x v="1"/>
    <s v="United States"/>
    <s v="Long Beach"/>
    <x v="15"/>
    <n v="11561"/>
    <x v="3"/>
    <x v="314"/>
    <x v="1"/>
    <x v="10"/>
    <x v="314"/>
    <x v="3618"/>
    <x v="8"/>
    <x v="1"/>
  </r>
  <r>
    <n v="8062"/>
    <x v="3992"/>
    <x v="1181"/>
    <d v="2016-09-26T00:00:00"/>
    <s v="Standard Class"/>
    <x v="568"/>
    <s v="Tamara Chand"/>
    <x v="1"/>
    <s v="United States"/>
    <s v="Long Beach"/>
    <x v="15"/>
    <n v="11561"/>
    <x v="3"/>
    <x v="1329"/>
    <x v="1"/>
    <x v="8"/>
    <x v="1314"/>
    <x v="667"/>
    <x v="8"/>
    <x v="1"/>
  </r>
  <r>
    <n v="8063"/>
    <x v="3993"/>
    <x v="77"/>
    <d v="2017-11-09T00:00:00"/>
    <s v="First Class"/>
    <x v="560"/>
    <s v="Luke Weiss"/>
    <x v="0"/>
    <s v="United States"/>
    <s v="Rochester"/>
    <x v="15"/>
    <n v="14609"/>
    <x v="3"/>
    <x v="506"/>
    <x v="2"/>
    <x v="7"/>
    <x v="506"/>
    <x v="1259"/>
    <x v="0"/>
    <x v="0"/>
  </r>
  <r>
    <n v="8064"/>
    <x v="3993"/>
    <x v="77"/>
    <d v="2017-11-09T00:00:00"/>
    <s v="First Class"/>
    <x v="560"/>
    <s v="Luke Weiss"/>
    <x v="0"/>
    <s v="United States"/>
    <s v="Rochester"/>
    <x v="15"/>
    <n v="14609"/>
    <x v="3"/>
    <x v="1211"/>
    <x v="2"/>
    <x v="7"/>
    <x v="1196"/>
    <x v="1880"/>
    <x v="0"/>
    <x v="0"/>
  </r>
  <r>
    <n v="8065"/>
    <x v="3993"/>
    <x v="77"/>
    <d v="2017-11-09T00:00:00"/>
    <s v="First Class"/>
    <x v="560"/>
    <s v="Luke Weiss"/>
    <x v="0"/>
    <s v="United States"/>
    <s v="Rochester"/>
    <x v="15"/>
    <n v="14609"/>
    <x v="3"/>
    <x v="1347"/>
    <x v="1"/>
    <x v="10"/>
    <x v="1332"/>
    <x v="91"/>
    <x v="0"/>
    <x v="0"/>
  </r>
  <r>
    <n v="8066"/>
    <x v="3993"/>
    <x v="77"/>
    <d v="2017-11-09T00:00:00"/>
    <s v="First Class"/>
    <x v="560"/>
    <s v="Luke Weiss"/>
    <x v="0"/>
    <s v="United States"/>
    <s v="Rochester"/>
    <x v="15"/>
    <n v="14609"/>
    <x v="3"/>
    <x v="41"/>
    <x v="1"/>
    <x v="4"/>
    <x v="41"/>
    <x v="5045"/>
    <x v="0"/>
    <x v="0"/>
  </r>
  <r>
    <n v="8067"/>
    <x v="3993"/>
    <x v="77"/>
    <d v="2017-11-09T00:00:00"/>
    <s v="First Class"/>
    <x v="560"/>
    <s v="Luke Weiss"/>
    <x v="0"/>
    <s v="United States"/>
    <s v="Rochester"/>
    <x v="15"/>
    <n v="14609"/>
    <x v="3"/>
    <x v="1591"/>
    <x v="1"/>
    <x v="8"/>
    <x v="1583"/>
    <x v="4604"/>
    <x v="0"/>
    <x v="0"/>
  </r>
  <r>
    <n v="8068"/>
    <x v="3994"/>
    <x v="1182"/>
    <d v="2016-10-24T00:00:00"/>
    <s v="Standard Class"/>
    <x v="374"/>
    <s v="Noel Staavos"/>
    <x v="1"/>
    <s v="United States"/>
    <s v="San Francisco"/>
    <x v="1"/>
    <n v="94109"/>
    <x v="1"/>
    <x v="428"/>
    <x v="2"/>
    <x v="11"/>
    <x v="428"/>
    <x v="758"/>
    <x v="2"/>
    <x v="1"/>
  </r>
  <r>
    <n v="8069"/>
    <x v="3994"/>
    <x v="1182"/>
    <d v="2016-10-24T00:00:00"/>
    <s v="Standard Class"/>
    <x v="374"/>
    <s v="Noel Staavos"/>
    <x v="1"/>
    <s v="United States"/>
    <s v="San Francisco"/>
    <x v="1"/>
    <n v="94109"/>
    <x v="1"/>
    <x v="1565"/>
    <x v="0"/>
    <x v="5"/>
    <x v="1556"/>
    <x v="1970"/>
    <x v="2"/>
    <x v="1"/>
  </r>
  <r>
    <n v="8070"/>
    <x v="3995"/>
    <x v="314"/>
    <d v="2018-01-05T00:00:00"/>
    <s v="Standard Class"/>
    <x v="49"/>
    <s v="Janet Martin"/>
    <x v="0"/>
    <s v="United States"/>
    <s v="Huntsville"/>
    <x v="5"/>
    <n v="77340"/>
    <x v="2"/>
    <x v="418"/>
    <x v="1"/>
    <x v="4"/>
    <x v="418"/>
    <x v="5046"/>
    <x v="9"/>
    <x v="3"/>
  </r>
  <r>
    <n v="8071"/>
    <x v="3995"/>
    <x v="314"/>
    <d v="2018-01-05T00:00:00"/>
    <s v="Standard Class"/>
    <x v="49"/>
    <s v="Janet Martin"/>
    <x v="0"/>
    <s v="United States"/>
    <s v="Huntsville"/>
    <x v="5"/>
    <n v="77340"/>
    <x v="2"/>
    <x v="1454"/>
    <x v="0"/>
    <x v="5"/>
    <x v="1440"/>
    <x v="5047"/>
    <x v="9"/>
    <x v="3"/>
  </r>
  <r>
    <n v="8072"/>
    <x v="3995"/>
    <x v="314"/>
    <d v="2018-01-05T00:00:00"/>
    <s v="Standard Class"/>
    <x v="49"/>
    <s v="Janet Martin"/>
    <x v="0"/>
    <s v="United States"/>
    <s v="Huntsville"/>
    <x v="5"/>
    <n v="77340"/>
    <x v="2"/>
    <x v="637"/>
    <x v="0"/>
    <x v="1"/>
    <x v="637"/>
    <x v="5048"/>
    <x v="9"/>
    <x v="3"/>
  </r>
  <r>
    <n v="8073"/>
    <x v="3995"/>
    <x v="314"/>
    <d v="2018-01-05T00:00:00"/>
    <s v="Standard Class"/>
    <x v="49"/>
    <s v="Janet Martin"/>
    <x v="0"/>
    <s v="United States"/>
    <s v="Huntsville"/>
    <x v="5"/>
    <n v="77340"/>
    <x v="2"/>
    <x v="703"/>
    <x v="1"/>
    <x v="6"/>
    <x v="703"/>
    <x v="5049"/>
    <x v="9"/>
    <x v="3"/>
  </r>
  <r>
    <n v="8074"/>
    <x v="3995"/>
    <x v="314"/>
    <d v="2018-01-05T00:00:00"/>
    <s v="Standard Class"/>
    <x v="49"/>
    <s v="Janet Martin"/>
    <x v="0"/>
    <s v="United States"/>
    <s v="Huntsville"/>
    <x v="5"/>
    <n v="77340"/>
    <x v="2"/>
    <x v="625"/>
    <x v="1"/>
    <x v="8"/>
    <x v="625"/>
    <x v="5050"/>
    <x v="9"/>
    <x v="3"/>
  </r>
  <r>
    <n v="8075"/>
    <x v="3995"/>
    <x v="314"/>
    <d v="2018-01-05T00:00:00"/>
    <s v="Standard Class"/>
    <x v="49"/>
    <s v="Janet Martin"/>
    <x v="0"/>
    <s v="United States"/>
    <s v="Huntsville"/>
    <x v="5"/>
    <n v="77340"/>
    <x v="2"/>
    <x v="185"/>
    <x v="1"/>
    <x v="8"/>
    <x v="186"/>
    <x v="5051"/>
    <x v="9"/>
    <x v="3"/>
  </r>
  <r>
    <n v="8076"/>
    <x v="3995"/>
    <x v="314"/>
    <d v="2018-01-05T00:00:00"/>
    <s v="Standard Class"/>
    <x v="49"/>
    <s v="Janet Martin"/>
    <x v="0"/>
    <s v="United States"/>
    <s v="Huntsville"/>
    <x v="5"/>
    <n v="77340"/>
    <x v="2"/>
    <x v="513"/>
    <x v="1"/>
    <x v="9"/>
    <x v="513"/>
    <x v="5052"/>
    <x v="9"/>
    <x v="3"/>
  </r>
  <r>
    <n v="8077"/>
    <x v="3996"/>
    <x v="537"/>
    <d v="2016-06-29T00:00:00"/>
    <s v="Standard Class"/>
    <x v="575"/>
    <s v="Randy Ferguson"/>
    <x v="1"/>
    <s v="United States"/>
    <s v="East Point"/>
    <x v="32"/>
    <n v="30344"/>
    <x v="0"/>
    <x v="645"/>
    <x v="0"/>
    <x v="5"/>
    <x v="645"/>
    <x v="1846"/>
    <x v="1"/>
    <x v="1"/>
  </r>
  <r>
    <n v="8078"/>
    <x v="3996"/>
    <x v="537"/>
    <d v="2016-06-29T00:00:00"/>
    <s v="Standard Class"/>
    <x v="575"/>
    <s v="Randy Ferguson"/>
    <x v="1"/>
    <s v="United States"/>
    <s v="East Point"/>
    <x v="32"/>
    <n v="30344"/>
    <x v="0"/>
    <x v="896"/>
    <x v="1"/>
    <x v="8"/>
    <x v="889"/>
    <x v="5053"/>
    <x v="1"/>
    <x v="1"/>
  </r>
  <r>
    <n v="8079"/>
    <x v="3996"/>
    <x v="537"/>
    <d v="2016-06-29T00:00:00"/>
    <s v="Standard Class"/>
    <x v="575"/>
    <s v="Randy Ferguson"/>
    <x v="1"/>
    <s v="United States"/>
    <s v="East Point"/>
    <x v="32"/>
    <n v="30344"/>
    <x v="0"/>
    <x v="1371"/>
    <x v="2"/>
    <x v="11"/>
    <x v="1356"/>
    <x v="5054"/>
    <x v="1"/>
    <x v="1"/>
  </r>
  <r>
    <n v="8080"/>
    <x v="3997"/>
    <x v="441"/>
    <d v="2017-11-27T00:00:00"/>
    <s v="Standard Class"/>
    <x v="402"/>
    <s v="Cathy Armstrong"/>
    <x v="2"/>
    <s v="United States"/>
    <s v="New York City"/>
    <x v="15"/>
    <n v="10009"/>
    <x v="3"/>
    <x v="301"/>
    <x v="1"/>
    <x v="8"/>
    <x v="301"/>
    <x v="5055"/>
    <x v="0"/>
    <x v="0"/>
  </r>
  <r>
    <n v="8081"/>
    <x v="3998"/>
    <x v="662"/>
    <d v="2016-11-01T00:00:00"/>
    <s v="Standard Class"/>
    <x v="120"/>
    <s v="Kristen Hastings"/>
    <x v="1"/>
    <s v="United States"/>
    <s v="Springfield"/>
    <x v="21"/>
    <n v="97477"/>
    <x v="1"/>
    <x v="933"/>
    <x v="1"/>
    <x v="2"/>
    <x v="926"/>
    <x v="5056"/>
    <x v="2"/>
    <x v="1"/>
  </r>
  <r>
    <n v="8082"/>
    <x v="3998"/>
    <x v="662"/>
    <d v="2016-11-01T00:00:00"/>
    <s v="Standard Class"/>
    <x v="120"/>
    <s v="Kristen Hastings"/>
    <x v="1"/>
    <s v="United States"/>
    <s v="Springfield"/>
    <x v="21"/>
    <n v="97477"/>
    <x v="1"/>
    <x v="1766"/>
    <x v="1"/>
    <x v="10"/>
    <x v="1755"/>
    <x v="572"/>
    <x v="2"/>
    <x v="1"/>
  </r>
  <r>
    <n v="8083"/>
    <x v="3998"/>
    <x v="662"/>
    <d v="2016-11-01T00:00:00"/>
    <s v="Standard Class"/>
    <x v="120"/>
    <s v="Kristen Hastings"/>
    <x v="1"/>
    <s v="United States"/>
    <s v="Springfield"/>
    <x v="21"/>
    <n v="97477"/>
    <x v="1"/>
    <x v="543"/>
    <x v="1"/>
    <x v="9"/>
    <x v="543"/>
    <x v="5057"/>
    <x v="2"/>
    <x v="1"/>
  </r>
  <r>
    <n v="8084"/>
    <x v="3998"/>
    <x v="662"/>
    <d v="2016-11-01T00:00:00"/>
    <s v="Standard Class"/>
    <x v="120"/>
    <s v="Kristen Hastings"/>
    <x v="1"/>
    <s v="United States"/>
    <s v="Springfield"/>
    <x v="21"/>
    <n v="97477"/>
    <x v="1"/>
    <x v="1282"/>
    <x v="1"/>
    <x v="8"/>
    <x v="1267"/>
    <x v="4297"/>
    <x v="2"/>
    <x v="1"/>
  </r>
  <r>
    <n v="8085"/>
    <x v="3998"/>
    <x v="662"/>
    <d v="2016-11-01T00:00:00"/>
    <s v="Standard Class"/>
    <x v="120"/>
    <s v="Kristen Hastings"/>
    <x v="1"/>
    <s v="United States"/>
    <s v="Springfield"/>
    <x v="21"/>
    <n v="97477"/>
    <x v="1"/>
    <x v="435"/>
    <x v="1"/>
    <x v="4"/>
    <x v="435"/>
    <x v="5058"/>
    <x v="2"/>
    <x v="1"/>
  </r>
  <r>
    <n v="8086"/>
    <x v="3999"/>
    <x v="201"/>
    <d v="2017-10-26T00:00:00"/>
    <s v="Standard Class"/>
    <x v="784"/>
    <s v="Lindsay Castell"/>
    <x v="2"/>
    <s v="United States"/>
    <s v="Arlington"/>
    <x v="17"/>
    <n v="22204"/>
    <x v="0"/>
    <x v="390"/>
    <x v="0"/>
    <x v="5"/>
    <x v="391"/>
    <x v="5059"/>
    <x v="2"/>
    <x v="0"/>
  </r>
  <r>
    <n v="8087"/>
    <x v="4000"/>
    <x v="1045"/>
    <d v="2018-05-02T00:00:00"/>
    <s v="Standard Class"/>
    <x v="691"/>
    <s v="Jack Lebron"/>
    <x v="0"/>
    <s v="United States"/>
    <s v="Wilmington"/>
    <x v="3"/>
    <n v="28403"/>
    <x v="0"/>
    <x v="1267"/>
    <x v="1"/>
    <x v="9"/>
    <x v="1251"/>
    <x v="5060"/>
    <x v="3"/>
    <x v="3"/>
  </r>
  <r>
    <n v="8088"/>
    <x v="4001"/>
    <x v="321"/>
    <d v="2017-10-01T00:00:00"/>
    <s v="Second Class"/>
    <x v="678"/>
    <s v="Dario Medina"/>
    <x v="1"/>
    <s v="United States"/>
    <s v="Yuma"/>
    <x v="16"/>
    <n v="85364"/>
    <x v="1"/>
    <x v="836"/>
    <x v="1"/>
    <x v="6"/>
    <x v="831"/>
    <x v="5061"/>
    <x v="8"/>
    <x v="0"/>
  </r>
  <r>
    <n v="8089"/>
    <x v="4002"/>
    <x v="848"/>
    <d v="2016-07-14T00:00:00"/>
    <s v="Standard Class"/>
    <x v="160"/>
    <s v="Mike Vittorini"/>
    <x v="0"/>
    <s v="United States"/>
    <s v="San Bernardino"/>
    <x v="1"/>
    <n v="92404"/>
    <x v="1"/>
    <x v="691"/>
    <x v="1"/>
    <x v="8"/>
    <x v="691"/>
    <x v="3009"/>
    <x v="7"/>
    <x v="1"/>
  </r>
  <r>
    <n v="8090"/>
    <x v="4003"/>
    <x v="976"/>
    <d v="2016-08-09T00:00:00"/>
    <s v="First Class"/>
    <x v="374"/>
    <s v="Noel Staavos"/>
    <x v="1"/>
    <s v="United States"/>
    <s v="Baltimore"/>
    <x v="39"/>
    <n v="21215"/>
    <x v="3"/>
    <x v="22"/>
    <x v="1"/>
    <x v="9"/>
    <x v="22"/>
    <x v="5062"/>
    <x v="6"/>
    <x v="1"/>
  </r>
  <r>
    <n v="8091"/>
    <x v="4004"/>
    <x v="1035"/>
    <d v="2015-12-13T00:00:00"/>
    <s v="Standard Class"/>
    <x v="357"/>
    <s v="Ann Steele"/>
    <x v="2"/>
    <s v="United States"/>
    <s v="Seattle"/>
    <x v="4"/>
    <n v="98103"/>
    <x v="1"/>
    <x v="1424"/>
    <x v="1"/>
    <x v="4"/>
    <x v="1412"/>
    <x v="5063"/>
    <x v="4"/>
    <x v="2"/>
  </r>
  <r>
    <n v="8092"/>
    <x v="4005"/>
    <x v="895"/>
    <d v="2016-12-14T00:00:00"/>
    <s v="Standard Class"/>
    <x v="363"/>
    <s v="Meg Tillman"/>
    <x v="0"/>
    <s v="United States"/>
    <s v="San Francisco"/>
    <x v="1"/>
    <n v="94110"/>
    <x v="1"/>
    <x v="745"/>
    <x v="1"/>
    <x v="2"/>
    <x v="743"/>
    <x v="1755"/>
    <x v="4"/>
    <x v="1"/>
  </r>
  <r>
    <n v="8093"/>
    <x v="4006"/>
    <x v="1183"/>
    <d v="2018-11-13T00:00:00"/>
    <s v="Second Class"/>
    <x v="676"/>
    <s v="Sharelle Roach"/>
    <x v="2"/>
    <s v="United States"/>
    <s v="New York City"/>
    <x v="15"/>
    <n v="10035"/>
    <x v="3"/>
    <x v="940"/>
    <x v="1"/>
    <x v="6"/>
    <x v="933"/>
    <x v="2198"/>
    <x v="0"/>
    <x v="3"/>
  </r>
  <r>
    <n v="8094"/>
    <x v="4007"/>
    <x v="944"/>
    <d v="2018-08-01T00:00:00"/>
    <s v="Second Class"/>
    <x v="589"/>
    <s v="Dennis Kane"/>
    <x v="0"/>
    <s v="United States"/>
    <s v="Seattle"/>
    <x v="4"/>
    <n v="98115"/>
    <x v="1"/>
    <x v="740"/>
    <x v="0"/>
    <x v="5"/>
    <x v="222"/>
    <x v="1680"/>
    <x v="7"/>
    <x v="3"/>
  </r>
  <r>
    <n v="8095"/>
    <x v="4007"/>
    <x v="944"/>
    <d v="2018-08-01T00:00:00"/>
    <s v="Second Class"/>
    <x v="589"/>
    <s v="Dennis Kane"/>
    <x v="0"/>
    <s v="United States"/>
    <s v="Seattle"/>
    <x v="4"/>
    <n v="98115"/>
    <x v="1"/>
    <x v="1254"/>
    <x v="1"/>
    <x v="10"/>
    <x v="1238"/>
    <x v="2183"/>
    <x v="7"/>
    <x v="3"/>
  </r>
  <r>
    <n v="8096"/>
    <x v="4007"/>
    <x v="944"/>
    <d v="2018-08-01T00:00:00"/>
    <s v="Second Class"/>
    <x v="589"/>
    <s v="Dennis Kane"/>
    <x v="0"/>
    <s v="United States"/>
    <s v="Seattle"/>
    <x v="4"/>
    <n v="98115"/>
    <x v="1"/>
    <x v="1290"/>
    <x v="1"/>
    <x v="10"/>
    <x v="1276"/>
    <x v="91"/>
    <x v="7"/>
    <x v="3"/>
  </r>
  <r>
    <n v="8097"/>
    <x v="4007"/>
    <x v="944"/>
    <d v="2018-08-01T00:00:00"/>
    <s v="Second Class"/>
    <x v="589"/>
    <s v="Dennis Kane"/>
    <x v="0"/>
    <s v="United States"/>
    <s v="Seattle"/>
    <x v="4"/>
    <n v="98115"/>
    <x v="1"/>
    <x v="437"/>
    <x v="2"/>
    <x v="11"/>
    <x v="437"/>
    <x v="5064"/>
    <x v="7"/>
    <x v="3"/>
  </r>
  <r>
    <n v="8098"/>
    <x v="4008"/>
    <x v="116"/>
    <d v="2019-01-01T00:00:00"/>
    <s v="Standard Class"/>
    <x v="603"/>
    <s v="Susan Vittorini"/>
    <x v="0"/>
    <s v="United States"/>
    <s v="Albuquerque"/>
    <x v="27"/>
    <n v="87105"/>
    <x v="1"/>
    <x v="392"/>
    <x v="1"/>
    <x v="4"/>
    <x v="393"/>
    <x v="2871"/>
    <x v="4"/>
    <x v="3"/>
  </r>
  <r>
    <n v="8099"/>
    <x v="4008"/>
    <x v="116"/>
    <d v="2019-01-01T00:00:00"/>
    <s v="Standard Class"/>
    <x v="603"/>
    <s v="Susan Vittorini"/>
    <x v="0"/>
    <s v="United States"/>
    <s v="Albuquerque"/>
    <x v="27"/>
    <n v="87105"/>
    <x v="1"/>
    <x v="1433"/>
    <x v="1"/>
    <x v="10"/>
    <x v="1421"/>
    <x v="726"/>
    <x v="4"/>
    <x v="3"/>
  </r>
  <r>
    <n v="8100"/>
    <x v="4009"/>
    <x v="612"/>
    <d v="2017-03-13T00:00:00"/>
    <s v="First Class"/>
    <x v="563"/>
    <s v="Rick Huthwaite"/>
    <x v="2"/>
    <s v="United States"/>
    <s v="Los Angeles"/>
    <x v="1"/>
    <n v="90045"/>
    <x v="1"/>
    <x v="1044"/>
    <x v="2"/>
    <x v="11"/>
    <x v="1033"/>
    <x v="3858"/>
    <x v="10"/>
    <x v="0"/>
  </r>
  <r>
    <n v="8101"/>
    <x v="4009"/>
    <x v="612"/>
    <d v="2017-03-13T00:00:00"/>
    <s v="First Class"/>
    <x v="563"/>
    <s v="Rick Huthwaite"/>
    <x v="2"/>
    <s v="United States"/>
    <s v="Los Angeles"/>
    <x v="1"/>
    <n v="90045"/>
    <x v="1"/>
    <x v="1832"/>
    <x v="2"/>
    <x v="15"/>
    <x v="1820"/>
    <x v="5065"/>
    <x v="10"/>
    <x v="0"/>
  </r>
  <r>
    <n v="8102"/>
    <x v="4010"/>
    <x v="1184"/>
    <d v="2016-05-26T00:00:00"/>
    <s v="Standard Class"/>
    <x v="766"/>
    <s v="Sarah Brown"/>
    <x v="0"/>
    <s v="United States"/>
    <s v="Los Angeles"/>
    <x v="1"/>
    <n v="90045"/>
    <x v="1"/>
    <x v="617"/>
    <x v="1"/>
    <x v="2"/>
    <x v="617"/>
    <x v="338"/>
    <x v="5"/>
    <x v="1"/>
  </r>
  <r>
    <n v="8103"/>
    <x v="4010"/>
    <x v="1184"/>
    <d v="2016-05-26T00:00:00"/>
    <s v="Standard Class"/>
    <x v="766"/>
    <s v="Sarah Brown"/>
    <x v="0"/>
    <s v="United States"/>
    <s v="Los Angeles"/>
    <x v="1"/>
    <n v="90045"/>
    <x v="1"/>
    <x v="668"/>
    <x v="2"/>
    <x v="15"/>
    <x v="668"/>
    <x v="5066"/>
    <x v="5"/>
    <x v="1"/>
  </r>
  <r>
    <n v="8104"/>
    <x v="4010"/>
    <x v="1184"/>
    <d v="2016-05-26T00:00:00"/>
    <s v="Standard Class"/>
    <x v="766"/>
    <s v="Sarah Brown"/>
    <x v="0"/>
    <s v="United States"/>
    <s v="Los Angeles"/>
    <x v="1"/>
    <n v="90045"/>
    <x v="1"/>
    <x v="328"/>
    <x v="1"/>
    <x v="4"/>
    <x v="328"/>
    <x v="349"/>
    <x v="5"/>
    <x v="1"/>
  </r>
  <r>
    <n v="8105"/>
    <x v="4010"/>
    <x v="1184"/>
    <d v="2016-05-26T00:00:00"/>
    <s v="Standard Class"/>
    <x v="766"/>
    <s v="Sarah Brown"/>
    <x v="0"/>
    <s v="United States"/>
    <s v="Los Angeles"/>
    <x v="1"/>
    <n v="90045"/>
    <x v="1"/>
    <x v="297"/>
    <x v="2"/>
    <x v="7"/>
    <x v="297"/>
    <x v="5067"/>
    <x v="5"/>
    <x v="1"/>
  </r>
  <r>
    <n v="8106"/>
    <x v="4011"/>
    <x v="922"/>
    <d v="2018-02-19T00:00:00"/>
    <s v="First Class"/>
    <x v="736"/>
    <s v="Cyra Reiten"/>
    <x v="2"/>
    <s v="United States"/>
    <s v="Houston"/>
    <x v="5"/>
    <n v="77041"/>
    <x v="2"/>
    <x v="419"/>
    <x v="0"/>
    <x v="0"/>
    <x v="419"/>
    <x v="5068"/>
    <x v="11"/>
    <x v="3"/>
  </r>
  <r>
    <n v="8107"/>
    <x v="4011"/>
    <x v="922"/>
    <d v="2018-02-19T00:00:00"/>
    <s v="First Class"/>
    <x v="736"/>
    <s v="Cyra Reiten"/>
    <x v="2"/>
    <s v="United States"/>
    <s v="Houston"/>
    <x v="5"/>
    <n v="77041"/>
    <x v="2"/>
    <x v="1833"/>
    <x v="1"/>
    <x v="6"/>
    <x v="1821"/>
    <x v="5069"/>
    <x v="11"/>
    <x v="3"/>
  </r>
  <r>
    <n v="8108"/>
    <x v="4011"/>
    <x v="922"/>
    <d v="2018-02-19T00:00:00"/>
    <s v="First Class"/>
    <x v="736"/>
    <s v="Cyra Reiten"/>
    <x v="2"/>
    <s v="United States"/>
    <s v="Houston"/>
    <x v="5"/>
    <n v="77041"/>
    <x v="2"/>
    <x v="1075"/>
    <x v="2"/>
    <x v="7"/>
    <x v="1065"/>
    <x v="1417"/>
    <x v="11"/>
    <x v="3"/>
  </r>
  <r>
    <n v="8109"/>
    <x v="4012"/>
    <x v="166"/>
    <d v="2018-12-15T00:00:00"/>
    <s v="Standard Class"/>
    <x v="283"/>
    <s v="Emily Grady"/>
    <x v="0"/>
    <s v="United States"/>
    <s v="Philadelphia"/>
    <x v="9"/>
    <n v="19140"/>
    <x v="3"/>
    <x v="389"/>
    <x v="0"/>
    <x v="1"/>
    <x v="390"/>
    <x v="5070"/>
    <x v="4"/>
    <x v="3"/>
  </r>
  <r>
    <n v="8110"/>
    <x v="4013"/>
    <x v="551"/>
    <d v="2018-11-23T00:00:00"/>
    <s v="Standard Class"/>
    <x v="709"/>
    <s v="Russell D'Ascenzo"/>
    <x v="0"/>
    <s v="United States"/>
    <s v="Chicago"/>
    <x v="10"/>
    <n v="60623"/>
    <x v="2"/>
    <x v="1758"/>
    <x v="1"/>
    <x v="12"/>
    <x v="1711"/>
    <x v="5071"/>
    <x v="0"/>
    <x v="3"/>
  </r>
  <r>
    <n v="8111"/>
    <x v="4013"/>
    <x v="551"/>
    <d v="2018-11-23T00:00:00"/>
    <s v="Standard Class"/>
    <x v="709"/>
    <s v="Russell D'Ascenzo"/>
    <x v="0"/>
    <s v="United States"/>
    <s v="Chicago"/>
    <x v="10"/>
    <n v="60623"/>
    <x v="2"/>
    <x v="1455"/>
    <x v="0"/>
    <x v="1"/>
    <x v="1441"/>
    <x v="5072"/>
    <x v="0"/>
    <x v="3"/>
  </r>
  <r>
    <n v="8112"/>
    <x v="4014"/>
    <x v="49"/>
    <d v="2017-12-03T00:00:00"/>
    <s v="Second Class"/>
    <x v="622"/>
    <s v="John Murray"/>
    <x v="0"/>
    <s v="United States"/>
    <s v="San Angelo"/>
    <x v="5"/>
    <n v="76903"/>
    <x v="2"/>
    <x v="474"/>
    <x v="0"/>
    <x v="1"/>
    <x v="475"/>
    <x v="5073"/>
    <x v="4"/>
    <x v="0"/>
  </r>
  <r>
    <n v="8113"/>
    <x v="4014"/>
    <x v="49"/>
    <d v="2017-12-03T00:00:00"/>
    <s v="Second Class"/>
    <x v="622"/>
    <s v="John Murray"/>
    <x v="0"/>
    <s v="United States"/>
    <s v="San Angelo"/>
    <x v="5"/>
    <n v="76903"/>
    <x v="2"/>
    <x v="937"/>
    <x v="1"/>
    <x v="9"/>
    <x v="930"/>
    <x v="25"/>
    <x v="4"/>
    <x v="0"/>
  </r>
  <r>
    <n v="8114"/>
    <x v="4014"/>
    <x v="49"/>
    <d v="2017-12-03T00:00:00"/>
    <s v="Second Class"/>
    <x v="622"/>
    <s v="John Murray"/>
    <x v="0"/>
    <s v="United States"/>
    <s v="San Angelo"/>
    <x v="5"/>
    <n v="76903"/>
    <x v="2"/>
    <x v="212"/>
    <x v="0"/>
    <x v="1"/>
    <x v="213"/>
    <x v="4763"/>
    <x v="4"/>
    <x v="0"/>
  </r>
  <r>
    <n v="8115"/>
    <x v="4015"/>
    <x v="621"/>
    <d v="2018-10-07T00:00:00"/>
    <s v="Second Class"/>
    <x v="429"/>
    <s v="Laurel Workman"/>
    <x v="1"/>
    <s v="United States"/>
    <s v="Pasadena"/>
    <x v="5"/>
    <n v="77506"/>
    <x v="2"/>
    <x v="923"/>
    <x v="1"/>
    <x v="6"/>
    <x v="915"/>
    <x v="5074"/>
    <x v="2"/>
    <x v="3"/>
  </r>
  <r>
    <n v="8116"/>
    <x v="4016"/>
    <x v="635"/>
    <d v="2018-09-04T00:00:00"/>
    <s v="Standard Class"/>
    <x v="459"/>
    <s v="Rick Wilson"/>
    <x v="1"/>
    <s v="United States"/>
    <s v="Los Angeles"/>
    <x v="1"/>
    <n v="90049"/>
    <x v="1"/>
    <x v="1817"/>
    <x v="0"/>
    <x v="5"/>
    <x v="1807"/>
    <x v="5075"/>
    <x v="6"/>
    <x v="3"/>
  </r>
  <r>
    <n v="8117"/>
    <x v="4017"/>
    <x v="221"/>
    <d v="2018-11-24T00:00:00"/>
    <s v="Same Day"/>
    <x v="410"/>
    <s v="Brooke Gillingham"/>
    <x v="1"/>
    <s v="United States"/>
    <s v="Garden City"/>
    <x v="41"/>
    <n v="67846"/>
    <x v="2"/>
    <x v="1291"/>
    <x v="1"/>
    <x v="4"/>
    <x v="1277"/>
    <x v="3212"/>
    <x v="0"/>
    <x v="3"/>
  </r>
  <r>
    <n v="8118"/>
    <x v="4018"/>
    <x v="160"/>
    <d v="2018-07-05T00:00:00"/>
    <s v="Standard Class"/>
    <x v="627"/>
    <s v="Thomas Thornton"/>
    <x v="0"/>
    <s v="United States"/>
    <s v="Los Angeles"/>
    <x v="1"/>
    <n v="90045"/>
    <x v="1"/>
    <x v="1127"/>
    <x v="1"/>
    <x v="10"/>
    <x v="1115"/>
    <x v="2854"/>
    <x v="1"/>
    <x v="3"/>
  </r>
  <r>
    <n v="8119"/>
    <x v="4019"/>
    <x v="847"/>
    <d v="2018-07-27T00:00:00"/>
    <s v="Standard Class"/>
    <x v="518"/>
    <s v="Eric Barreto"/>
    <x v="0"/>
    <s v="United States"/>
    <s v="Chicago"/>
    <x v="10"/>
    <n v="60653"/>
    <x v="2"/>
    <x v="499"/>
    <x v="0"/>
    <x v="1"/>
    <x v="499"/>
    <x v="5076"/>
    <x v="7"/>
    <x v="3"/>
  </r>
  <r>
    <n v="8120"/>
    <x v="4020"/>
    <x v="583"/>
    <d v="2017-11-16T00:00:00"/>
    <s v="Standard Class"/>
    <x v="221"/>
    <s v="Liz Pelletier"/>
    <x v="0"/>
    <s v="United States"/>
    <s v="San Francisco"/>
    <x v="1"/>
    <n v="94110"/>
    <x v="1"/>
    <x v="107"/>
    <x v="0"/>
    <x v="5"/>
    <x v="107"/>
    <x v="108"/>
    <x v="0"/>
    <x v="0"/>
  </r>
  <r>
    <n v="8121"/>
    <x v="4020"/>
    <x v="583"/>
    <d v="2017-11-16T00:00:00"/>
    <s v="Standard Class"/>
    <x v="221"/>
    <s v="Liz Pelletier"/>
    <x v="0"/>
    <s v="United States"/>
    <s v="San Francisco"/>
    <x v="1"/>
    <n v="94110"/>
    <x v="1"/>
    <x v="499"/>
    <x v="0"/>
    <x v="1"/>
    <x v="499"/>
    <x v="538"/>
    <x v="0"/>
    <x v="0"/>
  </r>
  <r>
    <n v="8122"/>
    <x v="4020"/>
    <x v="583"/>
    <d v="2017-11-16T00:00:00"/>
    <s v="Standard Class"/>
    <x v="221"/>
    <s v="Liz Pelletier"/>
    <x v="0"/>
    <s v="United States"/>
    <s v="San Francisco"/>
    <x v="1"/>
    <n v="94110"/>
    <x v="1"/>
    <x v="175"/>
    <x v="1"/>
    <x v="8"/>
    <x v="176"/>
    <x v="5077"/>
    <x v="0"/>
    <x v="0"/>
  </r>
  <r>
    <n v="8123"/>
    <x v="4021"/>
    <x v="337"/>
    <d v="2015-12-15T00:00:00"/>
    <s v="Standard Class"/>
    <x v="224"/>
    <s v="Frank Preis"/>
    <x v="0"/>
    <s v="United States"/>
    <s v="Philadelphia"/>
    <x v="9"/>
    <n v="19134"/>
    <x v="3"/>
    <x v="118"/>
    <x v="1"/>
    <x v="12"/>
    <x v="118"/>
    <x v="5078"/>
    <x v="4"/>
    <x v="2"/>
  </r>
  <r>
    <n v="8124"/>
    <x v="4021"/>
    <x v="337"/>
    <d v="2015-12-15T00:00:00"/>
    <s v="Standard Class"/>
    <x v="224"/>
    <s v="Frank Preis"/>
    <x v="0"/>
    <s v="United States"/>
    <s v="Philadelphia"/>
    <x v="9"/>
    <n v="19134"/>
    <x v="3"/>
    <x v="1077"/>
    <x v="2"/>
    <x v="16"/>
    <x v="1067"/>
    <x v="5079"/>
    <x v="4"/>
    <x v="2"/>
  </r>
  <r>
    <n v="8125"/>
    <x v="4022"/>
    <x v="210"/>
    <d v="2018-09-12T00:00:00"/>
    <s v="Standard Class"/>
    <x v="350"/>
    <s v="Joseph Airdo"/>
    <x v="0"/>
    <s v="United States"/>
    <s v="Modesto"/>
    <x v="1"/>
    <n v="95351"/>
    <x v="1"/>
    <x v="211"/>
    <x v="0"/>
    <x v="1"/>
    <x v="212"/>
    <x v="224"/>
    <x v="8"/>
    <x v="3"/>
  </r>
  <r>
    <n v="8126"/>
    <x v="4023"/>
    <x v="525"/>
    <d v="2016-02-13T00:00:00"/>
    <s v="Standard Class"/>
    <x v="772"/>
    <s v="Trudy Schmidt"/>
    <x v="0"/>
    <s v="United States"/>
    <s v="Houston"/>
    <x v="5"/>
    <n v="77070"/>
    <x v="2"/>
    <x v="766"/>
    <x v="1"/>
    <x v="8"/>
    <x v="765"/>
    <x v="987"/>
    <x v="11"/>
    <x v="1"/>
  </r>
  <r>
    <n v="8127"/>
    <x v="4023"/>
    <x v="525"/>
    <d v="2016-02-13T00:00:00"/>
    <s v="Standard Class"/>
    <x v="772"/>
    <s v="Trudy Schmidt"/>
    <x v="0"/>
    <s v="United States"/>
    <s v="Houston"/>
    <x v="5"/>
    <n v="77070"/>
    <x v="2"/>
    <x v="103"/>
    <x v="2"/>
    <x v="11"/>
    <x v="103"/>
    <x v="4964"/>
    <x v="11"/>
    <x v="1"/>
  </r>
  <r>
    <n v="8128"/>
    <x v="4023"/>
    <x v="525"/>
    <d v="2016-02-13T00:00:00"/>
    <s v="Standard Class"/>
    <x v="772"/>
    <s v="Trudy Schmidt"/>
    <x v="0"/>
    <s v="United States"/>
    <s v="Houston"/>
    <x v="5"/>
    <n v="77070"/>
    <x v="2"/>
    <x v="1362"/>
    <x v="1"/>
    <x v="4"/>
    <x v="1348"/>
    <x v="5080"/>
    <x v="11"/>
    <x v="1"/>
  </r>
  <r>
    <n v="8129"/>
    <x v="4024"/>
    <x v="775"/>
    <d v="2018-09-01T00:00:00"/>
    <s v="Standard Class"/>
    <x v="24"/>
    <s v="Darren Powers"/>
    <x v="0"/>
    <s v="United States"/>
    <s v="Chicago"/>
    <x v="10"/>
    <n v="60610"/>
    <x v="2"/>
    <x v="596"/>
    <x v="0"/>
    <x v="5"/>
    <x v="596"/>
    <x v="643"/>
    <x v="6"/>
    <x v="3"/>
  </r>
  <r>
    <n v="8130"/>
    <x v="4025"/>
    <x v="836"/>
    <d v="2015-07-23T00:00:00"/>
    <s v="First Class"/>
    <x v="63"/>
    <s v="Jonathan Doherty"/>
    <x v="1"/>
    <s v="United States"/>
    <s v="Riverside"/>
    <x v="1"/>
    <n v="92503"/>
    <x v="1"/>
    <x v="917"/>
    <x v="2"/>
    <x v="11"/>
    <x v="909"/>
    <x v="4836"/>
    <x v="7"/>
    <x v="2"/>
  </r>
  <r>
    <n v="8131"/>
    <x v="4025"/>
    <x v="836"/>
    <d v="2015-07-23T00:00:00"/>
    <s v="First Class"/>
    <x v="63"/>
    <s v="Jonathan Doherty"/>
    <x v="1"/>
    <s v="United States"/>
    <s v="Riverside"/>
    <x v="1"/>
    <n v="92503"/>
    <x v="1"/>
    <x v="1296"/>
    <x v="1"/>
    <x v="10"/>
    <x v="1281"/>
    <x v="489"/>
    <x v="7"/>
    <x v="2"/>
  </r>
  <r>
    <n v="8132"/>
    <x v="4025"/>
    <x v="836"/>
    <d v="2015-07-23T00:00:00"/>
    <s v="First Class"/>
    <x v="63"/>
    <s v="Jonathan Doherty"/>
    <x v="1"/>
    <s v="United States"/>
    <s v="Riverside"/>
    <x v="1"/>
    <n v="92503"/>
    <x v="1"/>
    <x v="1609"/>
    <x v="1"/>
    <x v="6"/>
    <x v="1600"/>
    <x v="1317"/>
    <x v="7"/>
    <x v="2"/>
  </r>
  <r>
    <n v="8133"/>
    <x v="4025"/>
    <x v="836"/>
    <d v="2015-07-23T00:00:00"/>
    <s v="First Class"/>
    <x v="63"/>
    <s v="Jonathan Doherty"/>
    <x v="1"/>
    <s v="United States"/>
    <s v="Riverside"/>
    <x v="1"/>
    <n v="92503"/>
    <x v="1"/>
    <x v="518"/>
    <x v="1"/>
    <x v="4"/>
    <x v="518"/>
    <x v="3370"/>
    <x v="7"/>
    <x v="2"/>
  </r>
  <r>
    <n v="8134"/>
    <x v="4026"/>
    <x v="1049"/>
    <d v="2016-10-13T00:00:00"/>
    <s v="Standard Class"/>
    <x v="16"/>
    <s v="Gene Hale"/>
    <x v="1"/>
    <s v="United States"/>
    <s v="Dallas"/>
    <x v="5"/>
    <n v="75081"/>
    <x v="2"/>
    <x v="71"/>
    <x v="0"/>
    <x v="5"/>
    <x v="71"/>
    <x v="5081"/>
    <x v="2"/>
    <x v="1"/>
  </r>
  <r>
    <n v="8135"/>
    <x v="4027"/>
    <x v="1130"/>
    <d v="2016-02-21T00:00:00"/>
    <s v="Standard Class"/>
    <x v="361"/>
    <s v="Rob Dowd"/>
    <x v="0"/>
    <s v="United States"/>
    <s v="Los Angeles"/>
    <x v="1"/>
    <n v="90008"/>
    <x v="1"/>
    <x v="314"/>
    <x v="1"/>
    <x v="10"/>
    <x v="314"/>
    <x v="651"/>
    <x v="11"/>
    <x v="1"/>
  </r>
  <r>
    <n v="8136"/>
    <x v="4027"/>
    <x v="1130"/>
    <d v="2016-02-21T00:00:00"/>
    <s v="Standard Class"/>
    <x v="361"/>
    <s v="Rob Dowd"/>
    <x v="0"/>
    <s v="United States"/>
    <s v="Los Angeles"/>
    <x v="1"/>
    <n v="90008"/>
    <x v="1"/>
    <x v="49"/>
    <x v="1"/>
    <x v="2"/>
    <x v="49"/>
    <x v="2041"/>
    <x v="11"/>
    <x v="1"/>
  </r>
  <r>
    <n v="8137"/>
    <x v="4028"/>
    <x v="399"/>
    <d v="2017-08-16T00:00:00"/>
    <s v="Standard Class"/>
    <x v="703"/>
    <s v="Cindy Schnelling"/>
    <x v="1"/>
    <s v="United States"/>
    <s v="Lakeland"/>
    <x v="2"/>
    <n v="33801"/>
    <x v="0"/>
    <x v="277"/>
    <x v="0"/>
    <x v="3"/>
    <x v="277"/>
    <x v="5082"/>
    <x v="6"/>
    <x v="0"/>
  </r>
  <r>
    <n v="8138"/>
    <x v="4029"/>
    <x v="187"/>
    <d v="2015-11-13T00:00:00"/>
    <s v="Standard Class"/>
    <x v="682"/>
    <s v="Benjamin Farhat"/>
    <x v="2"/>
    <s v="United States"/>
    <s v="New York City"/>
    <x v="15"/>
    <n v="10035"/>
    <x v="3"/>
    <x v="267"/>
    <x v="0"/>
    <x v="5"/>
    <x v="963"/>
    <x v="3012"/>
    <x v="0"/>
    <x v="2"/>
  </r>
  <r>
    <n v="8139"/>
    <x v="4030"/>
    <x v="427"/>
    <d v="2017-07-22T00:00:00"/>
    <s v="Standard Class"/>
    <x v="71"/>
    <s v="Neil Knudson"/>
    <x v="2"/>
    <s v="United States"/>
    <s v="Philadelphia"/>
    <x v="9"/>
    <n v="19140"/>
    <x v="3"/>
    <x v="824"/>
    <x v="1"/>
    <x v="6"/>
    <x v="820"/>
    <x v="2387"/>
    <x v="7"/>
    <x v="0"/>
  </r>
  <r>
    <n v="8140"/>
    <x v="4030"/>
    <x v="427"/>
    <d v="2017-07-22T00:00:00"/>
    <s v="Standard Class"/>
    <x v="71"/>
    <s v="Neil Knudson"/>
    <x v="2"/>
    <s v="United States"/>
    <s v="Philadelphia"/>
    <x v="9"/>
    <n v="19140"/>
    <x v="3"/>
    <x v="841"/>
    <x v="1"/>
    <x v="4"/>
    <x v="835"/>
    <x v="5083"/>
    <x v="7"/>
    <x v="0"/>
  </r>
  <r>
    <n v="8141"/>
    <x v="4030"/>
    <x v="427"/>
    <d v="2017-07-22T00:00:00"/>
    <s v="Standard Class"/>
    <x v="71"/>
    <s v="Neil Knudson"/>
    <x v="2"/>
    <s v="United States"/>
    <s v="Philadelphia"/>
    <x v="9"/>
    <n v="19140"/>
    <x v="3"/>
    <x v="609"/>
    <x v="1"/>
    <x v="10"/>
    <x v="609"/>
    <x v="281"/>
    <x v="7"/>
    <x v="0"/>
  </r>
  <r>
    <n v="8142"/>
    <x v="4031"/>
    <x v="473"/>
    <d v="2017-02-10T00:00:00"/>
    <s v="Standard Class"/>
    <x v="616"/>
    <s v="Annie Zypern"/>
    <x v="0"/>
    <s v="United States"/>
    <s v="San Diego"/>
    <x v="1"/>
    <n v="92037"/>
    <x v="1"/>
    <x v="607"/>
    <x v="1"/>
    <x v="2"/>
    <x v="607"/>
    <x v="1646"/>
    <x v="11"/>
    <x v="0"/>
  </r>
  <r>
    <n v="8143"/>
    <x v="4031"/>
    <x v="473"/>
    <d v="2017-02-10T00:00:00"/>
    <s v="Standard Class"/>
    <x v="616"/>
    <s v="Annie Zypern"/>
    <x v="0"/>
    <s v="United States"/>
    <s v="San Diego"/>
    <x v="1"/>
    <n v="92037"/>
    <x v="1"/>
    <x v="821"/>
    <x v="1"/>
    <x v="4"/>
    <x v="817"/>
    <x v="4519"/>
    <x v="11"/>
    <x v="0"/>
  </r>
  <r>
    <n v="8144"/>
    <x v="4031"/>
    <x v="473"/>
    <d v="2017-02-10T00:00:00"/>
    <s v="Standard Class"/>
    <x v="616"/>
    <s v="Annie Zypern"/>
    <x v="0"/>
    <s v="United States"/>
    <s v="San Diego"/>
    <x v="1"/>
    <n v="92037"/>
    <x v="1"/>
    <x v="616"/>
    <x v="0"/>
    <x v="3"/>
    <x v="616"/>
    <x v="5084"/>
    <x v="11"/>
    <x v="0"/>
  </r>
  <r>
    <n v="8145"/>
    <x v="4031"/>
    <x v="473"/>
    <d v="2017-02-10T00:00:00"/>
    <s v="Standard Class"/>
    <x v="616"/>
    <s v="Annie Zypern"/>
    <x v="0"/>
    <s v="United States"/>
    <s v="San Diego"/>
    <x v="1"/>
    <n v="92037"/>
    <x v="1"/>
    <x v="140"/>
    <x v="2"/>
    <x v="7"/>
    <x v="141"/>
    <x v="3955"/>
    <x v="11"/>
    <x v="0"/>
  </r>
  <r>
    <n v="8146"/>
    <x v="4032"/>
    <x v="886"/>
    <d v="2015-06-27T00:00:00"/>
    <s v="Standard Class"/>
    <x v="476"/>
    <s v="Corey-Lock"/>
    <x v="0"/>
    <s v="United States"/>
    <s v="Lawton"/>
    <x v="26"/>
    <n v="73505"/>
    <x v="2"/>
    <x v="1152"/>
    <x v="1"/>
    <x v="9"/>
    <x v="1140"/>
    <x v="5085"/>
    <x v="1"/>
    <x v="2"/>
  </r>
  <r>
    <n v="8147"/>
    <x v="4032"/>
    <x v="886"/>
    <d v="2015-06-27T00:00:00"/>
    <s v="Standard Class"/>
    <x v="476"/>
    <s v="Corey-Lock"/>
    <x v="0"/>
    <s v="United States"/>
    <s v="Lawton"/>
    <x v="26"/>
    <n v="73505"/>
    <x v="2"/>
    <x v="1273"/>
    <x v="1"/>
    <x v="6"/>
    <x v="1258"/>
    <x v="2799"/>
    <x v="1"/>
    <x v="2"/>
  </r>
  <r>
    <n v="8148"/>
    <x v="4033"/>
    <x v="255"/>
    <d v="2018-06-14T00:00:00"/>
    <s v="Standard Class"/>
    <x v="165"/>
    <s v="Anna Gayman"/>
    <x v="0"/>
    <s v="United States"/>
    <s v="Salem"/>
    <x v="17"/>
    <n v="24153"/>
    <x v="0"/>
    <x v="33"/>
    <x v="1"/>
    <x v="10"/>
    <x v="33"/>
    <x v="335"/>
    <x v="1"/>
    <x v="3"/>
  </r>
  <r>
    <n v="8149"/>
    <x v="4034"/>
    <x v="797"/>
    <d v="2017-12-31T00:00:00"/>
    <s v="Standard Class"/>
    <x v="670"/>
    <s v="Eugene Moren"/>
    <x v="2"/>
    <s v="United States"/>
    <s v="Santa Ana"/>
    <x v="1"/>
    <n v="92704"/>
    <x v="1"/>
    <x v="745"/>
    <x v="1"/>
    <x v="2"/>
    <x v="743"/>
    <x v="171"/>
    <x v="4"/>
    <x v="0"/>
  </r>
  <r>
    <n v="8150"/>
    <x v="4035"/>
    <x v="755"/>
    <d v="2015-01-29T00:00:00"/>
    <s v="First Class"/>
    <x v="662"/>
    <s v="Carol Adams"/>
    <x v="1"/>
    <s v="United States"/>
    <s v="Rapid City"/>
    <x v="44"/>
    <n v="57701"/>
    <x v="2"/>
    <x v="951"/>
    <x v="1"/>
    <x v="8"/>
    <x v="944"/>
    <x v="3766"/>
    <x v="9"/>
    <x v="2"/>
  </r>
  <r>
    <n v="8151"/>
    <x v="4035"/>
    <x v="755"/>
    <d v="2015-01-29T00:00:00"/>
    <s v="First Class"/>
    <x v="662"/>
    <s v="Carol Adams"/>
    <x v="1"/>
    <s v="United States"/>
    <s v="Rapid City"/>
    <x v="44"/>
    <n v="57701"/>
    <x v="2"/>
    <x v="631"/>
    <x v="0"/>
    <x v="0"/>
    <x v="631"/>
    <x v="1713"/>
    <x v="9"/>
    <x v="2"/>
  </r>
  <r>
    <n v="8152"/>
    <x v="4036"/>
    <x v="721"/>
    <d v="2018-03-25T00:00:00"/>
    <s v="First Class"/>
    <x v="181"/>
    <s v="Raymond Buch"/>
    <x v="0"/>
    <s v="United States"/>
    <s v="Seattle"/>
    <x v="4"/>
    <n v="98115"/>
    <x v="1"/>
    <x v="720"/>
    <x v="1"/>
    <x v="4"/>
    <x v="719"/>
    <x v="4482"/>
    <x v="10"/>
    <x v="3"/>
  </r>
  <r>
    <n v="8153"/>
    <x v="4036"/>
    <x v="721"/>
    <d v="2018-03-25T00:00:00"/>
    <s v="First Class"/>
    <x v="181"/>
    <s v="Raymond Buch"/>
    <x v="0"/>
    <s v="United States"/>
    <s v="Seattle"/>
    <x v="4"/>
    <n v="98115"/>
    <x v="1"/>
    <x v="481"/>
    <x v="1"/>
    <x v="10"/>
    <x v="482"/>
    <x v="130"/>
    <x v="10"/>
    <x v="3"/>
  </r>
  <r>
    <n v="8154"/>
    <x v="4036"/>
    <x v="721"/>
    <d v="2018-03-25T00:00:00"/>
    <s v="First Class"/>
    <x v="181"/>
    <s v="Raymond Buch"/>
    <x v="0"/>
    <s v="United States"/>
    <s v="Seattle"/>
    <x v="4"/>
    <n v="98115"/>
    <x v="1"/>
    <x v="1388"/>
    <x v="2"/>
    <x v="16"/>
    <x v="1374"/>
    <x v="5086"/>
    <x v="10"/>
    <x v="3"/>
  </r>
  <r>
    <n v="8155"/>
    <x v="4037"/>
    <x v="177"/>
    <d v="2018-03-24T00:00:00"/>
    <s v="Standard Class"/>
    <x v="742"/>
    <s v="Roger Demir"/>
    <x v="0"/>
    <s v="United States"/>
    <s v="Middletown"/>
    <x v="29"/>
    <n v="6457"/>
    <x v="3"/>
    <x v="1200"/>
    <x v="2"/>
    <x v="11"/>
    <x v="1185"/>
    <x v="1657"/>
    <x v="10"/>
    <x v="3"/>
  </r>
  <r>
    <n v="8156"/>
    <x v="4037"/>
    <x v="177"/>
    <d v="2018-03-24T00:00:00"/>
    <s v="Standard Class"/>
    <x v="742"/>
    <s v="Roger Demir"/>
    <x v="0"/>
    <s v="United States"/>
    <s v="Middletown"/>
    <x v="29"/>
    <n v="6457"/>
    <x v="3"/>
    <x v="1030"/>
    <x v="1"/>
    <x v="10"/>
    <x v="1021"/>
    <x v="1156"/>
    <x v="10"/>
    <x v="3"/>
  </r>
  <r>
    <n v="8157"/>
    <x v="4038"/>
    <x v="964"/>
    <d v="2017-10-09T00:00:00"/>
    <s v="Standard Class"/>
    <x v="234"/>
    <s v="Melanie Seite"/>
    <x v="0"/>
    <s v="United States"/>
    <s v="Baltimore"/>
    <x v="39"/>
    <n v="21215"/>
    <x v="3"/>
    <x v="975"/>
    <x v="0"/>
    <x v="3"/>
    <x v="969"/>
    <x v="5087"/>
    <x v="2"/>
    <x v="0"/>
  </r>
  <r>
    <n v="8158"/>
    <x v="4039"/>
    <x v="741"/>
    <d v="2017-11-22T00:00:00"/>
    <s v="Standard Class"/>
    <x v="310"/>
    <s v="Patrick Gardner"/>
    <x v="0"/>
    <s v="United States"/>
    <s v="San Diego"/>
    <x v="1"/>
    <n v="92105"/>
    <x v="1"/>
    <x v="1200"/>
    <x v="2"/>
    <x v="11"/>
    <x v="1185"/>
    <x v="1993"/>
    <x v="0"/>
    <x v="0"/>
  </r>
  <r>
    <n v="8159"/>
    <x v="4040"/>
    <x v="377"/>
    <d v="2019-01-01T00:00:00"/>
    <s v="Standard Class"/>
    <x v="208"/>
    <s v="Karen Bern"/>
    <x v="1"/>
    <s v="United States"/>
    <s v="Odessa"/>
    <x v="5"/>
    <n v="79762"/>
    <x v="2"/>
    <x v="1283"/>
    <x v="1"/>
    <x v="10"/>
    <x v="1268"/>
    <x v="2897"/>
    <x v="4"/>
    <x v="3"/>
  </r>
  <r>
    <n v="8160"/>
    <x v="4041"/>
    <x v="1185"/>
    <d v="2017-03-13T00:00:00"/>
    <s v="Standard Class"/>
    <x v="46"/>
    <s v="Rick Bensley"/>
    <x v="2"/>
    <s v="United States"/>
    <s v="Milford"/>
    <x v="29"/>
    <n v="6460"/>
    <x v="3"/>
    <x v="240"/>
    <x v="2"/>
    <x v="11"/>
    <x v="241"/>
    <x v="5016"/>
    <x v="10"/>
    <x v="0"/>
  </r>
  <r>
    <n v="8161"/>
    <x v="4042"/>
    <x v="595"/>
    <d v="2017-02-20T00:00:00"/>
    <s v="Standard Class"/>
    <x v="479"/>
    <s v="John Dryer"/>
    <x v="0"/>
    <s v="United States"/>
    <s v="Belleville"/>
    <x v="30"/>
    <n v="7109"/>
    <x v="3"/>
    <x v="1756"/>
    <x v="0"/>
    <x v="1"/>
    <x v="1746"/>
    <x v="5088"/>
    <x v="11"/>
    <x v="0"/>
  </r>
  <r>
    <n v="8162"/>
    <x v="4043"/>
    <x v="694"/>
    <d v="2016-10-03T00:00:00"/>
    <s v="Second Class"/>
    <x v="370"/>
    <s v="Jennifer Jackson"/>
    <x v="0"/>
    <s v="United States"/>
    <s v="New York City"/>
    <x v="15"/>
    <n v="10035"/>
    <x v="3"/>
    <x v="414"/>
    <x v="1"/>
    <x v="9"/>
    <x v="414"/>
    <x v="5089"/>
    <x v="8"/>
    <x v="1"/>
  </r>
  <r>
    <n v="8163"/>
    <x v="4043"/>
    <x v="694"/>
    <d v="2016-10-03T00:00:00"/>
    <s v="Second Class"/>
    <x v="370"/>
    <s v="Jennifer Jackson"/>
    <x v="0"/>
    <s v="United States"/>
    <s v="New York City"/>
    <x v="15"/>
    <n v="10035"/>
    <x v="3"/>
    <x v="348"/>
    <x v="2"/>
    <x v="7"/>
    <x v="348"/>
    <x v="669"/>
    <x v="8"/>
    <x v="1"/>
  </r>
  <r>
    <n v="8164"/>
    <x v="4044"/>
    <x v="121"/>
    <d v="2016-11-06T00:00:00"/>
    <s v="Standard Class"/>
    <x v="299"/>
    <s v="Liz Thompson"/>
    <x v="0"/>
    <s v="United States"/>
    <s v="San Diego"/>
    <x v="1"/>
    <n v="92105"/>
    <x v="1"/>
    <x v="1372"/>
    <x v="0"/>
    <x v="5"/>
    <x v="1357"/>
    <x v="5090"/>
    <x v="0"/>
    <x v="1"/>
  </r>
  <r>
    <n v="8165"/>
    <x v="4044"/>
    <x v="121"/>
    <d v="2016-11-06T00:00:00"/>
    <s v="Standard Class"/>
    <x v="299"/>
    <s v="Liz Thompson"/>
    <x v="0"/>
    <s v="United States"/>
    <s v="San Diego"/>
    <x v="1"/>
    <n v="92105"/>
    <x v="1"/>
    <x v="301"/>
    <x v="1"/>
    <x v="8"/>
    <x v="301"/>
    <x v="3553"/>
    <x v="0"/>
    <x v="1"/>
  </r>
  <r>
    <n v="8166"/>
    <x v="4044"/>
    <x v="121"/>
    <d v="2016-11-06T00:00:00"/>
    <s v="Standard Class"/>
    <x v="299"/>
    <s v="Liz Thompson"/>
    <x v="0"/>
    <s v="United States"/>
    <s v="San Diego"/>
    <x v="1"/>
    <n v="92105"/>
    <x v="1"/>
    <x v="591"/>
    <x v="1"/>
    <x v="8"/>
    <x v="591"/>
    <x v="1627"/>
    <x v="0"/>
    <x v="1"/>
  </r>
  <r>
    <n v="8167"/>
    <x v="4044"/>
    <x v="121"/>
    <d v="2016-11-06T00:00:00"/>
    <s v="Standard Class"/>
    <x v="299"/>
    <s v="Liz Thompson"/>
    <x v="0"/>
    <s v="United States"/>
    <s v="San Diego"/>
    <x v="1"/>
    <n v="92105"/>
    <x v="1"/>
    <x v="1373"/>
    <x v="0"/>
    <x v="0"/>
    <x v="1358"/>
    <x v="5091"/>
    <x v="0"/>
    <x v="1"/>
  </r>
  <r>
    <n v="8168"/>
    <x v="4045"/>
    <x v="995"/>
    <d v="2017-08-05T00:00:00"/>
    <s v="Standard Class"/>
    <x v="706"/>
    <s v="Anna Häberlin"/>
    <x v="1"/>
    <s v="United States"/>
    <s v="San Francisco"/>
    <x v="1"/>
    <n v="94122"/>
    <x v="1"/>
    <x v="584"/>
    <x v="0"/>
    <x v="3"/>
    <x v="584"/>
    <x v="3178"/>
    <x v="7"/>
    <x v="0"/>
  </r>
  <r>
    <n v="8169"/>
    <x v="4046"/>
    <x v="44"/>
    <d v="2018-11-13T00:00:00"/>
    <s v="Standard Class"/>
    <x v="144"/>
    <s v="Adam Bellavance"/>
    <x v="2"/>
    <s v="United States"/>
    <s v="Seattle"/>
    <x v="4"/>
    <n v="98105"/>
    <x v="1"/>
    <x v="309"/>
    <x v="0"/>
    <x v="3"/>
    <x v="309"/>
    <x v="5092"/>
    <x v="0"/>
    <x v="3"/>
  </r>
  <r>
    <n v="8170"/>
    <x v="4046"/>
    <x v="44"/>
    <d v="2018-11-13T00:00:00"/>
    <s v="Standard Class"/>
    <x v="144"/>
    <s v="Adam Bellavance"/>
    <x v="2"/>
    <s v="United States"/>
    <s v="Seattle"/>
    <x v="4"/>
    <n v="98105"/>
    <x v="1"/>
    <x v="299"/>
    <x v="0"/>
    <x v="1"/>
    <x v="299"/>
    <x v="4718"/>
    <x v="0"/>
    <x v="3"/>
  </r>
  <r>
    <n v="8171"/>
    <x v="4046"/>
    <x v="44"/>
    <d v="2018-11-13T00:00:00"/>
    <s v="Standard Class"/>
    <x v="144"/>
    <s v="Adam Bellavance"/>
    <x v="2"/>
    <s v="United States"/>
    <s v="Seattle"/>
    <x v="4"/>
    <n v="98105"/>
    <x v="1"/>
    <x v="477"/>
    <x v="2"/>
    <x v="11"/>
    <x v="478"/>
    <x v="4342"/>
    <x v="0"/>
    <x v="3"/>
  </r>
  <r>
    <n v="8172"/>
    <x v="4047"/>
    <x v="1173"/>
    <d v="2017-02-19T00:00:00"/>
    <s v="Standard Class"/>
    <x v="248"/>
    <s v="Fred McMath"/>
    <x v="0"/>
    <s v="United States"/>
    <s v="Jackson"/>
    <x v="35"/>
    <n v="39212"/>
    <x v="0"/>
    <x v="978"/>
    <x v="1"/>
    <x v="6"/>
    <x v="971"/>
    <x v="5093"/>
    <x v="11"/>
    <x v="0"/>
  </r>
  <r>
    <n v="8173"/>
    <x v="4048"/>
    <x v="868"/>
    <d v="2015-07-13T00:00:00"/>
    <s v="Standard Class"/>
    <x v="689"/>
    <s v="Gary Hansen"/>
    <x v="2"/>
    <s v="United States"/>
    <s v="Los Angeles"/>
    <x v="1"/>
    <n v="90049"/>
    <x v="1"/>
    <x v="1363"/>
    <x v="1"/>
    <x v="2"/>
    <x v="1349"/>
    <x v="704"/>
    <x v="7"/>
    <x v="2"/>
  </r>
  <r>
    <n v="8174"/>
    <x v="4048"/>
    <x v="868"/>
    <d v="2015-07-13T00:00:00"/>
    <s v="Standard Class"/>
    <x v="689"/>
    <s v="Gary Hansen"/>
    <x v="2"/>
    <s v="United States"/>
    <s v="Los Angeles"/>
    <x v="1"/>
    <n v="90049"/>
    <x v="1"/>
    <x v="44"/>
    <x v="1"/>
    <x v="8"/>
    <x v="44"/>
    <x v="4144"/>
    <x v="7"/>
    <x v="2"/>
  </r>
  <r>
    <n v="8175"/>
    <x v="4048"/>
    <x v="868"/>
    <d v="2015-07-13T00:00:00"/>
    <s v="Standard Class"/>
    <x v="689"/>
    <s v="Gary Hansen"/>
    <x v="2"/>
    <s v="United States"/>
    <s v="Los Angeles"/>
    <x v="1"/>
    <n v="90049"/>
    <x v="1"/>
    <x v="1198"/>
    <x v="1"/>
    <x v="4"/>
    <x v="1183"/>
    <x v="100"/>
    <x v="7"/>
    <x v="2"/>
  </r>
  <r>
    <n v="8176"/>
    <x v="4049"/>
    <x v="806"/>
    <d v="2017-02-04T00:00:00"/>
    <s v="Standard Class"/>
    <x v="785"/>
    <s v="Harold Engle"/>
    <x v="1"/>
    <s v="United States"/>
    <s v="Chicago"/>
    <x v="10"/>
    <n v="60623"/>
    <x v="2"/>
    <x v="62"/>
    <x v="1"/>
    <x v="10"/>
    <x v="62"/>
    <x v="4256"/>
    <x v="9"/>
    <x v="0"/>
  </r>
  <r>
    <n v="8177"/>
    <x v="4050"/>
    <x v="897"/>
    <d v="2017-09-25T00:00:00"/>
    <s v="First Class"/>
    <x v="449"/>
    <s v="Sam Zeldin"/>
    <x v="2"/>
    <s v="United States"/>
    <s v="New York City"/>
    <x v="15"/>
    <n v="10035"/>
    <x v="3"/>
    <x v="80"/>
    <x v="1"/>
    <x v="4"/>
    <x v="80"/>
    <x v="5094"/>
    <x v="8"/>
    <x v="0"/>
  </r>
  <r>
    <n v="8178"/>
    <x v="4051"/>
    <x v="66"/>
    <d v="2018-12-24T00:00:00"/>
    <s v="First Class"/>
    <x v="441"/>
    <s v="Chad McGuire"/>
    <x v="0"/>
    <s v="United States"/>
    <s v="Los Angeles"/>
    <x v="1"/>
    <n v="90008"/>
    <x v="1"/>
    <x v="1523"/>
    <x v="2"/>
    <x v="11"/>
    <x v="1510"/>
    <x v="5095"/>
    <x v="4"/>
    <x v="3"/>
  </r>
  <r>
    <n v="8179"/>
    <x v="4052"/>
    <x v="476"/>
    <d v="2017-09-08T00:00:00"/>
    <s v="Standard Class"/>
    <x v="592"/>
    <s v="Toby Gnade"/>
    <x v="0"/>
    <s v="United States"/>
    <s v="Des Moines"/>
    <x v="4"/>
    <n v="98198"/>
    <x v="1"/>
    <x v="615"/>
    <x v="2"/>
    <x v="16"/>
    <x v="615"/>
    <x v="3074"/>
    <x v="8"/>
    <x v="0"/>
  </r>
  <r>
    <n v="8180"/>
    <x v="4053"/>
    <x v="991"/>
    <d v="2016-08-06T00:00:00"/>
    <s v="Standard Class"/>
    <x v="213"/>
    <s v="Darren Koutras"/>
    <x v="0"/>
    <s v="United States"/>
    <s v="Springfield"/>
    <x v="21"/>
    <n v="97477"/>
    <x v="1"/>
    <x v="1582"/>
    <x v="0"/>
    <x v="3"/>
    <x v="1573"/>
    <x v="5096"/>
    <x v="6"/>
    <x v="1"/>
  </r>
  <r>
    <n v="8181"/>
    <x v="4054"/>
    <x v="82"/>
    <d v="2016-11-25T00:00:00"/>
    <s v="Standard Class"/>
    <x v="757"/>
    <s v="Shahid Shariari"/>
    <x v="0"/>
    <s v="United States"/>
    <s v="Philadelphia"/>
    <x v="9"/>
    <n v="19120"/>
    <x v="3"/>
    <x v="971"/>
    <x v="0"/>
    <x v="3"/>
    <x v="965"/>
    <x v="5097"/>
    <x v="0"/>
    <x v="1"/>
  </r>
  <r>
    <n v="8182"/>
    <x v="4054"/>
    <x v="82"/>
    <d v="2016-11-25T00:00:00"/>
    <s v="Standard Class"/>
    <x v="757"/>
    <s v="Shahid Shariari"/>
    <x v="0"/>
    <s v="United States"/>
    <s v="Philadelphia"/>
    <x v="9"/>
    <n v="19120"/>
    <x v="3"/>
    <x v="687"/>
    <x v="2"/>
    <x v="7"/>
    <x v="687"/>
    <x v="5098"/>
    <x v="0"/>
    <x v="1"/>
  </r>
  <r>
    <n v="8183"/>
    <x v="4055"/>
    <x v="796"/>
    <d v="2018-05-22T00:00:00"/>
    <s v="Standard Class"/>
    <x v="606"/>
    <s v="Brendan Murry"/>
    <x v="1"/>
    <s v="United States"/>
    <s v="Chicago"/>
    <x v="10"/>
    <n v="60653"/>
    <x v="2"/>
    <x v="1155"/>
    <x v="0"/>
    <x v="5"/>
    <x v="1143"/>
    <x v="1803"/>
    <x v="5"/>
    <x v="3"/>
  </r>
  <r>
    <n v="8184"/>
    <x v="4055"/>
    <x v="796"/>
    <d v="2018-05-22T00:00:00"/>
    <s v="Standard Class"/>
    <x v="606"/>
    <s v="Brendan Murry"/>
    <x v="1"/>
    <s v="United States"/>
    <s v="Chicago"/>
    <x v="10"/>
    <n v="60653"/>
    <x v="2"/>
    <x v="283"/>
    <x v="0"/>
    <x v="5"/>
    <x v="283"/>
    <x v="5099"/>
    <x v="5"/>
    <x v="3"/>
  </r>
  <r>
    <n v="8185"/>
    <x v="4056"/>
    <x v="283"/>
    <d v="2018-07-27T00:00:00"/>
    <s v="Standard Class"/>
    <x v="199"/>
    <s v="Maribeth Yedwab"/>
    <x v="1"/>
    <s v="United States"/>
    <s v="Chicago"/>
    <x v="10"/>
    <n v="60623"/>
    <x v="2"/>
    <x v="954"/>
    <x v="1"/>
    <x v="10"/>
    <x v="947"/>
    <x v="922"/>
    <x v="7"/>
    <x v="3"/>
  </r>
  <r>
    <n v="8186"/>
    <x v="4057"/>
    <x v="1023"/>
    <d v="2016-09-17T00:00:00"/>
    <s v="Second Class"/>
    <x v="151"/>
    <s v="Arthur Gainer"/>
    <x v="0"/>
    <s v="United States"/>
    <s v="Chicago"/>
    <x v="10"/>
    <n v="60623"/>
    <x v="2"/>
    <x v="1170"/>
    <x v="1"/>
    <x v="12"/>
    <x v="153"/>
    <x v="1608"/>
    <x v="8"/>
    <x v="1"/>
  </r>
  <r>
    <n v="8187"/>
    <x v="4057"/>
    <x v="1023"/>
    <d v="2016-09-17T00:00:00"/>
    <s v="Second Class"/>
    <x v="151"/>
    <s v="Arthur Gainer"/>
    <x v="0"/>
    <s v="United States"/>
    <s v="Chicago"/>
    <x v="10"/>
    <n v="60623"/>
    <x v="2"/>
    <x v="163"/>
    <x v="0"/>
    <x v="1"/>
    <x v="164"/>
    <x v="5100"/>
    <x v="8"/>
    <x v="1"/>
  </r>
  <r>
    <n v="8188"/>
    <x v="4058"/>
    <x v="107"/>
    <d v="2017-12-16T00:00:00"/>
    <s v="Standard Class"/>
    <x v="308"/>
    <s v="Bart Watters"/>
    <x v="1"/>
    <s v="United States"/>
    <s v="New York City"/>
    <x v="15"/>
    <n v="10024"/>
    <x v="3"/>
    <x v="161"/>
    <x v="1"/>
    <x v="10"/>
    <x v="162"/>
    <x v="2119"/>
    <x v="4"/>
    <x v="0"/>
  </r>
  <r>
    <n v="8189"/>
    <x v="4059"/>
    <x v="653"/>
    <d v="2016-10-05T00:00:00"/>
    <s v="Second Class"/>
    <x v="495"/>
    <s v="Sheri Gordon"/>
    <x v="0"/>
    <s v="United States"/>
    <s v="Rockville"/>
    <x v="39"/>
    <n v="20852"/>
    <x v="3"/>
    <x v="680"/>
    <x v="1"/>
    <x v="10"/>
    <x v="680"/>
    <x v="537"/>
    <x v="2"/>
    <x v="1"/>
  </r>
  <r>
    <n v="8190"/>
    <x v="4059"/>
    <x v="653"/>
    <d v="2016-10-05T00:00:00"/>
    <s v="Second Class"/>
    <x v="495"/>
    <s v="Sheri Gordon"/>
    <x v="0"/>
    <s v="United States"/>
    <s v="Rockville"/>
    <x v="39"/>
    <n v="20852"/>
    <x v="3"/>
    <x v="777"/>
    <x v="1"/>
    <x v="8"/>
    <x v="776"/>
    <x v="1552"/>
    <x v="2"/>
    <x v="1"/>
  </r>
  <r>
    <n v="8191"/>
    <x v="4060"/>
    <x v="701"/>
    <d v="2018-11-21T00:00:00"/>
    <s v="Standard Class"/>
    <x v="666"/>
    <s v="Christopher Conant"/>
    <x v="0"/>
    <s v="United States"/>
    <s v="New York City"/>
    <x v="15"/>
    <n v="10011"/>
    <x v="3"/>
    <x v="832"/>
    <x v="1"/>
    <x v="10"/>
    <x v="827"/>
    <x v="783"/>
    <x v="0"/>
    <x v="3"/>
  </r>
  <r>
    <n v="8192"/>
    <x v="4060"/>
    <x v="701"/>
    <d v="2018-11-21T00:00:00"/>
    <s v="Standard Class"/>
    <x v="666"/>
    <s v="Christopher Conant"/>
    <x v="0"/>
    <s v="United States"/>
    <s v="New York City"/>
    <x v="15"/>
    <n v="10011"/>
    <x v="3"/>
    <x v="267"/>
    <x v="0"/>
    <x v="5"/>
    <x v="267"/>
    <x v="4880"/>
    <x v="0"/>
    <x v="3"/>
  </r>
  <r>
    <n v="8193"/>
    <x v="4061"/>
    <x v="672"/>
    <d v="2016-12-03T00:00:00"/>
    <s v="First Class"/>
    <x v="235"/>
    <s v="Lena Radford"/>
    <x v="0"/>
    <s v="United States"/>
    <s v="Durham"/>
    <x v="3"/>
    <n v="27707"/>
    <x v="0"/>
    <x v="614"/>
    <x v="1"/>
    <x v="8"/>
    <x v="614"/>
    <x v="192"/>
    <x v="0"/>
    <x v="1"/>
  </r>
  <r>
    <n v="8194"/>
    <x v="4061"/>
    <x v="672"/>
    <d v="2016-12-03T00:00:00"/>
    <s v="First Class"/>
    <x v="235"/>
    <s v="Lena Radford"/>
    <x v="0"/>
    <s v="United States"/>
    <s v="Durham"/>
    <x v="3"/>
    <n v="27707"/>
    <x v="0"/>
    <x v="1360"/>
    <x v="1"/>
    <x v="9"/>
    <x v="1346"/>
    <x v="2031"/>
    <x v="0"/>
    <x v="1"/>
  </r>
  <r>
    <n v="8195"/>
    <x v="4061"/>
    <x v="672"/>
    <d v="2016-12-03T00:00:00"/>
    <s v="First Class"/>
    <x v="235"/>
    <s v="Lena Radford"/>
    <x v="0"/>
    <s v="United States"/>
    <s v="Durham"/>
    <x v="3"/>
    <n v="27707"/>
    <x v="0"/>
    <x v="220"/>
    <x v="0"/>
    <x v="5"/>
    <x v="221"/>
    <x v="5101"/>
    <x v="0"/>
    <x v="1"/>
  </r>
  <r>
    <n v="8196"/>
    <x v="4062"/>
    <x v="401"/>
    <d v="2016-12-11T00:00:00"/>
    <s v="Second Class"/>
    <x v="106"/>
    <s v="David Bremer"/>
    <x v="1"/>
    <s v="United States"/>
    <s v="Santa Barbara"/>
    <x v="1"/>
    <n v="93101"/>
    <x v="1"/>
    <x v="1056"/>
    <x v="1"/>
    <x v="10"/>
    <x v="1045"/>
    <x v="2431"/>
    <x v="4"/>
    <x v="1"/>
  </r>
  <r>
    <n v="8197"/>
    <x v="4063"/>
    <x v="528"/>
    <d v="2018-09-09T00:00:00"/>
    <s v="Standard Class"/>
    <x v="431"/>
    <s v="Liz Preis"/>
    <x v="0"/>
    <s v="United States"/>
    <s v="Knoxville"/>
    <x v="18"/>
    <n v="37918"/>
    <x v="0"/>
    <x v="1130"/>
    <x v="2"/>
    <x v="11"/>
    <x v="1118"/>
    <x v="2806"/>
    <x v="8"/>
    <x v="3"/>
  </r>
  <r>
    <n v="8198"/>
    <x v="4063"/>
    <x v="528"/>
    <d v="2018-09-09T00:00:00"/>
    <s v="Standard Class"/>
    <x v="431"/>
    <s v="Liz Preis"/>
    <x v="0"/>
    <s v="United States"/>
    <s v="Knoxville"/>
    <x v="18"/>
    <n v="37918"/>
    <x v="0"/>
    <x v="646"/>
    <x v="1"/>
    <x v="6"/>
    <x v="646"/>
    <x v="994"/>
    <x v="8"/>
    <x v="3"/>
  </r>
  <r>
    <n v="8199"/>
    <x v="4063"/>
    <x v="528"/>
    <d v="2018-09-09T00:00:00"/>
    <s v="Standard Class"/>
    <x v="431"/>
    <s v="Liz Preis"/>
    <x v="0"/>
    <s v="United States"/>
    <s v="Knoxville"/>
    <x v="18"/>
    <n v="37918"/>
    <x v="0"/>
    <x v="585"/>
    <x v="1"/>
    <x v="10"/>
    <x v="585"/>
    <x v="12"/>
    <x v="8"/>
    <x v="3"/>
  </r>
  <r>
    <n v="8200"/>
    <x v="4064"/>
    <x v="558"/>
    <d v="2018-04-30T00:00:00"/>
    <s v="Standard Class"/>
    <x v="578"/>
    <s v="Art Ferguson"/>
    <x v="0"/>
    <s v="United States"/>
    <s v="Chicago"/>
    <x v="10"/>
    <n v="60610"/>
    <x v="2"/>
    <x v="1124"/>
    <x v="1"/>
    <x v="8"/>
    <x v="1112"/>
    <x v="4883"/>
    <x v="3"/>
    <x v="3"/>
  </r>
  <r>
    <n v="8201"/>
    <x v="4064"/>
    <x v="558"/>
    <d v="2018-04-30T00:00:00"/>
    <s v="Standard Class"/>
    <x v="578"/>
    <s v="Art Ferguson"/>
    <x v="0"/>
    <s v="United States"/>
    <s v="Chicago"/>
    <x v="10"/>
    <n v="60610"/>
    <x v="2"/>
    <x v="72"/>
    <x v="1"/>
    <x v="4"/>
    <x v="72"/>
    <x v="74"/>
    <x v="3"/>
    <x v="3"/>
  </r>
  <r>
    <n v="8202"/>
    <x v="4065"/>
    <x v="627"/>
    <d v="2016-11-08T00:00:00"/>
    <s v="Same Day"/>
    <x v="470"/>
    <s v="Keith Dawkins"/>
    <x v="1"/>
    <s v="United States"/>
    <s v="New York City"/>
    <x v="15"/>
    <n v="10024"/>
    <x v="3"/>
    <x v="1678"/>
    <x v="1"/>
    <x v="4"/>
    <x v="1666"/>
    <x v="5102"/>
    <x v="0"/>
    <x v="1"/>
  </r>
  <r>
    <n v="8203"/>
    <x v="4065"/>
    <x v="627"/>
    <d v="2016-11-08T00:00:00"/>
    <s v="Same Day"/>
    <x v="470"/>
    <s v="Keith Dawkins"/>
    <x v="1"/>
    <s v="United States"/>
    <s v="New York City"/>
    <x v="15"/>
    <n v="10024"/>
    <x v="3"/>
    <x v="903"/>
    <x v="2"/>
    <x v="7"/>
    <x v="895"/>
    <x v="5103"/>
    <x v="0"/>
    <x v="1"/>
  </r>
  <r>
    <n v="8204"/>
    <x v="4065"/>
    <x v="627"/>
    <d v="2016-11-08T00:00:00"/>
    <s v="Same Day"/>
    <x v="470"/>
    <s v="Keith Dawkins"/>
    <x v="1"/>
    <s v="United States"/>
    <s v="New York City"/>
    <x v="15"/>
    <n v="10024"/>
    <x v="3"/>
    <x v="1800"/>
    <x v="0"/>
    <x v="5"/>
    <x v="1790"/>
    <x v="5104"/>
    <x v="0"/>
    <x v="1"/>
  </r>
  <r>
    <n v="8205"/>
    <x v="4065"/>
    <x v="627"/>
    <d v="2016-11-08T00:00:00"/>
    <s v="Same Day"/>
    <x v="470"/>
    <s v="Keith Dawkins"/>
    <x v="1"/>
    <s v="United States"/>
    <s v="New York City"/>
    <x v="15"/>
    <n v="10024"/>
    <x v="3"/>
    <x v="1715"/>
    <x v="2"/>
    <x v="15"/>
    <x v="1702"/>
    <x v="5105"/>
    <x v="0"/>
    <x v="1"/>
  </r>
  <r>
    <n v="8206"/>
    <x v="4065"/>
    <x v="627"/>
    <d v="2016-11-08T00:00:00"/>
    <s v="Same Day"/>
    <x v="470"/>
    <s v="Keith Dawkins"/>
    <x v="1"/>
    <s v="United States"/>
    <s v="New York City"/>
    <x v="15"/>
    <n v="10024"/>
    <x v="3"/>
    <x v="623"/>
    <x v="0"/>
    <x v="1"/>
    <x v="623"/>
    <x v="5106"/>
    <x v="0"/>
    <x v="1"/>
  </r>
  <r>
    <n v="8207"/>
    <x v="4066"/>
    <x v="33"/>
    <d v="2016-04-30T00:00:00"/>
    <s v="Standard Class"/>
    <x v="193"/>
    <s v="Sue Ann Reed"/>
    <x v="0"/>
    <s v="United States"/>
    <s v="Daytona Beach"/>
    <x v="2"/>
    <n v="32114"/>
    <x v="0"/>
    <x v="3"/>
    <x v="0"/>
    <x v="3"/>
    <x v="3"/>
    <x v="5107"/>
    <x v="3"/>
    <x v="1"/>
  </r>
  <r>
    <n v="8208"/>
    <x v="4066"/>
    <x v="33"/>
    <d v="2016-04-30T00:00:00"/>
    <s v="Standard Class"/>
    <x v="193"/>
    <s v="Sue Ann Reed"/>
    <x v="0"/>
    <s v="United States"/>
    <s v="Daytona Beach"/>
    <x v="2"/>
    <n v="32114"/>
    <x v="0"/>
    <x v="346"/>
    <x v="1"/>
    <x v="6"/>
    <x v="346"/>
    <x v="367"/>
    <x v="3"/>
    <x v="1"/>
  </r>
  <r>
    <n v="8209"/>
    <x v="4067"/>
    <x v="1181"/>
    <d v="2016-09-24T00:00:00"/>
    <s v="Standard Class"/>
    <x v="767"/>
    <s v="Barry Gonzalez"/>
    <x v="0"/>
    <s v="United States"/>
    <s v="Nashville"/>
    <x v="18"/>
    <n v="37211"/>
    <x v="0"/>
    <x v="692"/>
    <x v="1"/>
    <x v="8"/>
    <x v="692"/>
    <x v="5108"/>
    <x v="8"/>
    <x v="1"/>
  </r>
  <r>
    <n v="8210"/>
    <x v="4067"/>
    <x v="1181"/>
    <d v="2016-09-24T00:00:00"/>
    <s v="Standard Class"/>
    <x v="767"/>
    <s v="Barry Gonzalez"/>
    <x v="0"/>
    <s v="United States"/>
    <s v="Nashville"/>
    <x v="18"/>
    <n v="37211"/>
    <x v="0"/>
    <x v="196"/>
    <x v="1"/>
    <x v="4"/>
    <x v="197"/>
    <x v="5109"/>
    <x v="8"/>
    <x v="1"/>
  </r>
  <r>
    <n v="8211"/>
    <x v="4068"/>
    <x v="210"/>
    <d v="2018-09-12T00:00:00"/>
    <s v="Standard Class"/>
    <x v="678"/>
    <s v="Dario Medina"/>
    <x v="1"/>
    <s v="United States"/>
    <s v="Nashville"/>
    <x v="18"/>
    <n v="37211"/>
    <x v="0"/>
    <x v="473"/>
    <x v="1"/>
    <x v="9"/>
    <x v="474"/>
    <x v="2375"/>
    <x v="8"/>
    <x v="3"/>
  </r>
  <r>
    <n v="8212"/>
    <x v="4069"/>
    <x v="77"/>
    <d v="2017-11-12T00:00:00"/>
    <s v="Standard Class"/>
    <x v="266"/>
    <s v="Michael Chen"/>
    <x v="0"/>
    <s v="United States"/>
    <s v="Dallas"/>
    <x v="5"/>
    <n v="75220"/>
    <x v="2"/>
    <x v="1834"/>
    <x v="0"/>
    <x v="5"/>
    <x v="1822"/>
    <x v="785"/>
    <x v="0"/>
    <x v="0"/>
  </r>
  <r>
    <n v="8213"/>
    <x v="4069"/>
    <x v="77"/>
    <d v="2017-11-12T00:00:00"/>
    <s v="Standard Class"/>
    <x v="266"/>
    <s v="Michael Chen"/>
    <x v="0"/>
    <s v="United States"/>
    <s v="Dallas"/>
    <x v="5"/>
    <n v="75220"/>
    <x v="2"/>
    <x v="533"/>
    <x v="1"/>
    <x v="4"/>
    <x v="533"/>
    <x v="5110"/>
    <x v="0"/>
    <x v="0"/>
  </r>
  <r>
    <n v="8214"/>
    <x v="4070"/>
    <x v="12"/>
    <d v="2016-10-02T00:00:00"/>
    <s v="Standard Class"/>
    <x v="504"/>
    <s v="Marina Lichtenstein"/>
    <x v="1"/>
    <s v="United States"/>
    <s v="Murfreesboro"/>
    <x v="18"/>
    <n v="37130"/>
    <x v="0"/>
    <x v="1085"/>
    <x v="1"/>
    <x v="8"/>
    <x v="1075"/>
    <x v="5111"/>
    <x v="8"/>
    <x v="1"/>
  </r>
  <r>
    <n v="8215"/>
    <x v="4070"/>
    <x v="12"/>
    <d v="2016-10-02T00:00:00"/>
    <s v="Standard Class"/>
    <x v="504"/>
    <s v="Marina Lichtenstein"/>
    <x v="1"/>
    <s v="United States"/>
    <s v="Murfreesboro"/>
    <x v="18"/>
    <n v="37130"/>
    <x v="0"/>
    <x v="1402"/>
    <x v="1"/>
    <x v="10"/>
    <x v="1389"/>
    <x v="3639"/>
    <x v="8"/>
    <x v="1"/>
  </r>
  <r>
    <n v="8216"/>
    <x v="4070"/>
    <x v="12"/>
    <d v="2016-10-02T00:00:00"/>
    <s v="Standard Class"/>
    <x v="504"/>
    <s v="Marina Lichtenstein"/>
    <x v="1"/>
    <s v="United States"/>
    <s v="Murfreesboro"/>
    <x v="18"/>
    <n v="37130"/>
    <x v="0"/>
    <x v="1263"/>
    <x v="1"/>
    <x v="8"/>
    <x v="1247"/>
    <x v="5112"/>
    <x v="8"/>
    <x v="1"/>
  </r>
  <r>
    <n v="8217"/>
    <x v="4070"/>
    <x v="12"/>
    <d v="2016-10-02T00:00:00"/>
    <s v="Standard Class"/>
    <x v="504"/>
    <s v="Marina Lichtenstein"/>
    <x v="1"/>
    <s v="United States"/>
    <s v="Murfreesboro"/>
    <x v="18"/>
    <n v="37130"/>
    <x v="0"/>
    <x v="304"/>
    <x v="1"/>
    <x v="8"/>
    <x v="304"/>
    <x v="30"/>
    <x v="8"/>
    <x v="1"/>
  </r>
  <r>
    <n v="8218"/>
    <x v="4071"/>
    <x v="462"/>
    <d v="2015-10-07T00:00:00"/>
    <s v="Standard Class"/>
    <x v="709"/>
    <s v="Russell D'Ascenzo"/>
    <x v="0"/>
    <s v="United States"/>
    <s v="Dallas"/>
    <x v="5"/>
    <n v="75217"/>
    <x v="2"/>
    <x v="1088"/>
    <x v="1"/>
    <x v="13"/>
    <x v="1078"/>
    <x v="1435"/>
    <x v="2"/>
    <x v="2"/>
  </r>
  <r>
    <n v="8219"/>
    <x v="4071"/>
    <x v="462"/>
    <d v="2015-10-07T00:00:00"/>
    <s v="Standard Class"/>
    <x v="709"/>
    <s v="Russell D'Ascenzo"/>
    <x v="0"/>
    <s v="United States"/>
    <s v="Dallas"/>
    <x v="5"/>
    <n v="75217"/>
    <x v="2"/>
    <x v="1092"/>
    <x v="0"/>
    <x v="5"/>
    <x v="1082"/>
    <x v="2792"/>
    <x v="2"/>
    <x v="2"/>
  </r>
  <r>
    <n v="8220"/>
    <x v="4071"/>
    <x v="462"/>
    <d v="2015-10-07T00:00:00"/>
    <s v="Standard Class"/>
    <x v="709"/>
    <s v="Russell D'Ascenzo"/>
    <x v="0"/>
    <s v="United States"/>
    <s v="Dallas"/>
    <x v="5"/>
    <n v="75217"/>
    <x v="2"/>
    <x v="641"/>
    <x v="1"/>
    <x v="2"/>
    <x v="641"/>
    <x v="1253"/>
    <x v="2"/>
    <x v="2"/>
  </r>
  <r>
    <n v="8221"/>
    <x v="4071"/>
    <x v="462"/>
    <d v="2015-10-07T00:00:00"/>
    <s v="Standard Class"/>
    <x v="709"/>
    <s v="Russell D'Ascenzo"/>
    <x v="0"/>
    <s v="United States"/>
    <s v="Dallas"/>
    <x v="5"/>
    <n v="75217"/>
    <x v="2"/>
    <x v="98"/>
    <x v="1"/>
    <x v="8"/>
    <x v="98"/>
    <x v="99"/>
    <x v="2"/>
    <x v="2"/>
  </r>
  <r>
    <n v="8222"/>
    <x v="4071"/>
    <x v="462"/>
    <d v="2015-10-07T00:00:00"/>
    <s v="Standard Class"/>
    <x v="709"/>
    <s v="Russell D'Ascenzo"/>
    <x v="0"/>
    <s v="United States"/>
    <s v="Dallas"/>
    <x v="5"/>
    <n v="75217"/>
    <x v="2"/>
    <x v="1835"/>
    <x v="1"/>
    <x v="13"/>
    <x v="1823"/>
    <x v="659"/>
    <x v="2"/>
    <x v="2"/>
  </r>
  <r>
    <n v="8223"/>
    <x v="4072"/>
    <x v="1087"/>
    <d v="2015-02-24T00:00:00"/>
    <s v="Standard Class"/>
    <x v="755"/>
    <s v="Aaron Bergman"/>
    <x v="0"/>
    <s v="United States"/>
    <s v="Arlington"/>
    <x v="5"/>
    <n v="76017"/>
    <x v="2"/>
    <x v="1555"/>
    <x v="1"/>
    <x v="4"/>
    <x v="1543"/>
    <x v="1420"/>
    <x v="11"/>
    <x v="2"/>
  </r>
  <r>
    <n v="8224"/>
    <x v="4073"/>
    <x v="1"/>
    <d v="2017-06-16T00:00:00"/>
    <s v="Standard Class"/>
    <x v="105"/>
    <s v="Erin Ashbrook"/>
    <x v="1"/>
    <s v="United States"/>
    <s v="Pasadena"/>
    <x v="1"/>
    <n v="91104"/>
    <x v="1"/>
    <x v="1174"/>
    <x v="1"/>
    <x v="10"/>
    <x v="1160"/>
    <x v="784"/>
    <x v="1"/>
    <x v="0"/>
  </r>
  <r>
    <n v="8225"/>
    <x v="4073"/>
    <x v="1"/>
    <d v="2017-06-16T00:00:00"/>
    <s v="Standard Class"/>
    <x v="105"/>
    <s v="Erin Ashbrook"/>
    <x v="1"/>
    <s v="United States"/>
    <s v="Pasadena"/>
    <x v="1"/>
    <n v="91104"/>
    <x v="1"/>
    <x v="1434"/>
    <x v="1"/>
    <x v="10"/>
    <x v="1422"/>
    <x v="91"/>
    <x v="1"/>
    <x v="0"/>
  </r>
  <r>
    <n v="8226"/>
    <x v="4074"/>
    <x v="752"/>
    <d v="2018-11-04T00:00:00"/>
    <s v="Second Class"/>
    <x v="11"/>
    <s v="Sandra Flanagan"/>
    <x v="0"/>
    <s v="United States"/>
    <s v="Everett"/>
    <x v="31"/>
    <n v="2149"/>
    <x v="3"/>
    <x v="274"/>
    <x v="1"/>
    <x v="10"/>
    <x v="274"/>
    <x v="2360"/>
    <x v="0"/>
    <x v="3"/>
  </r>
  <r>
    <n v="8227"/>
    <x v="4074"/>
    <x v="752"/>
    <d v="2018-11-04T00:00:00"/>
    <s v="Second Class"/>
    <x v="11"/>
    <s v="Sandra Flanagan"/>
    <x v="0"/>
    <s v="United States"/>
    <s v="Everett"/>
    <x v="31"/>
    <n v="2149"/>
    <x v="3"/>
    <x v="1522"/>
    <x v="1"/>
    <x v="10"/>
    <x v="1509"/>
    <x v="1010"/>
    <x v="0"/>
    <x v="3"/>
  </r>
  <r>
    <n v="8228"/>
    <x v="4075"/>
    <x v="958"/>
    <d v="2017-04-08T00:00:00"/>
    <s v="Second Class"/>
    <x v="604"/>
    <s v="Becky Castell"/>
    <x v="2"/>
    <s v="United States"/>
    <s v="Troy"/>
    <x v="15"/>
    <n v="12180"/>
    <x v="3"/>
    <x v="479"/>
    <x v="0"/>
    <x v="5"/>
    <x v="480"/>
    <x v="5113"/>
    <x v="3"/>
    <x v="0"/>
  </r>
  <r>
    <n v="8229"/>
    <x v="4075"/>
    <x v="958"/>
    <d v="2017-04-08T00:00:00"/>
    <s v="Second Class"/>
    <x v="604"/>
    <s v="Becky Castell"/>
    <x v="2"/>
    <s v="United States"/>
    <s v="Troy"/>
    <x v="15"/>
    <n v="12180"/>
    <x v="3"/>
    <x v="170"/>
    <x v="1"/>
    <x v="4"/>
    <x v="171"/>
    <x v="5114"/>
    <x v="3"/>
    <x v="0"/>
  </r>
  <r>
    <n v="8230"/>
    <x v="4075"/>
    <x v="958"/>
    <d v="2017-04-08T00:00:00"/>
    <s v="Second Class"/>
    <x v="604"/>
    <s v="Becky Castell"/>
    <x v="2"/>
    <s v="United States"/>
    <s v="Troy"/>
    <x v="15"/>
    <n v="12180"/>
    <x v="3"/>
    <x v="1016"/>
    <x v="2"/>
    <x v="11"/>
    <x v="1007"/>
    <x v="1309"/>
    <x v="3"/>
    <x v="0"/>
  </r>
  <r>
    <n v="8231"/>
    <x v="4076"/>
    <x v="1186"/>
    <d v="2017-07-02T00:00:00"/>
    <s v="Second Class"/>
    <x v="58"/>
    <s v="Philip Fox"/>
    <x v="0"/>
    <s v="United States"/>
    <s v="Sandy Springs"/>
    <x v="32"/>
    <n v="30328"/>
    <x v="0"/>
    <x v="369"/>
    <x v="1"/>
    <x v="6"/>
    <x v="370"/>
    <x v="872"/>
    <x v="1"/>
    <x v="0"/>
  </r>
  <r>
    <n v="8232"/>
    <x v="4076"/>
    <x v="1186"/>
    <d v="2017-07-02T00:00:00"/>
    <s v="Second Class"/>
    <x v="58"/>
    <s v="Philip Fox"/>
    <x v="0"/>
    <s v="United States"/>
    <s v="Sandy Springs"/>
    <x v="32"/>
    <n v="30328"/>
    <x v="0"/>
    <x v="199"/>
    <x v="0"/>
    <x v="0"/>
    <x v="200"/>
    <x v="5115"/>
    <x v="1"/>
    <x v="0"/>
  </r>
  <r>
    <n v="8233"/>
    <x v="4077"/>
    <x v="358"/>
    <d v="2015-09-28T00:00:00"/>
    <s v="Standard Class"/>
    <x v="339"/>
    <s v="Sanjit Engle"/>
    <x v="0"/>
    <s v="United States"/>
    <s v="San Jose"/>
    <x v="1"/>
    <n v="95123"/>
    <x v="1"/>
    <x v="298"/>
    <x v="1"/>
    <x v="4"/>
    <x v="298"/>
    <x v="3285"/>
    <x v="8"/>
    <x v="2"/>
  </r>
  <r>
    <n v="8234"/>
    <x v="4077"/>
    <x v="358"/>
    <d v="2015-09-28T00:00:00"/>
    <s v="Standard Class"/>
    <x v="339"/>
    <s v="Sanjit Engle"/>
    <x v="0"/>
    <s v="United States"/>
    <s v="San Jose"/>
    <x v="1"/>
    <n v="95123"/>
    <x v="1"/>
    <x v="1512"/>
    <x v="1"/>
    <x v="4"/>
    <x v="1499"/>
    <x v="1374"/>
    <x v="8"/>
    <x v="2"/>
  </r>
  <r>
    <n v="8235"/>
    <x v="4078"/>
    <x v="927"/>
    <d v="2018-05-06T00:00:00"/>
    <s v="Standard Class"/>
    <x v="170"/>
    <s v="Caroline Jumper"/>
    <x v="0"/>
    <s v="United States"/>
    <s v="Jacksonville"/>
    <x v="2"/>
    <n v="32216"/>
    <x v="0"/>
    <x v="1698"/>
    <x v="1"/>
    <x v="14"/>
    <x v="1686"/>
    <x v="5116"/>
    <x v="5"/>
    <x v="3"/>
  </r>
  <r>
    <n v="8236"/>
    <x v="4078"/>
    <x v="927"/>
    <d v="2018-05-06T00:00:00"/>
    <s v="Standard Class"/>
    <x v="170"/>
    <s v="Caroline Jumper"/>
    <x v="0"/>
    <s v="United States"/>
    <s v="Jacksonville"/>
    <x v="2"/>
    <n v="32216"/>
    <x v="0"/>
    <x v="411"/>
    <x v="0"/>
    <x v="3"/>
    <x v="411"/>
    <x v="5117"/>
    <x v="5"/>
    <x v="3"/>
  </r>
  <r>
    <n v="8237"/>
    <x v="4078"/>
    <x v="927"/>
    <d v="2018-05-06T00:00:00"/>
    <s v="Standard Class"/>
    <x v="170"/>
    <s v="Caroline Jumper"/>
    <x v="0"/>
    <s v="United States"/>
    <s v="Jacksonville"/>
    <x v="2"/>
    <n v="32216"/>
    <x v="0"/>
    <x v="483"/>
    <x v="0"/>
    <x v="1"/>
    <x v="483"/>
    <x v="5118"/>
    <x v="5"/>
    <x v="3"/>
  </r>
  <r>
    <n v="8238"/>
    <x v="4079"/>
    <x v="179"/>
    <d v="2018-10-20T00:00:00"/>
    <s v="Same Day"/>
    <x v="690"/>
    <s v="Pete Takahito"/>
    <x v="0"/>
    <s v="United States"/>
    <s v="Jacksonville"/>
    <x v="2"/>
    <n v="32216"/>
    <x v="0"/>
    <x v="383"/>
    <x v="1"/>
    <x v="4"/>
    <x v="384"/>
    <x v="408"/>
    <x v="2"/>
    <x v="3"/>
  </r>
  <r>
    <n v="8239"/>
    <x v="4079"/>
    <x v="179"/>
    <d v="2018-10-20T00:00:00"/>
    <s v="Same Day"/>
    <x v="690"/>
    <s v="Pete Takahito"/>
    <x v="0"/>
    <s v="United States"/>
    <s v="Jacksonville"/>
    <x v="2"/>
    <n v="32216"/>
    <x v="0"/>
    <x v="1305"/>
    <x v="1"/>
    <x v="10"/>
    <x v="1290"/>
    <x v="405"/>
    <x v="2"/>
    <x v="3"/>
  </r>
  <r>
    <n v="8240"/>
    <x v="4079"/>
    <x v="179"/>
    <d v="2018-10-20T00:00:00"/>
    <s v="Same Day"/>
    <x v="690"/>
    <s v="Pete Takahito"/>
    <x v="0"/>
    <s v="United States"/>
    <s v="Jacksonville"/>
    <x v="2"/>
    <n v="32216"/>
    <x v="0"/>
    <x v="1061"/>
    <x v="1"/>
    <x v="6"/>
    <x v="1050"/>
    <x v="2999"/>
    <x v="2"/>
    <x v="3"/>
  </r>
  <r>
    <n v="8241"/>
    <x v="4079"/>
    <x v="179"/>
    <d v="2018-10-20T00:00:00"/>
    <s v="Same Day"/>
    <x v="690"/>
    <s v="Pete Takahito"/>
    <x v="0"/>
    <s v="United States"/>
    <s v="Jacksonville"/>
    <x v="2"/>
    <n v="32216"/>
    <x v="0"/>
    <x v="1649"/>
    <x v="0"/>
    <x v="5"/>
    <x v="1638"/>
    <x v="5119"/>
    <x v="2"/>
    <x v="3"/>
  </r>
  <r>
    <n v="8242"/>
    <x v="4080"/>
    <x v="416"/>
    <d v="2015-09-05T00:00:00"/>
    <s v="Standard Class"/>
    <x v="23"/>
    <s v="Lena Hernandez"/>
    <x v="0"/>
    <s v="United States"/>
    <s v="New York City"/>
    <x v="15"/>
    <n v="10009"/>
    <x v="3"/>
    <x v="708"/>
    <x v="1"/>
    <x v="8"/>
    <x v="707"/>
    <x v="5120"/>
    <x v="8"/>
    <x v="2"/>
  </r>
  <r>
    <n v="8243"/>
    <x v="4080"/>
    <x v="416"/>
    <d v="2015-09-05T00:00:00"/>
    <s v="Standard Class"/>
    <x v="23"/>
    <s v="Lena Hernandez"/>
    <x v="0"/>
    <s v="United States"/>
    <s v="New York City"/>
    <x v="15"/>
    <n v="10009"/>
    <x v="3"/>
    <x v="1200"/>
    <x v="2"/>
    <x v="11"/>
    <x v="1185"/>
    <x v="5121"/>
    <x v="8"/>
    <x v="2"/>
  </r>
  <r>
    <n v="8244"/>
    <x v="4081"/>
    <x v="1132"/>
    <d v="2015-08-16T00:00:00"/>
    <s v="Standard Class"/>
    <x v="572"/>
    <s v="Ben Wallace"/>
    <x v="0"/>
    <s v="United States"/>
    <s v="San Francisco"/>
    <x v="1"/>
    <n v="94122"/>
    <x v="1"/>
    <x v="1419"/>
    <x v="2"/>
    <x v="7"/>
    <x v="1407"/>
    <x v="5122"/>
    <x v="6"/>
    <x v="2"/>
  </r>
  <r>
    <n v="8245"/>
    <x v="4081"/>
    <x v="1132"/>
    <d v="2015-08-16T00:00:00"/>
    <s v="Standard Class"/>
    <x v="572"/>
    <s v="Ben Wallace"/>
    <x v="0"/>
    <s v="United States"/>
    <s v="San Francisco"/>
    <x v="1"/>
    <n v="94122"/>
    <x v="1"/>
    <x v="1146"/>
    <x v="0"/>
    <x v="5"/>
    <x v="1134"/>
    <x v="5123"/>
    <x v="6"/>
    <x v="2"/>
  </r>
  <r>
    <n v="8246"/>
    <x v="4082"/>
    <x v="710"/>
    <d v="2015-08-23T00:00:00"/>
    <s v="Standard Class"/>
    <x v="740"/>
    <s v="Bill Shonely"/>
    <x v="1"/>
    <s v="United States"/>
    <s v="Columbus"/>
    <x v="32"/>
    <n v="31907"/>
    <x v="0"/>
    <x v="156"/>
    <x v="1"/>
    <x v="4"/>
    <x v="157"/>
    <x v="3129"/>
    <x v="6"/>
    <x v="2"/>
  </r>
  <r>
    <n v="8247"/>
    <x v="4083"/>
    <x v="1187"/>
    <d v="2016-05-10T00:00:00"/>
    <s v="Same Day"/>
    <x v="503"/>
    <s v="Dennis Pardue"/>
    <x v="2"/>
    <s v="United States"/>
    <s v="Aurora"/>
    <x v="10"/>
    <n v="60505"/>
    <x v="2"/>
    <x v="554"/>
    <x v="1"/>
    <x v="9"/>
    <x v="553"/>
    <x v="5124"/>
    <x v="5"/>
    <x v="1"/>
  </r>
  <r>
    <n v="8248"/>
    <x v="4083"/>
    <x v="1187"/>
    <d v="2016-05-10T00:00:00"/>
    <s v="Same Day"/>
    <x v="503"/>
    <s v="Dennis Pardue"/>
    <x v="2"/>
    <s v="United States"/>
    <s v="Aurora"/>
    <x v="10"/>
    <n v="60505"/>
    <x v="2"/>
    <x v="1243"/>
    <x v="1"/>
    <x v="6"/>
    <x v="1226"/>
    <x v="2790"/>
    <x v="5"/>
    <x v="1"/>
  </r>
  <r>
    <n v="8249"/>
    <x v="4084"/>
    <x v="1120"/>
    <d v="2017-05-13T00:00:00"/>
    <s v="Second Class"/>
    <x v="37"/>
    <s v="Christopher Schild"/>
    <x v="2"/>
    <s v="United States"/>
    <s v="Philadelphia"/>
    <x v="9"/>
    <n v="19134"/>
    <x v="3"/>
    <x v="647"/>
    <x v="2"/>
    <x v="7"/>
    <x v="647"/>
    <x v="5125"/>
    <x v="5"/>
    <x v="0"/>
  </r>
  <r>
    <n v="8250"/>
    <x v="4085"/>
    <x v="616"/>
    <d v="2016-03-09T00:00:00"/>
    <s v="Second Class"/>
    <x v="333"/>
    <s v="Maribeth Schnelling"/>
    <x v="0"/>
    <s v="United States"/>
    <s v="Chicago"/>
    <x v="10"/>
    <n v="60653"/>
    <x v="2"/>
    <x v="912"/>
    <x v="1"/>
    <x v="8"/>
    <x v="904"/>
    <x v="5126"/>
    <x v="10"/>
    <x v="1"/>
  </r>
  <r>
    <n v="8251"/>
    <x v="4085"/>
    <x v="616"/>
    <d v="2016-03-09T00:00:00"/>
    <s v="Second Class"/>
    <x v="333"/>
    <s v="Maribeth Schnelling"/>
    <x v="0"/>
    <s v="United States"/>
    <s v="Chicago"/>
    <x v="10"/>
    <n v="60653"/>
    <x v="2"/>
    <x v="325"/>
    <x v="0"/>
    <x v="5"/>
    <x v="325"/>
    <x v="5127"/>
    <x v="10"/>
    <x v="1"/>
  </r>
  <r>
    <n v="8252"/>
    <x v="4085"/>
    <x v="616"/>
    <d v="2016-03-09T00:00:00"/>
    <s v="Second Class"/>
    <x v="333"/>
    <s v="Maribeth Schnelling"/>
    <x v="0"/>
    <s v="United States"/>
    <s v="Chicago"/>
    <x v="10"/>
    <n v="60653"/>
    <x v="2"/>
    <x v="1107"/>
    <x v="1"/>
    <x v="9"/>
    <x v="1096"/>
    <x v="2699"/>
    <x v="10"/>
    <x v="1"/>
  </r>
  <r>
    <n v="8253"/>
    <x v="4085"/>
    <x v="616"/>
    <d v="2016-03-09T00:00:00"/>
    <s v="Second Class"/>
    <x v="333"/>
    <s v="Maribeth Schnelling"/>
    <x v="0"/>
    <s v="United States"/>
    <s v="Chicago"/>
    <x v="10"/>
    <n v="60653"/>
    <x v="2"/>
    <x v="117"/>
    <x v="1"/>
    <x v="4"/>
    <x v="117"/>
    <x v="1532"/>
    <x v="10"/>
    <x v="1"/>
  </r>
  <r>
    <n v="8254"/>
    <x v="4086"/>
    <x v="801"/>
    <d v="2018-08-19T00:00:00"/>
    <s v="Standard Class"/>
    <x v="729"/>
    <s v="Dana Kaydos"/>
    <x v="0"/>
    <s v="United States"/>
    <s v="Seattle"/>
    <x v="4"/>
    <n v="98103"/>
    <x v="1"/>
    <x v="1327"/>
    <x v="2"/>
    <x v="16"/>
    <x v="1313"/>
    <x v="5128"/>
    <x v="6"/>
    <x v="3"/>
  </r>
  <r>
    <n v="8255"/>
    <x v="4086"/>
    <x v="801"/>
    <d v="2018-08-19T00:00:00"/>
    <s v="Standard Class"/>
    <x v="729"/>
    <s v="Dana Kaydos"/>
    <x v="0"/>
    <s v="United States"/>
    <s v="Seattle"/>
    <x v="4"/>
    <n v="98103"/>
    <x v="1"/>
    <x v="1684"/>
    <x v="1"/>
    <x v="10"/>
    <x v="1672"/>
    <x v="801"/>
    <x v="6"/>
    <x v="3"/>
  </r>
  <r>
    <n v="8256"/>
    <x v="4086"/>
    <x v="801"/>
    <d v="2018-08-19T00:00:00"/>
    <s v="Standard Class"/>
    <x v="729"/>
    <s v="Dana Kaydos"/>
    <x v="0"/>
    <s v="United States"/>
    <s v="Seattle"/>
    <x v="4"/>
    <n v="98103"/>
    <x v="1"/>
    <x v="529"/>
    <x v="2"/>
    <x v="7"/>
    <x v="529"/>
    <x v="5129"/>
    <x v="6"/>
    <x v="3"/>
  </r>
  <r>
    <n v="8257"/>
    <x v="4086"/>
    <x v="801"/>
    <d v="2018-08-19T00:00:00"/>
    <s v="Standard Class"/>
    <x v="729"/>
    <s v="Dana Kaydos"/>
    <x v="0"/>
    <s v="United States"/>
    <s v="Seattle"/>
    <x v="4"/>
    <n v="98103"/>
    <x v="1"/>
    <x v="230"/>
    <x v="1"/>
    <x v="4"/>
    <x v="450"/>
    <x v="481"/>
    <x v="6"/>
    <x v="3"/>
  </r>
  <r>
    <n v="8258"/>
    <x v="4086"/>
    <x v="801"/>
    <d v="2018-08-19T00:00:00"/>
    <s v="Standard Class"/>
    <x v="729"/>
    <s v="Dana Kaydos"/>
    <x v="0"/>
    <s v="United States"/>
    <s v="Seattle"/>
    <x v="4"/>
    <n v="98103"/>
    <x v="1"/>
    <x v="1481"/>
    <x v="2"/>
    <x v="11"/>
    <x v="1468"/>
    <x v="5130"/>
    <x v="6"/>
    <x v="3"/>
  </r>
  <r>
    <n v="8259"/>
    <x v="4086"/>
    <x v="801"/>
    <d v="2018-08-19T00:00:00"/>
    <s v="Standard Class"/>
    <x v="729"/>
    <s v="Dana Kaydos"/>
    <x v="0"/>
    <s v="United States"/>
    <s v="Seattle"/>
    <x v="4"/>
    <n v="98103"/>
    <x v="1"/>
    <x v="1786"/>
    <x v="1"/>
    <x v="8"/>
    <x v="1776"/>
    <x v="989"/>
    <x v="6"/>
    <x v="3"/>
  </r>
  <r>
    <n v="8260"/>
    <x v="4087"/>
    <x v="190"/>
    <d v="2017-06-26T00:00:00"/>
    <s v="Same Day"/>
    <x v="381"/>
    <s v="Skye Norling"/>
    <x v="2"/>
    <s v="United States"/>
    <s v="Roseville"/>
    <x v="12"/>
    <n v="48066"/>
    <x v="2"/>
    <x v="447"/>
    <x v="1"/>
    <x v="10"/>
    <x v="447"/>
    <x v="1519"/>
    <x v="1"/>
    <x v="0"/>
  </r>
  <r>
    <n v="8261"/>
    <x v="4087"/>
    <x v="190"/>
    <d v="2017-06-26T00:00:00"/>
    <s v="Same Day"/>
    <x v="381"/>
    <s v="Skye Norling"/>
    <x v="2"/>
    <s v="United States"/>
    <s v="Roseville"/>
    <x v="12"/>
    <n v="48066"/>
    <x v="2"/>
    <x v="385"/>
    <x v="1"/>
    <x v="8"/>
    <x v="386"/>
    <x v="5131"/>
    <x v="1"/>
    <x v="0"/>
  </r>
  <r>
    <n v="8262"/>
    <x v="4087"/>
    <x v="190"/>
    <d v="2017-06-26T00:00:00"/>
    <s v="Same Day"/>
    <x v="381"/>
    <s v="Skye Norling"/>
    <x v="2"/>
    <s v="United States"/>
    <s v="Roseville"/>
    <x v="12"/>
    <n v="48066"/>
    <x v="2"/>
    <x v="1354"/>
    <x v="1"/>
    <x v="4"/>
    <x v="1340"/>
    <x v="5132"/>
    <x v="1"/>
    <x v="0"/>
  </r>
  <r>
    <n v="8263"/>
    <x v="4088"/>
    <x v="272"/>
    <d v="2017-12-19T00:00:00"/>
    <s v="Standard Class"/>
    <x v="679"/>
    <s v="Tony Chapman"/>
    <x v="2"/>
    <s v="United States"/>
    <s v="Fayetteville"/>
    <x v="36"/>
    <n v="72701"/>
    <x v="0"/>
    <x v="353"/>
    <x v="1"/>
    <x v="10"/>
    <x v="353"/>
    <x v="537"/>
    <x v="4"/>
    <x v="0"/>
  </r>
  <r>
    <n v="8264"/>
    <x v="4089"/>
    <x v="1023"/>
    <d v="2016-09-17T00:00:00"/>
    <s v="Standard Class"/>
    <x v="562"/>
    <s v="Anne McFarland"/>
    <x v="0"/>
    <s v="United States"/>
    <s v="Jacksonville"/>
    <x v="3"/>
    <n v="28540"/>
    <x v="0"/>
    <x v="634"/>
    <x v="1"/>
    <x v="8"/>
    <x v="634"/>
    <x v="3587"/>
    <x v="8"/>
    <x v="1"/>
  </r>
  <r>
    <n v="8265"/>
    <x v="4090"/>
    <x v="125"/>
    <d v="2016-01-04T00:00:00"/>
    <s v="Standard Class"/>
    <x v="195"/>
    <s v="Astrea Jones"/>
    <x v="0"/>
    <s v="United States"/>
    <s v="New York City"/>
    <x v="15"/>
    <n v="10035"/>
    <x v="3"/>
    <x v="1836"/>
    <x v="1"/>
    <x v="9"/>
    <x v="1824"/>
    <x v="1522"/>
    <x v="4"/>
    <x v="2"/>
  </r>
  <r>
    <n v="8266"/>
    <x v="4090"/>
    <x v="125"/>
    <d v="2016-01-04T00:00:00"/>
    <s v="Standard Class"/>
    <x v="195"/>
    <s v="Astrea Jones"/>
    <x v="0"/>
    <s v="United States"/>
    <s v="New York City"/>
    <x v="15"/>
    <n v="10035"/>
    <x v="3"/>
    <x v="858"/>
    <x v="1"/>
    <x v="8"/>
    <x v="852"/>
    <x v="5133"/>
    <x v="4"/>
    <x v="2"/>
  </r>
  <r>
    <n v="8267"/>
    <x v="4091"/>
    <x v="333"/>
    <d v="2015-05-04T00:00:00"/>
    <s v="Standard Class"/>
    <x v="347"/>
    <s v="Katherine Hughes"/>
    <x v="0"/>
    <s v="United States"/>
    <s v="Dover"/>
    <x v="13"/>
    <n v="19901"/>
    <x v="3"/>
    <x v="433"/>
    <x v="2"/>
    <x v="7"/>
    <x v="433"/>
    <x v="1016"/>
    <x v="3"/>
    <x v="2"/>
  </r>
  <r>
    <n v="8268"/>
    <x v="4092"/>
    <x v="289"/>
    <d v="2018-02-06T00:00:00"/>
    <s v="Standard Class"/>
    <x v="431"/>
    <s v="Liz Preis"/>
    <x v="0"/>
    <s v="United States"/>
    <s v="Aurora"/>
    <x v="10"/>
    <n v="60505"/>
    <x v="2"/>
    <x v="1582"/>
    <x v="0"/>
    <x v="3"/>
    <x v="1573"/>
    <x v="5134"/>
    <x v="9"/>
    <x v="3"/>
  </r>
  <r>
    <n v="8269"/>
    <x v="4092"/>
    <x v="289"/>
    <d v="2018-02-06T00:00:00"/>
    <s v="Standard Class"/>
    <x v="431"/>
    <s v="Liz Preis"/>
    <x v="0"/>
    <s v="United States"/>
    <s v="Aurora"/>
    <x v="10"/>
    <n v="60505"/>
    <x v="2"/>
    <x v="558"/>
    <x v="1"/>
    <x v="14"/>
    <x v="557"/>
    <x v="2458"/>
    <x v="9"/>
    <x v="3"/>
  </r>
  <r>
    <n v="8270"/>
    <x v="4092"/>
    <x v="289"/>
    <d v="2018-02-06T00:00:00"/>
    <s v="Standard Class"/>
    <x v="431"/>
    <s v="Liz Preis"/>
    <x v="0"/>
    <s v="United States"/>
    <s v="Aurora"/>
    <x v="10"/>
    <n v="60505"/>
    <x v="2"/>
    <x v="1718"/>
    <x v="2"/>
    <x v="7"/>
    <x v="1705"/>
    <x v="5135"/>
    <x v="9"/>
    <x v="3"/>
  </r>
  <r>
    <n v="8271"/>
    <x v="4092"/>
    <x v="289"/>
    <d v="2018-02-06T00:00:00"/>
    <s v="Standard Class"/>
    <x v="431"/>
    <s v="Liz Preis"/>
    <x v="0"/>
    <s v="United States"/>
    <s v="Aurora"/>
    <x v="10"/>
    <n v="60505"/>
    <x v="2"/>
    <x v="241"/>
    <x v="1"/>
    <x v="6"/>
    <x v="242"/>
    <x v="560"/>
    <x v="9"/>
    <x v="3"/>
  </r>
  <r>
    <n v="8272"/>
    <x v="4093"/>
    <x v="591"/>
    <d v="2017-12-31T00:00:00"/>
    <s v="Standard Class"/>
    <x v="555"/>
    <s v="Joe Elijah"/>
    <x v="0"/>
    <s v="United States"/>
    <s v="New York City"/>
    <x v="15"/>
    <n v="10009"/>
    <x v="3"/>
    <x v="406"/>
    <x v="0"/>
    <x v="1"/>
    <x v="407"/>
    <x v="5136"/>
    <x v="4"/>
    <x v="0"/>
  </r>
  <r>
    <n v="8273"/>
    <x v="4094"/>
    <x v="201"/>
    <d v="2017-10-25T00:00:00"/>
    <s v="Standard Class"/>
    <x v="501"/>
    <s v="Muhammed Yedwab"/>
    <x v="1"/>
    <s v="United States"/>
    <s v="El Cajon"/>
    <x v="1"/>
    <n v="92020"/>
    <x v="1"/>
    <x v="1708"/>
    <x v="0"/>
    <x v="1"/>
    <x v="1697"/>
    <x v="2342"/>
    <x v="2"/>
    <x v="0"/>
  </r>
  <r>
    <n v="8274"/>
    <x v="4095"/>
    <x v="385"/>
    <d v="2016-06-15T00:00:00"/>
    <s v="Second Class"/>
    <x v="763"/>
    <s v="Frank Carlisle"/>
    <x v="2"/>
    <s v="United States"/>
    <s v="Springfield"/>
    <x v="24"/>
    <n v="45503"/>
    <x v="3"/>
    <x v="1005"/>
    <x v="1"/>
    <x v="6"/>
    <x v="997"/>
    <x v="1306"/>
    <x v="1"/>
    <x v="1"/>
  </r>
  <r>
    <n v="8275"/>
    <x v="4096"/>
    <x v="160"/>
    <d v="2018-07-04T00:00:00"/>
    <s v="Standard Class"/>
    <x v="540"/>
    <s v="Neil Ducich"/>
    <x v="1"/>
    <s v="United States"/>
    <s v="Mount Vernon"/>
    <x v="15"/>
    <n v="10550"/>
    <x v="3"/>
    <x v="1449"/>
    <x v="1"/>
    <x v="4"/>
    <x v="1436"/>
    <x v="2892"/>
    <x v="1"/>
    <x v="3"/>
  </r>
  <r>
    <n v="8276"/>
    <x v="4097"/>
    <x v="153"/>
    <d v="2016-06-30T00:00:00"/>
    <s v="Standard Class"/>
    <x v="748"/>
    <s v="Dennis Bolton"/>
    <x v="2"/>
    <s v="United States"/>
    <s v="Lakewood"/>
    <x v="24"/>
    <n v="44107"/>
    <x v="3"/>
    <x v="99"/>
    <x v="1"/>
    <x v="10"/>
    <x v="99"/>
    <x v="5137"/>
    <x v="1"/>
    <x v="1"/>
  </r>
  <r>
    <n v="8277"/>
    <x v="4098"/>
    <x v="823"/>
    <d v="2017-02-25T00:00:00"/>
    <s v="Standard Class"/>
    <x v="784"/>
    <s v="Lindsay Castell"/>
    <x v="2"/>
    <s v="United States"/>
    <s v="Tampa"/>
    <x v="2"/>
    <n v="33614"/>
    <x v="0"/>
    <x v="807"/>
    <x v="1"/>
    <x v="8"/>
    <x v="805"/>
    <x v="5010"/>
    <x v="11"/>
    <x v="0"/>
  </r>
  <r>
    <n v="8278"/>
    <x v="4098"/>
    <x v="823"/>
    <d v="2017-02-25T00:00:00"/>
    <s v="Standard Class"/>
    <x v="784"/>
    <s v="Lindsay Castell"/>
    <x v="2"/>
    <s v="United States"/>
    <s v="Tampa"/>
    <x v="2"/>
    <n v="33614"/>
    <x v="0"/>
    <x v="920"/>
    <x v="1"/>
    <x v="8"/>
    <x v="912"/>
    <x v="1950"/>
    <x v="11"/>
    <x v="0"/>
  </r>
  <r>
    <n v="8279"/>
    <x v="4098"/>
    <x v="823"/>
    <d v="2017-02-25T00:00:00"/>
    <s v="Standard Class"/>
    <x v="784"/>
    <s v="Lindsay Castell"/>
    <x v="2"/>
    <s v="United States"/>
    <s v="Tampa"/>
    <x v="2"/>
    <n v="33614"/>
    <x v="0"/>
    <x v="734"/>
    <x v="1"/>
    <x v="4"/>
    <x v="733"/>
    <x v="5138"/>
    <x v="11"/>
    <x v="0"/>
  </r>
  <r>
    <n v="8280"/>
    <x v="4099"/>
    <x v="300"/>
    <d v="2018-04-26T00:00:00"/>
    <s v="Standard Class"/>
    <x v="232"/>
    <s v="Bruce Degenhardt"/>
    <x v="0"/>
    <s v="United States"/>
    <s v="Columbus"/>
    <x v="32"/>
    <n v="31907"/>
    <x v="0"/>
    <x v="906"/>
    <x v="1"/>
    <x v="4"/>
    <x v="898"/>
    <x v="5139"/>
    <x v="3"/>
    <x v="3"/>
  </r>
  <r>
    <n v="8281"/>
    <x v="4100"/>
    <x v="1188"/>
    <d v="2018-05-10T00:00:00"/>
    <s v="First Class"/>
    <x v="204"/>
    <s v="Matt Connell"/>
    <x v="1"/>
    <s v="United States"/>
    <s v="Jacksonville"/>
    <x v="3"/>
    <n v="28540"/>
    <x v="0"/>
    <x v="113"/>
    <x v="1"/>
    <x v="12"/>
    <x v="113"/>
    <x v="5140"/>
    <x v="5"/>
    <x v="3"/>
  </r>
  <r>
    <n v="8282"/>
    <x v="4100"/>
    <x v="1188"/>
    <d v="2018-05-10T00:00:00"/>
    <s v="First Class"/>
    <x v="204"/>
    <s v="Matt Connell"/>
    <x v="1"/>
    <s v="United States"/>
    <s v="Jacksonville"/>
    <x v="3"/>
    <n v="28540"/>
    <x v="0"/>
    <x v="866"/>
    <x v="0"/>
    <x v="1"/>
    <x v="860"/>
    <x v="718"/>
    <x v="5"/>
    <x v="3"/>
  </r>
  <r>
    <n v="8283"/>
    <x v="4101"/>
    <x v="379"/>
    <d v="2016-12-26T00:00:00"/>
    <s v="Second Class"/>
    <x v="449"/>
    <s v="Sam Zeldin"/>
    <x v="2"/>
    <s v="United States"/>
    <s v="Saint Charles"/>
    <x v="10"/>
    <n v="60174"/>
    <x v="2"/>
    <x v="846"/>
    <x v="2"/>
    <x v="15"/>
    <x v="840"/>
    <x v="5141"/>
    <x v="4"/>
    <x v="1"/>
  </r>
  <r>
    <n v="8284"/>
    <x v="4101"/>
    <x v="379"/>
    <d v="2016-12-26T00:00:00"/>
    <s v="Second Class"/>
    <x v="449"/>
    <s v="Sam Zeldin"/>
    <x v="2"/>
    <s v="United States"/>
    <s v="Saint Charles"/>
    <x v="10"/>
    <n v="60174"/>
    <x v="2"/>
    <x v="726"/>
    <x v="1"/>
    <x v="6"/>
    <x v="725"/>
    <x v="3396"/>
    <x v="4"/>
    <x v="1"/>
  </r>
  <r>
    <n v="8285"/>
    <x v="4101"/>
    <x v="379"/>
    <d v="2016-12-26T00:00:00"/>
    <s v="Second Class"/>
    <x v="449"/>
    <s v="Sam Zeldin"/>
    <x v="2"/>
    <s v="United States"/>
    <s v="Saint Charles"/>
    <x v="10"/>
    <n v="60174"/>
    <x v="2"/>
    <x v="769"/>
    <x v="2"/>
    <x v="11"/>
    <x v="768"/>
    <x v="5142"/>
    <x v="4"/>
    <x v="1"/>
  </r>
  <r>
    <n v="8286"/>
    <x v="4101"/>
    <x v="379"/>
    <d v="2016-12-26T00:00:00"/>
    <s v="Second Class"/>
    <x v="449"/>
    <s v="Sam Zeldin"/>
    <x v="2"/>
    <s v="United States"/>
    <s v="Saint Charles"/>
    <x v="10"/>
    <n v="60174"/>
    <x v="2"/>
    <x v="484"/>
    <x v="0"/>
    <x v="5"/>
    <x v="484"/>
    <x v="5143"/>
    <x v="4"/>
    <x v="1"/>
  </r>
  <r>
    <n v="8287"/>
    <x v="4102"/>
    <x v="1132"/>
    <d v="2015-08-16T00:00:00"/>
    <s v="Standard Class"/>
    <x v="723"/>
    <s v="Duane Huffman"/>
    <x v="2"/>
    <s v="United States"/>
    <s v="Miami"/>
    <x v="2"/>
    <n v="33180"/>
    <x v="0"/>
    <x v="1798"/>
    <x v="1"/>
    <x v="10"/>
    <x v="1788"/>
    <x v="276"/>
    <x v="6"/>
    <x v="2"/>
  </r>
  <r>
    <n v="8288"/>
    <x v="4102"/>
    <x v="1132"/>
    <d v="2015-08-16T00:00:00"/>
    <s v="Standard Class"/>
    <x v="723"/>
    <s v="Duane Huffman"/>
    <x v="2"/>
    <s v="United States"/>
    <s v="Miami"/>
    <x v="2"/>
    <n v="33180"/>
    <x v="0"/>
    <x v="369"/>
    <x v="1"/>
    <x v="6"/>
    <x v="370"/>
    <x v="1883"/>
    <x v="6"/>
    <x v="2"/>
  </r>
  <r>
    <n v="8289"/>
    <x v="4102"/>
    <x v="1132"/>
    <d v="2015-08-16T00:00:00"/>
    <s v="Standard Class"/>
    <x v="723"/>
    <s v="Duane Huffman"/>
    <x v="2"/>
    <s v="United States"/>
    <s v="Miami"/>
    <x v="2"/>
    <n v="33180"/>
    <x v="0"/>
    <x v="721"/>
    <x v="2"/>
    <x v="11"/>
    <x v="720"/>
    <x v="1996"/>
    <x v="6"/>
    <x v="2"/>
  </r>
  <r>
    <n v="8290"/>
    <x v="4102"/>
    <x v="1132"/>
    <d v="2015-08-16T00:00:00"/>
    <s v="Standard Class"/>
    <x v="723"/>
    <s v="Duane Huffman"/>
    <x v="2"/>
    <s v="United States"/>
    <s v="Miami"/>
    <x v="2"/>
    <n v="33180"/>
    <x v="0"/>
    <x v="1324"/>
    <x v="1"/>
    <x v="9"/>
    <x v="1311"/>
    <x v="5144"/>
    <x v="6"/>
    <x v="2"/>
  </r>
  <r>
    <n v="8291"/>
    <x v="4102"/>
    <x v="1132"/>
    <d v="2015-08-16T00:00:00"/>
    <s v="Standard Class"/>
    <x v="723"/>
    <s v="Duane Huffman"/>
    <x v="2"/>
    <s v="United States"/>
    <s v="Miami"/>
    <x v="2"/>
    <n v="33180"/>
    <x v="0"/>
    <x v="1567"/>
    <x v="1"/>
    <x v="14"/>
    <x v="1558"/>
    <x v="4643"/>
    <x v="6"/>
    <x v="2"/>
  </r>
  <r>
    <n v="8292"/>
    <x v="4102"/>
    <x v="1132"/>
    <d v="2015-08-16T00:00:00"/>
    <s v="Standard Class"/>
    <x v="723"/>
    <s v="Duane Huffman"/>
    <x v="2"/>
    <s v="United States"/>
    <s v="Miami"/>
    <x v="2"/>
    <n v="33180"/>
    <x v="0"/>
    <x v="1139"/>
    <x v="1"/>
    <x v="2"/>
    <x v="1127"/>
    <x v="1620"/>
    <x v="6"/>
    <x v="2"/>
  </r>
  <r>
    <n v="8293"/>
    <x v="4103"/>
    <x v="555"/>
    <d v="2016-12-15T00:00:00"/>
    <s v="Standard Class"/>
    <x v="62"/>
    <s v="Lena Creighton"/>
    <x v="0"/>
    <s v="United States"/>
    <s v="Troy"/>
    <x v="24"/>
    <n v="45373"/>
    <x v="3"/>
    <x v="1426"/>
    <x v="1"/>
    <x v="8"/>
    <x v="1414"/>
    <x v="2250"/>
    <x v="4"/>
    <x v="1"/>
  </r>
  <r>
    <n v="8294"/>
    <x v="4104"/>
    <x v="132"/>
    <d v="2018-11-07T00:00:00"/>
    <s v="Standard Class"/>
    <x v="705"/>
    <s v="Jack O'Briant"/>
    <x v="1"/>
    <s v="United States"/>
    <s v="Seattle"/>
    <x v="4"/>
    <n v="98103"/>
    <x v="1"/>
    <x v="1212"/>
    <x v="1"/>
    <x v="8"/>
    <x v="1197"/>
    <x v="5145"/>
    <x v="0"/>
    <x v="3"/>
  </r>
  <r>
    <n v="8295"/>
    <x v="4105"/>
    <x v="677"/>
    <d v="2018-03-17T00:00:00"/>
    <s v="Standard Class"/>
    <x v="363"/>
    <s v="Meg Tillman"/>
    <x v="0"/>
    <s v="United States"/>
    <s v="New York City"/>
    <x v="15"/>
    <n v="10011"/>
    <x v="3"/>
    <x v="1187"/>
    <x v="2"/>
    <x v="7"/>
    <x v="1173"/>
    <x v="1629"/>
    <x v="10"/>
    <x v="3"/>
  </r>
  <r>
    <n v="8296"/>
    <x v="4106"/>
    <x v="198"/>
    <d v="2017-06-03T00:00:00"/>
    <s v="Standard Class"/>
    <x v="494"/>
    <s v="Edward Becker"/>
    <x v="1"/>
    <s v="United States"/>
    <s v="Arlington"/>
    <x v="17"/>
    <n v="22204"/>
    <x v="0"/>
    <x v="111"/>
    <x v="1"/>
    <x v="12"/>
    <x v="111"/>
    <x v="1756"/>
    <x v="5"/>
    <x v="0"/>
  </r>
  <r>
    <n v="8297"/>
    <x v="4106"/>
    <x v="198"/>
    <d v="2017-06-03T00:00:00"/>
    <s v="Standard Class"/>
    <x v="494"/>
    <s v="Edward Becker"/>
    <x v="1"/>
    <s v="United States"/>
    <s v="Arlington"/>
    <x v="17"/>
    <n v="22204"/>
    <x v="0"/>
    <x v="201"/>
    <x v="2"/>
    <x v="11"/>
    <x v="202"/>
    <x v="5146"/>
    <x v="5"/>
    <x v="0"/>
  </r>
  <r>
    <n v="8298"/>
    <x v="4107"/>
    <x v="761"/>
    <d v="2016-07-11T00:00:00"/>
    <s v="Standard Class"/>
    <x v="276"/>
    <s v="Roland Schwarz"/>
    <x v="1"/>
    <s v="United States"/>
    <s v="Charlotte"/>
    <x v="3"/>
    <n v="28205"/>
    <x v="0"/>
    <x v="1392"/>
    <x v="0"/>
    <x v="5"/>
    <x v="1378"/>
    <x v="1253"/>
    <x v="7"/>
    <x v="1"/>
  </r>
  <r>
    <n v="8299"/>
    <x v="4107"/>
    <x v="761"/>
    <d v="2016-07-11T00:00:00"/>
    <s v="Standard Class"/>
    <x v="276"/>
    <s v="Roland Schwarz"/>
    <x v="1"/>
    <s v="United States"/>
    <s v="Charlotte"/>
    <x v="3"/>
    <n v="28205"/>
    <x v="0"/>
    <x v="607"/>
    <x v="1"/>
    <x v="2"/>
    <x v="607"/>
    <x v="692"/>
    <x v="7"/>
    <x v="1"/>
  </r>
  <r>
    <n v="8300"/>
    <x v="4108"/>
    <x v="518"/>
    <d v="2015-03-15T00:00:00"/>
    <s v="Standard Class"/>
    <x v="579"/>
    <s v="Richard Bierner"/>
    <x v="0"/>
    <s v="United States"/>
    <s v="Roseville"/>
    <x v="1"/>
    <n v="95661"/>
    <x v="1"/>
    <x v="1596"/>
    <x v="1"/>
    <x v="6"/>
    <x v="1588"/>
    <x v="3277"/>
    <x v="10"/>
    <x v="2"/>
  </r>
  <r>
    <n v="8301"/>
    <x v="4109"/>
    <x v="704"/>
    <d v="2016-04-24T00:00:00"/>
    <s v="Standard Class"/>
    <x v="220"/>
    <s v="Olvera Toch"/>
    <x v="0"/>
    <s v="United States"/>
    <s v="Detroit"/>
    <x v="12"/>
    <n v="48234"/>
    <x v="2"/>
    <x v="231"/>
    <x v="1"/>
    <x v="12"/>
    <x v="232"/>
    <x v="2131"/>
    <x v="3"/>
    <x v="1"/>
  </r>
  <r>
    <n v="8302"/>
    <x v="4110"/>
    <x v="1189"/>
    <d v="2018-08-01T00:00:00"/>
    <s v="Standard Class"/>
    <x v="433"/>
    <s v="George Zrebassa"/>
    <x v="1"/>
    <s v="United States"/>
    <s v="Los Angeles"/>
    <x v="1"/>
    <n v="90036"/>
    <x v="1"/>
    <x v="1738"/>
    <x v="2"/>
    <x v="11"/>
    <x v="1727"/>
    <x v="3808"/>
    <x v="7"/>
    <x v="3"/>
  </r>
  <r>
    <n v="8303"/>
    <x v="4110"/>
    <x v="1189"/>
    <d v="2018-08-01T00:00:00"/>
    <s v="Standard Class"/>
    <x v="433"/>
    <s v="George Zrebassa"/>
    <x v="1"/>
    <s v="United States"/>
    <s v="Los Angeles"/>
    <x v="1"/>
    <n v="90036"/>
    <x v="1"/>
    <x v="662"/>
    <x v="0"/>
    <x v="1"/>
    <x v="662"/>
    <x v="1575"/>
    <x v="7"/>
    <x v="3"/>
  </r>
  <r>
    <n v="8304"/>
    <x v="4111"/>
    <x v="656"/>
    <d v="2015-11-02T00:00:00"/>
    <s v="Second Class"/>
    <x v="644"/>
    <s v="Nancy Lomonaco"/>
    <x v="2"/>
    <s v="United States"/>
    <s v="San Francisco"/>
    <x v="1"/>
    <n v="94110"/>
    <x v="1"/>
    <x v="521"/>
    <x v="2"/>
    <x v="7"/>
    <x v="521"/>
    <x v="89"/>
    <x v="2"/>
    <x v="2"/>
  </r>
  <r>
    <n v="8305"/>
    <x v="4112"/>
    <x v="132"/>
    <d v="2018-11-09T00:00:00"/>
    <s v="Standard Class"/>
    <x v="696"/>
    <s v="Bruce Geld"/>
    <x v="0"/>
    <s v="United States"/>
    <s v="Bakersfield"/>
    <x v="1"/>
    <n v="93309"/>
    <x v="1"/>
    <x v="1746"/>
    <x v="0"/>
    <x v="3"/>
    <x v="1736"/>
    <x v="5147"/>
    <x v="0"/>
    <x v="3"/>
  </r>
  <r>
    <n v="8306"/>
    <x v="4113"/>
    <x v="1190"/>
    <d v="2017-08-16T00:00:00"/>
    <s v="Standard Class"/>
    <x v="192"/>
    <s v="Michelle Tran"/>
    <x v="2"/>
    <s v="United States"/>
    <s v="Tulsa"/>
    <x v="26"/>
    <n v="74133"/>
    <x v="2"/>
    <x v="680"/>
    <x v="1"/>
    <x v="10"/>
    <x v="680"/>
    <x v="56"/>
    <x v="6"/>
    <x v="0"/>
  </r>
  <r>
    <n v="8307"/>
    <x v="4113"/>
    <x v="1190"/>
    <d v="2017-08-16T00:00:00"/>
    <s v="Standard Class"/>
    <x v="192"/>
    <s v="Michelle Tran"/>
    <x v="2"/>
    <s v="United States"/>
    <s v="Tulsa"/>
    <x v="26"/>
    <n v="74133"/>
    <x v="2"/>
    <x v="570"/>
    <x v="1"/>
    <x v="8"/>
    <x v="570"/>
    <x v="1075"/>
    <x v="6"/>
    <x v="0"/>
  </r>
  <r>
    <n v="8308"/>
    <x v="4113"/>
    <x v="1190"/>
    <d v="2017-08-16T00:00:00"/>
    <s v="Standard Class"/>
    <x v="192"/>
    <s v="Michelle Tran"/>
    <x v="2"/>
    <s v="United States"/>
    <s v="Tulsa"/>
    <x v="26"/>
    <n v="74133"/>
    <x v="2"/>
    <x v="1561"/>
    <x v="1"/>
    <x v="8"/>
    <x v="1551"/>
    <x v="4081"/>
    <x v="6"/>
    <x v="0"/>
  </r>
  <r>
    <n v="8309"/>
    <x v="4114"/>
    <x v="197"/>
    <d v="2017-07-25T00:00:00"/>
    <s v="Same Day"/>
    <x v="604"/>
    <s v="Becky Castell"/>
    <x v="2"/>
    <s v="United States"/>
    <s v="San Francisco"/>
    <x v="1"/>
    <n v="94122"/>
    <x v="1"/>
    <x v="1024"/>
    <x v="1"/>
    <x v="6"/>
    <x v="1015"/>
    <x v="5148"/>
    <x v="7"/>
    <x v="0"/>
  </r>
  <r>
    <n v="8310"/>
    <x v="4115"/>
    <x v="72"/>
    <d v="2015-03-07T00:00:00"/>
    <s v="Standard Class"/>
    <x v="543"/>
    <s v="Giulietta Weimer"/>
    <x v="0"/>
    <s v="United States"/>
    <s v="Houston"/>
    <x v="5"/>
    <n v="77036"/>
    <x v="2"/>
    <x v="1277"/>
    <x v="1"/>
    <x v="4"/>
    <x v="1262"/>
    <x v="5149"/>
    <x v="10"/>
    <x v="2"/>
  </r>
  <r>
    <n v="8311"/>
    <x v="4115"/>
    <x v="72"/>
    <d v="2015-03-07T00:00:00"/>
    <s v="Standard Class"/>
    <x v="543"/>
    <s v="Giulietta Weimer"/>
    <x v="0"/>
    <s v="United States"/>
    <s v="Houston"/>
    <x v="5"/>
    <n v="77036"/>
    <x v="2"/>
    <x v="1294"/>
    <x v="0"/>
    <x v="3"/>
    <x v="1280"/>
    <x v="5150"/>
    <x v="10"/>
    <x v="2"/>
  </r>
  <r>
    <n v="8312"/>
    <x v="4116"/>
    <x v="795"/>
    <d v="2018-01-31T00:00:00"/>
    <s v="Standard Class"/>
    <x v="214"/>
    <s v="Bradley Drucker"/>
    <x v="0"/>
    <s v="United States"/>
    <s v="Columbus"/>
    <x v="32"/>
    <n v="31907"/>
    <x v="0"/>
    <x v="116"/>
    <x v="0"/>
    <x v="5"/>
    <x v="116"/>
    <x v="5151"/>
    <x v="9"/>
    <x v="3"/>
  </r>
  <r>
    <n v="8313"/>
    <x v="4116"/>
    <x v="795"/>
    <d v="2018-01-31T00:00:00"/>
    <s v="Standard Class"/>
    <x v="214"/>
    <s v="Bradley Drucker"/>
    <x v="0"/>
    <s v="United States"/>
    <s v="Columbus"/>
    <x v="32"/>
    <n v="31907"/>
    <x v="0"/>
    <x v="1461"/>
    <x v="2"/>
    <x v="7"/>
    <x v="1447"/>
    <x v="5152"/>
    <x v="9"/>
    <x v="3"/>
  </r>
  <r>
    <n v="8314"/>
    <x v="4117"/>
    <x v="136"/>
    <d v="2015-07-16T00:00:00"/>
    <s v="Standard Class"/>
    <x v="391"/>
    <s v="Paul Van Hugh"/>
    <x v="2"/>
    <s v="United States"/>
    <s v="League City"/>
    <x v="5"/>
    <n v="77573"/>
    <x v="2"/>
    <x v="856"/>
    <x v="0"/>
    <x v="1"/>
    <x v="849"/>
    <x v="5153"/>
    <x v="7"/>
    <x v="2"/>
  </r>
  <r>
    <n v="8315"/>
    <x v="4117"/>
    <x v="136"/>
    <d v="2015-07-16T00:00:00"/>
    <s v="Standard Class"/>
    <x v="391"/>
    <s v="Paul Van Hugh"/>
    <x v="2"/>
    <s v="United States"/>
    <s v="League City"/>
    <x v="5"/>
    <n v="77573"/>
    <x v="2"/>
    <x v="845"/>
    <x v="1"/>
    <x v="13"/>
    <x v="839"/>
    <x v="4120"/>
    <x v="7"/>
    <x v="2"/>
  </r>
  <r>
    <n v="8316"/>
    <x v="4117"/>
    <x v="136"/>
    <d v="2015-07-16T00:00:00"/>
    <s v="Standard Class"/>
    <x v="391"/>
    <s v="Paul Van Hugh"/>
    <x v="2"/>
    <s v="United States"/>
    <s v="League City"/>
    <x v="5"/>
    <n v="77573"/>
    <x v="2"/>
    <x v="703"/>
    <x v="1"/>
    <x v="6"/>
    <x v="703"/>
    <x v="2653"/>
    <x v="7"/>
    <x v="2"/>
  </r>
  <r>
    <n v="8317"/>
    <x v="4117"/>
    <x v="136"/>
    <d v="2015-07-16T00:00:00"/>
    <s v="Standard Class"/>
    <x v="391"/>
    <s v="Paul Van Hugh"/>
    <x v="2"/>
    <s v="United States"/>
    <s v="League City"/>
    <x v="5"/>
    <n v="77573"/>
    <x v="2"/>
    <x v="128"/>
    <x v="1"/>
    <x v="10"/>
    <x v="129"/>
    <x v="2897"/>
    <x v="7"/>
    <x v="2"/>
  </r>
  <r>
    <n v="8318"/>
    <x v="4118"/>
    <x v="645"/>
    <d v="2018-04-16T00:00:00"/>
    <s v="Standard Class"/>
    <x v="31"/>
    <s v="Henry MacAllister"/>
    <x v="0"/>
    <s v="United States"/>
    <s v="Burlington"/>
    <x v="3"/>
    <n v="27217"/>
    <x v="0"/>
    <x v="909"/>
    <x v="1"/>
    <x v="6"/>
    <x v="901"/>
    <x v="5154"/>
    <x v="3"/>
    <x v="3"/>
  </r>
  <r>
    <n v="8319"/>
    <x v="4118"/>
    <x v="645"/>
    <d v="2018-04-16T00:00:00"/>
    <s v="Standard Class"/>
    <x v="31"/>
    <s v="Henry MacAllister"/>
    <x v="0"/>
    <s v="United States"/>
    <s v="Burlington"/>
    <x v="3"/>
    <n v="27217"/>
    <x v="0"/>
    <x v="1210"/>
    <x v="1"/>
    <x v="6"/>
    <x v="1195"/>
    <x v="5155"/>
    <x v="3"/>
    <x v="3"/>
  </r>
  <r>
    <n v="8320"/>
    <x v="4119"/>
    <x v="38"/>
    <d v="2018-11-18T00:00:00"/>
    <s v="Standard Class"/>
    <x v="191"/>
    <s v="Erin Mull"/>
    <x v="0"/>
    <s v="United States"/>
    <s v="New York City"/>
    <x v="15"/>
    <n v="10009"/>
    <x v="3"/>
    <x v="602"/>
    <x v="1"/>
    <x v="4"/>
    <x v="602"/>
    <x v="1072"/>
    <x v="0"/>
    <x v="3"/>
  </r>
  <r>
    <n v="8321"/>
    <x v="4120"/>
    <x v="901"/>
    <d v="2016-12-06T00:00:00"/>
    <s v="First Class"/>
    <x v="11"/>
    <s v="Sandra Flanagan"/>
    <x v="0"/>
    <s v="United States"/>
    <s v="Dallas"/>
    <x v="5"/>
    <n v="75220"/>
    <x v="2"/>
    <x v="1473"/>
    <x v="1"/>
    <x v="6"/>
    <x v="1460"/>
    <x v="3696"/>
    <x v="4"/>
    <x v="1"/>
  </r>
  <r>
    <n v="8322"/>
    <x v="4121"/>
    <x v="182"/>
    <d v="2017-10-01T00:00:00"/>
    <s v="Standard Class"/>
    <x v="618"/>
    <s v="Shahid Collister"/>
    <x v="0"/>
    <s v="United States"/>
    <s v="Houston"/>
    <x v="5"/>
    <n v="77095"/>
    <x v="2"/>
    <x v="920"/>
    <x v="1"/>
    <x v="8"/>
    <x v="1758"/>
    <x v="5156"/>
    <x v="8"/>
    <x v="0"/>
  </r>
  <r>
    <n v="8323"/>
    <x v="4122"/>
    <x v="258"/>
    <d v="2017-11-25T00:00:00"/>
    <s v="Standard Class"/>
    <x v="444"/>
    <s v="Natalie DeCherney"/>
    <x v="0"/>
    <s v="United States"/>
    <s v="Long Beach"/>
    <x v="15"/>
    <n v="11561"/>
    <x v="3"/>
    <x v="1518"/>
    <x v="1"/>
    <x v="9"/>
    <x v="1505"/>
    <x v="4449"/>
    <x v="0"/>
    <x v="0"/>
  </r>
  <r>
    <n v="8324"/>
    <x v="4122"/>
    <x v="258"/>
    <d v="2017-11-25T00:00:00"/>
    <s v="Standard Class"/>
    <x v="444"/>
    <s v="Natalie DeCherney"/>
    <x v="0"/>
    <s v="United States"/>
    <s v="Long Beach"/>
    <x v="15"/>
    <n v="11561"/>
    <x v="3"/>
    <x v="422"/>
    <x v="1"/>
    <x v="10"/>
    <x v="422"/>
    <x v="908"/>
    <x v="0"/>
    <x v="0"/>
  </r>
  <r>
    <n v="8325"/>
    <x v="4123"/>
    <x v="565"/>
    <d v="2018-09-09T00:00:00"/>
    <s v="First Class"/>
    <x v="763"/>
    <s v="Frank Carlisle"/>
    <x v="2"/>
    <s v="United States"/>
    <s v="Hialeah"/>
    <x v="2"/>
    <n v="33012"/>
    <x v="0"/>
    <x v="421"/>
    <x v="1"/>
    <x v="4"/>
    <x v="421"/>
    <x v="2978"/>
    <x v="8"/>
    <x v="3"/>
  </r>
  <r>
    <n v="8326"/>
    <x v="4123"/>
    <x v="565"/>
    <d v="2018-09-09T00:00:00"/>
    <s v="First Class"/>
    <x v="763"/>
    <s v="Frank Carlisle"/>
    <x v="2"/>
    <s v="United States"/>
    <s v="Hialeah"/>
    <x v="2"/>
    <n v="33012"/>
    <x v="0"/>
    <x v="984"/>
    <x v="2"/>
    <x v="7"/>
    <x v="977"/>
    <x v="3097"/>
    <x v="8"/>
    <x v="3"/>
  </r>
  <r>
    <n v="8327"/>
    <x v="4124"/>
    <x v="246"/>
    <d v="2018-07-24T00:00:00"/>
    <s v="Second Class"/>
    <x v="126"/>
    <s v="Kelly Lampkin"/>
    <x v="1"/>
    <s v="United States"/>
    <s v="Aurora"/>
    <x v="10"/>
    <n v="60505"/>
    <x v="2"/>
    <x v="175"/>
    <x v="1"/>
    <x v="8"/>
    <x v="176"/>
    <x v="5157"/>
    <x v="7"/>
    <x v="3"/>
  </r>
  <r>
    <n v="8328"/>
    <x v="4124"/>
    <x v="246"/>
    <d v="2018-07-24T00:00:00"/>
    <s v="Second Class"/>
    <x v="126"/>
    <s v="Kelly Lampkin"/>
    <x v="1"/>
    <s v="United States"/>
    <s v="Aurora"/>
    <x v="10"/>
    <n v="60505"/>
    <x v="2"/>
    <x v="1080"/>
    <x v="1"/>
    <x v="8"/>
    <x v="1070"/>
    <x v="5158"/>
    <x v="7"/>
    <x v="3"/>
  </r>
  <r>
    <n v="8329"/>
    <x v="4125"/>
    <x v="833"/>
    <d v="2018-10-11T00:00:00"/>
    <s v="Standard Class"/>
    <x v="190"/>
    <s v="Xylona Preis"/>
    <x v="0"/>
    <s v="United States"/>
    <s v="Belleville"/>
    <x v="30"/>
    <n v="7109"/>
    <x v="3"/>
    <x v="1052"/>
    <x v="1"/>
    <x v="10"/>
    <x v="1041"/>
    <x v="140"/>
    <x v="2"/>
    <x v="3"/>
  </r>
  <r>
    <n v="8330"/>
    <x v="4125"/>
    <x v="833"/>
    <d v="2018-10-11T00:00:00"/>
    <s v="Standard Class"/>
    <x v="190"/>
    <s v="Xylona Preis"/>
    <x v="0"/>
    <s v="United States"/>
    <s v="Belleville"/>
    <x v="30"/>
    <n v="7109"/>
    <x v="3"/>
    <x v="974"/>
    <x v="1"/>
    <x v="10"/>
    <x v="968"/>
    <x v="90"/>
    <x v="2"/>
    <x v="3"/>
  </r>
  <r>
    <n v="8331"/>
    <x v="4126"/>
    <x v="659"/>
    <d v="2018-11-11T00:00:00"/>
    <s v="Standard Class"/>
    <x v="224"/>
    <s v="Frank Preis"/>
    <x v="0"/>
    <s v="United States"/>
    <s v="New York City"/>
    <x v="15"/>
    <n v="10024"/>
    <x v="3"/>
    <x v="1837"/>
    <x v="2"/>
    <x v="11"/>
    <x v="1825"/>
    <x v="2273"/>
    <x v="0"/>
    <x v="3"/>
  </r>
  <r>
    <n v="8332"/>
    <x v="4127"/>
    <x v="1185"/>
    <d v="2017-03-12T00:00:00"/>
    <s v="First Class"/>
    <x v="519"/>
    <s v="Pamela Stobb"/>
    <x v="0"/>
    <s v="United States"/>
    <s v="Andover"/>
    <x v="31"/>
    <n v="1810"/>
    <x v="3"/>
    <x v="602"/>
    <x v="1"/>
    <x v="4"/>
    <x v="602"/>
    <x v="1072"/>
    <x v="10"/>
    <x v="0"/>
  </r>
  <r>
    <n v="8333"/>
    <x v="4127"/>
    <x v="1185"/>
    <d v="2017-03-12T00:00:00"/>
    <s v="First Class"/>
    <x v="519"/>
    <s v="Pamela Stobb"/>
    <x v="0"/>
    <s v="United States"/>
    <s v="Andover"/>
    <x v="31"/>
    <n v="1810"/>
    <x v="3"/>
    <x v="474"/>
    <x v="0"/>
    <x v="1"/>
    <x v="475"/>
    <x v="1367"/>
    <x v="10"/>
    <x v="0"/>
  </r>
  <r>
    <n v="8334"/>
    <x v="4127"/>
    <x v="1185"/>
    <d v="2017-03-12T00:00:00"/>
    <s v="First Class"/>
    <x v="519"/>
    <s v="Pamela Stobb"/>
    <x v="0"/>
    <s v="United States"/>
    <s v="Andover"/>
    <x v="31"/>
    <n v="1810"/>
    <x v="3"/>
    <x v="1776"/>
    <x v="1"/>
    <x v="10"/>
    <x v="1766"/>
    <x v="1444"/>
    <x v="10"/>
    <x v="0"/>
  </r>
  <r>
    <n v="8335"/>
    <x v="4127"/>
    <x v="1185"/>
    <d v="2017-03-12T00:00:00"/>
    <s v="First Class"/>
    <x v="519"/>
    <s v="Pamela Stobb"/>
    <x v="0"/>
    <s v="United States"/>
    <s v="Andover"/>
    <x v="31"/>
    <n v="1810"/>
    <x v="3"/>
    <x v="569"/>
    <x v="1"/>
    <x v="8"/>
    <x v="919"/>
    <x v="5159"/>
    <x v="10"/>
    <x v="0"/>
  </r>
  <r>
    <n v="8336"/>
    <x v="4128"/>
    <x v="726"/>
    <d v="2018-05-18T00:00:00"/>
    <s v="Second Class"/>
    <x v="194"/>
    <s v="Carl Weiss"/>
    <x v="2"/>
    <s v="United States"/>
    <s v="Newark"/>
    <x v="13"/>
    <n v="19711"/>
    <x v="3"/>
    <x v="1197"/>
    <x v="1"/>
    <x v="8"/>
    <x v="1182"/>
    <x v="5160"/>
    <x v="5"/>
    <x v="3"/>
  </r>
  <r>
    <n v="8337"/>
    <x v="4129"/>
    <x v="415"/>
    <d v="2017-07-08T00:00:00"/>
    <s v="Standard Class"/>
    <x v="347"/>
    <s v="Katherine Hughes"/>
    <x v="0"/>
    <s v="United States"/>
    <s v="Arlington"/>
    <x v="17"/>
    <n v="22204"/>
    <x v="0"/>
    <x v="1838"/>
    <x v="1"/>
    <x v="6"/>
    <x v="1826"/>
    <x v="5161"/>
    <x v="7"/>
    <x v="0"/>
  </r>
  <r>
    <n v="8338"/>
    <x v="4130"/>
    <x v="422"/>
    <d v="2016-01-03T00:00:00"/>
    <s v="Standard Class"/>
    <x v="568"/>
    <s v="Tamara Chand"/>
    <x v="1"/>
    <s v="United States"/>
    <s v="Decatur"/>
    <x v="19"/>
    <n v="35601"/>
    <x v="0"/>
    <x v="1813"/>
    <x v="1"/>
    <x v="10"/>
    <x v="1803"/>
    <x v="100"/>
    <x v="4"/>
    <x v="2"/>
  </r>
  <r>
    <n v="8339"/>
    <x v="4130"/>
    <x v="422"/>
    <d v="2016-01-03T00:00:00"/>
    <s v="Standard Class"/>
    <x v="568"/>
    <s v="Tamara Chand"/>
    <x v="1"/>
    <s v="United States"/>
    <s v="Decatur"/>
    <x v="19"/>
    <n v="35601"/>
    <x v="0"/>
    <x v="769"/>
    <x v="2"/>
    <x v="11"/>
    <x v="768"/>
    <x v="5162"/>
    <x v="4"/>
    <x v="2"/>
  </r>
  <r>
    <n v="8340"/>
    <x v="4131"/>
    <x v="669"/>
    <d v="2018-04-17T00:00:00"/>
    <s v="Standard Class"/>
    <x v="453"/>
    <s v="Yana Sorensen"/>
    <x v="1"/>
    <s v="United States"/>
    <s v="Hesperia"/>
    <x v="1"/>
    <n v="92345"/>
    <x v="1"/>
    <x v="1209"/>
    <x v="0"/>
    <x v="1"/>
    <x v="1194"/>
    <x v="5163"/>
    <x v="3"/>
    <x v="3"/>
  </r>
  <r>
    <n v="8341"/>
    <x v="4132"/>
    <x v="687"/>
    <d v="2015-11-20T00:00:00"/>
    <s v="Standard Class"/>
    <x v="417"/>
    <s v="Chris Cortes"/>
    <x v="0"/>
    <s v="United States"/>
    <s v="Chesapeake"/>
    <x v="17"/>
    <n v="23320"/>
    <x v="0"/>
    <x v="1009"/>
    <x v="1"/>
    <x v="10"/>
    <x v="1001"/>
    <x v="56"/>
    <x v="0"/>
    <x v="2"/>
  </r>
  <r>
    <n v="8342"/>
    <x v="4133"/>
    <x v="532"/>
    <d v="2018-06-14T00:00:00"/>
    <s v="First Class"/>
    <x v="9"/>
    <s v="Zuschuss Donatelli"/>
    <x v="0"/>
    <s v="United States"/>
    <s v="Los Angeles"/>
    <x v="1"/>
    <n v="90036"/>
    <x v="1"/>
    <x v="564"/>
    <x v="1"/>
    <x v="9"/>
    <x v="564"/>
    <x v="635"/>
    <x v="1"/>
    <x v="3"/>
  </r>
  <r>
    <n v="8343"/>
    <x v="4134"/>
    <x v="881"/>
    <d v="2017-11-30T00:00:00"/>
    <s v="Standard Class"/>
    <x v="271"/>
    <s v="Jay Kimmel"/>
    <x v="0"/>
    <s v="United States"/>
    <s v="Huntsville"/>
    <x v="19"/>
    <n v="35810"/>
    <x v="0"/>
    <x v="470"/>
    <x v="1"/>
    <x v="4"/>
    <x v="471"/>
    <x v="5164"/>
    <x v="0"/>
    <x v="0"/>
  </r>
  <r>
    <n v="8344"/>
    <x v="4135"/>
    <x v="90"/>
    <d v="2015-03-25T00:00:00"/>
    <s v="Standard Class"/>
    <x v="306"/>
    <s v="Gary McGarr"/>
    <x v="0"/>
    <s v="United States"/>
    <s v="Knoxville"/>
    <x v="18"/>
    <n v="37918"/>
    <x v="0"/>
    <x v="198"/>
    <x v="1"/>
    <x v="2"/>
    <x v="199"/>
    <x v="2261"/>
    <x v="10"/>
    <x v="2"/>
  </r>
  <r>
    <n v="8345"/>
    <x v="4135"/>
    <x v="90"/>
    <d v="2015-03-25T00:00:00"/>
    <s v="Standard Class"/>
    <x v="306"/>
    <s v="Gary McGarr"/>
    <x v="0"/>
    <s v="United States"/>
    <s v="Knoxville"/>
    <x v="18"/>
    <n v="37918"/>
    <x v="0"/>
    <x v="1001"/>
    <x v="0"/>
    <x v="5"/>
    <x v="993"/>
    <x v="2377"/>
    <x v="10"/>
    <x v="2"/>
  </r>
  <r>
    <n v="8346"/>
    <x v="4135"/>
    <x v="90"/>
    <d v="2015-03-25T00:00:00"/>
    <s v="Standard Class"/>
    <x v="306"/>
    <s v="Gary McGarr"/>
    <x v="0"/>
    <s v="United States"/>
    <s v="Knoxville"/>
    <x v="18"/>
    <n v="37918"/>
    <x v="0"/>
    <x v="1455"/>
    <x v="0"/>
    <x v="1"/>
    <x v="1441"/>
    <x v="5165"/>
    <x v="10"/>
    <x v="2"/>
  </r>
  <r>
    <n v="8347"/>
    <x v="4136"/>
    <x v="28"/>
    <d v="2016-05-04T00:00:00"/>
    <s v="Standard Class"/>
    <x v="478"/>
    <s v="Jane Waco"/>
    <x v="1"/>
    <s v="United States"/>
    <s v="Lawrence"/>
    <x v="31"/>
    <n v="1841"/>
    <x v="3"/>
    <x v="191"/>
    <x v="0"/>
    <x v="5"/>
    <x v="192"/>
    <x v="809"/>
    <x v="3"/>
    <x v="1"/>
  </r>
  <r>
    <n v="8348"/>
    <x v="4136"/>
    <x v="28"/>
    <d v="2016-05-04T00:00:00"/>
    <s v="Standard Class"/>
    <x v="478"/>
    <s v="Jane Waco"/>
    <x v="1"/>
    <s v="United States"/>
    <s v="Lawrence"/>
    <x v="31"/>
    <n v="1841"/>
    <x v="3"/>
    <x v="1462"/>
    <x v="0"/>
    <x v="5"/>
    <x v="1448"/>
    <x v="5166"/>
    <x v="3"/>
    <x v="1"/>
  </r>
  <r>
    <n v="8349"/>
    <x v="4136"/>
    <x v="28"/>
    <d v="2016-05-04T00:00:00"/>
    <s v="Standard Class"/>
    <x v="478"/>
    <s v="Jane Waco"/>
    <x v="1"/>
    <s v="United States"/>
    <s v="Lawrence"/>
    <x v="31"/>
    <n v="1841"/>
    <x v="3"/>
    <x v="1020"/>
    <x v="2"/>
    <x v="7"/>
    <x v="1011"/>
    <x v="5167"/>
    <x v="3"/>
    <x v="1"/>
  </r>
  <r>
    <n v="8350"/>
    <x v="4136"/>
    <x v="28"/>
    <d v="2016-05-04T00:00:00"/>
    <s v="Standard Class"/>
    <x v="478"/>
    <s v="Jane Waco"/>
    <x v="1"/>
    <s v="United States"/>
    <s v="Lawrence"/>
    <x v="31"/>
    <n v="1841"/>
    <x v="3"/>
    <x v="1721"/>
    <x v="0"/>
    <x v="5"/>
    <x v="1708"/>
    <x v="5168"/>
    <x v="3"/>
    <x v="1"/>
  </r>
  <r>
    <n v="8351"/>
    <x v="4136"/>
    <x v="28"/>
    <d v="2016-05-04T00:00:00"/>
    <s v="Standard Class"/>
    <x v="478"/>
    <s v="Jane Waco"/>
    <x v="1"/>
    <s v="United States"/>
    <s v="Lawrence"/>
    <x v="31"/>
    <n v="1841"/>
    <x v="3"/>
    <x v="1076"/>
    <x v="1"/>
    <x v="10"/>
    <x v="1066"/>
    <x v="90"/>
    <x v="3"/>
    <x v="1"/>
  </r>
  <r>
    <n v="8352"/>
    <x v="4137"/>
    <x v="898"/>
    <d v="2018-05-08T00:00:00"/>
    <s v="Standard Class"/>
    <x v="635"/>
    <s v="Bill Overfelt"/>
    <x v="1"/>
    <s v="United States"/>
    <s v="Philadelphia"/>
    <x v="9"/>
    <n v="19134"/>
    <x v="3"/>
    <x v="1757"/>
    <x v="0"/>
    <x v="5"/>
    <x v="1747"/>
    <x v="5169"/>
    <x v="5"/>
    <x v="3"/>
  </r>
  <r>
    <n v="8353"/>
    <x v="4137"/>
    <x v="898"/>
    <d v="2018-05-08T00:00:00"/>
    <s v="Standard Class"/>
    <x v="635"/>
    <s v="Bill Overfelt"/>
    <x v="1"/>
    <s v="United States"/>
    <s v="Philadelphia"/>
    <x v="9"/>
    <n v="19134"/>
    <x v="3"/>
    <x v="715"/>
    <x v="1"/>
    <x v="8"/>
    <x v="714"/>
    <x v="5170"/>
    <x v="5"/>
    <x v="3"/>
  </r>
  <r>
    <n v="8354"/>
    <x v="4137"/>
    <x v="898"/>
    <d v="2018-05-08T00:00:00"/>
    <s v="Standard Class"/>
    <x v="635"/>
    <s v="Bill Overfelt"/>
    <x v="1"/>
    <s v="United States"/>
    <s v="Philadelphia"/>
    <x v="9"/>
    <n v="19134"/>
    <x v="3"/>
    <x v="209"/>
    <x v="0"/>
    <x v="3"/>
    <x v="210"/>
    <x v="5171"/>
    <x v="5"/>
    <x v="3"/>
  </r>
  <r>
    <n v="8355"/>
    <x v="4137"/>
    <x v="898"/>
    <d v="2018-05-08T00:00:00"/>
    <s v="Standard Class"/>
    <x v="635"/>
    <s v="Bill Overfelt"/>
    <x v="1"/>
    <s v="United States"/>
    <s v="Philadelphia"/>
    <x v="9"/>
    <n v="19134"/>
    <x v="3"/>
    <x v="1160"/>
    <x v="1"/>
    <x v="8"/>
    <x v="1147"/>
    <x v="4010"/>
    <x v="5"/>
    <x v="3"/>
  </r>
  <r>
    <n v="8356"/>
    <x v="4137"/>
    <x v="898"/>
    <d v="2018-05-08T00:00:00"/>
    <s v="Standard Class"/>
    <x v="635"/>
    <s v="Bill Overfelt"/>
    <x v="1"/>
    <s v="United States"/>
    <s v="Philadelphia"/>
    <x v="9"/>
    <n v="19134"/>
    <x v="3"/>
    <x v="659"/>
    <x v="1"/>
    <x v="13"/>
    <x v="659"/>
    <x v="3778"/>
    <x v="5"/>
    <x v="3"/>
  </r>
  <r>
    <n v="8357"/>
    <x v="4138"/>
    <x v="370"/>
    <d v="2017-08-30T00:00:00"/>
    <s v="Standard Class"/>
    <x v="190"/>
    <s v="Xylona Preis"/>
    <x v="0"/>
    <s v="United States"/>
    <s v="Athens"/>
    <x v="32"/>
    <n v="30605"/>
    <x v="0"/>
    <x v="1292"/>
    <x v="0"/>
    <x v="5"/>
    <x v="1278"/>
    <x v="4519"/>
    <x v="6"/>
    <x v="0"/>
  </r>
  <r>
    <n v="8358"/>
    <x v="4139"/>
    <x v="909"/>
    <d v="2015-04-18T00:00:00"/>
    <s v="Standard Class"/>
    <x v="514"/>
    <s v="Michelle Moray"/>
    <x v="0"/>
    <s v="United States"/>
    <s v="Great Falls"/>
    <x v="37"/>
    <n v="59405"/>
    <x v="1"/>
    <x v="253"/>
    <x v="1"/>
    <x v="4"/>
    <x v="254"/>
    <x v="5172"/>
    <x v="3"/>
    <x v="2"/>
  </r>
  <r>
    <n v="8359"/>
    <x v="4139"/>
    <x v="909"/>
    <d v="2015-04-18T00:00:00"/>
    <s v="Standard Class"/>
    <x v="514"/>
    <s v="Michelle Moray"/>
    <x v="0"/>
    <s v="United States"/>
    <s v="Great Falls"/>
    <x v="37"/>
    <n v="59405"/>
    <x v="1"/>
    <x v="506"/>
    <x v="2"/>
    <x v="7"/>
    <x v="506"/>
    <x v="550"/>
    <x v="3"/>
    <x v="2"/>
  </r>
  <r>
    <n v="8360"/>
    <x v="4139"/>
    <x v="909"/>
    <d v="2015-04-18T00:00:00"/>
    <s v="Standard Class"/>
    <x v="514"/>
    <s v="Michelle Moray"/>
    <x v="0"/>
    <s v="United States"/>
    <s v="Great Falls"/>
    <x v="37"/>
    <n v="59405"/>
    <x v="1"/>
    <x v="1519"/>
    <x v="2"/>
    <x v="11"/>
    <x v="1506"/>
    <x v="5173"/>
    <x v="3"/>
    <x v="2"/>
  </r>
  <r>
    <n v="8361"/>
    <x v="4140"/>
    <x v="460"/>
    <d v="2018-01-04T00:00:00"/>
    <s v="Second Class"/>
    <x v="772"/>
    <s v="Trudy Schmidt"/>
    <x v="0"/>
    <s v="United States"/>
    <s v="El Paso"/>
    <x v="5"/>
    <n v="79907"/>
    <x v="2"/>
    <x v="1041"/>
    <x v="1"/>
    <x v="6"/>
    <x v="1030"/>
    <x v="3993"/>
    <x v="9"/>
    <x v="3"/>
  </r>
  <r>
    <n v="8362"/>
    <x v="4140"/>
    <x v="460"/>
    <d v="2018-01-04T00:00:00"/>
    <s v="Second Class"/>
    <x v="772"/>
    <s v="Trudy Schmidt"/>
    <x v="0"/>
    <s v="United States"/>
    <s v="El Paso"/>
    <x v="5"/>
    <n v="79907"/>
    <x v="2"/>
    <x v="1825"/>
    <x v="1"/>
    <x v="9"/>
    <x v="1813"/>
    <x v="5174"/>
    <x v="9"/>
    <x v="3"/>
  </r>
  <r>
    <n v="8363"/>
    <x v="4140"/>
    <x v="460"/>
    <d v="2018-01-04T00:00:00"/>
    <s v="Second Class"/>
    <x v="772"/>
    <s v="Trudy Schmidt"/>
    <x v="0"/>
    <s v="United States"/>
    <s v="El Paso"/>
    <x v="5"/>
    <n v="79907"/>
    <x v="2"/>
    <x v="971"/>
    <x v="0"/>
    <x v="3"/>
    <x v="965"/>
    <x v="3245"/>
    <x v="9"/>
    <x v="3"/>
  </r>
  <r>
    <n v="8364"/>
    <x v="4140"/>
    <x v="460"/>
    <d v="2018-01-04T00:00:00"/>
    <s v="Second Class"/>
    <x v="772"/>
    <s v="Trudy Schmidt"/>
    <x v="0"/>
    <s v="United States"/>
    <s v="El Paso"/>
    <x v="5"/>
    <n v="79907"/>
    <x v="2"/>
    <x v="1449"/>
    <x v="1"/>
    <x v="4"/>
    <x v="1436"/>
    <x v="5175"/>
    <x v="9"/>
    <x v="3"/>
  </r>
  <r>
    <n v="8365"/>
    <x v="4141"/>
    <x v="1045"/>
    <d v="2018-05-02T00:00:00"/>
    <s v="Standard Class"/>
    <x v="538"/>
    <s v="Janet Lee"/>
    <x v="0"/>
    <s v="United States"/>
    <s v="Kissimmee"/>
    <x v="2"/>
    <n v="34741"/>
    <x v="0"/>
    <x v="1147"/>
    <x v="2"/>
    <x v="7"/>
    <x v="1135"/>
    <x v="5176"/>
    <x v="3"/>
    <x v="3"/>
  </r>
  <r>
    <n v="8366"/>
    <x v="4142"/>
    <x v="289"/>
    <d v="2018-02-02T00:00:00"/>
    <s v="First Class"/>
    <x v="449"/>
    <s v="Sam Zeldin"/>
    <x v="2"/>
    <s v="United States"/>
    <s v="Seattle"/>
    <x v="4"/>
    <n v="98105"/>
    <x v="1"/>
    <x v="7"/>
    <x v="2"/>
    <x v="7"/>
    <x v="7"/>
    <x v="5177"/>
    <x v="9"/>
    <x v="3"/>
  </r>
  <r>
    <n v="8367"/>
    <x v="4143"/>
    <x v="557"/>
    <d v="2015-09-12T00:00:00"/>
    <s v="Second Class"/>
    <x v="756"/>
    <s v="Lisa Ryan"/>
    <x v="1"/>
    <s v="United States"/>
    <s v="Santa Clara"/>
    <x v="1"/>
    <n v="95051"/>
    <x v="1"/>
    <x v="1839"/>
    <x v="1"/>
    <x v="14"/>
    <x v="1827"/>
    <x v="3251"/>
    <x v="8"/>
    <x v="2"/>
  </r>
  <r>
    <n v="8368"/>
    <x v="4143"/>
    <x v="557"/>
    <d v="2015-09-12T00:00:00"/>
    <s v="Second Class"/>
    <x v="756"/>
    <s v="Lisa Ryan"/>
    <x v="1"/>
    <s v="United States"/>
    <s v="Santa Clara"/>
    <x v="1"/>
    <n v="95051"/>
    <x v="1"/>
    <x v="1536"/>
    <x v="1"/>
    <x v="10"/>
    <x v="1524"/>
    <x v="5178"/>
    <x v="8"/>
    <x v="2"/>
  </r>
  <r>
    <n v="8369"/>
    <x v="4143"/>
    <x v="557"/>
    <d v="2015-09-12T00:00:00"/>
    <s v="Second Class"/>
    <x v="756"/>
    <s v="Lisa Ryan"/>
    <x v="1"/>
    <s v="United States"/>
    <s v="Santa Clara"/>
    <x v="1"/>
    <n v="95051"/>
    <x v="1"/>
    <x v="1786"/>
    <x v="1"/>
    <x v="8"/>
    <x v="1776"/>
    <x v="202"/>
    <x v="8"/>
    <x v="2"/>
  </r>
  <r>
    <n v="8370"/>
    <x v="4144"/>
    <x v="725"/>
    <d v="2017-06-16T00:00:00"/>
    <s v="Standard Class"/>
    <x v="277"/>
    <s v="Seth Vernon"/>
    <x v="0"/>
    <s v="United States"/>
    <s v="Los Angeles"/>
    <x v="1"/>
    <n v="90049"/>
    <x v="1"/>
    <x v="215"/>
    <x v="0"/>
    <x v="3"/>
    <x v="216"/>
    <x v="3359"/>
    <x v="1"/>
    <x v="0"/>
  </r>
  <r>
    <n v="8371"/>
    <x v="4145"/>
    <x v="508"/>
    <d v="2017-10-21T00:00:00"/>
    <s v="Standard Class"/>
    <x v="450"/>
    <s v="Michael Granlund"/>
    <x v="2"/>
    <s v="United States"/>
    <s v="Fresno"/>
    <x v="1"/>
    <n v="93727"/>
    <x v="1"/>
    <x v="1638"/>
    <x v="0"/>
    <x v="0"/>
    <x v="1628"/>
    <x v="2446"/>
    <x v="2"/>
    <x v="0"/>
  </r>
  <r>
    <n v="8372"/>
    <x v="4146"/>
    <x v="422"/>
    <d v="2015-12-30T00:00:00"/>
    <s v="First Class"/>
    <x v="720"/>
    <s v="Nathan Cano"/>
    <x v="0"/>
    <s v="United States"/>
    <s v="Fort Worth"/>
    <x v="5"/>
    <n v="76106"/>
    <x v="2"/>
    <x v="444"/>
    <x v="1"/>
    <x v="8"/>
    <x v="444"/>
    <x v="5179"/>
    <x v="4"/>
    <x v="2"/>
  </r>
  <r>
    <n v="8373"/>
    <x v="4147"/>
    <x v="390"/>
    <d v="2017-12-01T00:00:00"/>
    <s v="Standard Class"/>
    <x v="649"/>
    <s v="Steve Carroll"/>
    <x v="2"/>
    <s v="United States"/>
    <s v="Seattle"/>
    <x v="4"/>
    <n v="98105"/>
    <x v="1"/>
    <x v="905"/>
    <x v="0"/>
    <x v="5"/>
    <x v="897"/>
    <x v="4303"/>
    <x v="0"/>
    <x v="0"/>
  </r>
  <r>
    <n v="8374"/>
    <x v="4148"/>
    <x v="338"/>
    <d v="2017-11-13T00:00:00"/>
    <s v="First Class"/>
    <x v="197"/>
    <s v="Rose O'Brian"/>
    <x v="0"/>
    <s v="United States"/>
    <s v="San Francisco"/>
    <x v="1"/>
    <n v="94110"/>
    <x v="1"/>
    <x v="1069"/>
    <x v="1"/>
    <x v="4"/>
    <x v="1058"/>
    <x v="5180"/>
    <x v="0"/>
    <x v="0"/>
  </r>
  <r>
    <n v="8375"/>
    <x v="4149"/>
    <x v="956"/>
    <d v="2016-01-10T00:00:00"/>
    <s v="Standard Class"/>
    <x v="311"/>
    <s v="James Lanier"/>
    <x v="2"/>
    <s v="United States"/>
    <s v="San Francisco"/>
    <x v="1"/>
    <n v="94110"/>
    <x v="1"/>
    <x v="937"/>
    <x v="1"/>
    <x v="9"/>
    <x v="930"/>
    <x v="5181"/>
    <x v="9"/>
    <x v="1"/>
  </r>
  <r>
    <n v="8376"/>
    <x v="4149"/>
    <x v="956"/>
    <d v="2016-01-10T00:00:00"/>
    <s v="Standard Class"/>
    <x v="311"/>
    <s v="James Lanier"/>
    <x v="2"/>
    <s v="United States"/>
    <s v="San Francisco"/>
    <x v="1"/>
    <n v="94110"/>
    <x v="1"/>
    <x v="673"/>
    <x v="1"/>
    <x v="8"/>
    <x v="673"/>
    <x v="5182"/>
    <x v="9"/>
    <x v="1"/>
  </r>
  <r>
    <n v="8377"/>
    <x v="4150"/>
    <x v="708"/>
    <d v="2018-03-27T00:00:00"/>
    <s v="Standard Class"/>
    <x v="463"/>
    <s v="Pauline Webber"/>
    <x v="1"/>
    <s v="United States"/>
    <s v="Pompano Beach"/>
    <x v="2"/>
    <n v="33068"/>
    <x v="0"/>
    <x v="1429"/>
    <x v="1"/>
    <x v="9"/>
    <x v="1417"/>
    <x v="5183"/>
    <x v="10"/>
    <x v="3"/>
  </r>
  <r>
    <n v="8378"/>
    <x v="4151"/>
    <x v="768"/>
    <d v="2016-11-18T00:00:00"/>
    <s v="Standard Class"/>
    <x v="751"/>
    <s v="Monica Federle"/>
    <x v="1"/>
    <s v="United States"/>
    <s v="Houston"/>
    <x v="5"/>
    <n v="77095"/>
    <x v="2"/>
    <x v="871"/>
    <x v="1"/>
    <x v="4"/>
    <x v="865"/>
    <x v="1445"/>
    <x v="0"/>
    <x v="1"/>
  </r>
  <r>
    <n v="8379"/>
    <x v="4151"/>
    <x v="768"/>
    <d v="2016-11-18T00:00:00"/>
    <s v="Standard Class"/>
    <x v="751"/>
    <s v="Monica Federle"/>
    <x v="1"/>
    <s v="United States"/>
    <s v="Houston"/>
    <x v="5"/>
    <n v="77095"/>
    <x v="2"/>
    <x v="219"/>
    <x v="1"/>
    <x v="10"/>
    <x v="220"/>
    <x v="12"/>
    <x v="0"/>
    <x v="1"/>
  </r>
  <r>
    <n v="8380"/>
    <x v="4151"/>
    <x v="768"/>
    <d v="2016-11-18T00:00:00"/>
    <s v="Standard Class"/>
    <x v="751"/>
    <s v="Monica Federle"/>
    <x v="1"/>
    <s v="United States"/>
    <s v="Houston"/>
    <x v="5"/>
    <n v="77095"/>
    <x v="2"/>
    <x v="889"/>
    <x v="1"/>
    <x v="12"/>
    <x v="882"/>
    <x v="5184"/>
    <x v="0"/>
    <x v="1"/>
  </r>
  <r>
    <n v="8381"/>
    <x v="4152"/>
    <x v="340"/>
    <d v="2015-09-14T00:00:00"/>
    <s v="Second Class"/>
    <x v="417"/>
    <s v="Chris Cortes"/>
    <x v="0"/>
    <s v="United States"/>
    <s v="Chicago"/>
    <x v="10"/>
    <n v="60653"/>
    <x v="2"/>
    <x v="702"/>
    <x v="1"/>
    <x v="10"/>
    <x v="702"/>
    <x v="2944"/>
    <x v="8"/>
    <x v="2"/>
  </r>
  <r>
    <n v="8382"/>
    <x v="4153"/>
    <x v="716"/>
    <d v="2017-03-19T00:00:00"/>
    <s v="Second Class"/>
    <x v="663"/>
    <s v="Anna Chung"/>
    <x v="0"/>
    <s v="United States"/>
    <s v="San Francisco"/>
    <x v="1"/>
    <n v="94109"/>
    <x v="1"/>
    <x v="509"/>
    <x v="2"/>
    <x v="7"/>
    <x v="509"/>
    <x v="556"/>
    <x v="10"/>
    <x v="0"/>
  </r>
  <r>
    <n v="8383"/>
    <x v="4154"/>
    <x v="597"/>
    <d v="2017-02-15T00:00:00"/>
    <s v="Standard Class"/>
    <x v="775"/>
    <s v="Mark Haberlin"/>
    <x v="1"/>
    <s v="United States"/>
    <s v="Houston"/>
    <x v="5"/>
    <n v="77036"/>
    <x v="2"/>
    <x v="866"/>
    <x v="0"/>
    <x v="1"/>
    <x v="860"/>
    <x v="5185"/>
    <x v="11"/>
    <x v="0"/>
  </r>
  <r>
    <n v="8384"/>
    <x v="4155"/>
    <x v="491"/>
    <d v="2017-11-28T00:00:00"/>
    <s v="First Class"/>
    <x v="522"/>
    <s v="Cynthia Delaney"/>
    <x v="2"/>
    <s v="United States"/>
    <s v="Shelton"/>
    <x v="29"/>
    <n v="6484"/>
    <x v="3"/>
    <x v="808"/>
    <x v="2"/>
    <x v="11"/>
    <x v="806"/>
    <x v="127"/>
    <x v="0"/>
    <x v="0"/>
  </r>
  <r>
    <n v="8385"/>
    <x v="4155"/>
    <x v="491"/>
    <d v="2017-11-28T00:00:00"/>
    <s v="First Class"/>
    <x v="522"/>
    <s v="Cynthia Delaney"/>
    <x v="2"/>
    <s v="United States"/>
    <s v="Shelton"/>
    <x v="29"/>
    <n v="6484"/>
    <x v="3"/>
    <x v="1283"/>
    <x v="1"/>
    <x v="10"/>
    <x v="1268"/>
    <x v="518"/>
    <x v="0"/>
    <x v="0"/>
  </r>
  <r>
    <n v="8386"/>
    <x v="4156"/>
    <x v="507"/>
    <d v="2018-09-08T00:00:00"/>
    <s v="Standard Class"/>
    <x v="51"/>
    <s v="Cynthia Voltz"/>
    <x v="1"/>
    <s v="United States"/>
    <s v="Oakland"/>
    <x v="1"/>
    <n v="94601"/>
    <x v="1"/>
    <x v="1181"/>
    <x v="1"/>
    <x v="8"/>
    <x v="1167"/>
    <x v="921"/>
    <x v="8"/>
    <x v="3"/>
  </r>
  <r>
    <n v="8387"/>
    <x v="4157"/>
    <x v="71"/>
    <d v="2016-06-03T00:00:00"/>
    <s v="Standard Class"/>
    <x v="577"/>
    <s v="Trudy Brown"/>
    <x v="0"/>
    <s v="United States"/>
    <s v="Manchester"/>
    <x v="29"/>
    <n v="6040"/>
    <x v="3"/>
    <x v="720"/>
    <x v="1"/>
    <x v="4"/>
    <x v="719"/>
    <x v="5186"/>
    <x v="5"/>
    <x v="1"/>
  </r>
  <r>
    <n v="8388"/>
    <x v="4157"/>
    <x v="71"/>
    <d v="2016-06-03T00:00:00"/>
    <s v="Standard Class"/>
    <x v="577"/>
    <s v="Trudy Brown"/>
    <x v="0"/>
    <s v="United States"/>
    <s v="Manchester"/>
    <x v="29"/>
    <n v="6040"/>
    <x v="3"/>
    <x v="177"/>
    <x v="1"/>
    <x v="4"/>
    <x v="178"/>
    <x v="3378"/>
    <x v="5"/>
    <x v="1"/>
  </r>
  <r>
    <n v="8389"/>
    <x v="4158"/>
    <x v="301"/>
    <d v="2015-11-05T00:00:00"/>
    <s v="Standard Class"/>
    <x v="375"/>
    <s v="Deirdre Greer"/>
    <x v="1"/>
    <s v="United States"/>
    <s v="Orange"/>
    <x v="30"/>
    <n v="7050"/>
    <x v="3"/>
    <x v="513"/>
    <x v="1"/>
    <x v="9"/>
    <x v="513"/>
    <x v="562"/>
    <x v="0"/>
    <x v="2"/>
  </r>
  <r>
    <n v="8390"/>
    <x v="4159"/>
    <x v="797"/>
    <d v="2017-12-30T00:00:00"/>
    <s v="First Class"/>
    <x v="279"/>
    <s v="Ross DeVincentis"/>
    <x v="2"/>
    <s v="United States"/>
    <s v="Akron"/>
    <x v="24"/>
    <n v="44312"/>
    <x v="3"/>
    <x v="110"/>
    <x v="1"/>
    <x v="13"/>
    <x v="110"/>
    <x v="5187"/>
    <x v="4"/>
    <x v="0"/>
  </r>
  <r>
    <n v="8391"/>
    <x v="4160"/>
    <x v="769"/>
    <d v="2018-12-06T00:00:00"/>
    <s v="First Class"/>
    <x v="294"/>
    <s v="Chris Selesnick"/>
    <x v="1"/>
    <s v="United States"/>
    <s v="Los Angeles"/>
    <x v="1"/>
    <n v="90032"/>
    <x v="1"/>
    <x v="1017"/>
    <x v="1"/>
    <x v="10"/>
    <x v="1008"/>
    <x v="2660"/>
    <x v="4"/>
    <x v="3"/>
  </r>
  <r>
    <n v="8392"/>
    <x v="4161"/>
    <x v="331"/>
    <d v="2018-12-30T00:00:00"/>
    <s v="Standard Class"/>
    <x v="674"/>
    <s v="Julia Barnett"/>
    <x v="2"/>
    <s v="United States"/>
    <s v="Danbury"/>
    <x v="29"/>
    <n v="6810"/>
    <x v="3"/>
    <x v="1001"/>
    <x v="0"/>
    <x v="5"/>
    <x v="993"/>
    <x v="1287"/>
    <x v="4"/>
    <x v="3"/>
  </r>
  <r>
    <n v="8393"/>
    <x v="4162"/>
    <x v="49"/>
    <d v="2017-12-06T00:00:00"/>
    <s v="Second Class"/>
    <x v="412"/>
    <s v="Eva Jacobs"/>
    <x v="0"/>
    <s v="United States"/>
    <s v="Franklin"/>
    <x v="31"/>
    <n v="2038"/>
    <x v="3"/>
    <x v="1676"/>
    <x v="2"/>
    <x v="7"/>
    <x v="1664"/>
    <x v="4658"/>
    <x v="4"/>
    <x v="0"/>
  </r>
  <r>
    <n v="8394"/>
    <x v="4162"/>
    <x v="49"/>
    <d v="2017-12-06T00:00:00"/>
    <s v="Second Class"/>
    <x v="412"/>
    <s v="Eva Jacobs"/>
    <x v="0"/>
    <s v="United States"/>
    <s v="Franklin"/>
    <x v="31"/>
    <n v="2038"/>
    <x v="3"/>
    <x v="1380"/>
    <x v="0"/>
    <x v="5"/>
    <x v="1365"/>
    <x v="4623"/>
    <x v="4"/>
    <x v="0"/>
  </r>
  <r>
    <n v="8395"/>
    <x v="4162"/>
    <x v="49"/>
    <d v="2017-12-06T00:00:00"/>
    <s v="Second Class"/>
    <x v="412"/>
    <s v="Eva Jacobs"/>
    <x v="0"/>
    <s v="United States"/>
    <s v="Franklin"/>
    <x v="31"/>
    <n v="2038"/>
    <x v="3"/>
    <x v="227"/>
    <x v="1"/>
    <x v="9"/>
    <x v="228"/>
    <x v="3256"/>
    <x v="4"/>
    <x v="0"/>
  </r>
  <r>
    <n v="8396"/>
    <x v="4162"/>
    <x v="49"/>
    <d v="2017-12-06T00:00:00"/>
    <s v="Second Class"/>
    <x v="412"/>
    <s v="Eva Jacobs"/>
    <x v="0"/>
    <s v="United States"/>
    <s v="Franklin"/>
    <x v="31"/>
    <n v="2038"/>
    <x v="3"/>
    <x v="616"/>
    <x v="0"/>
    <x v="3"/>
    <x v="616"/>
    <x v="5188"/>
    <x v="4"/>
    <x v="0"/>
  </r>
  <r>
    <n v="8397"/>
    <x v="4163"/>
    <x v="479"/>
    <d v="2015-06-30T00:00:00"/>
    <s v="Same Day"/>
    <x v="379"/>
    <s v="Brian DeCherney"/>
    <x v="0"/>
    <s v="United States"/>
    <s v="Wilmington"/>
    <x v="3"/>
    <n v="28403"/>
    <x v="0"/>
    <x v="162"/>
    <x v="1"/>
    <x v="10"/>
    <x v="163"/>
    <x v="5189"/>
    <x v="1"/>
    <x v="2"/>
  </r>
  <r>
    <n v="8398"/>
    <x v="4164"/>
    <x v="1010"/>
    <d v="2015-09-04T00:00:00"/>
    <s v="First Class"/>
    <x v="280"/>
    <s v="Mathew Reese"/>
    <x v="2"/>
    <s v="United States"/>
    <s v="Houston"/>
    <x v="5"/>
    <n v="77095"/>
    <x v="2"/>
    <x v="1736"/>
    <x v="1"/>
    <x v="8"/>
    <x v="1725"/>
    <x v="5190"/>
    <x v="8"/>
    <x v="2"/>
  </r>
  <r>
    <n v="8399"/>
    <x v="4165"/>
    <x v="808"/>
    <d v="2018-11-07T00:00:00"/>
    <s v="Second Class"/>
    <x v="676"/>
    <s v="Sharelle Roach"/>
    <x v="2"/>
    <s v="United States"/>
    <s v="Springfield"/>
    <x v="24"/>
    <n v="45503"/>
    <x v="3"/>
    <x v="913"/>
    <x v="0"/>
    <x v="1"/>
    <x v="905"/>
    <x v="1165"/>
    <x v="0"/>
    <x v="3"/>
  </r>
  <r>
    <n v="8400"/>
    <x v="4166"/>
    <x v="657"/>
    <d v="2016-04-18T00:00:00"/>
    <s v="Standard Class"/>
    <x v="513"/>
    <s v="Thea Hendricks"/>
    <x v="0"/>
    <s v="United States"/>
    <s v="Glendale"/>
    <x v="16"/>
    <n v="85301"/>
    <x v="1"/>
    <x v="1031"/>
    <x v="1"/>
    <x v="4"/>
    <x v="1022"/>
    <x v="1340"/>
    <x v="3"/>
    <x v="1"/>
  </r>
  <r>
    <n v="8401"/>
    <x v="4167"/>
    <x v="901"/>
    <d v="2016-12-09T00:00:00"/>
    <s v="Second Class"/>
    <x v="631"/>
    <s v="Brian Derr"/>
    <x v="0"/>
    <s v="United States"/>
    <s v="New York City"/>
    <x v="15"/>
    <n v="10009"/>
    <x v="3"/>
    <x v="920"/>
    <x v="1"/>
    <x v="8"/>
    <x v="912"/>
    <x v="2595"/>
    <x v="4"/>
    <x v="1"/>
  </r>
  <r>
    <n v="8402"/>
    <x v="4167"/>
    <x v="901"/>
    <d v="2016-12-09T00:00:00"/>
    <s v="Second Class"/>
    <x v="631"/>
    <s v="Brian Derr"/>
    <x v="0"/>
    <s v="United States"/>
    <s v="New York City"/>
    <x v="15"/>
    <n v="10009"/>
    <x v="3"/>
    <x v="1534"/>
    <x v="0"/>
    <x v="1"/>
    <x v="1522"/>
    <x v="5191"/>
    <x v="4"/>
    <x v="1"/>
  </r>
  <r>
    <n v="8403"/>
    <x v="4167"/>
    <x v="901"/>
    <d v="2016-12-09T00:00:00"/>
    <s v="Second Class"/>
    <x v="631"/>
    <s v="Brian Derr"/>
    <x v="0"/>
    <s v="United States"/>
    <s v="New York City"/>
    <x v="15"/>
    <n v="10009"/>
    <x v="3"/>
    <x v="752"/>
    <x v="1"/>
    <x v="10"/>
    <x v="750"/>
    <x v="5192"/>
    <x v="4"/>
    <x v="1"/>
  </r>
  <r>
    <n v="8404"/>
    <x v="4168"/>
    <x v="854"/>
    <d v="2017-02-07T00:00:00"/>
    <s v="Standard Class"/>
    <x v="416"/>
    <s v="Suzanne McNair"/>
    <x v="1"/>
    <s v="United States"/>
    <s v="Los Angeles"/>
    <x v="1"/>
    <n v="90036"/>
    <x v="1"/>
    <x v="145"/>
    <x v="1"/>
    <x v="10"/>
    <x v="146"/>
    <x v="151"/>
    <x v="11"/>
    <x v="0"/>
  </r>
  <r>
    <n v="8405"/>
    <x v="4169"/>
    <x v="141"/>
    <d v="2018-07-12T00:00:00"/>
    <s v="Standard Class"/>
    <x v="785"/>
    <s v="Harold Engle"/>
    <x v="1"/>
    <s v="United States"/>
    <s v="Newark"/>
    <x v="13"/>
    <n v="19711"/>
    <x v="3"/>
    <x v="1478"/>
    <x v="0"/>
    <x v="5"/>
    <x v="1465"/>
    <x v="202"/>
    <x v="7"/>
    <x v="3"/>
  </r>
  <r>
    <n v="8406"/>
    <x v="4169"/>
    <x v="141"/>
    <d v="2018-07-12T00:00:00"/>
    <s v="Standard Class"/>
    <x v="785"/>
    <s v="Harold Engle"/>
    <x v="1"/>
    <s v="United States"/>
    <s v="Newark"/>
    <x v="13"/>
    <n v="19711"/>
    <x v="3"/>
    <x v="721"/>
    <x v="2"/>
    <x v="11"/>
    <x v="720"/>
    <x v="5193"/>
    <x v="7"/>
    <x v="3"/>
  </r>
  <r>
    <n v="8407"/>
    <x v="4169"/>
    <x v="141"/>
    <d v="2018-07-12T00:00:00"/>
    <s v="Standard Class"/>
    <x v="785"/>
    <s v="Harold Engle"/>
    <x v="1"/>
    <s v="United States"/>
    <s v="Newark"/>
    <x v="13"/>
    <n v="19711"/>
    <x v="3"/>
    <x v="1801"/>
    <x v="0"/>
    <x v="5"/>
    <x v="1791"/>
    <x v="369"/>
    <x v="7"/>
    <x v="3"/>
  </r>
  <r>
    <n v="8408"/>
    <x v="4169"/>
    <x v="141"/>
    <d v="2018-07-12T00:00:00"/>
    <s v="Standard Class"/>
    <x v="785"/>
    <s v="Harold Engle"/>
    <x v="1"/>
    <s v="United States"/>
    <s v="Newark"/>
    <x v="13"/>
    <n v="19711"/>
    <x v="3"/>
    <x v="1024"/>
    <x v="1"/>
    <x v="6"/>
    <x v="1015"/>
    <x v="1301"/>
    <x v="7"/>
    <x v="3"/>
  </r>
  <r>
    <n v="8409"/>
    <x v="4169"/>
    <x v="141"/>
    <d v="2018-07-12T00:00:00"/>
    <s v="Standard Class"/>
    <x v="785"/>
    <s v="Harold Engle"/>
    <x v="1"/>
    <s v="United States"/>
    <s v="Newark"/>
    <x v="13"/>
    <n v="19711"/>
    <x v="3"/>
    <x v="1753"/>
    <x v="1"/>
    <x v="6"/>
    <x v="1743"/>
    <x v="5130"/>
    <x v="7"/>
    <x v="3"/>
  </r>
  <r>
    <n v="8410"/>
    <x v="4170"/>
    <x v="555"/>
    <d v="2016-12-17T00:00:00"/>
    <s v="Standard Class"/>
    <x v="82"/>
    <s v="Jim Kriz"/>
    <x v="2"/>
    <s v="United States"/>
    <s v="San Bernardino"/>
    <x v="1"/>
    <n v="92404"/>
    <x v="1"/>
    <x v="655"/>
    <x v="1"/>
    <x v="8"/>
    <x v="655"/>
    <x v="5194"/>
    <x v="4"/>
    <x v="1"/>
  </r>
  <r>
    <n v="8411"/>
    <x v="4171"/>
    <x v="625"/>
    <d v="2017-11-15T00:00:00"/>
    <s v="Same Day"/>
    <x v="21"/>
    <s v="Odella Nelson"/>
    <x v="1"/>
    <s v="United States"/>
    <s v="Burlington"/>
    <x v="3"/>
    <n v="27217"/>
    <x v="0"/>
    <x v="114"/>
    <x v="0"/>
    <x v="3"/>
    <x v="114"/>
    <x v="5195"/>
    <x v="0"/>
    <x v="0"/>
  </r>
  <r>
    <n v="8412"/>
    <x v="4172"/>
    <x v="195"/>
    <d v="2017-05-12T00:00:00"/>
    <s v="Second Class"/>
    <x v="513"/>
    <s v="Thea Hendricks"/>
    <x v="0"/>
    <s v="United States"/>
    <s v="Salem"/>
    <x v="17"/>
    <n v="24153"/>
    <x v="0"/>
    <x v="181"/>
    <x v="1"/>
    <x v="6"/>
    <x v="182"/>
    <x v="5196"/>
    <x v="5"/>
    <x v="0"/>
  </r>
  <r>
    <n v="8413"/>
    <x v="4173"/>
    <x v="434"/>
    <d v="2018-03-14T00:00:00"/>
    <s v="Standard Class"/>
    <x v="198"/>
    <s v="Maribeth Dona"/>
    <x v="0"/>
    <s v="United States"/>
    <s v="Dallas"/>
    <x v="5"/>
    <n v="75217"/>
    <x v="2"/>
    <x v="601"/>
    <x v="0"/>
    <x v="3"/>
    <x v="601"/>
    <x v="5197"/>
    <x v="10"/>
    <x v="3"/>
  </r>
  <r>
    <n v="8414"/>
    <x v="4174"/>
    <x v="907"/>
    <d v="2017-12-21T00:00:00"/>
    <s v="Standard Class"/>
    <x v="340"/>
    <s v="Adam Hart"/>
    <x v="1"/>
    <s v="United States"/>
    <s v="Arlington"/>
    <x v="5"/>
    <n v="76017"/>
    <x v="2"/>
    <x v="1193"/>
    <x v="1"/>
    <x v="10"/>
    <x v="1178"/>
    <x v="187"/>
    <x v="4"/>
    <x v="0"/>
  </r>
  <r>
    <n v="8415"/>
    <x v="4174"/>
    <x v="907"/>
    <d v="2017-12-21T00:00:00"/>
    <s v="Standard Class"/>
    <x v="340"/>
    <s v="Adam Hart"/>
    <x v="1"/>
    <s v="United States"/>
    <s v="Arlington"/>
    <x v="5"/>
    <n v="76017"/>
    <x v="2"/>
    <x v="1615"/>
    <x v="2"/>
    <x v="11"/>
    <x v="1606"/>
    <x v="5198"/>
    <x v="4"/>
    <x v="0"/>
  </r>
  <r>
    <n v="8416"/>
    <x v="4175"/>
    <x v="1191"/>
    <d v="2018-04-12T00:00:00"/>
    <s v="Standard Class"/>
    <x v="529"/>
    <s v="Max Ludwig"/>
    <x v="2"/>
    <s v="United States"/>
    <s v="Marion"/>
    <x v="23"/>
    <n v="52302"/>
    <x v="2"/>
    <x v="258"/>
    <x v="1"/>
    <x v="10"/>
    <x v="33"/>
    <x v="1907"/>
    <x v="3"/>
    <x v="3"/>
  </r>
  <r>
    <n v="8417"/>
    <x v="4176"/>
    <x v="1188"/>
    <d v="2018-05-11T00:00:00"/>
    <s v="First Class"/>
    <x v="697"/>
    <s v="Laurel Beltran"/>
    <x v="2"/>
    <s v="United States"/>
    <s v="Seattle"/>
    <x v="4"/>
    <n v="98105"/>
    <x v="1"/>
    <x v="805"/>
    <x v="1"/>
    <x v="8"/>
    <x v="803"/>
    <x v="5199"/>
    <x v="5"/>
    <x v="3"/>
  </r>
  <r>
    <n v="8418"/>
    <x v="4176"/>
    <x v="1188"/>
    <d v="2018-05-11T00:00:00"/>
    <s v="First Class"/>
    <x v="697"/>
    <s v="Laurel Beltran"/>
    <x v="2"/>
    <s v="United States"/>
    <s v="Seattle"/>
    <x v="4"/>
    <n v="98105"/>
    <x v="1"/>
    <x v="54"/>
    <x v="1"/>
    <x v="4"/>
    <x v="54"/>
    <x v="1443"/>
    <x v="5"/>
    <x v="3"/>
  </r>
  <r>
    <n v="8419"/>
    <x v="4176"/>
    <x v="1188"/>
    <d v="2018-05-11T00:00:00"/>
    <s v="First Class"/>
    <x v="697"/>
    <s v="Laurel Beltran"/>
    <x v="2"/>
    <s v="United States"/>
    <s v="Seattle"/>
    <x v="4"/>
    <n v="98105"/>
    <x v="1"/>
    <x v="738"/>
    <x v="0"/>
    <x v="3"/>
    <x v="737"/>
    <x v="5200"/>
    <x v="5"/>
    <x v="3"/>
  </r>
  <r>
    <n v="8420"/>
    <x v="4176"/>
    <x v="1188"/>
    <d v="2018-05-11T00:00:00"/>
    <s v="First Class"/>
    <x v="697"/>
    <s v="Laurel Beltran"/>
    <x v="2"/>
    <s v="United States"/>
    <s v="Seattle"/>
    <x v="4"/>
    <n v="98105"/>
    <x v="1"/>
    <x v="1764"/>
    <x v="1"/>
    <x v="4"/>
    <x v="1753"/>
    <x v="5003"/>
    <x v="5"/>
    <x v="3"/>
  </r>
  <r>
    <n v="8421"/>
    <x v="4176"/>
    <x v="1188"/>
    <d v="2018-05-11T00:00:00"/>
    <s v="First Class"/>
    <x v="697"/>
    <s v="Laurel Beltran"/>
    <x v="2"/>
    <s v="United States"/>
    <s v="Seattle"/>
    <x v="4"/>
    <n v="98105"/>
    <x v="1"/>
    <x v="1336"/>
    <x v="2"/>
    <x v="11"/>
    <x v="1321"/>
    <x v="1636"/>
    <x v="5"/>
    <x v="3"/>
  </r>
  <r>
    <n v="8422"/>
    <x v="4177"/>
    <x v="386"/>
    <d v="2018-10-16T00:00:00"/>
    <s v="Standard Class"/>
    <x v="73"/>
    <s v="Nora Paige"/>
    <x v="0"/>
    <s v="United States"/>
    <s v="Lakewood"/>
    <x v="30"/>
    <n v="8701"/>
    <x v="3"/>
    <x v="46"/>
    <x v="2"/>
    <x v="11"/>
    <x v="46"/>
    <x v="47"/>
    <x v="2"/>
    <x v="3"/>
  </r>
  <r>
    <n v="8423"/>
    <x v="4177"/>
    <x v="386"/>
    <d v="2018-10-16T00:00:00"/>
    <s v="Standard Class"/>
    <x v="73"/>
    <s v="Nora Paige"/>
    <x v="0"/>
    <s v="United States"/>
    <s v="Lakewood"/>
    <x v="30"/>
    <n v="8701"/>
    <x v="3"/>
    <x v="110"/>
    <x v="1"/>
    <x v="13"/>
    <x v="110"/>
    <x v="1488"/>
    <x v="2"/>
    <x v="3"/>
  </r>
  <r>
    <n v="8424"/>
    <x v="4177"/>
    <x v="386"/>
    <d v="2018-10-16T00:00:00"/>
    <s v="Standard Class"/>
    <x v="73"/>
    <s v="Nora Paige"/>
    <x v="0"/>
    <s v="United States"/>
    <s v="Lakewood"/>
    <x v="30"/>
    <n v="8701"/>
    <x v="3"/>
    <x v="1653"/>
    <x v="0"/>
    <x v="5"/>
    <x v="1642"/>
    <x v="582"/>
    <x v="2"/>
    <x v="3"/>
  </r>
  <r>
    <n v="8425"/>
    <x v="4177"/>
    <x v="386"/>
    <d v="2018-10-16T00:00:00"/>
    <s v="Standard Class"/>
    <x v="73"/>
    <s v="Nora Paige"/>
    <x v="0"/>
    <s v="United States"/>
    <s v="Lakewood"/>
    <x v="30"/>
    <n v="8701"/>
    <x v="3"/>
    <x v="1398"/>
    <x v="0"/>
    <x v="0"/>
    <x v="1385"/>
    <x v="5201"/>
    <x v="2"/>
    <x v="3"/>
  </r>
  <r>
    <n v="8426"/>
    <x v="4178"/>
    <x v="770"/>
    <d v="2017-08-30T00:00:00"/>
    <s v="First Class"/>
    <x v="494"/>
    <s v="Edward Becker"/>
    <x v="1"/>
    <s v="United States"/>
    <s v="Cincinnati"/>
    <x v="24"/>
    <n v="45231"/>
    <x v="3"/>
    <x v="1736"/>
    <x v="1"/>
    <x v="8"/>
    <x v="1725"/>
    <x v="3584"/>
    <x v="6"/>
    <x v="0"/>
  </r>
  <r>
    <n v="8427"/>
    <x v="4179"/>
    <x v="653"/>
    <d v="2016-10-07T00:00:00"/>
    <s v="Standard Class"/>
    <x v="261"/>
    <s v="Resi Pölking"/>
    <x v="0"/>
    <s v="United States"/>
    <s v="Thornton"/>
    <x v="22"/>
    <n v="80229"/>
    <x v="1"/>
    <x v="1839"/>
    <x v="1"/>
    <x v="14"/>
    <x v="1827"/>
    <x v="5202"/>
    <x v="2"/>
    <x v="1"/>
  </r>
  <r>
    <n v="8428"/>
    <x v="4180"/>
    <x v="51"/>
    <d v="2018-11-25T00:00:00"/>
    <s v="First Class"/>
    <x v="419"/>
    <s v="Dan Campbell"/>
    <x v="0"/>
    <s v="United States"/>
    <s v="Roseville"/>
    <x v="12"/>
    <n v="48066"/>
    <x v="2"/>
    <x v="482"/>
    <x v="1"/>
    <x v="14"/>
    <x v="327"/>
    <x v="1001"/>
    <x v="0"/>
    <x v="3"/>
  </r>
  <r>
    <n v="8429"/>
    <x v="4181"/>
    <x v="105"/>
    <d v="2018-11-16T00:00:00"/>
    <s v="Standard Class"/>
    <x v="137"/>
    <s v="Don Jones"/>
    <x v="1"/>
    <s v="United States"/>
    <s v="Tempe"/>
    <x v="16"/>
    <n v="85281"/>
    <x v="1"/>
    <x v="1421"/>
    <x v="2"/>
    <x v="11"/>
    <x v="1409"/>
    <x v="5203"/>
    <x v="0"/>
    <x v="3"/>
  </r>
  <r>
    <n v="8430"/>
    <x v="4182"/>
    <x v="1054"/>
    <d v="2017-12-21T00:00:00"/>
    <s v="Second Class"/>
    <x v="52"/>
    <s v="Clay Ludtke"/>
    <x v="0"/>
    <s v="United States"/>
    <s v="Reading"/>
    <x v="9"/>
    <n v="19601"/>
    <x v="3"/>
    <x v="1597"/>
    <x v="0"/>
    <x v="5"/>
    <x v="1589"/>
    <x v="5204"/>
    <x v="4"/>
    <x v="0"/>
  </r>
  <r>
    <n v="8431"/>
    <x v="4183"/>
    <x v="809"/>
    <d v="2015-04-05T00:00:00"/>
    <s v="Standard Class"/>
    <x v="396"/>
    <s v="Nat Carroll"/>
    <x v="0"/>
    <s v="United States"/>
    <s v="Apple Valley"/>
    <x v="11"/>
    <n v="55124"/>
    <x v="2"/>
    <x v="557"/>
    <x v="1"/>
    <x v="4"/>
    <x v="556"/>
    <x v="2349"/>
    <x v="10"/>
    <x v="2"/>
  </r>
  <r>
    <n v="8432"/>
    <x v="4184"/>
    <x v="1183"/>
    <d v="2018-11-13T00:00:00"/>
    <s v="Standard Class"/>
    <x v="634"/>
    <s v="Kean Nguyen"/>
    <x v="1"/>
    <s v="United States"/>
    <s v="Baltimore"/>
    <x v="39"/>
    <n v="21215"/>
    <x v="3"/>
    <x v="905"/>
    <x v="0"/>
    <x v="5"/>
    <x v="897"/>
    <x v="5205"/>
    <x v="0"/>
    <x v="3"/>
  </r>
  <r>
    <n v="8433"/>
    <x v="4185"/>
    <x v="80"/>
    <d v="2015-09-18T00:00:00"/>
    <s v="Second Class"/>
    <x v="609"/>
    <s v="Scott Cohen"/>
    <x v="1"/>
    <s v="United States"/>
    <s v="Corpus Christi"/>
    <x v="5"/>
    <n v="78415"/>
    <x v="2"/>
    <x v="969"/>
    <x v="1"/>
    <x v="13"/>
    <x v="962"/>
    <x v="192"/>
    <x v="8"/>
    <x v="2"/>
  </r>
  <r>
    <n v="8434"/>
    <x v="4185"/>
    <x v="80"/>
    <d v="2015-09-18T00:00:00"/>
    <s v="Second Class"/>
    <x v="609"/>
    <s v="Scott Cohen"/>
    <x v="1"/>
    <s v="United States"/>
    <s v="Corpus Christi"/>
    <x v="5"/>
    <n v="78415"/>
    <x v="2"/>
    <x v="1532"/>
    <x v="1"/>
    <x v="10"/>
    <x v="1520"/>
    <x v="1297"/>
    <x v="8"/>
    <x v="2"/>
  </r>
  <r>
    <n v="8435"/>
    <x v="4185"/>
    <x v="80"/>
    <d v="2015-09-18T00:00:00"/>
    <s v="Second Class"/>
    <x v="609"/>
    <s v="Scott Cohen"/>
    <x v="1"/>
    <s v="United States"/>
    <s v="Corpus Christi"/>
    <x v="5"/>
    <n v="78415"/>
    <x v="2"/>
    <x v="1467"/>
    <x v="0"/>
    <x v="5"/>
    <x v="1454"/>
    <x v="739"/>
    <x v="8"/>
    <x v="2"/>
  </r>
  <r>
    <n v="8436"/>
    <x v="4185"/>
    <x v="80"/>
    <d v="2015-09-18T00:00:00"/>
    <s v="Second Class"/>
    <x v="609"/>
    <s v="Scott Cohen"/>
    <x v="1"/>
    <s v="United States"/>
    <s v="Corpus Christi"/>
    <x v="5"/>
    <n v="78415"/>
    <x v="2"/>
    <x v="94"/>
    <x v="1"/>
    <x v="8"/>
    <x v="94"/>
    <x v="5206"/>
    <x v="8"/>
    <x v="2"/>
  </r>
  <r>
    <n v="8437"/>
    <x v="4186"/>
    <x v="1181"/>
    <d v="2016-09-26T00:00:00"/>
    <s v="Standard Class"/>
    <x v="562"/>
    <s v="Anne McFarland"/>
    <x v="0"/>
    <s v="United States"/>
    <s v="Las Vegas"/>
    <x v="33"/>
    <n v="89115"/>
    <x v="1"/>
    <x v="1499"/>
    <x v="1"/>
    <x v="8"/>
    <x v="1487"/>
    <x v="678"/>
    <x v="8"/>
    <x v="1"/>
  </r>
  <r>
    <n v="8438"/>
    <x v="4187"/>
    <x v="895"/>
    <d v="2016-12-16T00:00:00"/>
    <s v="Standard Class"/>
    <x v="362"/>
    <s v="Ryan Akin"/>
    <x v="0"/>
    <s v="United States"/>
    <s v="Cleveland"/>
    <x v="24"/>
    <n v="44105"/>
    <x v="3"/>
    <x v="1365"/>
    <x v="2"/>
    <x v="11"/>
    <x v="1351"/>
    <x v="2079"/>
    <x v="4"/>
    <x v="1"/>
  </r>
  <r>
    <n v="8439"/>
    <x v="4188"/>
    <x v="1061"/>
    <d v="2015-06-01T00:00:00"/>
    <s v="Standard Class"/>
    <x v="570"/>
    <s v="Magdelene Morse"/>
    <x v="0"/>
    <s v="United States"/>
    <s v="Seattle"/>
    <x v="4"/>
    <n v="98105"/>
    <x v="1"/>
    <x v="1636"/>
    <x v="1"/>
    <x v="8"/>
    <x v="1626"/>
    <x v="5207"/>
    <x v="5"/>
    <x v="2"/>
  </r>
  <r>
    <n v="8440"/>
    <x v="4189"/>
    <x v="1192"/>
    <d v="2018-03-17T00:00:00"/>
    <s v="Second Class"/>
    <x v="272"/>
    <s v="Brad Norvell"/>
    <x v="1"/>
    <s v="United States"/>
    <s v="Chicago"/>
    <x v="10"/>
    <n v="60623"/>
    <x v="2"/>
    <x v="1670"/>
    <x v="2"/>
    <x v="7"/>
    <x v="1658"/>
    <x v="4812"/>
    <x v="10"/>
    <x v="3"/>
  </r>
  <r>
    <n v="8441"/>
    <x v="4190"/>
    <x v="16"/>
    <d v="2017-12-12T00:00:00"/>
    <s v="Second Class"/>
    <x v="674"/>
    <s v="Julia Barnett"/>
    <x v="2"/>
    <s v="United States"/>
    <s v="Columbus"/>
    <x v="24"/>
    <n v="43229"/>
    <x v="3"/>
    <x v="249"/>
    <x v="1"/>
    <x v="10"/>
    <x v="250"/>
    <x v="1785"/>
    <x v="4"/>
    <x v="0"/>
  </r>
  <r>
    <n v="8442"/>
    <x v="4191"/>
    <x v="636"/>
    <d v="2018-05-10T00:00:00"/>
    <s v="Standard Class"/>
    <x v="140"/>
    <s v="Doug Bickford"/>
    <x v="0"/>
    <s v="United States"/>
    <s v="Tucson"/>
    <x v="16"/>
    <n v="85705"/>
    <x v="1"/>
    <x v="145"/>
    <x v="1"/>
    <x v="10"/>
    <x v="146"/>
    <x v="5208"/>
    <x v="5"/>
    <x v="3"/>
  </r>
  <r>
    <n v="8443"/>
    <x v="4192"/>
    <x v="1193"/>
    <d v="2017-03-10T00:00:00"/>
    <s v="Standard Class"/>
    <x v="674"/>
    <s v="Julia Barnett"/>
    <x v="2"/>
    <s v="United States"/>
    <s v="Philadelphia"/>
    <x v="9"/>
    <n v="19120"/>
    <x v="3"/>
    <x v="907"/>
    <x v="2"/>
    <x v="7"/>
    <x v="899"/>
    <x v="5209"/>
    <x v="10"/>
    <x v="0"/>
  </r>
  <r>
    <n v="8444"/>
    <x v="4192"/>
    <x v="1193"/>
    <d v="2017-03-10T00:00:00"/>
    <s v="Standard Class"/>
    <x v="674"/>
    <s v="Julia Barnett"/>
    <x v="2"/>
    <s v="United States"/>
    <s v="Philadelphia"/>
    <x v="9"/>
    <n v="19120"/>
    <x v="3"/>
    <x v="1282"/>
    <x v="1"/>
    <x v="8"/>
    <x v="1267"/>
    <x v="5210"/>
    <x v="10"/>
    <x v="0"/>
  </r>
  <r>
    <n v="8445"/>
    <x v="4192"/>
    <x v="1193"/>
    <d v="2017-03-10T00:00:00"/>
    <s v="Standard Class"/>
    <x v="674"/>
    <s v="Julia Barnett"/>
    <x v="2"/>
    <s v="United States"/>
    <s v="Philadelphia"/>
    <x v="9"/>
    <n v="19120"/>
    <x v="3"/>
    <x v="529"/>
    <x v="2"/>
    <x v="7"/>
    <x v="529"/>
    <x v="5211"/>
    <x v="10"/>
    <x v="0"/>
  </r>
  <r>
    <n v="8446"/>
    <x v="4193"/>
    <x v="436"/>
    <d v="2018-10-24T00:00:00"/>
    <s v="First Class"/>
    <x v="340"/>
    <s v="Adam Hart"/>
    <x v="1"/>
    <s v="United States"/>
    <s v="Cranston"/>
    <x v="34"/>
    <n v="2920"/>
    <x v="3"/>
    <x v="977"/>
    <x v="0"/>
    <x v="3"/>
    <x v="832"/>
    <x v="5212"/>
    <x v="2"/>
    <x v="3"/>
  </r>
  <r>
    <n v="8447"/>
    <x v="4193"/>
    <x v="436"/>
    <d v="2018-10-24T00:00:00"/>
    <s v="First Class"/>
    <x v="340"/>
    <s v="Adam Hart"/>
    <x v="1"/>
    <s v="United States"/>
    <s v="Cranston"/>
    <x v="34"/>
    <n v="2920"/>
    <x v="3"/>
    <x v="1457"/>
    <x v="0"/>
    <x v="5"/>
    <x v="1443"/>
    <x v="762"/>
    <x v="2"/>
    <x v="3"/>
  </r>
  <r>
    <n v="8448"/>
    <x v="4193"/>
    <x v="436"/>
    <d v="2018-10-24T00:00:00"/>
    <s v="First Class"/>
    <x v="340"/>
    <s v="Adam Hart"/>
    <x v="1"/>
    <s v="United States"/>
    <s v="Cranston"/>
    <x v="34"/>
    <n v="2920"/>
    <x v="3"/>
    <x v="1805"/>
    <x v="0"/>
    <x v="5"/>
    <x v="1795"/>
    <x v="5031"/>
    <x v="2"/>
    <x v="3"/>
  </r>
  <r>
    <n v="8449"/>
    <x v="4193"/>
    <x v="436"/>
    <d v="2018-10-24T00:00:00"/>
    <s v="First Class"/>
    <x v="340"/>
    <s v="Adam Hart"/>
    <x v="1"/>
    <s v="United States"/>
    <s v="Cranston"/>
    <x v="34"/>
    <n v="2920"/>
    <x v="3"/>
    <x v="335"/>
    <x v="0"/>
    <x v="3"/>
    <x v="335"/>
    <x v="3029"/>
    <x v="2"/>
    <x v="3"/>
  </r>
  <r>
    <n v="8450"/>
    <x v="4193"/>
    <x v="436"/>
    <d v="2018-10-24T00:00:00"/>
    <s v="First Class"/>
    <x v="340"/>
    <s v="Adam Hart"/>
    <x v="1"/>
    <s v="United States"/>
    <s v="Cranston"/>
    <x v="34"/>
    <n v="2920"/>
    <x v="3"/>
    <x v="362"/>
    <x v="1"/>
    <x v="10"/>
    <x v="362"/>
    <x v="5213"/>
    <x v="2"/>
    <x v="3"/>
  </r>
  <r>
    <n v="8451"/>
    <x v="4193"/>
    <x v="436"/>
    <d v="2018-10-24T00:00:00"/>
    <s v="First Class"/>
    <x v="340"/>
    <s v="Adam Hart"/>
    <x v="1"/>
    <s v="United States"/>
    <s v="Cranston"/>
    <x v="34"/>
    <n v="2920"/>
    <x v="3"/>
    <x v="1108"/>
    <x v="1"/>
    <x v="9"/>
    <x v="1097"/>
    <x v="5214"/>
    <x v="2"/>
    <x v="3"/>
  </r>
  <r>
    <n v="8452"/>
    <x v="4194"/>
    <x v="582"/>
    <d v="2015-04-30T00:00:00"/>
    <s v="First Class"/>
    <x v="482"/>
    <s v="Arianne Irving"/>
    <x v="0"/>
    <s v="United States"/>
    <s v="San Francisco"/>
    <x v="1"/>
    <n v="94122"/>
    <x v="1"/>
    <x v="1461"/>
    <x v="2"/>
    <x v="7"/>
    <x v="1447"/>
    <x v="5215"/>
    <x v="3"/>
    <x v="2"/>
  </r>
  <r>
    <n v="8453"/>
    <x v="4195"/>
    <x v="724"/>
    <d v="2017-04-23T00:00:00"/>
    <s v="Standard Class"/>
    <x v="764"/>
    <s v="Thea Hudgings"/>
    <x v="1"/>
    <s v="United States"/>
    <s v="Houston"/>
    <x v="5"/>
    <n v="77070"/>
    <x v="2"/>
    <x v="812"/>
    <x v="0"/>
    <x v="1"/>
    <x v="809"/>
    <x v="4988"/>
    <x v="3"/>
    <x v="0"/>
  </r>
  <r>
    <n v="8454"/>
    <x v="4195"/>
    <x v="724"/>
    <d v="2017-04-23T00:00:00"/>
    <s v="Standard Class"/>
    <x v="764"/>
    <s v="Thea Hudgings"/>
    <x v="1"/>
    <s v="United States"/>
    <s v="Houston"/>
    <x v="5"/>
    <n v="77070"/>
    <x v="2"/>
    <x v="486"/>
    <x v="1"/>
    <x v="4"/>
    <x v="486"/>
    <x v="5216"/>
    <x v="3"/>
    <x v="0"/>
  </r>
  <r>
    <n v="8455"/>
    <x v="4195"/>
    <x v="724"/>
    <d v="2017-04-23T00:00:00"/>
    <s v="Standard Class"/>
    <x v="764"/>
    <s v="Thea Hudgings"/>
    <x v="1"/>
    <s v="United States"/>
    <s v="Houston"/>
    <x v="5"/>
    <n v="77070"/>
    <x v="2"/>
    <x v="1268"/>
    <x v="0"/>
    <x v="5"/>
    <x v="1252"/>
    <x v="1952"/>
    <x v="3"/>
    <x v="0"/>
  </r>
  <r>
    <n v="8456"/>
    <x v="4196"/>
    <x v="730"/>
    <d v="2017-05-29T00:00:00"/>
    <s v="Standard Class"/>
    <x v="531"/>
    <s v="Jim Epp"/>
    <x v="1"/>
    <s v="United States"/>
    <s v="Los Angeles"/>
    <x v="1"/>
    <n v="90049"/>
    <x v="1"/>
    <x v="192"/>
    <x v="2"/>
    <x v="7"/>
    <x v="193"/>
    <x v="2643"/>
    <x v="5"/>
    <x v="0"/>
  </r>
  <r>
    <n v="8457"/>
    <x v="4197"/>
    <x v="39"/>
    <d v="2018-06-02T00:00:00"/>
    <s v="Second Class"/>
    <x v="260"/>
    <s v="Tiffany House"/>
    <x v="1"/>
    <s v="United States"/>
    <s v="Chicago"/>
    <x v="10"/>
    <n v="60653"/>
    <x v="2"/>
    <x v="64"/>
    <x v="0"/>
    <x v="1"/>
    <x v="124"/>
    <x v="5217"/>
    <x v="5"/>
    <x v="3"/>
  </r>
  <r>
    <n v="8458"/>
    <x v="4197"/>
    <x v="39"/>
    <d v="2018-06-02T00:00:00"/>
    <s v="Second Class"/>
    <x v="260"/>
    <s v="Tiffany House"/>
    <x v="1"/>
    <s v="United States"/>
    <s v="Chicago"/>
    <x v="10"/>
    <n v="60653"/>
    <x v="2"/>
    <x v="990"/>
    <x v="1"/>
    <x v="8"/>
    <x v="305"/>
    <x v="2940"/>
    <x v="5"/>
    <x v="3"/>
  </r>
  <r>
    <n v="8459"/>
    <x v="4198"/>
    <x v="55"/>
    <d v="2015-08-29T00:00:00"/>
    <s v="Standard Class"/>
    <x v="555"/>
    <s v="Joe Elijah"/>
    <x v="0"/>
    <s v="United States"/>
    <s v="Houston"/>
    <x v="5"/>
    <n v="77070"/>
    <x v="2"/>
    <x v="1160"/>
    <x v="1"/>
    <x v="8"/>
    <x v="1147"/>
    <x v="2274"/>
    <x v="6"/>
    <x v="2"/>
  </r>
  <r>
    <n v="8460"/>
    <x v="4198"/>
    <x v="55"/>
    <d v="2015-08-29T00:00:00"/>
    <s v="Standard Class"/>
    <x v="555"/>
    <s v="Joe Elijah"/>
    <x v="0"/>
    <s v="United States"/>
    <s v="Houston"/>
    <x v="5"/>
    <n v="77070"/>
    <x v="2"/>
    <x v="340"/>
    <x v="1"/>
    <x v="8"/>
    <x v="340"/>
    <x v="5218"/>
    <x v="6"/>
    <x v="2"/>
  </r>
  <r>
    <n v="8461"/>
    <x v="4199"/>
    <x v="1194"/>
    <d v="2015-09-04T00:00:00"/>
    <s v="Standard Class"/>
    <x v="247"/>
    <s v="Annie Thurman"/>
    <x v="0"/>
    <s v="United States"/>
    <s v="Bristol"/>
    <x v="29"/>
    <n v="6010"/>
    <x v="3"/>
    <x v="881"/>
    <x v="1"/>
    <x v="8"/>
    <x v="875"/>
    <x v="3186"/>
    <x v="6"/>
    <x v="2"/>
  </r>
  <r>
    <n v="8462"/>
    <x v="4199"/>
    <x v="1194"/>
    <d v="2015-09-04T00:00:00"/>
    <s v="Standard Class"/>
    <x v="247"/>
    <s v="Annie Thurman"/>
    <x v="0"/>
    <s v="United States"/>
    <s v="Bristol"/>
    <x v="29"/>
    <n v="6010"/>
    <x v="3"/>
    <x v="911"/>
    <x v="1"/>
    <x v="4"/>
    <x v="903"/>
    <x v="1429"/>
    <x v="6"/>
    <x v="2"/>
  </r>
  <r>
    <n v="8463"/>
    <x v="4200"/>
    <x v="37"/>
    <d v="2016-09-07T00:00:00"/>
    <s v="Second Class"/>
    <x v="581"/>
    <s v="John Huston"/>
    <x v="0"/>
    <s v="United States"/>
    <s v="Holland"/>
    <x v="12"/>
    <n v="49423"/>
    <x v="2"/>
    <x v="1550"/>
    <x v="1"/>
    <x v="2"/>
    <x v="1538"/>
    <x v="5219"/>
    <x v="8"/>
    <x v="1"/>
  </r>
  <r>
    <n v="8464"/>
    <x v="4201"/>
    <x v="1176"/>
    <d v="2015-04-01T00:00:00"/>
    <s v="Standard Class"/>
    <x v="660"/>
    <s v="Daniel Raglin"/>
    <x v="2"/>
    <s v="United States"/>
    <s v="Albuquerque"/>
    <x v="27"/>
    <n v="87105"/>
    <x v="1"/>
    <x v="172"/>
    <x v="2"/>
    <x v="7"/>
    <x v="173"/>
    <x v="214"/>
    <x v="10"/>
    <x v="2"/>
  </r>
  <r>
    <n v="8465"/>
    <x v="4202"/>
    <x v="1187"/>
    <d v="2016-05-15T00:00:00"/>
    <s v="Standard Class"/>
    <x v="269"/>
    <s v="Alan Barnes"/>
    <x v="0"/>
    <s v="United States"/>
    <s v="Louisville"/>
    <x v="22"/>
    <n v="80027"/>
    <x v="1"/>
    <x v="1207"/>
    <x v="2"/>
    <x v="11"/>
    <x v="1192"/>
    <x v="3728"/>
    <x v="5"/>
    <x v="1"/>
  </r>
  <r>
    <n v="8466"/>
    <x v="4203"/>
    <x v="265"/>
    <d v="2016-04-14T00:00:00"/>
    <s v="Standard Class"/>
    <x v="498"/>
    <s v="Mick Crebagga"/>
    <x v="0"/>
    <s v="United States"/>
    <s v="New York City"/>
    <x v="15"/>
    <n v="10024"/>
    <x v="3"/>
    <x v="1198"/>
    <x v="1"/>
    <x v="4"/>
    <x v="1183"/>
    <x v="1444"/>
    <x v="3"/>
    <x v="1"/>
  </r>
  <r>
    <n v="8467"/>
    <x v="4204"/>
    <x v="265"/>
    <d v="2016-04-14T00:00:00"/>
    <s v="Standard Class"/>
    <x v="490"/>
    <s v="Ivan Gibson"/>
    <x v="0"/>
    <s v="United States"/>
    <s v="Norwich"/>
    <x v="29"/>
    <n v="6360"/>
    <x v="3"/>
    <x v="532"/>
    <x v="1"/>
    <x v="9"/>
    <x v="532"/>
    <x v="5220"/>
    <x v="3"/>
    <x v="1"/>
  </r>
  <r>
    <n v="8468"/>
    <x v="4205"/>
    <x v="251"/>
    <d v="2017-09-23T00:00:00"/>
    <s v="Standard Class"/>
    <x v="395"/>
    <s v="Frank Hawley"/>
    <x v="1"/>
    <s v="United States"/>
    <s v="San Francisco"/>
    <x v="1"/>
    <n v="94122"/>
    <x v="1"/>
    <x v="78"/>
    <x v="1"/>
    <x v="8"/>
    <x v="78"/>
    <x v="433"/>
    <x v="8"/>
    <x v="0"/>
  </r>
  <r>
    <n v="8469"/>
    <x v="4206"/>
    <x v="583"/>
    <d v="2017-11-17T00:00:00"/>
    <s v="Standard Class"/>
    <x v="155"/>
    <s v="Alejandro Savely"/>
    <x v="1"/>
    <s v="United States"/>
    <s v="Noblesville"/>
    <x v="14"/>
    <n v="46060"/>
    <x v="2"/>
    <x v="1299"/>
    <x v="0"/>
    <x v="3"/>
    <x v="1284"/>
    <x v="5221"/>
    <x v="0"/>
    <x v="0"/>
  </r>
  <r>
    <n v="8470"/>
    <x v="4207"/>
    <x v="756"/>
    <d v="2018-04-27T00:00:00"/>
    <s v="Standard Class"/>
    <x v="43"/>
    <s v="Parhena Norris"/>
    <x v="2"/>
    <s v="United States"/>
    <s v="Clarksville"/>
    <x v="18"/>
    <n v="37042"/>
    <x v="0"/>
    <x v="366"/>
    <x v="0"/>
    <x v="0"/>
    <x v="367"/>
    <x v="2342"/>
    <x v="3"/>
    <x v="3"/>
  </r>
  <r>
    <n v="8471"/>
    <x v="4207"/>
    <x v="756"/>
    <d v="2018-04-27T00:00:00"/>
    <s v="Standard Class"/>
    <x v="43"/>
    <s v="Parhena Norris"/>
    <x v="2"/>
    <s v="United States"/>
    <s v="Clarksville"/>
    <x v="18"/>
    <n v="37042"/>
    <x v="0"/>
    <x v="721"/>
    <x v="2"/>
    <x v="11"/>
    <x v="720"/>
    <x v="5222"/>
    <x v="3"/>
    <x v="3"/>
  </r>
  <r>
    <n v="8472"/>
    <x v="4207"/>
    <x v="756"/>
    <d v="2018-04-27T00:00:00"/>
    <s v="Standard Class"/>
    <x v="43"/>
    <s v="Parhena Norris"/>
    <x v="2"/>
    <s v="United States"/>
    <s v="Clarksville"/>
    <x v="18"/>
    <n v="37042"/>
    <x v="0"/>
    <x v="1525"/>
    <x v="0"/>
    <x v="5"/>
    <x v="1512"/>
    <x v="2486"/>
    <x v="3"/>
    <x v="3"/>
  </r>
  <r>
    <n v="8473"/>
    <x v="4207"/>
    <x v="756"/>
    <d v="2018-04-27T00:00:00"/>
    <s v="Standard Class"/>
    <x v="43"/>
    <s v="Parhena Norris"/>
    <x v="2"/>
    <s v="United States"/>
    <s v="Clarksville"/>
    <x v="18"/>
    <n v="37042"/>
    <x v="0"/>
    <x v="1345"/>
    <x v="1"/>
    <x v="2"/>
    <x v="1330"/>
    <x v="3399"/>
    <x v="3"/>
    <x v="3"/>
  </r>
  <r>
    <n v="8474"/>
    <x v="4208"/>
    <x v="420"/>
    <d v="2016-10-26T00:00:00"/>
    <s v="Second Class"/>
    <x v="421"/>
    <s v="Gene McClure"/>
    <x v="0"/>
    <s v="United States"/>
    <s v="Hollywood"/>
    <x v="2"/>
    <n v="33021"/>
    <x v="0"/>
    <x v="253"/>
    <x v="1"/>
    <x v="4"/>
    <x v="254"/>
    <x v="5223"/>
    <x v="2"/>
    <x v="1"/>
  </r>
  <r>
    <n v="8475"/>
    <x v="4209"/>
    <x v="359"/>
    <d v="2018-04-14T00:00:00"/>
    <s v="Standard Class"/>
    <x v="544"/>
    <s v="Noah Childs"/>
    <x v="1"/>
    <s v="United States"/>
    <s v="York"/>
    <x v="9"/>
    <n v="17403"/>
    <x v="3"/>
    <x v="351"/>
    <x v="1"/>
    <x v="8"/>
    <x v="351"/>
    <x v="5224"/>
    <x v="3"/>
    <x v="3"/>
  </r>
  <r>
    <n v="8476"/>
    <x v="4209"/>
    <x v="359"/>
    <d v="2018-04-14T00:00:00"/>
    <s v="Standard Class"/>
    <x v="544"/>
    <s v="Noah Childs"/>
    <x v="1"/>
    <s v="United States"/>
    <s v="York"/>
    <x v="9"/>
    <n v="17403"/>
    <x v="3"/>
    <x v="1522"/>
    <x v="1"/>
    <x v="10"/>
    <x v="1509"/>
    <x v="4771"/>
    <x v="3"/>
    <x v="3"/>
  </r>
  <r>
    <n v="8477"/>
    <x v="4210"/>
    <x v="855"/>
    <d v="2018-11-01T00:00:00"/>
    <s v="Standard Class"/>
    <x v="69"/>
    <s v="Tamara Willingham"/>
    <x v="2"/>
    <s v="United States"/>
    <s v="Mesa"/>
    <x v="16"/>
    <n v="85204"/>
    <x v="1"/>
    <x v="1558"/>
    <x v="1"/>
    <x v="10"/>
    <x v="1547"/>
    <x v="2488"/>
    <x v="2"/>
    <x v="3"/>
  </r>
  <r>
    <n v="8478"/>
    <x v="4211"/>
    <x v="628"/>
    <d v="2016-10-30T00:00:00"/>
    <s v="Same Day"/>
    <x v="292"/>
    <s v="Barry Französisch"/>
    <x v="1"/>
    <s v="United States"/>
    <s v="New York City"/>
    <x v="15"/>
    <n v="10024"/>
    <x v="3"/>
    <x v="1840"/>
    <x v="2"/>
    <x v="15"/>
    <x v="1828"/>
    <x v="5225"/>
    <x v="2"/>
    <x v="1"/>
  </r>
  <r>
    <n v="8479"/>
    <x v="4212"/>
    <x v="404"/>
    <d v="2018-12-24T00:00:00"/>
    <s v="Standard Class"/>
    <x v="499"/>
    <s v="Tonja Turnell"/>
    <x v="2"/>
    <s v="United States"/>
    <s v="San Francisco"/>
    <x v="1"/>
    <n v="94110"/>
    <x v="1"/>
    <x v="671"/>
    <x v="1"/>
    <x v="6"/>
    <x v="671"/>
    <x v="1755"/>
    <x v="4"/>
    <x v="3"/>
  </r>
  <r>
    <n v="8480"/>
    <x v="4213"/>
    <x v="299"/>
    <d v="2017-03-16T00:00:00"/>
    <s v="Standard Class"/>
    <x v="573"/>
    <s v="Scot Wooten"/>
    <x v="0"/>
    <s v="United States"/>
    <s v="Los Angeles"/>
    <x v="1"/>
    <n v="90036"/>
    <x v="1"/>
    <x v="1633"/>
    <x v="1"/>
    <x v="10"/>
    <x v="1623"/>
    <x v="1016"/>
    <x v="10"/>
    <x v="0"/>
  </r>
  <r>
    <n v="8481"/>
    <x v="4214"/>
    <x v="609"/>
    <d v="2015-07-27T00:00:00"/>
    <s v="Standard Class"/>
    <x v="310"/>
    <s v="Patrick Gardner"/>
    <x v="0"/>
    <s v="United States"/>
    <s v="Omaha"/>
    <x v="8"/>
    <n v="68104"/>
    <x v="2"/>
    <x v="1763"/>
    <x v="2"/>
    <x v="7"/>
    <x v="1752"/>
    <x v="5226"/>
    <x v="7"/>
    <x v="2"/>
  </r>
  <r>
    <n v="8482"/>
    <x v="4215"/>
    <x v="1012"/>
    <d v="2017-05-28T00:00:00"/>
    <s v="Standard Class"/>
    <x v="503"/>
    <s v="Dennis Pardue"/>
    <x v="2"/>
    <s v="United States"/>
    <s v="Philadelphia"/>
    <x v="9"/>
    <n v="19120"/>
    <x v="3"/>
    <x v="924"/>
    <x v="1"/>
    <x v="6"/>
    <x v="916"/>
    <x v="3866"/>
    <x v="5"/>
    <x v="0"/>
  </r>
  <r>
    <n v="8483"/>
    <x v="4216"/>
    <x v="512"/>
    <d v="2018-02-15T00:00:00"/>
    <s v="Standard Class"/>
    <x v="137"/>
    <s v="Don Jones"/>
    <x v="1"/>
    <s v="United States"/>
    <s v="New York City"/>
    <x v="15"/>
    <n v="10024"/>
    <x v="3"/>
    <x v="488"/>
    <x v="1"/>
    <x v="2"/>
    <x v="488"/>
    <x v="343"/>
    <x v="11"/>
    <x v="3"/>
  </r>
  <r>
    <n v="8484"/>
    <x v="4217"/>
    <x v="873"/>
    <d v="2017-09-24T00:00:00"/>
    <s v="Standard Class"/>
    <x v="633"/>
    <s v="Edward Nazzal"/>
    <x v="0"/>
    <s v="United States"/>
    <s v="Grand Rapids"/>
    <x v="12"/>
    <n v="49505"/>
    <x v="2"/>
    <x v="1595"/>
    <x v="1"/>
    <x v="8"/>
    <x v="1587"/>
    <x v="4013"/>
    <x v="8"/>
    <x v="0"/>
  </r>
  <r>
    <n v="8485"/>
    <x v="4218"/>
    <x v="241"/>
    <d v="2018-09-24T00:00:00"/>
    <s v="Same Day"/>
    <x v="171"/>
    <s v="Philip Brown"/>
    <x v="0"/>
    <s v="United States"/>
    <s v="Seattle"/>
    <x v="4"/>
    <n v="98115"/>
    <x v="1"/>
    <x v="561"/>
    <x v="0"/>
    <x v="5"/>
    <x v="560"/>
    <x v="5227"/>
    <x v="8"/>
    <x v="3"/>
  </r>
  <r>
    <n v="8486"/>
    <x v="4219"/>
    <x v="996"/>
    <d v="2018-03-31T00:00:00"/>
    <s v="Standard Class"/>
    <x v="786"/>
    <s v="Brendan Dodson"/>
    <x v="2"/>
    <s v="United States"/>
    <s v="Fresno"/>
    <x v="1"/>
    <n v="93727"/>
    <x v="1"/>
    <x v="1264"/>
    <x v="1"/>
    <x v="10"/>
    <x v="1248"/>
    <x v="1816"/>
    <x v="10"/>
    <x v="3"/>
  </r>
  <r>
    <n v="8487"/>
    <x v="4219"/>
    <x v="996"/>
    <d v="2018-03-31T00:00:00"/>
    <s v="Standard Class"/>
    <x v="786"/>
    <s v="Brendan Dodson"/>
    <x v="2"/>
    <s v="United States"/>
    <s v="Fresno"/>
    <x v="1"/>
    <n v="93727"/>
    <x v="1"/>
    <x v="162"/>
    <x v="1"/>
    <x v="10"/>
    <x v="163"/>
    <x v="168"/>
    <x v="10"/>
    <x v="3"/>
  </r>
  <r>
    <n v="8488"/>
    <x v="4219"/>
    <x v="996"/>
    <d v="2018-03-31T00:00:00"/>
    <s v="Standard Class"/>
    <x v="786"/>
    <s v="Brendan Dodson"/>
    <x v="2"/>
    <s v="United States"/>
    <s v="Fresno"/>
    <x v="1"/>
    <n v="93727"/>
    <x v="1"/>
    <x v="1741"/>
    <x v="1"/>
    <x v="10"/>
    <x v="1730"/>
    <x v="5228"/>
    <x v="10"/>
    <x v="3"/>
  </r>
  <r>
    <n v="8489"/>
    <x v="4220"/>
    <x v="1056"/>
    <d v="2017-02-04T00:00:00"/>
    <s v="Second Class"/>
    <x v="339"/>
    <s v="Sanjit Engle"/>
    <x v="0"/>
    <s v="United States"/>
    <s v="Arlington"/>
    <x v="17"/>
    <n v="22204"/>
    <x v="0"/>
    <x v="1629"/>
    <x v="2"/>
    <x v="15"/>
    <x v="1619"/>
    <x v="5229"/>
    <x v="11"/>
    <x v="0"/>
  </r>
  <r>
    <n v="8490"/>
    <x v="4220"/>
    <x v="1056"/>
    <d v="2017-02-04T00:00:00"/>
    <s v="Second Class"/>
    <x v="339"/>
    <s v="Sanjit Engle"/>
    <x v="0"/>
    <s v="United States"/>
    <s v="Arlington"/>
    <x v="17"/>
    <n v="22204"/>
    <x v="0"/>
    <x v="248"/>
    <x v="1"/>
    <x v="8"/>
    <x v="249"/>
    <x v="3343"/>
    <x v="11"/>
    <x v="0"/>
  </r>
  <r>
    <n v="8491"/>
    <x v="4220"/>
    <x v="1056"/>
    <d v="2017-02-04T00:00:00"/>
    <s v="Second Class"/>
    <x v="339"/>
    <s v="Sanjit Engle"/>
    <x v="0"/>
    <s v="United States"/>
    <s v="Arlington"/>
    <x v="17"/>
    <n v="22204"/>
    <x v="0"/>
    <x v="1565"/>
    <x v="0"/>
    <x v="5"/>
    <x v="1556"/>
    <x v="3450"/>
    <x v="11"/>
    <x v="0"/>
  </r>
  <r>
    <n v="8492"/>
    <x v="4221"/>
    <x v="437"/>
    <d v="2018-07-11T00:00:00"/>
    <s v="Standard Class"/>
    <x v="247"/>
    <s v="Annie Thurman"/>
    <x v="0"/>
    <s v="United States"/>
    <s v="Los Angeles"/>
    <x v="1"/>
    <n v="90049"/>
    <x v="1"/>
    <x v="1079"/>
    <x v="1"/>
    <x v="13"/>
    <x v="1069"/>
    <x v="3949"/>
    <x v="7"/>
    <x v="3"/>
  </r>
  <r>
    <n v="8493"/>
    <x v="4222"/>
    <x v="924"/>
    <d v="2016-10-28T00:00:00"/>
    <s v="Standard Class"/>
    <x v="530"/>
    <s v="Craig Carroll"/>
    <x v="0"/>
    <s v="United States"/>
    <s v="Lubbock"/>
    <x v="5"/>
    <n v="79424"/>
    <x v="2"/>
    <x v="1587"/>
    <x v="1"/>
    <x v="10"/>
    <x v="1578"/>
    <x v="5230"/>
    <x v="2"/>
    <x v="1"/>
  </r>
  <r>
    <n v="8494"/>
    <x v="4222"/>
    <x v="924"/>
    <d v="2016-10-28T00:00:00"/>
    <s v="Standard Class"/>
    <x v="530"/>
    <s v="Craig Carroll"/>
    <x v="0"/>
    <s v="United States"/>
    <s v="Lubbock"/>
    <x v="5"/>
    <n v="79424"/>
    <x v="2"/>
    <x v="1687"/>
    <x v="2"/>
    <x v="16"/>
    <x v="1675"/>
    <x v="5231"/>
    <x v="2"/>
    <x v="1"/>
  </r>
  <r>
    <n v="8495"/>
    <x v="4222"/>
    <x v="924"/>
    <d v="2016-10-28T00:00:00"/>
    <s v="Standard Class"/>
    <x v="530"/>
    <s v="Craig Carroll"/>
    <x v="0"/>
    <s v="United States"/>
    <s v="Lubbock"/>
    <x v="5"/>
    <n v="79424"/>
    <x v="2"/>
    <x v="999"/>
    <x v="1"/>
    <x v="8"/>
    <x v="991"/>
    <x v="2351"/>
    <x v="2"/>
    <x v="1"/>
  </r>
  <r>
    <n v="8496"/>
    <x v="4223"/>
    <x v="499"/>
    <d v="2017-12-08T00:00:00"/>
    <s v="Standard Class"/>
    <x v="127"/>
    <s v="Alan Schoenberger"/>
    <x v="1"/>
    <s v="United States"/>
    <s v="Longmont"/>
    <x v="22"/>
    <n v="80501"/>
    <x v="1"/>
    <x v="1615"/>
    <x v="2"/>
    <x v="11"/>
    <x v="1606"/>
    <x v="5198"/>
    <x v="4"/>
    <x v="0"/>
  </r>
  <r>
    <n v="8497"/>
    <x v="4224"/>
    <x v="1195"/>
    <d v="2015-03-08T00:00:00"/>
    <s v="Second Class"/>
    <x v="492"/>
    <s v="Aimee Bixby"/>
    <x v="0"/>
    <s v="United States"/>
    <s v="Yonkers"/>
    <x v="15"/>
    <n v="10701"/>
    <x v="3"/>
    <x v="397"/>
    <x v="1"/>
    <x v="6"/>
    <x v="398"/>
    <x v="423"/>
    <x v="10"/>
    <x v="2"/>
  </r>
  <r>
    <n v="8498"/>
    <x v="4224"/>
    <x v="1195"/>
    <d v="2015-03-08T00:00:00"/>
    <s v="Second Class"/>
    <x v="492"/>
    <s v="Aimee Bixby"/>
    <x v="0"/>
    <s v="United States"/>
    <s v="Yonkers"/>
    <x v="15"/>
    <n v="10701"/>
    <x v="3"/>
    <x v="265"/>
    <x v="2"/>
    <x v="11"/>
    <x v="265"/>
    <x v="647"/>
    <x v="10"/>
    <x v="2"/>
  </r>
  <r>
    <n v="8499"/>
    <x v="4224"/>
    <x v="1195"/>
    <d v="2015-03-08T00:00:00"/>
    <s v="Second Class"/>
    <x v="492"/>
    <s v="Aimee Bixby"/>
    <x v="0"/>
    <s v="United States"/>
    <s v="Yonkers"/>
    <x v="15"/>
    <n v="10701"/>
    <x v="3"/>
    <x v="660"/>
    <x v="1"/>
    <x v="14"/>
    <x v="660"/>
    <x v="5232"/>
    <x v="10"/>
    <x v="2"/>
  </r>
  <r>
    <n v="8500"/>
    <x v="4224"/>
    <x v="1195"/>
    <d v="2015-03-08T00:00:00"/>
    <s v="Second Class"/>
    <x v="492"/>
    <s v="Aimee Bixby"/>
    <x v="0"/>
    <s v="United States"/>
    <s v="Yonkers"/>
    <x v="15"/>
    <n v="10701"/>
    <x v="3"/>
    <x v="1339"/>
    <x v="1"/>
    <x v="8"/>
    <x v="1324"/>
    <x v="1587"/>
    <x v="10"/>
    <x v="2"/>
  </r>
  <r>
    <n v="8501"/>
    <x v="4224"/>
    <x v="1195"/>
    <d v="2015-03-08T00:00:00"/>
    <s v="Second Class"/>
    <x v="492"/>
    <s v="Aimee Bixby"/>
    <x v="0"/>
    <s v="United States"/>
    <s v="Yonkers"/>
    <x v="15"/>
    <n v="10701"/>
    <x v="3"/>
    <x v="1184"/>
    <x v="1"/>
    <x v="10"/>
    <x v="1170"/>
    <x v="615"/>
    <x v="10"/>
    <x v="2"/>
  </r>
  <r>
    <n v="8502"/>
    <x v="4225"/>
    <x v="879"/>
    <d v="2016-03-03T00:00:00"/>
    <s v="Second Class"/>
    <x v="704"/>
    <s v="Dave Hallsten"/>
    <x v="1"/>
    <s v="United States"/>
    <s v="Los Angeles"/>
    <x v="1"/>
    <n v="90045"/>
    <x v="1"/>
    <x v="433"/>
    <x v="2"/>
    <x v="7"/>
    <x v="433"/>
    <x v="2913"/>
    <x v="10"/>
    <x v="1"/>
  </r>
  <r>
    <n v="8503"/>
    <x v="4225"/>
    <x v="879"/>
    <d v="2016-03-03T00:00:00"/>
    <s v="Second Class"/>
    <x v="704"/>
    <s v="Dave Hallsten"/>
    <x v="1"/>
    <s v="United States"/>
    <s v="Los Angeles"/>
    <x v="1"/>
    <n v="90045"/>
    <x v="1"/>
    <x v="389"/>
    <x v="0"/>
    <x v="1"/>
    <x v="390"/>
    <x v="4086"/>
    <x v="10"/>
    <x v="1"/>
  </r>
  <r>
    <n v="8504"/>
    <x v="4226"/>
    <x v="980"/>
    <d v="2015-02-24T00:00:00"/>
    <s v="Standard Class"/>
    <x v="256"/>
    <s v="Steven Roelle"/>
    <x v="2"/>
    <s v="United States"/>
    <s v="Los Angeles"/>
    <x v="1"/>
    <n v="90049"/>
    <x v="1"/>
    <x v="1541"/>
    <x v="1"/>
    <x v="10"/>
    <x v="1529"/>
    <x v="91"/>
    <x v="11"/>
    <x v="2"/>
  </r>
  <r>
    <n v="8505"/>
    <x v="4227"/>
    <x v="440"/>
    <d v="2017-05-06T00:00:00"/>
    <s v="Standard Class"/>
    <x v="749"/>
    <s v="Nick Radford"/>
    <x v="0"/>
    <s v="United States"/>
    <s v="Amarillo"/>
    <x v="5"/>
    <n v="79109"/>
    <x v="2"/>
    <x v="1585"/>
    <x v="0"/>
    <x v="1"/>
    <x v="1576"/>
    <x v="4565"/>
    <x v="5"/>
    <x v="0"/>
  </r>
  <r>
    <n v="8506"/>
    <x v="4228"/>
    <x v="387"/>
    <d v="2017-03-12T00:00:00"/>
    <s v="Standard Class"/>
    <x v="319"/>
    <s v="Sanjit Jacobs"/>
    <x v="2"/>
    <s v="United States"/>
    <s v="Dallas"/>
    <x v="5"/>
    <n v="75217"/>
    <x v="2"/>
    <x v="1181"/>
    <x v="1"/>
    <x v="8"/>
    <x v="1167"/>
    <x v="3096"/>
    <x v="10"/>
    <x v="0"/>
  </r>
  <r>
    <n v="8507"/>
    <x v="4228"/>
    <x v="387"/>
    <d v="2017-03-12T00:00:00"/>
    <s v="Standard Class"/>
    <x v="319"/>
    <s v="Sanjit Jacobs"/>
    <x v="2"/>
    <s v="United States"/>
    <s v="Dallas"/>
    <x v="5"/>
    <n v="75217"/>
    <x v="2"/>
    <x v="60"/>
    <x v="2"/>
    <x v="11"/>
    <x v="60"/>
    <x v="5233"/>
    <x v="10"/>
    <x v="0"/>
  </r>
  <r>
    <n v="8508"/>
    <x v="4228"/>
    <x v="387"/>
    <d v="2017-03-12T00:00:00"/>
    <s v="Standard Class"/>
    <x v="319"/>
    <s v="Sanjit Jacobs"/>
    <x v="2"/>
    <s v="United States"/>
    <s v="Dallas"/>
    <x v="5"/>
    <n v="75217"/>
    <x v="2"/>
    <x v="1697"/>
    <x v="1"/>
    <x v="12"/>
    <x v="1685"/>
    <x v="1741"/>
    <x v="10"/>
    <x v="0"/>
  </r>
  <r>
    <n v="8509"/>
    <x v="4229"/>
    <x v="555"/>
    <d v="2016-12-14T00:00:00"/>
    <s v="First Class"/>
    <x v="222"/>
    <s v="Cynthia Arntzen"/>
    <x v="0"/>
    <s v="United States"/>
    <s v="Detroit"/>
    <x v="12"/>
    <n v="48205"/>
    <x v="2"/>
    <x v="788"/>
    <x v="2"/>
    <x v="11"/>
    <x v="786"/>
    <x v="5234"/>
    <x v="4"/>
    <x v="1"/>
  </r>
  <r>
    <n v="8510"/>
    <x v="4229"/>
    <x v="555"/>
    <d v="2016-12-14T00:00:00"/>
    <s v="First Class"/>
    <x v="222"/>
    <s v="Cynthia Arntzen"/>
    <x v="0"/>
    <s v="United States"/>
    <s v="Detroit"/>
    <x v="12"/>
    <n v="48205"/>
    <x v="2"/>
    <x v="1419"/>
    <x v="2"/>
    <x v="7"/>
    <x v="1407"/>
    <x v="4675"/>
    <x v="4"/>
    <x v="1"/>
  </r>
  <r>
    <n v="8511"/>
    <x v="4229"/>
    <x v="555"/>
    <d v="2016-12-14T00:00:00"/>
    <s v="First Class"/>
    <x v="222"/>
    <s v="Cynthia Arntzen"/>
    <x v="0"/>
    <s v="United States"/>
    <s v="Detroit"/>
    <x v="12"/>
    <n v="48205"/>
    <x v="2"/>
    <x v="1023"/>
    <x v="1"/>
    <x v="8"/>
    <x v="1014"/>
    <x v="5235"/>
    <x v="4"/>
    <x v="1"/>
  </r>
  <r>
    <n v="8512"/>
    <x v="4230"/>
    <x v="596"/>
    <d v="2017-12-26T00:00:00"/>
    <s v="Standard Class"/>
    <x v="62"/>
    <s v="Lena Creighton"/>
    <x v="0"/>
    <s v="United States"/>
    <s v="New York City"/>
    <x v="15"/>
    <n v="10035"/>
    <x v="3"/>
    <x v="1399"/>
    <x v="1"/>
    <x v="8"/>
    <x v="1386"/>
    <x v="2171"/>
    <x v="4"/>
    <x v="0"/>
  </r>
  <r>
    <n v="8513"/>
    <x v="4231"/>
    <x v="1056"/>
    <d v="2017-02-08T00:00:00"/>
    <s v="Standard Class"/>
    <x v="374"/>
    <s v="Noel Staavos"/>
    <x v="1"/>
    <s v="United States"/>
    <s v="Houston"/>
    <x v="5"/>
    <n v="77041"/>
    <x v="2"/>
    <x v="737"/>
    <x v="0"/>
    <x v="5"/>
    <x v="736"/>
    <x v="5236"/>
    <x v="11"/>
    <x v="0"/>
  </r>
  <r>
    <n v="8514"/>
    <x v="4232"/>
    <x v="929"/>
    <d v="2018-06-09T00:00:00"/>
    <s v="Standard Class"/>
    <x v="374"/>
    <s v="Noel Staavos"/>
    <x v="1"/>
    <s v="United States"/>
    <s v="Orlando"/>
    <x v="2"/>
    <n v="32839"/>
    <x v="0"/>
    <x v="1290"/>
    <x v="1"/>
    <x v="10"/>
    <x v="1276"/>
    <x v="557"/>
    <x v="1"/>
    <x v="3"/>
  </r>
  <r>
    <n v="8515"/>
    <x v="4233"/>
    <x v="291"/>
    <d v="2016-08-26T00:00:00"/>
    <s v="Standard Class"/>
    <x v="428"/>
    <s v="Henry Goldwyn"/>
    <x v="1"/>
    <s v="United States"/>
    <s v="Florence"/>
    <x v="0"/>
    <n v="41042"/>
    <x v="0"/>
    <x v="241"/>
    <x v="1"/>
    <x v="6"/>
    <x v="242"/>
    <x v="254"/>
    <x v="6"/>
    <x v="1"/>
  </r>
  <r>
    <n v="8516"/>
    <x v="4233"/>
    <x v="291"/>
    <d v="2016-08-26T00:00:00"/>
    <s v="Standard Class"/>
    <x v="428"/>
    <s v="Henry Goldwyn"/>
    <x v="1"/>
    <s v="United States"/>
    <s v="Florence"/>
    <x v="0"/>
    <n v="41042"/>
    <x v="0"/>
    <x v="79"/>
    <x v="1"/>
    <x v="6"/>
    <x v="79"/>
    <x v="5237"/>
    <x v="6"/>
    <x v="1"/>
  </r>
  <r>
    <n v="8517"/>
    <x v="4234"/>
    <x v="281"/>
    <d v="2017-04-11T00:00:00"/>
    <s v="Standard Class"/>
    <x v="227"/>
    <s v="Sarah Foster"/>
    <x v="0"/>
    <s v="United States"/>
    <s v="New York City"/>
    <x v="15"/>
    <n v="10009"/>
    <x v="3"/>
    <x v="6"/>
    <x v="1"/>
    <x v="6"/>
    <x v="6"/>
    <x v="1026"/>
    <x v="3"/>
    <x v="0"/>
  </r>
  <r>
    <n v="8518"/>
    <x v="4235"/>
    <x v="400"/>
    <d v="2018-06-07T00:00:00"/>
    <s v="Second Class"/>
    <x v="191"/>
    <s v="Erin Mull"/>
    <x v="0"/>
    <s v="United States"/>
    <s v="Frisco"/>
    <x v="5"/>
    <n v="75034"/>
    <x v="2"/>
    <x v="1308"/>
    <x v="0"/>
    <x v="5"/>
    <x v="1293"/>
    <x v="5238"/>
    <x v="1"/>
    <x v="3"/>
  </r>
  <r>
    <n v="8519"/>
    <x v="4236"/>
    <x v="769"/>
    <d v="2018-12-10T00:00:00"/>
    <s v="Standard Class"/>
    <x v="770"/>
    <s v="Doug O'Connell"/>
    <x v="0"/>
    <s v="United States"/>
    <s v="Paterson"/>
    <x v="30"/>
    <n v="7501"/>
    <x v="3"/>
    <x v="1823"/>
    <x v="0"/>
    <x v="5"/>
    <x v="1811"/>
    <x v="2391"/>
    <x v="4"/>
    <x v="3"/>
  </r>
  <r>
    <n v="8520"/>
    <x v="4236"/>
    <x v="769"/>
    <d v="2018-12-10T00:00:00"/>
    <s v="Standard Class"/>
    <x v="770"/>
    <s v="Doug O'Connell"/>
    <x v="0"/>
    <s v="United States"/>
    <s v="Paterson"/>
    <x v="30"/>
    <n v="7501"/>
    <x v="3"/>
    <x v="163"/>
    <x v="0"/>
    <x v="1"/>
    <x v="164"/>
    <x v="5239"/>
    <x v="4"/>
    <x v="3"/>
  </r>
  <r>
    <n v="8521"/>
    <x v="4236"/>
    <x v="769"/>
    <d v="2018-12-10T00:00:00"/>
    <s v="Standard Class"/>
    <x v="770"/>
    <s v="Doug O'Connell"/>
    <x v="0"/>
    <s v="United States"/>
    <s v="Paterson"/>
    <x v="30"/>
    <n v="7501"/>
    <x v="3"/>
    <x v="211"/>
    <x v="0"/>
    <x v="1"/>
    <x v="212"/>
    <x v="3271"/>
    <x v="4"/>
    <x v="3"/>
  </r>
  <r>
    <n v="8522"/>
    <x v="4237"/>
    <x v="383"/>
    <d v="2017-01-15T00:00:00"/>
    <s v="Standard Class"/>
    <x v="88"/>
    <s v="Mark Packer"/>
    <x v="2"/>
    <s v="United States"/>
    <s v="Columbus"/>
    <x v="24"/>
    <n v="43229"/>
    <x v="3"/>
    <x v="875"/>
    <x v="0"/>
    <x v="5"/>
    <x v="869"/>
    <x v="5240"/>
    <x v="9"/>
    <x v="0"/>
  </r>
  <r>
    <n v="8523"/>
    <x v="4238"/>
    <x v="178"/>
    <d v="2017-04-07T00:00:00"/>
    <s v="Standard Class"/>
    <x v="501"/>
    <s v="Muhammed Yedwab"/>
    <x v="1"/>
    <s v="United States"/>
    <s v="Milwaukee"/>
    <x v="6"/>
    <n v="53209"/>
    <x v="2"/>
    <x v="780"/>
    <x v="2"/>
    <x v="7"/>
    <x v="779"/>
    <x v="2391"/>
    <x v="3"/>
    <x v="0"/>
  </r>
  <r>
    <n v="8524"/>
    <x v="4239"/>
    <x v="296"/>
    <d v="2018-09-25T00:00:00"/>
    <s v="Standard Class"/>
    <x v="140"/>
    <s v="Doug Bickford"/>
    <x v="0"/>
    <s v="United States"/>
    <s v="San Francisco"/>
    <x v="1"/>
    <n v="94109"/>
    <x v="1"/>
    <x v="226"/>
    <x v="1"/>
    <x v="10"/>
    <x v="227"/>
    <x v="5241"/>
    <x v="8"/>
    <x v="3"/>
  </r>
  <r>
    <n v="8525"/>
    <x v="4240"/>
    <x v="633"/>
    <d v="2018-03-16T00:00:00"/>
    <s v="Same Day"/>
    <x v="727"/>
    <s v="Susan Pistek"/>
    <x v="0"/>
    <s v="United States"/>
    <s v="Columbus"/>
    <x v="24"/>
    <n v="43229"/>
    <x v="3"/>
    <x v="995"/>
    <x v="2"/>
    <x v="7"/>
    <x v="987"/>
    <x v="5242"/>
    <x v="10"/>
    <x v="3"/>
  </r>
  <r>
    <n v="8526"/>
    <x v="4240"/>
    <x v="633"/>
    <d v="2018-03-16T00:00:00"/>
    <s v="Same Day"/>
    <x v="727"/>
    <s v="Susan Pistek"/>
    <x v="0"/>
    <s v="United States"/>
    <s v="Columbus"/>
    <x v="24"/>
    <n v="43229"/>
    <x v="3"/>
    <x v="1680"/>
    <x v="0"/>
    <x v="5"/>
    <x v="1668"/>
    <x v="5243"/>
    <x v="10"/>
    <x v="3"/>
  </r>
  <r>
    <n v="8527"/>
    <x v="4240"/>
    <x v="633"/>
    <d v="2018-03-16T00:00:00"/>
    <s v="Same Day"/>
    <x v="727"/>
    <s v="Susan Pistek"/>
    <x v="0"/>
    <s v="United States"/>
    <s v="Columbus"/>
    <x v="24"/>
    <n v="43229"/>
    <x v="3"/>
    <x v="68"/>
    <x v="1"/>
    <x v="8"/>
    <x v="68"/>
    <x v="5244"/>
    <x v="10"/>
    <x v="3"/>
  </r>
  <r>
    <n v="8528"/>
    <x v="4240"/>
    <x v="633"/>
    <d v="2018-03-16T00:00:00"/>
    <s v="Same Day"/>
    <x v="727"/>
    <s v="Susan Pistek"/>
    <x v="0"/>
    <s v="United States"/>
    <s v="Columbus"/>
    <x v="24"/>
    <n v="43229"/>
    <x v="3"/>
    <x v="409"/>
    <x v="2"/>
    <x v="11"/>
    <x v="409"/>
    <x v="1290"/>
    <x v="10"/>
    <x v="3"/>
  </r>
  <r>
    <n v="8529"/>
    <x v="4240"/>
    <x v="633"/>
    <d v="2018-03-16T00:00:00"/>
    <s v="Same Day"/>
    <x v="727"/>
    <s v="Susan Pistek"/>
    <x v="0"/>
    <s v="United States"/>
    <s v="Columbus"/>
    <x v="24"/>
    <n v="43229"/>
    <x v="3"/>
    <x v="298"/>
    <x v="1"/>
    <x v="4"/>
    <x v="298"/>
    <x v="314"/>
    <x v="10"/>
    <x v="3"/>
  </r>
  <r>
    <n v="8530"/>
    <x v="4241"/>
    <x v="468"/>
    <d v="2018-11-17T00:00:00"/>
    <s v="Standard Class"/>
    <x v="467"/>
    <s v="Maria Etezadi"/>
    <x v="2"/>
    <s v="United States"/>
    <s v="Los Angeles"/>
    <x v="1"/>
    <n v="90008"/>
    <x v="1"/>
    <x v="1318"/>
    <x v="0"/>
    <x v="1"/>
    <x v="1304"/>
    <x v="5245"/>
    <x v="0"/>
    <x v="3"/>
  </r>
  <r>
    <n v="8531"/>
    <x v="4242"/>
    <x v="885"/>
    <d v="2017-12-06T00:00:00"/>
    <s v="Standard Class"/>
    <x v="94"/>
    <s v="Bruce Stewart"/>
    <x v="0"/>
    <s v="United States"/>
    <s v="Detroit"/>
    <x v="12"/>
    <n v="48227"/>
    <x v="2"/>
    <x v="1305"/>
    <x v="1"/>
    <x v="10"/>
    <x v="1290"/>
    <x v="1707"/>
    <x v="0"/>
    <x v="0"/>
  </r>
  <r>
    <n v="8532"/>
    <x v="4242"/>
    <x v="885"/>
    <d v="2017-12-06T00:00:00"/>
    <s v="Standard Class"/>
    <x v="94"/>
    <s v="Bruce Stewart"/>
    <x v="0"/>
    <s v="United States"/>
    <s v="Detroit"/>
    <x v="12"/>
    <n v="48227"/>
    <x v="2"/>
    <x v="320"/>
    <x v="1"/>
    <x v="10"/>
    <x v="320"/>
    <x v="1273"/>
    <x v="0"/>
    <x v="0"/>
  </r>
  <r>
    <n v="8533"/>
    <x v="4242"/>
    <x v="885"/>
    <d v="2017-12-06T00:00:00"/>
    <s v="Standard Class"/>
    <x v="94"/>
    <s v="Bruce Stewart"/>
    <x v="0"/>
    <s v="United States"/>
    <s v="Detroit"/>
    <x v="12"/>
    <n v="48227"/>
    <x v="2"/>
    <x v="1043"/>
    <x v="1"/>
    <x v="4"/>
    <x v="1032"/>
    <x v="5246"/>
    <x v="0"/>
    <x v="0"/>
  </r>
  <r>
    <n v="8534"/>
    <x v="4242"/>
    <x v="885"/>
    <d v="2017-12-06T00:00:00"/>
    <s v="Standard Class"/>
    <x v="94"/>
    <s v="Bruce Stewart"/>
    <x v="0"/>
    <s v="United States"/>
    <s v="Detroit"/>
    <x v="12"/>
    <n v="48227"/>
    <x v="2"/>
    <x v="70"/>
    <x v="0"/>
    <x v="1"/>
    <x v="70"/>
    <x v="1917"/>
    <x v="0"/>
    <x v="0"/>
  </r>
  <r>
    <n v="8535"/>
    <x v="4243"/>
    <x v="1004"/>
    <d v="2016-01-15T00:00:00"/>
    <s v="Second Class"/>
    <x v="754"/>
    <s v="Karen Seio"/>
    <x v="1"/>
    <s v="United States"/>
    <s v="Columbus"/>
    <x v="32"/>
    <n v="31907"/>
    <x v="0"/>
    <x v="607"/>
    <x v="1"/>
    <x v="2"/>
    <x v="607"/>
    <x v="759"/>
    <x v="9"/>
    <x v="1"/>
  </r>
  <r>
    <n v="8536"/>
    <x v="4244"/>
    <x v="1174"/>
    <d v="2015-05-20T00:00:00"/>
    <s v="Standard Class"/>
    <x v="693"/>
    <s v="Cindy Chapman"/>
    <x v="0"/>
    <s v="United States"/>
    <s v="San Francisco"/>
    <x v="1"/>
    <n v="94122"/>
    <x v="1"/>
    <x v="1202"/>
    <x v="2"/>
    <x v="11"/>
    <x v="1187"/>
    <x v="5247"/>
    <x v="5"/>
    <x v="2"/>
  </r>
  <r>
    <n v="8537"/>
    <x v="4245"/>
    <x v="722"/>
    <d v="2016-06-11T00:00:00"/>
    <s v="Standard Class"/>
    <x v="787"/>
    <s v="Harold Dahlen"/>
    <x v="2"/>
    <s v="United States"/>
    <s v="Philadelphia"/>
    <x v="9"/>
    <n v="19143"/>
    <x v="3"/>
    <x v="785"/>
    <x v="1"/>
    <x v="8"/>
    <x v="784"/>
    <x v="4475"/>
    <x v="1"/>
    <x v="1"/>
  </r>
  <r>
    <n v="8538"/>
    <x v="4245"/>
    <x v="722"/>
    <d v="2016-06-11T00:00:00"/>
    <s v="Standard Class"/>
    <x v="787"/>
    <s v="Harold Dahlen"/>
    <x v="2"/>
    <s v="United States"/>
    <s v="Philadelphia"/>
    <x v="9"/>
    <n v="19143"/>
    <x v="3"/>
    <x v="1553"/>
    <x v="1"/>
    <x v="10"/>
    <x v="1541"/>
    <x v="233"/>
    <x v="1"/>
    <x v="1"/>
  </r>
  <r>
    <n v="8539"/>
    <x v="4245"/>
    <x v="722"/>
    <d v="2016-06-11T00:00:00"/>
    <s v="Standard Class"/>
    <x v="787"/>
    <s v="Harold Dahlen"/>
    <x v="2"/>
    <s v="United States"/>
    <s v="Philadelphia"/>
    <x v="9"/>
    <n v="19143"/>
    <x v="3"/>
    <x v="1412"/>
    <x v="1"/>
    <x v="6"/>
    <x v="1399"/>
    <x v="2204"/>
    <x v="1"/>
    <x v="1"/>
  </r>
  <r>
    <n v="8540"/>
    <x v="4246"/>
    <x v="631"/>
    <d v="2018-03-13T00:00:00"/>
    <s v="Standard Class"/>
    <x v="41"/>
    <s v="Karl Braun"/>
    <x v="0"/>
    <s v="United States"/>
    <s v="Los Angeles"/>
    <x v="1"/>
    <n v="90008"/>
    <x v="1"/>
    <x v="1327"/>
    <x v="2"/>
    <x v="16"/>
    <x v="1313"/>
    <x v="1973"/>
    <x v="10"/>
    <x v="3"/>
  </r>
  <r>
    <n v="8541"/>
    <x v="4246"/>
    <x v="631"/>
    <d v="2018-03-13T00:00:00"/>
    <s v="Standard Class"/>
    <x v="41"/>
    <s v="Karl Braun"/>
    <x v="0"/>
    <s v="United States"/>
    <s v="Los Angeles"/>
    <x v="1"/>
    <n v="90008"/>
    <x v="1"/>
    <x v="8"/>
    <x v="1"/>
    <x v="8"/>
    <x v="8"/>
    <x v="117"/>
    <x v="10"/>
    <x v="3"/>
  </r>
  <r>
    <n v="8542"/>
    <x v="4247"/>
    <x v="937"/>
    <d v="2016-12-23T00:00:00"/>
    <s v="First Class"/>
    <x v="403"/>
    <s v="Harold Ryan"/>
    <x v="1"/>
    <s v="United States"/>
    <s v="Philadelphia"/>
    <x v="9"/>
    <n v="19140"/>
    <x v="3"/>
    <x v="1222"/>
    <x v="1"/>
    <x v="4"/>
    <x v="1206"/>
    <x v="2939"/>
    <x v="4"/>
    <x v="1"/>
  </r>
  <r>
    <n v="8543"/>
    <x v="4247"/>
    <x v="937"/>
    <d v="2016-12-23T00:00:00"/>
    <s v="First Class"/>
    <x v="403"/>
    <s v="Harold Ryan"/>
    <x v="1"/>
    <s v="United States"/>
    <s v="Philadelphia"/>
    <x v="9"/>
    <n v="19140"/>
    <x v="3"/>
    <x v="866"/>
    <x v="0"/>
    <x v="1"/>
    <x v="860"/>
    <x v="5248"/>
    <x v="4"/>
    <x v="1"/>
  </r>
  <r>
    <n v="8544"/>
    <x v="4248"/>
    <x v="908"/>
    <d v="2015-08-11T00:00:00"/>
    <s v="Standard Class"/>
    <x v="577"/>
    <s v="Trudy Brown"/>
    <x v="0"/>
    <s v="United States"/>
    <s v="New York City"/>
    <x v="15"/>
    <n v="10035"/>
    <x v="3"/>
    <x v="409"/>
    <x v="2"/>
    <x v="11"/>
    <x v="409"/>
    <x v="1636"/>
    <x v="6"/>
    <x v="2"/>
  </r>
  <r>
    <n v="8545"/>
    <x v="4249"/>
    <x v="1196"/>
    <d v="2017-03-31T00:00:00"/>
    <s v="Standard Class"/>
    <x v="103"/>
    <s v="David Smith"/>
    <x v="1"/>
    <s v="United States"/>
    <s v="Columbus"/>
    <x v="32"/>
    <n v="31907"/>
    <x v="0"/>
    <x v="1653"/>
    <x v="0"/>
    <x v="5"/>
    <x v="1642"/>
    <x v="4693"/>
    <x v="10"/>
    <x v="0"/>
  </r>
  <r>
    <n v="8546"/>
    <x v="4249"/>
    <x v="1196"/>
    <d v="2017-03-31T00:00:00"/>
    <s v="Standard Class"/>
    <x v="103"/>
    <s v="David Smith"/>
    <x v="1"/>
    <s v="United States"/>
    <s v="Columbus"/>
    <x v="32"/>
    <n v="31907"/>
    <x v="0"/>
    <x v="1611"/>
    <x v="0"/>
    <x v="5"/>
    <x v="1602"/>
    <x v="3009"/>
    <x v="10"/>
    <x v="0"/>
  </r>
  <r>
    <n v="8547"/>
    <x v="4249"/>
    <x v="1196"/>
    <d v="2017-03-31T00:00:00"/>
    <s v="Standard Class"/>
    <x v="103"/>
    <s v="David Smith"/>
    <x v="1"/>
    <s v="United States"/>
    <s v="Columbus"/>
    <x v="32"/>
    <n v="31907"/>
    <x v="0"/>
    <x v="1526"/>
    <x v="1"/>
    <x v="8"/>
    <x v="1513"/>
    <x v="2867"/>
    <x v="10"/>
    <x v="0"/>
  </r>
  <r>
    <n v="8548"/>
    <x v="4250"/>
    <x v="901"/>
    <d v="2016-12-10T00:00:00"/>
    <s v="Standard Class"/>
    <x v="334"/>
    <s v="George Bell"/>
    <x v="1"/>
    <s v="United States"/>
    <s v="Los Angeles"/>
    <x v="1"/>
    <n v="90049"/>
    <x v="1"/>
    <x v="197"/>
    <x v="2"/>
    <x v="11"/>
    <x v="198"/>
    <x v="3798"/>
    <x v="4"/>
    <x v="1"/>
  </r>
  <r>
    <n v="8549"/>
    <x v="4250"/>
    <x v="901"/>
    <d v="2016-12-10T00:00:00"/>
    <s v="Standard Class"/>
    <x v="334"/>
    <s v="George Bell"/>
    <x v="1"/>
    <s v="United States"/>
    <s v="Los Angeles"/>
    <x v="1"/>
    <n v="90049"/>
    <x v="1"/>
    <x v="816"/>
    <x v="1"/>
    <x v="2"/>
    <x v="812"/>
    <x v="2336"/>
    <x v="4"/>
    <x v="1"/>
  </r>
  <r>
    <n v="8550"/>
    <x v="4251"/>
    <x v="861"/>
    <d v="2016-09-12T00:00:00"/>
    <s v="First Class"/>
    <x v="334"/>
    <s v="George Bell"/>
    <x v="1"/>
    <s v="United States"/>
    <s v="Aurora"/>
    <x v="22"/>
    <n v="80013"/>
    <x v="1"/>
    <x v="442"/>
    <x v="0"/>
    <x v="5"/>
    <x v="442"/>
    <x v="4282"/>
    <x v="8"/>
    <x v="1"/>
  </r>
  <r>
    <n v="8551"/>
    <x v="4252"/>
    <x v="789"/>
    <d v="2016-07-24T00:00:00"/>
    <s v="Standard Class"/>
    <x v="146"/>
    <s v="Victoria Brennan"/>
    <x v="1"/>
    <s v="United States"/>
    <s v="Houston"/>
    <x v="5"/>
    <n v="77041"/>
    <x v="2"/>
    <x v="1796"/>
    <x v="1"/>
    <x v="2"/>
    <x v="1786"/>
    <x v="301"/>
    <x v="7"/>
    <x v="1"/>
  </r>
  <r>
    <n v="8552"/>
    <x v="4252"/>
    <x v="789"/>
    <d v="2016-07-24T00:00:00"/>
    <s v="Standard Class"/>
    <x v="146"/>
    <s v="Victoria Brennan"/>
    <x v="1"/>
    <s v="United States"/>
    <s v="Houston"/>
    <x v="5"/>
    <n v="77041"/>
    <x v="2"/>
    <x v="485"/>
    <x v="1"/>
    <x v="13"/>
    <x v="485"/>
    <x v="5249"/>
    <x v="7"/>
    <x v="1"/>
  </r>
  <r>
    <n v="8553"/>
    <x v="4253"/>
    <x v="992"/>
    <d v="2015-06-03T00:00:00"/>
    <s v="Standard Class"/>
    <x v="466"/>
    <s v="Mark Cousins"/>
    <x v="1"/>
    <s v="United States"/>
    <s v="Chicago"/>
    <x v="10"/>
    <n v="60623"/>
    <x v="2"/>
    <x v="851"/>
    <x v="2"/>
    <x v="16"/>
    <x v="844"/>
    <x v="5250"/>
    <x v="5"/>
    <x v="2"/>
  </r>
  <r>
    <n v="8554"/>
    <x v="4254"/>
    <x v="38"/>
    <d v="2018-11-20T00:00:00"/>
    <s v="Standard Class"/>
    <x v="90"/>
    <s v="Cassandra Brandow"/>
    <x v="0"/>
    <s v="United States"/>
    <s v="Decatur"/>
    <x v="19"/>
    <n v="35601"/>
    <x v="0"/>
    <x v="701"/>
    <x v="2"/>
    <x v="11"/>
    <x v="701"/>
    <x v="5251"/>
    <x v="0"/>
    <x v="3"/>
  </r>
  <r>
    <n v="8555"/>
    <x v="4255"/>
    <x v="10"/>
    <d v="2017-12-11T00:00:00"/>
    <s v="First Class"/>
    <x v="400"/>
    <s v="Paul MacIntyre"/>
    <x v="0"/>
    <s v="United States"/>
    <s v="Springfield"/>
    <x v="17"/>
    <n v="22153"/>
    <x v="0"/>
    <x v="1000"/>
    <x v="0"/>
    <x v="3"/>
    <x v="992"/>
    <x v="2914"/>
    <x v="4"/>
    <x v="0"/>
  </r>
  <r>
    <n v="8556"/>
    <x v="4256"/>
    <x v="204"/>
    <d v="2016-03-22T00:00:00"/>
    <s v="Same Day"/>
    <x v="290"/>
    <s v="Debra Catini"/>
    <x v="0"/>
    <s v="United States"/>
    <s v="Plantation"/>
    <x v="2"/>
    <n v="33317"/>
    <x v="0"/>
    <x v="428"/>
    <x v="2"/>
    <x v="11"/>
    <x v="428"/>
    <x v="2941"/>
    <x v="10"/>
    <x v="1"/>
  </r>
  <r>
    <n v="8557"/>
    <x v="4256"/>
    <x v="204"/>
    <d v="2016-03-22T00:00:00"/>
    <s v="Same Day"/>
    <x v="290"/>
    <s v="Debra Catini"/>
    <x v="0"/>
    <s v="United States"/>
    <s v="Plantation"/>
    <x v="2"/>
    <n v="33317"/>
    <x v="0"/>
    <x v="1751"/>
    <x v="1"/>
    <x v="4"/>
    <x v="1741"/>
    <x v="5252"/>
    <x v="10"/>
    <x v="1"/>
  </r>
  <r>
    <n v="8558"/>
    <x v="4257"/>
    <x v="443"/>
    <d v="2017-12-26T00:00:00"/>
    <s v="Second Class"/>
    <x v="156"/>
    <s v="Laura Armstrong"/>
    <x v="1"/>
    <s v="United States"/>
    <s v="Houston"/>
    <x v="5"/>
    <n v="77041"/>
    <x v="2"/>
    <x v="867"/>
    <x v="2"/>
    <x v="7"/>
    <x v="861"/>
    <x v="1368"/>
    <x v="4"/>
    <x v="0"/>
  </r>
  <r>
    <n v="8559"/>
    <x v="4257"/>
    <x v="443"/>
    <d v="2017-12-26T00:00:00"/>
    <s v="Second Class"/>
    <x v="156"/>
    <s v="Laura Armstrong"/>
    <x v="1"/>
    <s v="United States"/>
    <s v="Houston"/>
    <x v="5"/>
    <n v="77041"/>
    <x v="2"/>
    <x v="1621"/>
    <x v="1"/>
    <x v="2"/>
    <x v="1612"/>
    <x v="1544"/>
    <x v="4"/>
    <x v="0"/>
  </r>
  <r>
    <n v="8560"/>
    <x v="4257"/>
    <x v="443"/>
    <d v="2017-12-26T00:00:00"/>
    <s v="Second Class"/>
    <x v="156"/>
    <s v="Laura Armstrong"/>
    <x v="1"/>
    <s v="United States"/>
    <s v="Houston"/>
    <x v="5"/>
    <n v="77041"/>
    <x v="2"/>
    <x v="1191"/>
    <x v="2"/>
    <x v="7"/>
    <x v="1176"/>
    <x v="4095"/>
    <x v="4"/>
    <x v="0"/>
  </r>
  <r>
    <n v="8561"/>
    <x v="4257"/>
    <x v="443"/>
    <d v="2017-12-26T00:00:00"/>
    <s v="Second Class"/>
    <x v="156"/>
    <s v="Laura Armstrong"/>
    <x v="1"/>
    <s v="United States"/>
    <s v="Houston"/>
    <x v="5"/>
    <n v="77041"/>
    <x v="2"/>
    <x v="1514"/>
    <x v="2"/>
    <x v="7"/>
    <x v="1501"/>
    <x v="5253"/>
    <x v="4"/>
    <x v="0"/>
  </r>
  <r>
    <n v="8562"/>
    <x v="4257"/>
    <x v="443"/>
    <d v="2017-12-26T00:00:00"/>
    <s v="Second Class"/>
    <x v="156"/>
    <s v="Laura Armstrong"/>
    <x v="1"/>
    <s v="United States"/>
    <s v="Houston"/>
    <x v="5"/>
    <n v="77041"/>
    <x v="2"/>
    <x v="396"/>
    <x v="0"/>
    <x v="5"/>
    <x v="397"/>
    <x v="990"/>
    <x v="4"/>
    <x v="0"/>
  </r>
  <r>
    <n v="8563"/>
    <x v="4258"/>
    <x v="1197"/>
    <d v="2017-04-06T00:00:00"/>
    <s v="Second Class"/>
    <x v="249"/>
    <s v="Denny Joy"/>
    <x v="1"/>
    <s v="United States"/>
    <s v="Milwaukee"/>
    <x v="6"/>
    <n v="53209"/>
    <x v="2"/>
    <x v="1003"/>
    <x v="0"/>
    <x v="1"/>
    <x v="995"/>
    <x v="5254"/>
    <x v="3"/>
    <x v="0"/>
  </r>
  <r>
    <n v="8564"/>
    <x v="4259"/>
    <x v="504"/>
    <d v="2018-05-04T00:00:00"/>
    <s v="Standard Class"/>
    <x v="414"/>
    <s v="Mick Hernandez"/>
    <x v="2"/>
    <s v="United States"/>
    <s v="Sanford"/>
    <x v="2"/>
    <n v="32771"/>
    <x v="0"/>
    <x v="973"/>
    <x v="1"/>
    <x v="8"/>
    <x v="967"/>
    <x v="4937"/>
    <x v="3"/>
    <x v="3"/>
  </r>
  <r>
    <n v="8565"/>
    <x v="4259"/>
    <x v="504"/>
    <d v="2018-05-04T00:00:00"/>
    <s v="Standard Class"/>
    <x v="414"/>
    <s v="Mick Hernandez"/>
    <x v="2"/>
    <s v="United States"/>
    <s v="Sanford"/>
    <x v="2"/>
    <n v="32771"/>
    <x v="0"/>
    <x v="1762"/>
    <x v="0"/>
    <x v="5"/>
    <x v="1751"/>
    <x v="5255"/>
    <x v="3"/>
    <x v="3"/>
  </r>
  <r>
    <n v="8566"/>
    <x v="4260"/>
    <x v="1019"/>
    <d v="2017-11-18T00:00:00"/>
    <s v="First Class"/>
    <x v="767"/>
    <s v="Barry Gonzalez"/>
    <x v="0"/>
    <s v="United States"/>
    <s v="The Colony"/>
    <x v="5"/>
    <n v="75056"/>
    <x v="2"/>
    <x v="1480"/>
    <x v="2"/>
    <x v="7"/>
    <x v="1467"/>
    <x v="3061"/>
    <x v="0"/>
    <x v="0"/>
  </r>
  <r>
    <n v="8567"/>
    <x v="4260"/>
    <x v="1019"/>
    <d v="2017-11-18T00:00:00"/>
    <s v="First Class"/>
    <x v="767"/>
    <s v="Barry Gonzalez"/>
    <x v="0"/>
    <s v="United States"/>
    <s v="The Colony"/>
    <x v="5"/>
    <n v="75056"/>
    <x v="2"/>
    <x v="1393"/>
    <x v="1"/>
    <x v="10"/>
    <x v="1379"/>
    <x v="300"/>
    <x v="0"/>
    <x v="0"/>
  </r>
  <r>
    <n v="8568"/>
    <x v="4261"/>
    <x v="338"/>
    <d v="2017-11-12T00:00:00"/>
    <s v="First Class"/>
    <x v="277"/>
    <s v="Seth Vernon"/>
    <x v="0"/>
    <s v="United States"/>
    <s v="Troy"/>
    <x v="24"/>
    <n v="45373"/>
    <x v="3"/>
    <x v="1290"/>
    <x v="1"/>
    <x v="10"/>
    <x v="1276"/>
    <x v="276"/>
    <x v="0"/>
    <x v="0"/>
  </r>
  <r>
    <n v="8569"/>
    <x v="4262"/>
    <x v="409"/>
    <d v="2017-12-12T00:00:00"/>
    <s v="Standard Class"/>
    <x v="317"/>
    <s v="Dave Poirier"/>
    <x v="1"/>
    <s v="United States"/>
    <s v="Hempstead"/>
    <x v="15"/>
    <n v="11550"/>
    <x v="3"/>
    <x v="1591"/>
    <x v="1"/>
    <x v="8"/>
    <x v="1583"/>
    <x v="5256"/>
    <x v="4"/>
    <x v="0"/>
  </r>
  <r>
    <n v="8570"/>
    <x v="4262"/>
    <x v="409"/>
    <d v="2017-12-12T00:00:00"/>
    <s v="Standard Class"/>
    <x v="317"/>
    <s v="Dave Poirier"/>
    <x v="1"/>
    <s v="United States"/>
    <s v="Hempstead"/>
    <x v="15"/>
    <n v="11550"/>
    <x v="3"/>
    <x v="94"/>
    <x v="1"/>
    <x v="8"/>
    <x v="94"/>
    <x v="5257"/>
    <x v="4"/>
    <x v="0"/>
  </r>
  <r>
    <n v="8571"/>
    <x v="4262"/>
    <x v="409"/>
    <d v="2017-12-12T00:00:00"/>
    <s v="Standard Class"/>
    <x v="317"/>
    <s v="Dave Poirier"/>
    <x v="1"/>
    <s v="United States"/>
    <s v="Hempstead"/>
    <x v="15"/>
    <n v="11550"/>
    <x v="3"/>
    <x v="851"/>
    <x v="2"/>
    <x v="16"/>
    <x v="844"/>
    <x v="1973"/>
    <x v="4"/>
    <x v="0"/>
  </r>
  <r>
    <n v="8572"/>
    <x v="4263"/>
    <x v="1015"/>
    <d v="2017-04-03T00:00:00"/>
    <s v="Same Day"/>
    <x v="256"/>
    <s v="Steven Roelle"/>
    <x v="2"/>
    <s v="United States"/>
    <s v="Dallas"/>
    <x v="5"/>
    <n v="75081"/>
    <x v="2"/>
    <x v="1117"/>
    <x v="1"/>
    <x v="10"/>
    <x v="1105"/>
    <x v="1495"/>
    <x v="3"/>
    <x v="0"/>
  </r>
  <r>
    <n v="8573"/>
    <x v="4264"/>
    <x v="683"/>
    <d v="2015-12-02T00:00:00"/>
    <s v="Standard Class"/>
    <x v="537"/>
    <s v="Brian Thompson"/>
    <x v="0"/>
    <s v="United States"/>
    <s v="Houston"/>
    <x v="5"/>
    <n v="77041"/>
    <x v="2"/>
    <x v="1093"/>
    <x v="2"/>
    <x v="15"/>
    <x v="1083"/>
    <x v="5258"/>
    <x v="0"/>
    <x v="2"/>
  </r>
  <r>
    <n v="8574"/>
    <x v="4265"/>
    <x v="1182"/>
    <d v="2016-10-22T00:00:00"/>
    <s v="First Class"/>
    <x v="474"/>
    <s v="Maxwell Schwartz"/>
    <x v="0"/>
    <s v="United States"/>
    <s v="New York City"/>
    <x v="15"/>
    <n v="10035"/>
    <x v="3"/>
    <x v="33"/>
    <x v="1"/>
    <x v="10"/>
    <x v="33"/>
    <x v="332"/>
    <x v="2"/>
    <x v="1"/>
  </r>
  <r>
    <n v="8575"/>
    <x v="4266"/>
    <x v="111"/>
    <d v="2015-09-19T00:00:00"/>
    <s v="Same Day"/>
    <x v="82"/>
    <s v="Jim Kriz"/>
    <x v="2"/>
    <s v="United States"/>
    <s v="San Francisco"/>
    <x v="1"/>
    <n v="94110"/>
    <x v="1"/>
    <x v="969"/>
    <x v="1"/>
    <x v="13"/>
    <x v="962"/>
    <x v="1962"/>
    <x v="8"/>
    <x v="2"/>
  </r>
  <r>
    <n v="8576"/>
    <x v="4267"/>
    <x v="151"/>
    <d v="2018-08-30T00:00:00"/>
    <s v="Second Class"/>
    <x v="461"/>
    <s v="Shui Tom"/>
    <x v="0"/>
    <s v="United States"/>
    <s v="Port Saint Lucie"/>
    <x v="2"/>
    <n v="34952"/>
    <x v="0"/>
    <x v="566"/>
    <x v="1"/>
    <x v="9"/>
    <x v="566"/>
    <x v="5259"/>
    <x v="6"/>
    <x v="3"/>
  </r>
  <r>
    <n v="8577"/>
    <x v="4268"/>
    <x v="445"/>
    <d v="2018-07-04T00:00:00"/>
    <s v="First Class"/>
    <x v="700"/>
    <s v="Tony Sayre"/>
    <x v="0"/>
    <s v="United States"/>
    <s v="Concord"/>
    <x v="38"/>
    <n v="3301"/>
    <x v="3"/>
    <x v="743"/>
    <x v="0"/>
    <x v="5"/>
    <x v="741"/>
    <x v="787"/>
    <x v="7"/>
    <x v="3"/>
  </r>
  <r>
    <n v="8578"/>
    <x v="4269"/>
    <x v="66"/>
    <d v="2018-12-26T00:00:00"/>
    <s v="Standard Class"/>
    <x v="496"/>
    <s v="Charlotte Melton"/>
    <x v="0"/>
    <s v="United States"/>
    <s v="Rochester"/>
    <x v="11"/>
    <n v="55901"/>
    <x v="2"/>
    <x v="335"/>
    <x v="0"/>
    <x v="3"/>
    <x v="335"/>
    <x v="5260"/>
    <x v="4"/>
    <x v="3"/>
  </r>
  <r>
    <n v="8579"/>
    <x v="4269"/>
    <x v="66"/>
    <d v="2018-12-26T00:00:00"/>
    <s v="Standard Class"/>
    <x v="496"/>
    <s v="Charlotte Melton"/>
    <x v="0"/>
    <s v="United States"/>
    <s v="Rochester"/>
    <x v="11"/>
    <n v="55901"/>
    <x v="2"/>
    <x v="230"/>
    <x v="1"/>
    <x v="4"/>
    <x v="450"/>
    <x v="5261"/>
    <x v="4"/>
    <x v="3"/>
  </r>
  <r>
    <n v="8580"/>
    <x v="4270"/>
    <x v="797"/>
    <d v="2018-01-02T00:00:00"/>
    <s v="Standard Class"/>
    <x v="527"/>
    <s v="Joni Wasserman"/>
    <x v="0"/>
    <s v="United States"/>
    <s v="Louisville"/>
    <x v="0"/>
    <n v="40214"/>
    <x v="0"/>
    <x v="1796"/>
    <x v="1"/>
    <x v="2"/>
    <x v="1786"/>
    <x v="533"/>
    <x v="4"/>
    <x v="0"/>
  </r>
  <r>
    <n v="8581"/>
    <x v="4271"/>
    <x v="671"/>
    <d v="2015-05-22T00:00:00"/>
    <s v="Second Class"/>
    <x v="565"/>
    <s v="Matt Collister"/>
    <x v="1"/>
    <s v="United States"/>
    <s v="San Marcos"/>
    <x v="5"/>
    <n v="78666"/>
    <x v="2"/>
    <x v="1781"/>
    <x v="0"/>
    <x v="5"/>
    <x v="1771"/>
    <x v="2250"/>
    <x v="5"/>
    <x v="2"/>
  </r>
  <r>
    <n v="8582"/>
    <x v="4271"/>
    <x v="671"/>
    <d v="2015-05-22T00:00:00"/>
    <s v="Second Class"/>
    <x v="565"/>
    <s v="Matt Collister"/>
    <x v="1"/>
    <s v="United States"/>
    <s v="San Marcos"/>
    <x v="5"/>
    <n v="78666"/>
    <x v="2"/>
    <x v="730"/>
    <x v="1"/>
    <x v="10"/>
    <x v="729"/>
    <x v="559"/>
    <x v="5"/>
    <x v="2"/>
  </r>
  <r>
    <n v="8583"/>
    <x v="4271"/>
    <x v="671"/>
    <d v="2015-05-22T00:00:00"/>
    <s v="Second Class"/>
    <x v="565"/>
    <s v="Matt Collister"/>
    <x v="1"/>
    <s v="United States"/>
    <s v="San Marcos"/>
    <x v="5"/>
    <n v="78666"/>
    <x v="2"/>
    <x v="1421"/>
    <x v="2"/>
    <x v="11"/>
    <x v="1409"/>
    <x v="4225"/>
    <x v="5"/>
    <x v="2"/>
  </r>
  <r>
    <n v="8584"/>
    <x v="4271"/>
    <x v="671"/>
    <d v="2015-05-22T00:00:00"/>
    <s v="Second Class"/>
    <x v="565"/>
    <s v="Matt Collister"/>
    <x v="1"/>
    <s v="United States"/>
    <s v="San Marcos"/>
    <x v="5"/>
    <n v="78666"/>
    <x v="2"/>
    <x v="1764"/>
    <x v="1"/>
    <x v="4"/>
    <x v="1753"/>
    <x v="5003"/>
    <x v="5"/>
    <x v="2"/>
  </r>
  <r>
    <n v="8585"/>
    <x v="4272"/>
    <x v="519"/>
    <d v="2015-02-08T00:00:00"/>
    <s v="Second Class"/>
    <x v="775"/>
    <s v="Mark Haberlin"/>
    <x v="1"/>
    <s v="United States"/>
    <s v="Escondido"/>
    <x v="1"/>
    <n v="92025"/>
    <x v="1"/>
    <x v="828"/>
    <x v="1"/>
    <x v="8"/>
    <x v="824"/>
    <x v="2995"/>
    <x v="11"/>
    <x v="2"/>
  </r>
  <r>
    <n v="8586"/>
    <x v="4273"/>
    <x v="34"/>
    <d v="2018-12-15T00:00:00"/>
    <s v="Standard Class"/>
    <x v="742"/>
    <s v="Roger Demir"/>
    <x v="0"/>
    <s v="United States"/>
    <s v="Philadelphia"/>
    <x v="9"/>
    <n v="19134"/>
    <x v="3"/>
    <x v="1085"/>
    <x v="1"/>
    <x v="8"/>
    <x v="1075"/>
    <x v="2186"/>
    <x v="4"/>
    <x v="3"/>
  </r>
  <r>
    <n v="8587"/>
    <x v="4274"/>
    <x v="497"/>
    <d v="2018-07-18T00:00:00"/>
    <s v="Standard Class"/>
    <x v="208"/>
    <s v="Karen Bern"/>
    <x v="1"/>
    <s v="United States"/>
    <s v="Los Angeles"/>
    <x v="1"/>
    <n v="90049"/>
    <x v="1"/>
    <x v="217"/>
    <x v="2"/>
    <x v="11"/>
    <x v="218"/>
    <x v="2632"/>
    <x v="7"/>
    <x v="3"/>
  </r>
  <r>
    <n v="8588"/>
    <x v="4274"/>
    <x v="497"/>
    <d v="2018-07-18T00:00:00"/>
    <s v="Standard Class"/>
    <x v="208"/>
    <s v="Karen Bern"/>
    <x v="1"/>
    <s v="United States"/>
    <s v="Los Angeles"/>
    <x v="1"/>
    <n v="90049"/>
    <x v="1"/>
    <x v="731"/>
    <x v="1"/>
    <x v="9"/>
    <x v="730"/>
    <x v="4479"/>
    <x v="7"/>
    <x v="3"/>
  </r>
  <r>
    <n v="8589"/>
    <x v="4275"/>
    <x v="1060"/>
    <d v="2016-05-22T00:00:00"/>
    <s v="Standard Class"/>
    <x v="712"/>
    <s v="Fred Chung"/>
    <x v="1"/>
    <s v="United States"/>
    <s v="Philadelphia"/>
    <x v="9"/>
    <n v="19140"/>
    <x v="3"/>
    <x v="571"/>
    <x v="1"/>
    <x v="4"/>
    <x v="571"/>
    <x v="3417"/>
    <x v="5"/>
    <x v="1"/>
  </r>
  <r>
    <n v="8590"/>
    <x v="4276"/>
    <x v="926"/>
    <d v="2018-02-01T00:00:00"/>
    <s v="First Class"/>
    <x v="420"/>
    <s v="Bryan Davis"/>
    <x v="0"/>
    <s v="United States"/>
    <s v="Philadelphia"/>
    <x v="9"/>
    <n v="19120"/>
    <x v="3"/>
    <x v="79"/>
    <x v="1"/>
    <x v="6"/>
    <x v="79"/>
    <x v="408"/>
    <x v="9"/>
    <x v="3"/>
  </r>
  <r>
    <n v="8591"/>
    <x v="4277"/>
    <x v="365"/>
    <d v="2018-10-01T00:00:00"/>
    <s v="First Class"/>
    <x v="92"/>
    <s v="Fred Hopkins"/>
    <x v="1"/>
    <s v="United States"/>
    <s v="Hempstead"/>
    <x v="15"/>
    <n v="11550"/>
    <x v="3"/>
    <x v="1510"/>
    <x v="1"/>
    <x v="12"/>
    <x v="1497"/>
    <x v="3277"/>
    <x v="8"/>
    <x v="3"/>
  </r>
  <r>
    <n v="8592"/>
    <x v="4278"/>
    <x v="756"/>
    <d v="2018-04-26T00:00:00"/>
    <s v="First Class"/>
    <x v="2"/>
    <s v="Sean O'Donnell"/>
    <x v="0"/>
    <s v="United States"/>
    <s v="Greeley"/>
    <x v="22"/>
    <n v="80634"/>
    <x v="1"/>
    <x v="1040"/>
    <x v="1"/>
    <x v="12"/>
    <x v="153"/>
    <x v="3917"/>
    <x v="3"/>
    <x v="3"/>
  </r>
  <r>
    <n v="8593"/>
    <x v="4278"/>
    <x v="756"/>
    <d v="2018-04-26T00:00:00"/>
    <s v="First Class"/>
    <x v="2"/>
    <s v="Sean O'Donnell"/>
    <x v="0"/>
    <s v="United States"/>
    <s v="Greeley"/>
    <x v="22"/>
    <n v="80634"/>
    <x v="1"/>
    <x v="1721"/>
    <x v="0"/>
    <x v="5"/>
    <x v="1708"/>
    <x v="5262"/>
    <x v="3"/>
    <x v="3"/>
  </r>
  <r>
    <n v="8594"/>
    <x v="4279"/>
    <x v="45"/>
    <d v="2018-11-13T00:00:00"/>
    <s v="Standard Class"/>
    <x v="327"/>
    <s v="Peter McVee"/>
    <x v="2"/>
    <s v="United States"/>
    <s v="Jacksonville"/>
    <x v="2"/>
    <n v="32216"/>
    <x v="0"/>
    <x v="428"/>
    <x v="2"/>
    <x v="11"/>
    <x v="428"/>
    <x v="1807"/>
    <x v="0"/>
    <x v="3"/>
  </r>
  <r>
    <n v="8595"/>
    <x v="4279"/>
    <x v="45"/>
    <d v="2018-11-13T00:00:00"/>
    <s v="Standard Class"/>
    <x v="327"/>
    <s v="Peter McVee"/>
    <x v="2"/>
    <s v="United States"/>
    <s v="Jacksonville"/>
    <x v="2"/>
    <n v="32216"/>
    <x v="0"/>
    <x v="1807"/>
    <x v="2"/>
    <x v="7"/>
    <x v="1797"/>
    <x v="5263"/>
    <x v="0"/>
    <x v="3"/>
  </r>
  <r>
    <n v="8596"/>
    <x v="4280"/>
    <x v="952"/>
    <d v="2015-05-07T00:00:00"/>
    <s v="First Class"/>
    <x v="241"/>
    <s v="Giulietta Dortch"/>
    <x v="1"/>
    <s v="United States"/>
    <s v="Arlington"/>
    <x v="17"/>
    <n v="22204"/>
    <x v="0"/>
    <x v="990"/>
    <x v="1"/>
    <x v="8"/>
    <x v="305"/>
    <x v="5264"/>
    <x v="5"/>
    <x v="2"/>
  </r>
  <r>
    <n v="8597"/>
    <x v="4280"/>
    <x v="952"/>
    <d v="2015-05-07T00:00:00"/>
    <s v="First Class"/>
    <x v="241"/>
    <s v="Giulietta Dortch"/>
    <x v="1"/>
    <s v="United States"/>
    <s v="Arlington"/>
    <x v="17"/>
    <n v="22204"/>
    <x v="0"/>
    <x v="258"/>
    <x v="1"/>
    <x v="10"/>
    <x v="33"/>
    <x v="131"/>
    <x v="5"/>
    <x v="2"/>
  </r>
  <r>
    <n v="8598"/>
    <x v="4281"/>
    <x v="189"/>
    <d v="2017-10-31T00:00:00"/>
    <s v="Standard Class"/>
    <x v="50"/>
    <s v="Pete Armstrong"/>
    <x v="2"/>
    <s v="United States"/>
    <s v="San Francisco"/>
    <x v="1"/>
    <n v="94122"/>
    <x v="1"/>
    <x v="1786"/>
    <x v="1"/>
    <x v="8"/>
    <x v="1776"/>
    <x v="1715"/>
    <x v="2"/>
    <x v="0"/>
  </r>
  <r>
    <n v="8599"/>
    <x v="4282"/>
    <x v="35"/>
    <d v="2015-12-01T00:00:00"/>
    <s v="Standard Class"/>
    <x v="624"/>
    <s v="Luke Schmidt"/>
    <x v="1"/>
    <s v="United States"/>
    <s v="Fresno"/>
    <x v="1"/>
    <n v="93727"/>
    <x v="1"/>
    <x v="751"/>
    <x v="1"/>
    <x v="8"/>
    <x v="749"/>
    <x v="5265"/>
    <x v="0"/>
    <x v="2"/>
  </r>
  <r>
    <n v="8600"/>
    <x v="4282"/>
    <x v="35"/>
    <d v="2015-12-01T00:00:00"/>
    <s v="Standard Class"/>
    <x v="624"/>
    <s v="Luke Schmidt"/>
    <x v="1"/>
    <s v="United States"/>
    <s v="Fresno"/>
    <x v="1"/>
    <n v="93727"/>
    <x v="1"/>
    <x v="1025"/>
    <x v="1"/>
    <x v="10"/>
    <x v="1016"/>
    <x v="1801"/>
    <x v="0"/>
    <x v="2"/>
  </r>
  <r>
    <n v="8601"/>
    <x v="4282"/>
    <x v="35"/>
    <d v="2015-12-01T00:00:00"/>
    <s v="Standard Class"/>
    <x v="624"/>
    <s v="Luke Schmidt"/>
    <x v="1"/>
    <s v="United States"/>
    <s v="Fresno"/>
    <x v="1"/>
    <n v="93727"/>
    <x v="1"/>
    <x v="1266"/>
    <x v="1"/>
    <x v="9"/>
    <x v="1250"/>
    <x v="5266"/>
    <x v="0"/>
    <x v="2"/>
  </r>
  <r>
    <n v="8602"/>
    <x v="4282"/>
    <x v="35"/>
    <d v="2015-12-01T00:00:00"/>
    <s v="Standard Class"/>
    <x v="624"/>
    <s v="Luke Schmidt"/>
    <x v="1"/>
    <s v="United States"/>
    <s v="Fresno"/>
    <x v="1"/>
    <n v="93727"/>
    <x v="1"/>
    <x v="1316"/>
    <x v="1"/>
    <x v="8"/>
    <x v="1302"/>
    <x v="1746"/>
    <x v="0"/>
    <x v="2"/>
  </r>
  <r>
    <n v="8603"/>
    <x v="4283"/>
    <x v="520"/>
    <d v="2015-12-31T00:00:00"/>
    <s v="Same Day"/>
    <x v="311"/>
    <s v="James Lanier"/>
    <x v="2"/>
    <s v="United States"/>
    <s v="Reno"/>
    <x v="33"/>
    <n v="89502"/>
    <x v="1"/>
    <x v="1495"/>
    <x v="2"/>
    <x v="7"/>
    <x v="1483"/>
    <x v="5267"/>
    <x v="4"/>
    <x v="2"/>
  </r>
  <r>
    <n v="8604"/>
    <x v="4284"/>
    <x v="835"/>
    <d v="2017-01-08T00:00:00"/>
    <s v="Standard Class"/>
    <x v="119"/>
    <s v="Christine Abelman"/>
    <x v="1"/>
    <s v="United States"/>
    <s v="San Antonio"/>
    <x v="5"/>
    <n v="78207"/>
    <x v="2"/>
    <x v="1202"/>
    <x v="2"/>
    <x v="11"/>
    <x v="1187"/>
    <x v="5268"/>
    <x v="9"/>
    <x v="0"/>
  </r>
  <r>
    <n v="8605"/>
    <x v="4284"/>
    <x v="835"/>
    <d v="2017-01-08T00:00:00"/>
    <s v="Standard Class"/>
    <x v="119"/>
    <s v="Christine Abelman"/>
    <x v="1"/>
    <s v="United States"/>
    <s v="San Antonio"/>
    <x v="5"/>
    <n v="78207"/>
    <x v="2"/>
    <x v="1615"/>
    <x v="2"/>
    <x v="11"/>
    <x v="1606"/>
    <x v="5198"/>
    <x v="9"/>
    <x v="0"/>
  </r>
  <r>
    <n v="8606"/>
    <x v="4284"/>
    <x v="835"/>
    <d v="2017-01-08T00:00:00"/>
    <s v="Standard Class"/>
    <x v="119"/>
    <s v="Christine Abelman"/>
    <x v="1"/>
    <s v="United States"/>
    <s v="San Antonio"/>
    <x v="5"/>
    <n v="78207"/>
    <x v="2"/>
    <x v="1409"/>
    <x v="2"/>
    <x v="7"/>
    <x v="1396"/>
    <x v="2131"/>
    <x v="9"/>
    <x v="0"/>
  </r>
  <r>
    <n v="8607"/>
    <x v="4285"/>
    <x v="238"/>
    <d v="2018-08-22T00:00:00"/>
    <s v="Standard Class"/>
    <x v="380"/>
    <s v="Charles McCrossin"/>
    <x v="0"/>
    <s v="United States"/>
    <s v="New Bedford"/>
    <x v="31"/>
    <n v="2740"/>
    <x v="3"/>
    <x v="567"/>
    <x v="2"/>
    <x v="11"/>
    <x v="567"/>
    <x v="5269"/>
    <x v="6"/>
    <x v="3"/>
  </r>
  <r>
    <n v="8608"/>
    <x v="4286"/>
    <x v="611"/>
    <d v="2015-06-09T00:00:00"/>
    <s v="Standard Class"/>
    <x v="590"/>
    <s v="Bobby Trafton"/>
    <x v="0"/>
    <s v="United States"/>
    <s v="New York City"/>
    <x v="15"/>
    <n v="10035"/>
    <x v="3"/>
    <x v="1146"/>
    <x v="0"/>
    <x v="5"/>
    <x v="1134"/>
    <x v="5270"/>
    <x v="1"/>
    <x v="2"/>
  </r>
  <r>
    <n v="8609"/>
    <x v="4286"/>
    <x v="611"/>
    <d v="2015-06-09T00:00:00"/>
    <s v="Standard Class"/>
    <x v="590"/>
    <s v="Bobby Trafton"/>
    <x v="0"/>
    <s v="United States"/>
    <s v="New York City"/>
    <x v="15"/>
    <n v="10035"/>
    <x v="3"/>
    <x v="1034"/>
    <x v="1"/>
    <x v="9"/>
    <x v="1025"/>
    <x v="2505"/>
    <x v="1"/>
    <x v="2"/>
  </r>
  <r>
    <n v="8610"/>
    <x v="4286"/>
    <x v="611"/>
    <d v="2015-06-09T00:00:00"/>
    <s v="Standard Class"/>
    <x v="590"/>
    <s v="Bobby Trafton"/>
    <x v="0"/>
    <s v="United States"/>
    <s v="New York City"/>
    <x v="15"/>
    <n v="10035"/>
    <x v="3"/>
    <x v="587"/>
    <x v="0"/>
    <x v="0"/>
    <x v="587"/>
    <x v="3710"/>
    <x v="1"/>
    <x v="2"/>
  </r>
  <r>
    <n v="8611"/>
    <x v="4286"/>
    <x v="611"/>
    <d v="2015-06-09T00:00:00"/>
    <s v="Standard Class"/>
    <x v="590"/>
    <s v="Bobby Trafton"/>
    <x v="0"/>
    <s v="United States"/>
    <s v="New York City"/>
    <x v="15"/>
    <n v="10035"/>
    <x v="3"/>
    <x v="770"/>
    <x v="0"/>
    <x v="5"/>
    <x v="769"/>
    <x v="540"/>
    <x v="1"/>
    <x v="2"/>
  </r>
  <r>
    <n v="8612"/>
    <x v="4287"/>
    <x v="38"/>
    <d v="2018-11-17T00:00:00"/>
    <s v="Second Class"/>
    <x v="339"/>
    <s v="Sanjit Engle"/>
    <x v="0"/>
    <s v="United States"/>
    <s v="Oxnard"/>
    <x v="1"/>
    <n v="93030"/>
    <x v="1"/>
    <x v="1350"/>
    <x v="2"/>
    <x v="11"/>
    <x v="1336"/>
    <x v="2040"/>
    <x v="0"/>
    <x v="3"/>
  </r>
  <r>
    <n v="8613"/>
    <x v="4288"/>
    <x v="1198"/>
    <d v="2017-02-01T00:00:00"/>
    <s v="Second Class"/>
    <x v="428"/>
    <s v="Henry Goldwyn"/>
    <x v="1"/>
    <s v="United States"/>
    <s v="Los Angeles"/>
    <x v="1"/>
    <n v="90036"/>
    <x v="1"/>
    <x v="397"/>
    <x v="1"/>
    <x v="6"/>
    <x v="398"/>
    <x v="1977"/>
    <x v="9"/>
    <x v="0"/>
  </r>
  <r>
    <n v="8614"/>
    <x v="4289"/>
    <x v="1199"/>
    <d v="2017-11-14T00:00:00"/>
    <s v="Standard Class"/>
    <x v="58"/>
    <s v="Philip Fox"/>
    <x v="0"/>
    <s v="United States"/>
    <s v="Oakland"/>
    <x v="1"/>
    <n v="94601"/>
    <x v="1"/>
    <x v="265"/>
    <x v="2"/>
    <x v="11"/>
    <x v="265"/>
    <x v="647"/>
    <x v="0"/>
    <x v="0"/>
  </r>
  <r>
    <n v="8615"/>
    <x v="4290"/>
    <x v="545"/>
    <d v="2017-09-14T00:00:00"/>
    <s v="Standard Class"/>
    <x v="420"/>
    <s v="Bryan Davis"/>
    <x v="0"/>
    <s v="United States"/>
    <s v="Edmonds"/>
    <x v="4"/>
    <n v="98026"/>
    <x v="1"/>
    <x v="1647"/>
    <x v="1"/>
    <x v="2"/>
    <x v="1636"/>
    <x v="1552"/>
    <x v="8"/>
    <x v="0"/>
  </r>
  <r>
    <n v="8616"/>
    <x v="4290"/>
    <x v="545"/>
    <d v="2017-09-14T00:00:00"/>
    <s v="Standard Class"/>
    <x v="420"/>
    <s v="Bryan Davis"/>
    <x v="0"/>
    <s v="United States"/>
    <s v="Edmonds"/>
    <x v="4"/>
    <n v="98026"/>
    <x v="1"/>
    <x v="990"/>
    <x v="1"/>
    <x v="8"/>
    <x v="305"/>
    <x v="5271"/>
    <x v="8"/>
    <x v="0"/>
  </r>
  <r>
    <n v="8617"/>
    <x v="4290"/>
    <x v="545"/>
    <d v="2017-09-14T00:00:00"/>
    <s v="Standard Class"/>
    <x v="420"/>
    <s v="Bryan Davis"/>
    <x v="0"/>
    <s v="United States"/>
    <s v="Edmonds"/>
    <x v="4"/>
    <n v="98026"/>
    <x v="1"/>
    <x v="839"/>
    <x v="1"/>
    <x v="10"/>
    <x v="833"/>
    <x v="2597"/>
    <x v="8"/>
    <x v="0"/>
  </r>
  <r>
    <n v="8618"/>
    <x v="4290"/>
    <x v="545"/>
    <d v="2017-09-14T00:00:00"/>
    <s v="Standard Class"/>
    <x v="420"/>
    <s v="Bryan Davis"/>
    <x v="0"/>
    <s v="United States"/>
    <s v="Edmonds"/>
    <x v="4"/>
    <n v="98026"/>
    <x v="1"/>
    <x v="729"/>
    <x v="1"/>
    <x v="8"/>
    <x v="728"/>
    <x v="5272"/>
    <x v="8"/>
    <x v="0"/>
  </r>
  <r>
    <n v="8619"/>
    <x v="4291"/>
    <x v="448"/>
    <d v="2018-03-08T00:00:00"/>
    <s v="Standard Class"/>
    <x v="387"/>
    <s v="Bill Tyler"/>
    <x v="1"/>
    <s v="United States"/>
    <s v="Los Angeles"/>
    <x v="1"/>
    <n v="90004"/>
    <x v="1"/>
    <x v="719"/>
    <x v="0"/>
    <x v="3"/>
    <x v="718"/>
    <x v="3734"/>
    <x v="10"/>
    <x v="3"/>
  </r>
  <r>
    <n v="8620"/>
    <x v="4292"/>
    <x v="565"/>
    <d v="2018-09-13T00:00:00"/>
    <s v="Second Class"/>
    <x v="313"/>
    <s v="Eudokia Martin"/>
    <x v="1"/>
    <s v="United States"/>
    <s v="New York City"/>
    <x v="15"/>
    <n v="10024"/>
    <x v="3"/>
    <x v="1569"/>
    <x v="1"/>
    <x v="4"/>
    <x v="1560"/>
    <x v="5273"/>
    <x v="8"/>
    <x v="3"/>
  </r>
  <r>
    <n v="8621"/>
    <x v="4293"/>
    <x v="44"/>
    <d v="2018-11-09T00:00:00"/>
    <s v="Second Class"/>
    <x v="702"/>
    <s v="Liz Carlisle"/>
    <x v="0"/>
    <s v="United States"/>
    <s v="Dallas"/>
    <x v="5"/>
    <n v="75217"/>
    <x v="2"/>
    <x v="677"/>
    <x v="0"/>
    <x v="5"/>
    <x v="677"/>
    <x v="2433"/>
    <x v="0"/>
    <x v="3"/>
  </r>
  <r>
    <n v="8622"/>
    <x v="4294"/>
    <x v="726"/>
    <d v="2018-05-18T00:00:00"/>
    <s v="Standard Class"/>
    <x v="395"/>
    <s v="Frank Hawley"/>
    <x v="1"/>
    <s v="United States"/>
    <s v="Franklin"/>
    <x v="18"/>
    <n v="37064"/>
    <x v="0"/>
    <x v="95"/>
    <x v="1"/>
    <x v="9"/>
    <x v="95"/>
    <x v="3721"/>
    <x v="5"/>
    <x v="3"/>
  </r>
  <r>
    <n v="8623"/>
    <x v="4295"/>
    <x v="581"/>
    <d v="2017-12-01T00:00:00"/>
    <s v="Standard Class"/>
    <x v="632"/>
    <s v="Chris McAfee"/>
    <x v="0"/>
    <s v="United States"/>
    <s v="Phoenix"/>
    <x v="16"/>
    <n v="85023"/>
    <x v="1"/>
    <x v="253"/>
    <x v="1"/>
    <x v="4"/>
    <x v="254"/>
    <x v="5274"/>
    <x v="0"/>
    <x v="0"/>
  </r>
  <r>
    <n v="8624"/>
    <x v="4296"/>
    <x v="50"/>
    <d v="2016-11-18T00:00:00"/>
    <s v="Standard Class"/>
    <x v="248"/>
    <s v="Fred McMath"/>
    <x v="0"/>
    <s v="United States"/>
    <s v="Miami"/>
    <x v="2"/>
    <n v="33178"/>
    <x v="0"/>
    <x v="1080"/>
    <x v="1"/>
    <x v="8"/>
    <x v="1070"/>
    <x v="1425"/>
    <x v="0"/>
    <x v="1"/>
  </r>
  <r>
    <n v="8625"/>
    <x v="4296"/>
    <x v="50"/>
    <d v="2016-11-18T00:00:00"/>
    <s v="Standard Class"/>
    <x v="248"/>
    <s v="Fred McMath"/>
    <x v="0"/>
    <s v="United States"/>
    <s v="Miami"/>
    <x v="2"/>
    <n v="33178"/>
    <x v="0"/>
    <x v="1130"/>
    <x v="2"/>
    <x v="11"/>
    <x v="1118"/>
    <x v="1359"/>
    <x v="0"/>
    <x v="1"/>
  </r>
  <r>
    <n v="8626"/>
    <x v="4297"/>
    <x v="575"/>
    <d v="2016-12-12T00:00:00"/>
    <s v="Standard Class"/>
    <x v="428"/>
    <s v="Henry Goldwyn"/>
    <x v="1"/>
    <s v="United States"/>
    <s v="Colorado Springs"/>
    <x v="22"/>
    <n v="80906"/>
    <x v="1"/>
    <x v="1221"/>
    <x v="1"/>
    <x v="10"/>
    <x v="1205"/>
    <x v="929"/>
    <x v="4"/>
    <x v="1"/>
  </r>
  <r>
    <n v="8627"/>
    <x v="4298"/>
    <x v="67"/>
    <d v="2016-09-12T00:00:00"/>
    <s v="Standard Class"/>
    <x v="132"/>
    <s v="Andy Gerbode"/>
    <x v="1"/>
    <s v="United States"/>
    <s v="New York City"/>
    <x v="15"/>
    <n v="10011"/>
    <x v="3"/>
    <x v="1247"/>
    <x v="1"/>
    <x v="4"/>
    <x v="1231"/>
    <x v="3702"/>
    <x v="8"/>
    <x v="1"/>
  </r>
  <r>
    <n v="8628"/>
    <x v="4298"/>
    <x v="67"/>
    <d v="2016-09-12T00:00:00"/>
    <s v="Standard Class"/>
    <x v="132"/>
    <s v="Andy Gerbode"/>
    <x v="1"/>
    <s v="United States"/>
    <s v="New York City"/>
    <x v="15"/>
    <n v="10011"/>
    <x v="3"/>
    <x v="1542"/>
    <x v="2"/>
    <x v="11"/>
    <x v="1530"/>
    <x v="2540"/>
    <x v="8"/>
    <x v="1"/>
  </r>
  <r>
    <n v="8629"/>
    <x v="4298"/>
    <x v="67"/>
    <d v="2016-09-12T00:00:00"/>
    <s v="Standard Class"/>
    <x v="132"/>
    <s v="Andy Gerbode"/>
    <x v="1"/>
    <s v="United States"/>
    <s v="New York City"/>
    <x v="15"/>
    <n v="10011"/>
    <x v="3"/>
    <x v="536"/>
    <x v="1"/>
    <x v="8"/>
    <x v="536"/>
    <x v="855"/>
    <x v="8"/>
    <x v="1"/>
  </r>
  <r>
    <n v="8630"/>
    <x v="4298"/>
    <x v="67"/>
    <d v="2016-09-12T00:00:00"/>
    <s v="Standard Class"/>
    <x v="132"/>
    <s v="Andy Gerbode"/>
    <x v="1"/>
    <s v="United States"/>
    <s v="New York City"/>
    <x v="15"/>
    <n v="10011"/>
    <x v="3"/>
    <x v="1382"/>
    <x v="0"/>
    <x v="3"/>
    <x v="1367"/>
    <x v="5275"/>
    <x v="8"/>
    <x v="1"/>
  </r>
  <r>
    <n v="8631"/>
    <x v="4298"/>
    <x v="67"/>
    <d v="2016-09-12T00:00:00"/>
    <s v="Standard Class"/>
    <x v="132"/>
    <s v="Andy Gerbode"/>
    <x v="1"/>
    <s v="United States"/>
    <s v="New York City"/>
    <x v="15"/>
    <n v="10011"/>
    <x v="3"/>
    <x v="804"/>
    <x v="1"/>
    <x v="13"/>
    <x v="802"/>
    <x v="3578"/>
    <x v="8"/>
    <x v="1"/>
  </r>
  <r>
    <n v="8632"/>
    <x v="4299"/>
    <x v="1062"/>
    <d v="2017-07-29T00:00:00"/>
    <s v="First Class"/>
    <x v="220"/>
    <s v="Olvera Toch"/>
    <x v="0"/>
    <s v="United States"/>
    <s v="Bethlehem"/>
    <x v="9"/>
    <n v="18018"/>
    <x v="3"/>
    <x v="631"/>
    <x v="0"/>
    <x v="0"/>
    <x v="631"/>
    <x v="5276"/>
    <x v="7"/>
    <x v="0"/>
  </r>
  <r>
    <n v="8633"/>
    <x v="4299"/>
    <x v="1062"/>
    <d v="2017-07-29T00:00:00"/>
    <s v="First Class"/>
    <x v="220"/>
    <s v="Olvera Toch"/>
    <x v="0"/>
    <s v="United States"/>
    <s v="Bethlehem"/>
    <x v="9"/>
    <n v="18018"/>
    <x v="3"/>
    <x v="692"/>
    <x v="1"/>
    <x v="8"/>
    <x v="692"/>
    <x v="5108"/>
    <x v="7"/>
    <x v="0"/>
  </r>
  <r>
    <n v="8634"/>
    <x v="4299"/>
    <x v="1062"/>
    <d v="2017-07-29T00:00:00"/>
    <s v="First Class"/>
    <x v="220"/>
    <s v="Olvera Toch"/>
    <x v="0"/>
    <s v="United States"/>
    <s v="Bethlehem"/>
    <x v="9"/>
    <n v="18018"/>
    <x v="3"/>
    <x v="1683"/>
    <x v="1"/>
    <x v="9"/>
    <x v="1671"/>
    <x v="5166"/>
    <x v="7"/>
    <x v="0"/>
  </r>
  <r>
    <n v="8635"/>
    <x v="4300"/>
    <x v="326"/>
    <d v="2018-08-29T00:00:00"/>
    <s v="Standard Class"/>
    <x v="277"/>
    <s v="Seth Vernon"/>
    <x v="0"/>
    <s v="United States"/>
    <s v="Philadelphia"/>
    <x v="9"/>
    <n v="19140"/>
    <x v="3"/>
    <x v="0"/>
    <x v="0"/>
    <x v="0"/>
    <x v="0"/>
    <x v="5277"/>
    <x v="6"/>
    <x v="3"/>
  </r>
  <r>
    <n v="8636"/>
    <x v="4301"/>
    <x v="1013"/>
    <d v="2015-05-02T00:00:00"/>
    <s v="First Class"/>
    <x v="594"/>
    <s v="Justin MacKendrick"/>
    <x v="0"/>
    <s v="United States"/>
    <s v="Louisville"/>
    <x v="0"/>
    <n v="40214"/>
    <x v="0"/>
    <x v="1753"/>
    <x v="1"/>
    <x v="6"/>
    <x v="1743"/>
    <x v="5130"/>
    <x v="3"/>
    <x v="2"/>
  </r>
  <r>
    <n v="8637"/>
    <x v="4301"/>
    <x v="1013"/>
    <d v="2015-05-02T00:00:00"/>
    <s v="First Class"/>
    <x v="594"/>
    <s v="Justin MacKendrick"/>
    <x v="0"/>
    <s v="United States"/>
    <s v="Louisville"/>
    <x v="0"/>
    <n v="40214"/>
    <x v="0"/>
    <x v="546"/>
    <x v="1"/>
    <x v="4"/>
    <x v="546"/>
    <x v="5278"/>
    <x v="3"/>
    <x v="2"/>
  </r>
  <r>
    <n v="8638"/>
    <x v="4302"/>
    <x v="842"/>
    <d v="2018-05-02T00:00:00"/>
    <s v="Standard Class"/>
    <x v="31"/>
    <s v="Henry MacAllister"/>
    <x v="0"/>
    <s v="United States"/>
    <s v="Seattle"/>
    <x v="4"/>
    <n v="98105"/>
    <x v="1"/>
    <x v="63"/>
    <x v="0"/>
    <x v="5"/>
    <x v="63"/>
    <x v="5279"/>
    <x v="3"/>
    <x v="3"/>
  </r>
  <r>
    <n v="8639"/>
    <x v="4303"/>
    <x v="283"/>
    <d v="2018-07-24T00:00:00"/>
    <s v="First Class"/>
    <x v="178"/>
    <s v="Philisse Overcash"/>
    <x v="2"/>
    <s v="United States"/>
    <s v="Kenosha"/>
    <x v="6"/>
    <n v="53142"/>
    <x v="2"/>
    <x v="1105"/>
    <x v="2"/>
    <x v="11"/>
    <x v="1094"/>
    <x v="4349"/>
    <x v="7"/>
    <x v="3"/>
  </r>
  <r>
    <n v="8640"/>
    <x v="4304"/>
    <x v="736"/>
    <d v="2015-12-15T00:00:00"/>
    <s v="Second Class"/>
    <x v="169"/>
    <s v="Kimberly Carter"/>
    <x v="1"/>
    <s v="United States"/>
    <s v="Henderson"/>
    <x v="0"/>
    <n v="42420"/>
    <x v="0"/>
    <x v="925"/>
    <x v="1"/>
    <x v="8"/>
    <x v="917"/>
    <x v="708"/>
    <x v="4"/>
    <x v="2"/>
  </r>
  <r>
    <n v="8641"/>
    <x v="4305"/>
    <x v="602"/>
    <d v="2018-01-16T00:00:00"/>
    <s v="Standard Class"/>
    <x v="106"/>
    <s v="David Bremer"/>
    <x v="1"/>
    <s v="United States"/>
    <s v="Dallas"/>
    <x v="5"/>
    <n v="75217"/>
    <x v="2"/>
    <x v="692"/>
    <x v="1"/>
    <x v="8"/>
    <x v="692"/>
    <x v="5280"/>
    <x v="9"/>
    <x v="3"/>
  </r>
  <r>
    <n v="8642"/>
    <x v="4306"/>
    <x v="574"/>
    <d v="2018-12-02T00:00:00"/>
    <s v="Same Day"/>
    <x v="603"/>
    <s v="Susan Vittorini"/>
    <x v="0"/>
    <s v="United States"/>
    <s v="Peoria"/>
    <x v="16"/>
    <n v="85345"/>
    <x v="1"/>
    <x v="443"/>
    <x v="1"/>
    <x v="8"/>
    <x v="443"/>
    <x v="5281"/>
    <x v="4"/>
    <x v="3"/>
  </r>
  <r>
    <n v="8643"/>
    <x v="4307"/>
    <x v="627"/>
    <d v="2016-11-15T00:00:00"/>
    <s v="Standard Class"/>
    <x v="374"/>
    <s v="Noel Staavos"/>
    <x v="1"/>
    <s v="United States"/>
    <s v="Jacksonville"/>
    <x v="3"/>
    <n v="28540"/>
    <x v="0"/>
    <x v="294"/>
    <x v="1"/>
    <x v="13"/>
    <x v="294"/>
    <x v="5077"/>
    <x v="0"/>
    <x v="1"/>
  </r>
  <r>
    <n v="8644"/>
    <x v="4307"/>
    <x v="627"/>
    <d v="2016-11-15T00:00:00"/>
    <s v="Standard Class"/>
    <x v="374"/>
    <s v="Noel Staavos"/>
    <x v="1"/>
    <s v="United States"/>
    <s v="Jacksonville"/>
    <x v="3"/>
    <n v="28540"/>
    <x v="0"/>
    <x v="1621"/>
    <x v="1"/>
    <x v="2"/>
    <x v="1612"/>
    <x v="1310"/>
    <x v="0"/>
    <x v="1"/>
  </r>
  <r>
    <n v="8645"/>
    <x v="4307"/>
    <x v="627"/>
    <d v="2016-11-15T00:00:00"/>
    <s v="Standard Class"/>
    <x v="374"/>
    <s v="Noel Staavos"/>
    <x v="1"/>
    <s v="United States"/>
    <s v="Jacksonville"/>
    <x v="3"/>
    <n v="28540"/>
    <x v="0"/>
    <x v="412"/>
    <x v="1"/>
    <x v="8"/>
    <x v="412"/>
    <x v="5282"/>
    <x v="0"/>
    <x v="1"/>
  </r>
  <r>
    <n v="8646"/>
    <x v="4307"/>
    <x v="627"/>
    <d v="2016-11-15T00:00:00"/>
    <s v="Standard Class"/>
    <x v="374"/>
    <s v="Noel Staavos"/>
    <x v="1"/>
    <s v="United States"/>
    <s v="Jacksonville"/>
    <x v="3"/>
    <n v="28540"/>
    <x v="0"/>
    <x v="325"/>
    <x v="0"/>
    <x v="5"/>
    <x v="325"/>
    <x v="5127"/>
    <x v="0"/>
    <x v="1"/>
  </r>
  <r>
    <n v="8647"/>
    <x v="4308"/>
    <x v="881"/>
    <d v="2017-11-29T00:00:00"/>
    <s v="Standard Class"/>
    <x v="708"/>
    <s v="Mark Hamilton"/>
    <x v="0"/>
    <s v="United States"/>
    <s v="Los Angeles"/>
    <x v="1"/>
    <n v="90032"/>
    <x v="1"/>
    <x v="167"/>
    <x v="0"/>
    <x v="1"/>
    <x v="168"/>
    <x v="4732"/>
    <x v="0"/>
    <x v="0"/>
  </r>
  <r>
    <n v="8648"/>
    <x v="4309"/>
    <x v="901"/>
    <d v="2016-12-08T00:00:00"/>
    <s v="First Class"/>
    <x v="645"/>
    <s v="Rick Reed"/>
    <x v="1"/>
    <s v="United States"/>
    <s v="Nashville"/>
    <x v="18"/>
    <n v="37211"/>
    <x v="0"/>
    <x v="212"/>
    <x v="0"/>
    <x v="1"/>
    <x v="213"/>
    <x v="5283"/>
    <x v="4"/>
    <x v="1"/>
  </r>
  <r>
    <n v="8649"/>
    <x v="4310"/>
    <x v="875"/>
    <d v="2017-08-03T00:00:00"/>
    <s v="Standard Class"/>
    <x v="653"/>
    <s v="Ritsa Hightower"/>
    <x v="0"/>
    <s v="United States"/>
    <s v="Charlotte"/>
    <x v="3"/>
    <n v="28205"/>
    <x v="0"/>
    <x v="718"/>
    <x v="1"/>
    <x v="4"/>
    <x v="717"/>
    <x v="3232"/>
    <x v="7"/>
    <x v="0"/>
  </r>
  <r>
    <n v="8650"/>
    <x v="4310"/>
    <x v="875"/>
    <d v="2017-08-03T00:00:00"/>
    <s v="Standard Class"/>
    <x v="653"/>
    <s v="Ritsa Hightower"/>
    <x v="0"/>
    <s v="United States"/>
    <s v="Charlotte"/>
    <x v="3"/>
    <n v="28205"/>
    <x v="0"/>
    <x v="471"/>
    <x v="1"/>
    <x v="8"/>
    <x v="472"/>
    <x v="3940"/>
    <x v="7"/>
    <x v="0"/>
  </r>
  <r>
    <n v="8651"/>
    <x v="4311"/>
    <x v="103"/>
    <d v="2015-09-13T00:00:00"/>
    <s v="Same Day"/>
    <x v="261"/>
    <s v="Resi Pölking"/>
    <x v="0"/>
    <s v="United States"/>
    <s v="Seattle"/>
    <x v="4"/>
    <n v="98103"/>
    <x v="1"/>
    <x v="1705"/>
    <x v="1"/>
    <x v="13"/>
    <x v="1694"/>
    <x v="5284"/>
    <x v="8"/>
    <x v="2"/>
  </r>
  <r>
    <n v="8652"/>
    <x v="4311"/>
    <x v="103"/>
    <d v="2015-09-13T00:00:00"/>
    <s v="Same Day"/>
    <x v="261"/>
    <s v="Resi Pölking"/>
    <x v="0"/>
    <s v="United States"/>
    <s v="Seattle"/>
    <x v="4"/>
    <n v="98103"/>
    <x v="1"/>
    <x v="283"/>
    <x v="0"/>
    <x v="5"/>
    <x v="283"/>
    <x v="5285"/>
    <x v="8"/>
    <x v="2"/>
  </r>
  <r>
    <n v="8653"/>
    <x v="4311"/>
    <x v="103"/>
    <d v="2015-09-13T00:00:00"/>
    <s v="Same Day"/>
    <x v="261"/>
    <s v="Resi Pölking"/>
    <x v="0"/>
    <s v="United States"/>
    <s v="Seattle"/>
    <x v="4"/>
    <n v="98103"/>
    <x v="1"/>
    <x v="503"/>
    <x v="1"/>
    <x v="14"/>
    <x v="503"/>
    <x v="545"/>
    <x v="8"/>
    <x v="2"/>
  </r>
  <r>
    <n v="8654"/>
    <x v="4311"/>
    <x v="103"/>
    <d v="2015-09-13T00:00:00"/>
    <s v="Same Day"/>
    <x v="261"/>
    <s v="Resi Pölking"/>
    <x v="0"/>
    <s v="United States"/>
    <s v="Seattle"/>
    <x v="4"/>
    <n v="98103"/>
    <x v="1"/>
    <x v="590"/>
    <x v="2"/>
    <x v="11"/>
    <x v="590"/>
    <x v="1636"/>
    <x v="8"/>
    <x v="2"/>
  </r>
  <r>
    <n v="8655"/>
    <x v="4311"/>
    <x v="103"/>
    <d v="2015-09-13T00:00:00"/>
    <s v="Same Day"/>
    <x v="261"/>
    <s v="Resi Pölking"/>
    <x v="0"/>
    <s v="United States"/>
    <s v="Seattle"/>
    <x v="4"/>
    <n v="98103"/>
    <x v="1"/>
    <x v="1519"/>
    <x v="2"/>
    <x v="11"/>
    <x v="1506"/>
    <x v="5286"/>
    <x v="8"/>
    <x v="2"/>
  </r>
  <r>
    <n v="8656"/>
    <x v="4311"/>
    <x v="103"/>
    <d v="2015-09-13T00:00:00"/>
    <s v="Same Day"/>
    <x v="261"/>
    <s v="Resi Pölking"/>
    <x v="0"/>
    <s v="United States"/>
    <s v="Seattle"/>
    <x v="4"/>
    <n v="98103"/>
    <x v="1"/>
    <x v="1013"/>
    <x v="2"/>
    <x v="11"/>
    <x v="1005"/>
    <x v="5287"/>
    <x v="8"/>
    <x v="2"/>
  </r>
  <r>
    <n v="8657"/>
    <x v="4311"/>
    <x v="103"/>
    <d v="2015-09-13T00:00:00"/>
    <s v="Same Day"/>
    <x v="261"/>
    <s v="Resi Pölking"/>
    <x v="0"/>
    <s v="United States"/>
    <s v="Seattle"/>
    <x v="4"/>
    <n v="98103"/>
    <x v="1"/>
    <x v="1438"/>
    <x v="1"/>
    <x v="10"/>
    <x v="1426"/>
    <x v="1529"/>
    <x v="8"/>
    <x v="2"/>
  </r>
  <r>
    <n v="8658"/>
    <x v="4311"/>
    <x v="103"/>
    <d v="2015-09-13T00:00:00"/>
    <s v="Same Day"/>
    <x v="261"/>
    <s v="Resi Pölking"/>
    <x v="0"/>
    <s v="United States"/>
    <s v="Seattle"/>
    <x v="4"/>
    <n v="98103"/>
    <x v="1"/>
    <x v="1201"/>
    <x v="1"/>
    <x v="9"/>
    <x v="1186"/>
    <x v="5288"/>
    <x v="8"/>
    <x v="2"/>
  </r>
  <r>
    <n v="8659"/>
    <x v="4312"/>
    <x v="1028"/>
    <d v="2017-06-25T00:00:00"/>
    <s v="Standard Class"/>
    <x v="33"/>
    <s v="Ken Brennan"/>
    <x v="1"/>
    <s v="United States"/>
    <s v="Chicago"/>
    <x v="10"/>
    <n v="60623"/>
    <x v="2"/>
    <x v="807"/>
    <x v="1"/>
    <x v="8"/>
    <x v="805"/>
    <x v="5289"/>
    <x v="1"/>
    <x v="0"/>
  </r>
  <r>
    <n v="8660"/>
    <x v="4313"/>
    <x v="323"/>
    <d v="2017-09-08T00:00:00"/>
    <s v="Standard Class"/>
    <x v="588"/>
    <s v="Matt Hagelstein"/>
    <x v="1"/>
    <s v="United States"/>
    <s v="Cincinnati"/>
    <x v="24"/>
    <n v="45231"/>
    <x v="3"/>
    <x v="1408"/>
    <x v="1"/>
    <x v="10"/>
    <x v="1395"/>
    <x v="2585"/>
    <x v="8"/>
    <x v="0"/>
  </r>
  <r>
    <n v="8661"/>
    <x v="4314"/>
    <x v="920"/>
    <d v="2018-11-30T00:00:00"/>
    <s v="Standard Class"/>
    <x v="521"/>
    <s v="Henia Zydlo"/>
    <x v="0"/>
    <s v="United States"/>
    <s v="Fort Lauderdale"/>
    <x v="2"/>
    <n v="33311"/>
    <x v="0"/>
    <x v="1103"/>
    <x v="0"/>
    <x v="0"/>
    <x v="1092"/>
    <x v="1906"/>
    <x v="0"/>
    <x v="3"/>
  </r>
  <r>
    <n v="8662"/>
    <x v="4315"/>
    <x v="793"/>
    <d v="2016-05-17T00:00:00"/>
    <s v="Standard Class"/>
    <x v="506"/>
    <s v="James Galang"/>
    <x v="0"/>
    <s v="United States"/>
    <s v="Houston"/>
    <x v="5"/>
    <n v="77041"/>
    <x v="2"/>
    <x v="1649"/>
    <x v="0"/>
    <x v="5"/>
    <x v="1638"/>
    <x v="5290"/>
    <x v="5"/>
    <x v="1"/>
  </r>
  <r>
    <n v="8663"/>
    <x v="4315"/>
    <x v="793"/>
    <d v="2016-05-17T00:00:00"/>
    <s v="Standard Class"/>
    <x v="506"/>
    <s v="James Galang"/>
    <x v="0"/>
    <s v="United States"/>
    <s v="Houston"/>
    <x v="5"/>
    <n v="77041"/>
    <x v="2"/>
    <x v="957"/>
    <x v="2"/>
    <x v="7"/>
    <x v="950"/>
    <x v="5291"/>
    <x v="5"/>
    <x v="1"/>
  </r>
  <r>
    <n v="8664"/>
    <x v="4315"/>
    <x v="793"/>
    <d v="2016-05-17T00:00:00"/>
    <s v="Standard Class"/>
    <x v="506"/>
    <s v="James Galang"/>
    <x v="0"/>
    <s v="United States"/>
    <s v="Houston"/>
    <x v="5"/>
    <n v="77041"/>
    <x v="2"/>
    <x v="600"/>
    <x v="1"/>
    <x v="10"/>
    <x v="600"/>
    <x v="5292"/>
    <x v="5"/>
    <x v="1"/>
  </r>
  <r>
    <n v="8665"/>
    <x v="4316"/>
    <x v="983"/>
    <d v="2018-04-01T00:00:00"/>
    <s v="Second Class"/>
    <x v="269"/>
    <s v="Alan Barnes"/>
    <x v="0"/>
    <s v="United States"/>
    <s v="Lakewood"/>
    <x v="1"/>
    <n v="90712"/>
    <x v="1"/>
    <x v="1155"/>
    <x v="0"/>
    <x v="5"/>
    <x v="1143"/>
    <x v="1983"/>
    <x v="10"/>
    <x v="3"/>
  </r>
  <r>
    <n v="8666"/>
    <x v="4317"/>
    <x v="1019"/>
    <d v="2017-11-18T00:00:00"/>
    <s v="First Class"/>
    <x v="707"/>
    <s v="Heather Jas"/>
    <x v="2"/>
    <s v="United States"/>
    <s v="San Francisco"/>
    <x v="1"/>
    <n v="94122"/>
    <x v="1"/>
    <x v="558"/>
    <x v="1"/>
    <x v="14"/>
    <x v="557"/>
    <x v="5293"/>
    <x v="0"/>
    <x v="0"/>
  </r>
  <r>
    <n v="8667"/>
    <x v="4318"/>
    <x v="945"/>
    <d v="2018-01-02T00:00:00"/>
    <s v="First Class"/>
    <x v="788"/>
    <s v="Carl Jackson"/>
    <x v="1"/>
    <s v="United States"/>
    <s v="Philadelphia"/>
    <x v="9"/>
    <n v="19140"/>
    <x v="3"/>
    <x v="1560"/>
    <x v="1"/>
    <x v="6"/>
    <x v="1550"/>
    <x v="1045"/>
    <x v="4"/>
    <x v="0"/>
  </r>
  <r>
    <n v="8668"/>
    <x v="4319"/>
    <x v="596"/>
    <d v="2017-12-24T00:00:00"/>
    <s v="Second Class"/>
    <x v="525"/>
    <s v="Emily Ducich"/>
    <x v="2"/>
    <s v="United States"/>
    <s v="Seattle"/>
    <x v="4"/>
    <n v="98115"/>
    <x v="1"/>
    <x v="153"/>
    <x v="1"/>
    <x v="8"/>
    <x v="154"/>
    <x v="2394"/>
    <x v="4"/>
    <x v="0"/>
  </r>
  <r>
    <n v="8669"/>
    <x v="4319"/>
    <x v="596"/>
    <d v="2017-12-24T00:00:00"/>
    <s v="Second Class"/>
    <x v="525"/>
    <s v="Emily Ducich"/>
    <x v="2"/>
    <s v="United States"/>
    <s v="Seattle"/>
    <x v="4"/>
    <n v="98115"/>
    <x v="1"/>
    <x v="1703"/>
    <x v="2"/>
    <x v="15"/>
    <x v="1692"/>
    <x v="1049"/>
    <x v="4"/>
    <x v="0"/>
  </r>
  <r>
    <n v="8670"/>
    <x v="4320"/>
    <x v="139"/>
    <d v="2016-12-25T00:00:00"/>
    <s v="Second Class"/>
    <x v="482"/>
    <s v="Arianne Irving"/>
    <x v="0"/>
    <s v="United States"/>
    <s v="Los Angeles"/>
    <x v="1"/>
    <n v="90036"/>
    <x v="1"/>
    <x v="1115"/>
    <x v="1"/>
    <x v="10"/>
    <x v="33"/>
    <x v="854"/>
    <x v="4"/>
    <x v="1"/>
  </r>
  <r>
    <n v="8671"/>
    <x v="4321"/>
    <x v="422"/>
    <d v="2016-01-01T00:00:00"/>
    <s v="Second Class"/>
    <x v="41"/>
    <s v="Karl Braun"/>
    <x v="0"/>
    <s v="United States"/>
    <s v="Cleveland"/>
    <x v="24"/>
    <n v="44105"/>
    <x v="3"/>
    <x v="1597"/>
    <x v="0"/>
    <x v="5"/>
    <x v="1589"/>
    <x v="5294"/>
    <x v="4"/>
    <x v="2"/>
  </r>
  <r>
    <n v="8672"/>
    <x v="4321"/>
    <x v="422"/>
    <d v="2016-01-01T00:00:00"/>
    <s v="Second Class"/>
    <x v="41"/>
    <s v="Karl Braun"/>
    <x v="0"/>
    <s v="United States"/>
    <s v="Cleveland"/>
    <x v="24"/>
    <n v="44105"/>
    <x v="3"/>
    <x v="235"/>
    <x v="1"/>
    <x v="4"/>
    <x v="236"/>
    <x v="4879"/>
    <x v="4"/>
    <x v="2"/>
  </r>
  <r>
    <n v="8673"/>
    <x v="4322"/>
    <x v="911"/>
    <d v="2018-02-21T00:00:00"/>
    <s v="Standard Class"/>
    <x v="559"/>
    <s v="Joy Smith"/>
    <x v="0"/>
    <s v="United States"/>
    <s v="Decatur"/>
    <x v="10"/>
    <n v="62521"/>
    <x v="2"/>
    <x v="271"/>
    <x v="1"/>
    <x v="13"/>
    <x v="271"/>
    <x v="5145"/>
    <x v="11"/>
    <x v="3"/>
  </r>
  <r>
    <n v="8674"/>
    <x v="4322"/>
    <x v="911"/>
    <d v="2018-02-21T00:00:00"/>
    <s v="Standard Class"/>
    <x v="559"/>
    <s v="Joy Smith"/>
    <x v="0"/>
    <s v="United States"/>
    <s v="Decatur"/>
    <x v="10"/>
    <n v="62521"/>
    <x v="2"/>
    <x v="120"/>
    <x v="0"/>
    <x v="1"/>
    <x v="120"/>
    <x v="121"/>
    <x v="11"/>
    <x v="3"/>
  </r>
  <r>
    <n v="8675"/>
    <x v="4322"/>
    <x v="911"/>
    <d v="2018-02-21T00:00:00"/>
    <s v="Standard Class"/>
    <x v="559"/>
    <s v="Joy Smith"/>
    <x v="0"/>
    <s v="United States"/>
    <s v="Decatur"/>
    <x v="10"/>
    <n v="62521"/>
    <x v="2"/>
    <x v="193"/>
    <x v="1"/>
    <x v="4"/>
    <x v="194"/>
    <x v="4338"/>
    <x v="11"/>
    <x v="3"/>
  </r>
  <r>
    <n v="8676"/>
    <x v="4322"/>
    <x v="911"/>
    <d v="2018-02-21T00:00:00"/>
    <s v="Standard Class"/>
    <x v="559"/>
    <s v="Joy Smith"/>
    <x v="0"/>
    <s v="United States"/>
    <s v="Decatur"/>
    <x v="10"/>
    <n v="62521"/>
    <x v="2"/>
    <x v="512"/>
    <x v="1"/>
    <x v="6"/>
    <x v="512"/>
    <x v="5295"/>
    <x v="11"/>
    <x v="3"/>
  </r>
  <r>
    <n v="8677"/>
    <x v="4322"/>
    <x v="911"/>
    <d v="2018-02-21T00:00:00"/>
    <s v="Standard Class"/>
    <x v="559"/>
    <s v="Joy Smith"/>
    <x v="0"/>
    <s v="United States"/>
    <s v="Decatur"/>
    <x v="10"/>
    <n v="62521"/>
    <x v="2"/>
    <x v="1006"/>
    <x v="0"/>
    <x v="5"/>
    <x v="1381"/>
    <x v="5296"/>
    <x v="11"/>
    <x v="3"/>
  </r>
  <r>
    <n v="8678"/>
    <x v="4323"/>
    <x v="1200"/>
    <d v="2018-10-26T00:00:00"/>
    <s v="First Class"/>
    <x v="138"/>
    <s v="Patrick O'Brill"/>
    <x v="0"/>
    <s v="United States"/>
    <s v="Mansfield"/>
    <x v="5"/>
    <n v="76063"/>
    <x v="2"/>
    <x v="1116"/>
    <x v="0"/>
    <x v="3"/>
    <x v="1104"/>
    <x v="5297"/>
    <x v="2"/>
    <x v="3"/>
  </r>
  <r>
    <n v="8679"/>
    <x v="4324"/>
    <x v="476"/>
    <d v="2017-09-07T00:00:00"/>
    <s v="Second Class"/>
    <x v="279"/>
    <s v="Ross DeVincentis"/>
    <x v="2"/>
    <s v="United States"/>
    <s v="Houston"/>
    <x v="5"/>
    <n v="77070"/>
    <x v="2"/>
    <x v="636"/>
    <x v="1"/>
    <x v="8"/>
    <x v="636"/>
    <x v="5298"/>
    <x v="8"/>
    <x v="0"/>
  </r>
  <r>
    <n v="8680"/>
    <x v="4324"/>
    <x v="476"/>
    <d v="2017-09-07T00:00:00"/>
    <s v="Second Class"/>
    <x v="279"/>
    <s v="Ross DeVincentis"/>
    <x v="2"/>
    <s v="United States"/>
    <s v="Houston"/>
    <x v="5"/>
    <n v="77070"/>
    <x v="2"/>
    <x v="685"/>
    <x v="2"/>
    <x v="11"/>
    <x v="685"/>
    <x v="4520"/>
    <x v="8"/>
    <x v="0"/>
  </r>
  <r>
    <n v="8681"/>
    <x v="4325"/>
    <x v="49"/>
    <d v="2017-12-03T00:00:00"/>
    <s v="Second Class"/>
    <x v="63"/>
    <s v="Jonathan Doherty"/>
    <x v="1"/>
    <s v="United States"/>
    <s v="Richmond"/>
    <x v="17"/>
    <n v="23223"/>
    <x v="0"/>
    <x v="227"/>
    <x v="1"/>
    <x v="9"/>
    <x v="228"/>
    <x v="5299"/>
    <x v="4"/>
    <x v="0"/>
  </r>
  <r>
    <n v="8682"/>
    <x v="4325"/>
    <x v="49"/>
    <d v="2017-12-03T00:00:00"/>
    <s v="Second Class"/>
    <x v="63"/>
    <s v="Jonathan Doherty"/>
    <x v="1"/>
    <s v="United States"/>
    <s v="Richmond"/>
    <x v="17"/>
    <n v="23223"/>
    <x v="0"/>
    <x v="597"/>
    <x v="1"/>
    <x v="14"/>
    <x v="597"/>
    <x v="5300"/>
    <x v="4"/>
    <x v="0"/>
  </r>
  <r>
    <n v="8683"/>
    <x v="4326"/>
    <x v="1127"/>
    <d v="2015-11-10T00:00:00"/>
    <s v="Standard Class"/>
    <x v="256"/>
    <s v="Steven Roelle"/>
    <x v="2"/>
    <s v="United States"/>
    <s v="Arlington"/>
    <x v="17"/>
    <n v="22204"/>
    <x v="0"/>
    <x v="1365"/>
    <x v="2"/>
    <x v="11"/>
    <x v="1351"/>
    <x v="3591"/>
    <x v="0"/>
    <x v="2"/>
  </r>
  <r>
    <n v="8684"/>
    <x v="4327"/>
    <x v="920"/>
    <d v="2018-12-01T00:00:00"/>
    <s v="Standard Class"/>
    <x v="356"/>
    <s v="Tracy Zic"/>
    <x v="0"/>
    <s v="United States"/>
    <s v="San Francisco"/>
    <x v="1"/>
    <n v="94122"/>
    <x v="1"/>
    <x v="679"/>
    <x v="1"/>
    <x v="6"/>
    <x v="679"/>
    <x v="782"/>
    <x v="0"/>
    <x v="3"/>
  </r>
  <r>
    <n v="8685"/>
    <x v="4328"/>
    <x v="186"/>
    <d v="2017-12-23T00:00:00"/>
    <s v="Standard Class"/>
    <x v="184"/>
    <s v="Tanja Norvell"/>
    <x v="2"/>
    <s v="United States"/>
    <s v="San Diego"/>
    <x v="1"/>
    <n v="92024"/>
    <x v="1"/>
    <x v="427"/>
    <x v="2"/>
    <x v="11"/>
    <x v="427"/>
    <x v="5301"/>
    <x v="4"/>
    <x v="0"/>
  </r>
  <r>
    <n v="8686"/>
    <x v="4329"/>
    <x v="237"/>
    <d v="2018-11-18T00:00:00"/>
    <s v="Second Class"/>
    <x v="463"/>
    <s v="Pauline Webber"/>
    <x v="1"/>
    <s v="United States"/>
    <s v="Watertown"/>
    <x v="15"/>
    <n v="13601"/>
    <x v="3"/>
    <x v="1229"/>
    <x v="1"/>
    <x v="4"/>
    <x v="1212"/>
    <x v="5302"/>
    <x v="0"/>
    <x v="3"/>
  </r>
  <r>
    <n v="8687"/>
    <x v="4330"/>
    <x v="190"/>
    <d v="2017-06-26T00:00:00"/>
    <s v="Same Day"/>
    <x v="340"/>
    <s v="Adam Hart"/>
    <x v="1"/>
    <s v="United States"/>
    <s v="Los Angeles"/>
    <x v="1"/>
    <n v="90036"/>
    <x v="1"/>
    <x v="413"/>
    <x v="1"/>
    <x v="14"/>
    <x v="413"/>
    <x v="4372"/>
    <x v="1"/>
    <x v="0"/>
  </r>
  <r>
    <n v="8688"/>
    <x v="4330"/>
    <x v="190"/>
    <d v="2017-06-26T00:00:00"/>
    <s v="Same Day"/>
    <x v="340"/>
    <s v="Adam Hart"/>
    <x v="1"/>
    <s v="United States"/>
    <s v="Los Angeles"/>
    <x v="1"/>
    <n v="90036"/>
    <x v="1"/>
    <x v="294"/>
    <x v="1"/>
    <x v="13"/>
    <x v="294"/>
    <x v="1488"/>
    <x v="1"/>
    <x v="0"/>
  </r>
  <r>
    <n v="8689"/>
    <x v="4330"/>
    <x v="190"/>
    <d v="2017-06-26T00:00:00"/>
    <s v="Same Day"/>
    <x v="340"/>
    <s v="Adam Hart"/>
    <x v="1"/>
    <s v="United States"/>
    <s v="Los Angeles"/>
    <x v="1"/>
    <n v="90036"/>
    <x v="1"/>
    <x v="910"/>
    <x v="1"/>
    <x v="10"/>
    <x v="902"/>
    <x v="1128"/>
    <x v="1"/>
    <x v="0"/>
  </r>
  <r>
    <n v="8690"/>
    <x v="4331"/>
    <x v="58"/>
    <d v="2015-12-30T00:00:00"/>
    <s v="Standard Class"/>
    <x v="672"/>
    <s v="Andy Yotov"/>
    <x v="1"/>
    <s v="United States"/>
    <s v="Philadelphia"/>
    <x v="9"/>
    <n v="19140"/>
    <x v="3"/>
    <x v="1216"/>
    <x v="1"/>
    <x v="6"/>
    <x v="1200"/>
    <x v="2204"/>
    <x v="4"/>
    <x v="2"/>
  </r>
  <r>
    <n v="8691"/>
    <x v="4332"/>
    <x v="1041"/>
    <d v="2017-08-18T00:00:00"/>
    <s v="Standard Class"/>
    <x v="70"/>
    <s v="Stephanie Phelps"/>
    <x v="1"/>
    <s v="United States"/>
    <s v="Akron"/>
    <x v="24"/>
    <n v="44312"/>
    <x v="3"/>
    <x v="1015"/>
    <x v="2"/>
    <x v="7"/>
    <x v="1006"/>
    <x v="4506"/>
    <x v="6"/>
    <x v="0"/>
  </r>
  <r>
    <n v="8692"/>
    <x v="4332"/>
    <x v="1041"/>
    <d v="2017-08-18T00:00:00"/>
    <s v="Standard Class"/>
    <x v="70"/>
    <s v="Stephanie Phelps"/>
    <x v="1"/>
    <s v="United States"/>
    <s v="Akron"/>
    <x v="24"/>
    <n v="44312"/>
    <x v="3"/>
    <x v="638"/>
    <x v="2"/>
    <x v="7"/>
    <x v="759"/>
    <x v="5303"/>
    <x v="6"/>
    <x v="0"/>
  </r>
  <r>
    <n v="8693"/>
    <x v="4332"/>
    <x v="1041"/>
    <d v="2017-08-18T00:00:00"/>
    <s v="Standard Class"/>
    <x v="70"/>
    <s v="Stephanie Phelps"/>
    <x v="1"/>
    <s v="United States"/>
    <s v="Akron"/>
    <x v="24"/>
    <n v="44312"/>
    <x v="3"/>
    <x v="1509"/>
    <x v="2"/>
    <x v="11"/>
    <x v="1496"/>
    <x v="460"/>
    <x v="6"/>
    <x v="0"/>
  </r>
  <r>
    <n v="8694"/>
    <x v="4333"/>
    <x v="1057"/>
    <d v="2017-10-28T00:00:00"/>
    <s v="Standard Class"/>
    <x v="525"/>
    <s v="Emily Ducich"/>
    <x v="2"/>
    <s v="United States"/>
    <s v="San Francisco"/>
    <x v="1"/>
    <n v="94110"/>
    <x v="1"/>
    <x v="293"/>
    <x v="2"/>
    <x v="11"/>
    <x v="293"/>
    <x v="5304"/>
    <x v="2"/>
    <x v="0"/>
  </r>
  <r>
    <n v="8695"/>
    <x v="4334"/>
    <x v="709"/>
    <d v="2015-08-28T00:00:00"/>
    <s v="Second Class"/>
    <x v="128"/>
    <s v="Corey Roper"/>
    <x v="2"/>
    <s v="United States"/>
    <s v="Grand Rapids"/>
    <x v="12"/>
    <n v="49505"/>
    <x v="2"/>
    <x v="548"/>
    <x v="1"/>
    <x v="10"/>
    <x v="548"/>
    <x v="537"/>
    <x v="6"/>
    <x v="2"/>
  </r>
  <r>
    <n v="8696"/>
    <x v="4335"/>
    <x v="175"/>
    <d v="2018-09-17T00:00:00"/>
    <s v="Second Class"/>
    <x v="37"/>
    <s v="Christopher Schild"/>
    <x v="2"/>
    <s v="United States"/>
    <s v="San Francisco"/>
    <x v="1"/>
    <n v="94109"/>
    <x v="1"/>
    <x v="215"/>
    <x v="0"/>
    <x v="3"/>
    <x v="216"/>
    <x v="1201"/>
    <x v="8"/>
    <x v="3"/>
  </r>
  <r>
    <n v="8697"/>
    <x v="4336"/>
    <x v="140"/>
    <d v="2018-06-20T00:00:00"/>
    <s v="Standard Class"/>
    <x v="131"/>
    <s v="Thomas Seio"/>
    <x v="1"/>
    <s v="United States"/>
    <s v="Nashville"/>
    <x v="18"/>
    <n v="37211"/>
    <x v="0"/>
    <x v="1278"/>
    <x v="2"/>
    <x v="7"/>
    <x v="1263"/>
    <x v="1946"/>
    <x v="1"/>
    <x v="3"/>
  </r>
  <r>
    <n v="8698"/>
    <x v="4336"/>
    <x v="140"/>
    <d v="2018-06-20T00:00:00"/>
    <s v="Standard Class"/>
    <x v="131"/>
    <s v="Thomas Seio"/>
    <x v="1"/>
    <s v="United States"/>
    <s v="Nashville"/>
    <x v="18"/>
    <n v="37211"/>
    <x v="0"/>
    <x v="221"/>
    <x v="0"/>
    <x v="5"/>
    <x v="222"/>
    <x v="5305"/>
    <x v="1"/>
    <x v="3"/>
  </r>
  <r>
    <n v="8699"/>
    <x v="4336"/>
    <x v="140"/>
    <d v="2018-06-20T00:00:00"/>
    <s v="Standard Class"/>
    <x v="131"/>
    <s v="Thomas Seio"/>
    <x v="1"/>
    <s v="United States"/>
    <s v="Nashville"/>
    <x v="18"/>
    <n v="37211"/>
    <x v="0"/>
    <x v="1529"/>
    <x v="0"/>
    <x v="3"/>
    <x v="1516"/>
    <x v="5306"/>
    <x v="1"/>
    <x v="3"/>
  </r>
  <r>
    <n v="8700"/>
    <x v="4336"/>
    <x v="140"/>
    <d v="2018-06-20T00:00:00"/>
    <s v="Standard Class"/>
    <x v="131"/>
    <s v="Thomas Seio"/>
    <x v="1"/>
    <s v="United States"/>
    <s v="Nashville"/>
    <x v="18"/>
    <n v="37211"/>
    <x v="0"/>
    <x v="754"/>
    <x v="2"/>
    <x v="7"/>
    <x v="752"/>
    <x v="5307"/>
    <x v="1"/>
    <x v="3"/>
  </r>
  <r>
    <n v="8701"/>
    <x v="4336"/>
    <x v="140"/>
    <d v="2018-06-20T00:00:00"/>
    <s v="Standard Class"/>
    <x v="131"/>
    <s v="Thomas Seio"/>
    <x v="1"/>
    <s v="United States"/>
    <s v="Nashville"/>
    <x v="18"/>
    <n v="37211"/>
    <x v="0"/>
    <x v="360"/>
    <x v="1"/>
    <x v="9"/>
    <x v="360"/>
    <x v="5308"/>
    <x v="1"/>
    <x v="3"/>
  </r>
  <r>
    <n v="8702"/>
    <x v="4336"/>
    <x v="140"/>
    <d v="2018-06-20T00:00:00"/>
    <s v="Standard Class"/>
    <x v="131"/>
    <s v="Thomas Seio"/>
    <x v="1"/>
    <s v="United States"/>
    <s v="Nashville"/>
    <x v="18"/>
    <n v="37211"/>
    <x v="0"/>
    <x v="518"/>
    <x v="1"/>
    <x v="4"/>
    <x v="518"/>
    <x v="569"/>
    <x v="1"/>
    <x v="3"/>
  </r>
  <r>
    <n v="8703"/>
    <x v="4336"/>
    <x v="140"/>
    <d v="2018-06-20T00:00:00"/>
    <s v="Standard Class"/>
    <x v="131"/>
    <s v="Thomas Seio"/>
    <x v="1"/>
    <s v="United States"/>
    <s v="Nashville"/>
    <x v="18"/>
    <n v="37211"/>
    <x v="0"/>
    <x v="1841"/>
    <x v="1"/>
    <x v="10"/>
    <x v="1829"/>
    <x v="419"/>
    <x v="1"/>
    <x v="3"/>
  </r>
  <r>
    <n v="8704"/>
    <x v="4337"/>
    <x v="879"/>
    <d v="2016-03-05T00:00:00"/>
    <s v="Standard Class"/>
    <x v="261"/>
    <s v="Resi Pölking"/>
    <x v="0"/>
    <s v="United States"/>
    <s v="Philadelphia"/>
    <x v="9"/>
    <n v="19120"/>
    <x v="3"/>
    <x v="1108"/>
    <x v="1"/>
    <x v="9"/>
    <x v="1097"/>
    <x v="1480"/>
    <x v="10"/>
    <x v="1"/>
  </r>
  <r>
    <n v="8705"/>
    <x v="4338"/>
    <x v="310"/>
    <d v="2017-07-26T00:00:00"/>
    <s v="First Class"/>
    <x v="582"/>
    <s v="Ivan Liston"/>
    <x v="0"/>
    <s v="United States"/>
    <s v="Houston"/>
    <x v="5"/>
    <n v="77041"/>
    <x v="2"/>
    <x v="1763"/>
    <x v="2"/>
    <x v="7"/>
    <x v="1752"/>
    <x v="5309"/>
    <x v="7"/>
    <x v="0"/>
  </r>
  <r>
    <n v="8706"/>
    <x v="4339"/>
    <x v="1201"/>
    <d v="2015-10-05T00:00:00"/>
    <s v="Standard Class"/>
    <x v="739"/>
    <s v="Neil Französisch"/>
    <x v="2"/>
    <s v="United States"/>
    <s v="Reno"/>
    <x v="33"/>
    <n v="89502"/>
    <x v="1"/>
    <x v="1835"/>
    <x v="1"/>
    <x v="13"/>
    <x v="1823"/>
    <x v="5310"/>
    <x v="2"/>
    <x v="2"/>
  </r>
  <r>
    <n v="8707"/>
    <x v="4340"/>
    <x v="78"/>
    <d v="2015-09-13T00:00:00"/>
    <s v="Standard Class"/>
    <x v="452"/>
    <s v="Paul Prost"/>
    <x v="2"/>
    <s v="United States"/>
    <s v="New York City"/>
    <x v="15"/>
    <n v="10009"/>
    <x v="3"/>
    <x v="992"/>
    <x v="0"/>
    <x v="1"/>
    <x v="984"/>
    <x v="3058"/>
    <x v="8"/>
    <x v="2"/>
  </r>
  <r>
    <n v="8708"/>
    <x v="4340"/>
    <x v="78"/>
    <d v="2015-09-13T00:00:00"/>
    <s v="Standard Class"/>
    <x v="452"/>
    <s v="Paul Prost"/>
    <x v="2"/>
    <s v="United States"/>
    <s v="New York City"/>
    <x v="15"/>
    <n v="10009"/>
    <x v="3"/>
    <x v="1273"/>
    <x v="1"/>
    <x v="6"/>
    <x v="1258"/>
    <x v="2799"/>
    <x v="8"/>
    <x v="2"/>
  </r>
  <r>
    <n v="8709"/>
    <x v="4341"/>
    <x v="912"/>
    <d v="2015-11-18T00:00:00"/>
    <s v="First Class"/>
    <x v="251"/>
    <s v="Justin Deggeller"/>
    <x v="1"/>
    <s v="United States"/>
    <s v="Los Angeles"/>
    <x v="1"/>
    <n v="90008"/>
    <x v="1"/>
    <x v="771"/>
    <x v="2"/>
    <x v="7"/>
    <x v="770"/>
    <x v="5311"/>
    <x v="0"/>
    <x v="2"/>
  </r>
  <r>
    <n v="8710"/>
    <x v="4341"/>
    <x v="912"/>
    <d v="2015-11-18T00:00:00"/>
    <s v="First Class"/>
    <x v="251"/>
    <s v="Justin Deggeller"/>
    <x v="1"/>
    <s v="United States"/>
    <s v="Los Angeles"/>
    <x v="1"/>
    <n v="90008"/>
    <x v="1"/>
    <x v="574"/>
    <x v="0"/>
    <x v="0"/>
    <x v="574"/>
    <x v="5312"/>
    <x v="0"/>
    <x v="2"/>
  </r>
  <r>
    <n v="8711"/>
    <x v="4341"/>
    <x v="912"/>
    <d v="2015-11-18T00:00:00"/>
    <s v="First Class"/>
    <x v="251"/>
    <s v="Justin Deggeller"/>
    <x v="1"/>
    <s v="United States"/>
    <s v="Los Angeles"/>
    <x v="1"/>
    <n v="90008"/>
    <x v="1"/>
    <x v="156"/>
    <x v="1"/>
    <x v="4"/>
    <x v="157"/>
    <x v="3129"/>
    <x v="0"/>
    <x v="2"/>
  </r>
  <r>
    <n v="8712"/>
    <x v="4342"/>
    <x v="223"/>
    <d v="2015-03-07T00:00:00"/>
    <s v="Standard Class"/>
    <x v="412"/>
    <s v="Eva Jacobs"/>
    <x v="0"/>
    <s v="United States"/>
    <s v="San Diego"/>
    <x v="1"/>
    <n v="92037"/>
    <x v="1"/>
    <x v="971"/>
    <x v="0"/>
    <x v="3"/>
    <x v="965"/>
    <x v="188"/>
    <x v="10"/>
    <x v="2"/>
  </r>
  <r>
    <n v="8713"/>
    <x v="4343"/>
    <x v="155"/>
    <d v="2016-12-07T00:00:00"/>
    <s v="Standard Class"/>
    <x v="617"/>
    <s v="Pierre Wener"/>
    <x v="0"/>
    <s v="United States"/>
    <s v="San Francisco"/>
    <x v="1"/>
    <n v="94110"/>
    <x v="1"/>
    <x v="1248"/>
    <x v="0"/>
    <x v="0"/>
    <x v="1334"/>
    <x v="3638"/>
    <x v="4"/>
    <x v="1"/>
  </r>
  <r>
    <n v="8714"/>
    <x v="4344"/>
    <x v="497"/>
    <d v="2018-07-16T00:00:00"/>
    <s v="Standard Class"/>
    <x v="747"/>
    <s v="Tom Stivers"/>
    <x v="1"/>
    <s v="United States"/>
    <s v="San Diego"/>
    <x v="1"/>
    <n v="92105"/>
    <x v="1"/>
    <x v="611"/>
    <x v="2"/>
    <x v="7"/>
    <x v="611"/>
    <x v="5313"/>
    <x v="7"/>
    <x v="3"/>
  </r>
  <r>
    <n v="8715"/>
    <x v="4344"/>
    <x v="497"/>
    <d v="2018-07-16T00:00:00"/>
    <s v="Standard Class"/>
    <x v="747"/>
    <s v="Tom Stivers"/>
    <x v="1"/>
    <s v="United States"/>
    <s v="San Diego"/>
    <x v="1"/>
    <n v="92105"/>
    <x v="1"/>
    <x v="985"/>
    <x v="1"/>
    <x v="8"/>
    <x v="978"/>
    <x v="1263"/>
    <x v="7"/>
    <x v="3"/>
  </r>
  <r>
    <n v="8716"/>
    <x v="4345"/>
    <x v="673"/>
    <d v="2018-11-20T00:00:00"/>
    <s v="Second Class"/>
    <x v="312"/>
    <s v="Brian Moss"/>
    <x v="1"/>
    <s v="United States"/>
    <s v="Elyria"/>
    <x v="24"/>
    <n v="44035"/>
    <x v="3"/>
    <x v="525"/>
    <x v="1"/>
    <x v="8"/>
    <x v="525"/>
    <x v="3515"/>
    <x v="0"/>
    <x v="3"/>
  </r>
  <r>
    <n v="8717"/>
    <x v="4346"/>
    <x v="1"/>
    <d v="2017-06-16T00:00:00"/>
    <s v="Second Class"/>
    <x v="585"/>
    <s v="Arthur Wiediger"/>
    <x v="2"/>
    <s v="United States"/>
    <s v="Houston"/>
    <x v="5"/>
    <n v="77070"/>
    <x v="2"/>
    <x v="1429"/>
    <x v="1"/>
    <x v="9"/>
    <x v="1417"/>
    <x v="5183"/>
    <x v="1"/>
    <x v="0"/>
  </r>
  <r>
    <n v="8718"/>
    <x v="4346"/>
    <x v="1"/>
    <d v="2017-06-16T00:00:00"/>
    <s v="Second Class"/>
    <x v="585"/>
    <s v="Arthur Wiediger"/>
    <x v="2"/>
    <s v="United States"/>
    <s v="Houston"/>
    <x v="5"/>
    <n v="77070"/>
    <x v="2"/>
    <x v="698"/>
    <x v="0"/>
    <x v="5"/>
    <x v="698"/>
    <x v="1882"/>
    <x v="1"/>
    <x v="0"/>
  </r>
  <r>
    <n v="8719"/>
    <x v="4346"/>
    <x v="1"/>
    <d v="2017-06-16T00:00:00"/>
    <s v="Second Class"/>
    <x v="585"/>
    <s v="Arthur Wiediger"/>
    <x v="2"/>
    <s v="United States"/>
    <s v="Houston"/>
    <x v="5"/>
    <n v="77070"/>
    <x v="2"/>
    <x v="1273"/>
    <x v="1"/>
    <x v="6"/>
    <x v="1258"/>
    <x v="2387"/>
    <x v="1"/>
    <x v="0"/>
  </r>
  <r>
    <n v="8720"/>
    <x v="4346"/>
    <x v="1"/>
    <d v="2017-06-16T00:00:00"/>
    <s v="Second Class"/>
    <x v="585"/>
    <s v="Arthur Wiediger"/>
    <x v="2"/>
    <s v="United States"/>
    <s v="Houston"/>
    <x v="5"/>
    <n v="77070"/>
    <x v="2"/>
    <x v="1641"/>
    <x v="1"/>
    <x v="10"/>
    <x v="1631"/>
    <x v="12"/>
    <x v="1"/>
    <x v="0"/>
  </r>
  <r>
    <n v="8721"/>
    <x v="4346"/>
    <x v="1"/>
    <d v="2017-06-16T00:00:00"/>
    <s v="Second Class"/>
    <x v="585"/>
    <s v="Arthur Wiediger"/>
    <x v="2"/>
    <s v="United States"/>
    <s v="Houston"/>
    <x v="5"/>
    <n v="77070"/>
    <x v="2"/>
    <x v="1631"/>
    <x v="0"/>
    <x v="1"/>
    <x v="1621"/>
    <x v="5314"/>
    <x v="1"/>
    <x v="0"/>
  </r>
  <r>
    <n v="8722"/>
    <x v="4346"/>
    <x v="1"/>
    <d v="2017-06-16T00:00:00"/>
    <s v="Second Class"/>
    <x v="585"/>
    <s v="Arthur Wiediger"/>
    <x v="2"/>
    <s v="United States"/>
    <s v="Houston"/>
    <x v="5"/>
    <n v="77070"/>
    <x v="2"/>
    <x v="1190"/>
    <x v="1"/>
    <x v="4"/>
    <x v="683"/>
    <x v="5315"/>
    <x v="1"/>
    <x v="0"/>
  </r>
  <r>
    <n v="8723"/>
    <x v="4346"/>
    <x v="1"/>
    <d v="2017-06-16T00:00:00"/>
    <s v="Second Class"/>
    <x v="585"/>
    <s v="Arthur Wiediger"/>
    <x v="2"/>
    <s v="United States"/>
    <s v="Houston"/>
    <x v="5"/>
    <n v="77070"/>
    <x v="2"/>
    <x v="31"/>
    <x v="1"/>
    <x v="8"/>
    <x v="31"/>
    <x v="5316"/>
    <x v="1"/>
    <x v="0"/>
  </r>
  <r>
    <n v="8724"/>
    <x v="4347"/>
    <x v="723"/>
    <d v="2017-12-31T00:00:00"/>
    <s v="Second Class"/>
    <x v="762"/>
    <s v="Marc Harrigan"/>
    <x v="2"/>
    <s v="United States"/>
    <s v="Miami"/>
    <x v="2"/>
    <n v="33178"/>
    <x v="0"/>
    <x v="481"/>
    <x v="1"/>
    <x v="10"/>
    <x v="482"/>
    <x v="5317"/>
    <x v="4"/>
    <x v="0"/>
  </r>
  <r>
    <n v="8725"/>
    <x v="4347"/>
    <x v="723"/>
    <d v="2017-12-31T00:00:00"/>
    <s v="Second Class"/>
    <x v="762"/>
    <s v="Marc Harrigan"/>
    <x v="2"/>
    <s v="United States"/>
    <s v="Miami"/>
    <x v="2"/>
    <n v="33178"/>
    <x v="0"/>
    <x v="1714"/>
    <x v="1"/>
    <x v="10"/>
    <x v="1701"/>
    <x v="863"/>
    <x v="4"/>
    <x v="0"/>
  </r>
  <r>
    <n v="8726"/>
    <x v="4348"/>
    <x v="257"/>
    <d v="2018-03-23T00:00:00"/>
    <s v="Standard Class"/>
    <x v="349"/>
    <s v="Scott Williamson"/>
    <x v="0"/>
    <s v="United States"/>
    <s v="Seattle"/>
    <x v="4"/>
    <n v="98115"/>
    <x v="1"/>
    <x v="684"/>
    <x v="1"/>
    <x v="6"/>
    <x v="684"/>
    <x v="843"/>
    <x v="10"/>
    <x v="3"/>
  </r>
  <r>
    <n v="8727"/>
    <x v="4349"/>
    <x v="17"/>
    <d v="2016-12-31T00:00:00"/>
    <s v="Standard Class"/>
    <x v="133"/>
    <s v="Sung Pak"/>
    <x v="1"/>
    <s v="United States"/>
    <s v="Murfreesboro"/>
    <x v="18"/>
    <n v="37130"/>
    <x v="0"/>
    <x v="1837"/>
    <x v="2"/>
    <x v="11"/>
    <x v="1825"/>
    <x v="5318"/>
    <x v="4"/>
    <x v="1"/>
  </r>
  <r>
    <n v="8728"/>
    <x v="4349"/>
    <x v="17"/>
    <d v="2016-12-31T00:00:00"/>
    <s v="Standard Class"/>
    <x v="133"/>
    <s v="Sung Pak"/>
    <x v="1"/>
    <s v="United States"/>
    <s v="Murfreesboro"/>
    <x v="18"/>
    <n v="37130"/>
    <x v="0"/>
    <x v="1834"/>
    <x v="0"/>
    <x v="5"/>
    <x v="1822"/>
    <x v="5319"/>
    <x v="4"/>
    <x v="1"/>
  </r>
  <r>
    <n v="8729"/>
    <x v="4349"/>
    <x v="17"/>
    <d v="2016-12-31T00:00:00"/>
    <s v="Standard Class"/>
    <x v="133"/>
    <s v="Sung Pak"/>
    <x v="1"/>
    <s v="United States"/>
    <s v="Murfreesboro"/>
    <x v="18"/>
    <n v="37130"/>
    <x v="0"/>
    <x v="1632"/>
    <x v="0"/>
    <x v="0"/>
    <x v="1622"/>
    <x v="5320"/>
    <x v="4"/>
    <x v="1"/>
  </r>
  <r>
    <n v="8730"/>
    <x v="4349"/>
    <x v="17"/>
    <d v="2016-12-31T00:00:00"/>
    <s v="Standard Class"/>
    <x v="133"/>
    <s v="Sung Pak"/>
    <x v="1"/>
    <s v="United States"/>
    <s v="Murfreesboro"/>
    <x v="18"/>
    <n v="37130"/>
    <x v="0"/>
    <x v="1190"/>
    <x v="1"/>
    <x v="4"/>
    <x v="683"/>
    <x v="2688"/>
    <x v="4"/>
    <x v="1"/>
  </r>
  <r>
    <n v="8731"/>
    <x v="4349"/>
    <x v="17"/>
    <d v="2016-12-31T00:00:00"/>
    <s v="Standard Class"/>
    <x v="133"/>
    <s v="Sung Pak"/>
    <x v="1"/>
    <s v="United States"/>
    <s v="Murfreesboro"/>
    <x v="18"/>
    <n v="37130"/>
    <x v="0"/>
    <x v="1421"/>
    <x v="2"/>
    <x v="11"/>
    <x v="1409"/>
    <x v="3063"/>
    <x v="4"/>
    <x v="1"/>
  </r>
  <r>
    <n v="8732"/>
    <x v="4350"/>
    <x v="374"/>
    <d v="2016-08-06T00:00:00"/>
    <s v="Standard Class"/>
    <x v="281"/>
    <s v="Steve Chapman"/>
    <x v="1"/>
    <s v="United States"/>
    <s v="Saint Louis"/>
    <x v="25"/>
    <n v="63116"/>
    <x v="2"/>
    <x v="354"/>
    <x v="1"/>
    <x v="14"/>
    <x v="354"/>
    <x v="5321"/>
    <x v="7"/>
    <x v="1"/>
  </r>
  <r>
    <n v="8733"/>
    <x v="4351"/>
    <x v="818"/>
    <d v="2018-06-29T00:00:00"/>
    <s v="Second Class"/>
    <x v="463"/>
    <s v="Pauline Webber"/>
    <x v="1"/>
    <s v="United States"/>
    <s v="Seattle"/>
    <x v="4"/>
    <n v="98105"/>
    <x v="1"/>
    <x v="1465"/>
    <x v="1"/>
    <x v="10"/>
    <x v="1451"/>
    <x v="537"/>
    <x v="1"/>
    <x v="3"/>
  </r>
  <r>
    <n v="8734"/>
    <x v="4351"/>
    <x v="818"/>
    <d v="2018-06-29T00:00:00"/>
    <s v="Second Class"/>
    <x v="463"/>
    <s v="Pauline Webber"/>
    <x v="1"/>
    <s v="United States"/>
    <s v="Seattle"/>
    <x v="4"/>
    <n v="98105"/>
    <x v="1"/>
    <x v="451"/>
    <x v="0"/>
    <x v="5"/>
    <x v="452"/>
    <x v="483"/>
    <x v="1"/>
    <x v="3"/>
  </r>
  <r>
    <n v="8735"/>
    <x v="4351"/>
    <x v="818"/>
    <d v="2018-06-29T00:00:00"/>
    <s v="Second Class"/>
    <x v="463"/>
    <s v="Pauline Webber"/>
    <x v="1"/>
    <s v="United States"/>
    <s v="Seattle"/>
    <x v="4"/>
    <n v="98105"/>
    <x v="1"/>
    <x v="217"/>
    <x v="2"/>
    <x v="11"/>
    <x v="218"/>
    <x v="2632"/>
    <x v="1"/>
    <x v="3"/>
  </r>
  <r>
    <n v="8736"/>
    <x v="4352"/>
    <x v="315"/>
    <d v="2015-02-10T00:00:00"/>
    <s v="Second Class"/>
    <x v="294"/>
    <s v="Chris Selesnick"/>
    <x v="1"/>
    <s v="United States"/>
    <s v="New York City"/>
    <x v="15"/>
    <n v="10024"/>
    <x v="3"/>
    <x v="720"/>
    <x v="1"/>
    <x v="4"/>
    <x v="719"/>
    <x v="643"/>
    <x v="11"/>
    <x v="2"/>
  </r>
  <r>
    <n v="8737"/>
    <x v="4353"/>
    <x v="913"/>
    <d v="2017-09-09T00:00:00"/>
    <s v="Standard Class"/>
    <x v="532"/>
    <s v="Roy Phan"/>
    <x v="1"/>
    <s v="United States"/>
    <s v="Woodbury"/>
    <x v="11"/>
    <n v="55125"/>
    <x v="2"/>
    <x v="518"/>
    <x v="1"/>
    <x v="4"/>
    <x v="518"/>
    <x v="3370"/>
    <x v="8"/>
    <x v="0"/>
  </r>
  <r>
    <n v="8738"/>
    <x v="4354"/>
    <x v="1191"/>
    <d v="2018-04-10T00:00:00"/>
    <s v="Standard Class"/>
    <x v="728"/>
    <s v="Charles Sheldon"/>
    <x v="1"/>
    <s v="United States"/>
    <s v="Chattanooga"/>
    <x v="18"/>
    <n v="37421"/>
    <x v="0"/>
    <x v="806"/>
    <x v="1"/>
    <x v="8"/>
    <x v="804"/>
    <x v="5322"/>
    <x v="3"/>
    <x v="3"/>
  </r>
  <r>
    <n v="8739"/>
    <x v="4355"/>
    <x v="166"/>
    <d v="2018-12-11T00:00:00"/>
    <s v="First Class"/>
    <x v="77"/>
    <s v="Max Jones"/>
    <x v="0"/>
    <s v="United States"/>
    <s v="Philadelphia"/>
    <x v="9"/>
    <n v="19140"/>
    <x v="3"/>
    <x v="154"/>
    <x v="1"/>
    <x v="6"/>
    <x v="155"/>
    <x v="2113"/>
    <x v="4"/>
    <x v="3"/>
  </r>
  <r>
    <n v="8740"/>
    <x v="4355"/>
    <x v="166"/>
    <d v="2018-12-11T00:00:00"/>
    <s v="First Class"/>
    <x v="77"/>
    <s v="Max Jones"/>
    <x v="0"/>
    <s v="United States"/>
    <s v="Philadelphia"/>
    <x v="9"/>
    <n v="19140"/>
    <x v="3"/>
    <x v="431"/>
    <x v="2"/>
    <x v="7"/>
    <x v="431"/>
    <x v="5323"/>
    <x v="4"/>
    <x v="3"/>
  </r>
  <r>
    <n v="8741"/>
    <x v="4356"/>
    <x v="1131"/>
    <d v="2017-07-25T00:00:00"/>
    <s v="First Class"/>
    <x v="506"/>
    <s v="James Galang"/>
    <x v="0"/>
    <s v="United States"/>
    <s v="Lafayette"/>
    <x v="28"/>
    <n v="70506"/>
    <x v="0"/>
    <x v="1064"/>
    <x v="1"/>
    <x v="6"/>
    <x v="1053"/>
    <x v="1393"/>
    <x v="7"/>
    <x v="0"/>
  </r>
  <r>
    <n v="8742"/>
    <x v="4357"/>
    <x v="529"/>
    <d v="2016-11-09T00:00:00"/>
    <s v="Same Day"/>
    <x v="326"/>
    <s v="Anthony Garverick"/>
    <x v="2"/>
    <s v="United States"/>
    <s v="Lawrence"/>
    <x v="14"/>
    <n v="46226"/>
    <x v="2"/>
    <x v="175"/>
    <x v="1"/>
    <x v="8"/>
    <x v="176"/>
    <x v="627"/>
    <x v="0"/>
    <x v="1"/>
  </r>
  <r>
    <n v="8743"/>
    <x v="4358"/>
    <x v="653"/>
    <d v="2016-10-04T00:00:00"/>
    <s v="First Class"/>
    <x v="237"/>
    <s v="Chloris Kastensmidt"/>
    <x v="0"/>
    <s v="United States"/>
    <s v="Hillsboro"/>
    <x v="21"/>
    <n v="97123"/>
    <x v="1"/>
    <x v="93"/>
    <x v="0"/>
    <x v="5"/>
    <x v="93"/>
    <x v="5324"/>
    <x v="2"/>
    <x v="1"/>
  </r>
  <r>
    <n v="8744"/>
    <x v="4358"/>
    <x v="653"/>
    <d v="2016-10-04T00:00:00"/>
    <s v="First Class"/>
    <x v="237"/>
    <s v="Chloris Kastensmidt"/>
    <x v="0"/>
    <s v="United States"/>
    <s v="Hillsboro"/>
    <x v="21"/>
    <n v="97123"/>
    <x v="1"/>
    <x v="176"/>
    <x v="2"/>
    <x v="11"/>
    <x v="177"/>
    <x v="3891"/>
    <x v="2"/>
    <x v="1"/>
  </r>
  <r>
    <n v="8745"/>
    <x v="4359"/>
    <x v="6"/>
    <d v="2016-11-25T00:00:00"/>
    <s v="Second Class"/>
    <x v="787"/>
    <s v="Harold Dahlen"/>
    <x v="2"/>
    <s v="United States"/>
    <s v="Cambridge"/>
    <x v="31"/>
    <n v="2138"/>
    <x v="3"/>
    <x v="18"/>
    <x v="1"/>
    <x v="6"/>
    <x v="18"/>
    <x v="854"/>
    <x v="0"/>
    <x v="1"/>
  </r>
  <r>
    <n v="8746"/>
    <x v="4359"/>
    <x v="6"/>
    <d v="2016-11-25T00:00:00"/>
    <s v="Second Class"/>
    <x v="787"/>
    <s v="Harold Dahlen"/>
    <x v="2"/>
    <s v="United States"/>
    <s v="Cambridge"/>
    <x v="31"/>
    <n v="2138"/>
    <x v="3"/>
    <x v="1785"/>
    <x v="1"/>
    <x v="10"/>
    <x v="1775"/>
    <x v="725"/>
    <x v="0"/>
    <x v="1"/>
  </r>
  <r>
    <n v="8747"/>
    <x v="4360"/>
    <x v="62"/>
    <d v="2018-02-07T00:00:00"/>
    <s v="Standard Class"/>
    <x v="635"/>
    <s v="Bill Overfelt"/>
    <x v="1"/>
    <s v="United States"/>
    <s v="San Diego"/>
    <x v="1"/>
    <n v="92105"/>
    <x v="1"/>
    <x v="793"/>
    <x v="0"/>
    <x v="5"/>
    <x v="791"/>
    <x v="5325"/>
    <x v="11"/>
    <x v="3"/>
  </r>
  <r>
    <n v="8748"/>
    <x v="4360"/>
    <x v="62"/>
    <d v="2018-02-07T00:00:00"/>
    <s v="Standard Class"/>
    <x v="635"/>
    <s v="Bill Overfelt"/>
    <x v="1"/>
    <s v="United States"/>
    <s v="San Diego"/>
    <x v="1"/>
    <n v="92105"/>
    <x v="1"/>
    <x v="612"/>
    <x v="1"/>
    <x v="8"/>
    <x v="612"/>
    <x v="2585"/>
    <x v="11"/>
    <x v="3"/>
  </r>
  <r>
    <n v="8749"/>
    <x v="4360"/>
    <x v="62"/>
    <d v="2018-02-07T00:00:00"/>
    <s v="Standard Class"/>
    <x v="635"/>
    <s v="Bill Overfelt"/>
    <x v="1"/>
    <s v="United States"/>
    <s v="San Diego"/>
    <x v="1"/>
    <n v="92105"/>
    <x v="1"/>
    <x v="1748"/>
    <x v="2"/>
    <x v="15"/>
    <x v="1738"/>
    <x v="2507"/>
    <x v="11"/>
    <x v="3"/>
  </r>
  <r>
    <n v="8750"/>
    <x v="4361"/>
    <x v="382"/>
    <d v="2016-06-19T00:00:00"/>
    <s v="First Class"/>
    <x v="62"/>
    <s v="Lena Creighton"/>
    <x v="0"/>
    <s v="United States"/>
    <s v="New York City"/>
    <x v="15"/>
    <n v="10009"/>
    <x v="3"/>
    <x v="450"/>
    <x v="1"/>
    <x v="8"/>
    <x v="451"/>
    <x v="5326"/>
    <x v="1"/>
    <x v="1"/>
  </r>
  <r>
    <n v="8751"/>
    <x v="4361"/>
    <x v="382"/>
    <d v="2016-06-19T00:00:00"/>
    <s v="First Class"/>
    <x v="62"/>
    <s v="Lena Creighton"/>
    <x v="0"/>
    <s v="United States"/>
    <s v="New York City"/>
    <x v="15"/>
    <n v="10009"/>
    <x v="3"/>
    <x v="1086"/>
    <x v="2"/>
    <x v="7"/>
    <x v="1076"/>
    <x v="5327"/>
    <x v="1"/>
    <x v="1"/>
  </r>
  <r>
    <n v="8752"/>
    <x v="4362"/>
    <x v="465"/>
    <d v="2017-05-09T00:00:00"/>
    <s v="Standard Class"/>
    <x v="46"/>
    <s v="Rick Bensley"/>
    <x v="2"/>
    <s v="United States"/>
    <s v="Tallahassee"/>
    <x v="2"/>
    <n v="32303"/>
    <x v="0"/>
    <x v="1842"/>
    <x v="1"/>
    <x v="10"/>
    <x v="1830"/>
    <x v="5328"/>
    <x v="5"/>
    <x v="0"/>
  </r>
  <r>
    <n v="8753"/>
    <x v="4362"/>
    <x v="465"/>
    <d v="2017-05-09T00:00:00"/>
    <s v="Standard Class"/>
    <x v="46"/>
    <s v="Rick Bensley"/>
    <x v="2"/>
    <s v="United States"/>
    <s v="Tallahassee"/>
    <x v="2"/>
    <n v="32303"/>
    <x v="0"/>
    <x v="1192"/>
    <x v="2"/>
    <x v="7"/>
    <x v="1177"/>
    <x v="1637"/>
    <x v="5"/>
    <x v="0"/>
  </r>
  <r>
    <n v="8754"/>
    <x v="4363"/>
    <x v="428"/>
    <d v="2018-09-10T00:00:00"/>
    <s v="First Class"/>
    <x v="557"/>
    <s v="Joy Daniels"/>
    <x v="0"/>
    <s v="United States"/>
    <s v="Toledo"/>
    <x v="24"/>
    <n v="43615"/>
    <x v="3"/>
    <x v="1139"/>
    <x v="1"/>
    <x v="2"/>
    <x v="1127"/>
    <x v="1161"/>
    <x v="8"/>
    <x v="3"/>
  </r>
  <r>
    <n v="8755"/>
    <x v="4363"/>
    <x v="428"/>
    <d v="2018-09-10T00:00:00"/>
    <s v="First Class"/>
    <x v="557"/>
    <s v="Joy Daniels"/>
    <x v="0"/>
    <s v="United States"/>
    <s v="Toledo"/>
    <x v="24"/>
    <n v="43615"/>
    <x v="3"/>
    <x v="806"/>
    <x v="1"/>
    <x v="8"/>
    <x v="804"/>
    <x v="5329"/>
    <x v="8"/>
    <x v="3"/>
  </r>
  <r>
    <n v="8756"/>
    <x v="4363"/>
    <x v="428"/>
    <d v="2018-09-10T00:00:00"/>
    <s v="First Class"/>
    <x v="557"/>
    <s v="Joy Daniels"/>
    <x v="0"/>
    <s v="United States"/>
    <s v="Toledo"/>
    <x v="24"/>
    <n v="43615"/>
    <x v="3"/>
    <x v="1124"/>
    <x v="1"/>
    <x v="8"/>
    <x v="1112"/>
    <x v="5330"/>
    <x v="8"/>
    <x v="3"/>
  </r>
  <r>
    <n v="8757"/>
    <x v="4364"/>
    <x v="405"/>
    <d v="2017-07-26T00:00:00"/>
    <s v="Standard Class"/>
    <x v="716"/>
    <s v="Maureen Fritzler"/>
    <x v="1"/>
    <s v="United States"/>
    <s v="Columbia"/>
    <x v="39"/>
    <n v="21044"/>
    <x v="3"/>
    <x v="551"/>
    <x v="1"/>
    <x v="9"/>
    <x v="550"/>
    <x v="1015"/>
    <x v="7"/>
    <x v="0"/>
  </r>
  <r>
    <n v="8758"/>
    <x v="4364"/>
    <x v="405"/>
    <d v="2017-07-26T00:00:00"/>
    <s v="Standard Class"/>
    <x v="716"/>
    <s v="Maureen Fritzler"/>
    <x v="1"/>
    <s v="United States"/>
    <s v="Columbia"/>
    <x v="39"/>
    <n v="21044"/>
    <x v="3"/>
    <x v="260"/>
    <x v="1"/>
    <x v="10"/>
    <x v="260"/>
    <x v="187"/>
    <x v="7"/>
    <x v="0"/>
  </r>
  <r>
    <n v="8759"/>
    <x v="4364"/>
    <x v="405"/>
    <d v="2017-07-26T00:00:00"/>
    <s v="Standard Class"/>
    <x v="716"/>
    <s v="Maureen Fritzler"/>
    <x v="1"/>
    <s v="United States"/>
    <s v="Columbia"/>
    <x v="39"/>
    <n v="21044"/>
    <x v="3"/>
    <x v="645"/>
    <x v="0"/>
    <x v="5"/>
    <x v="645"/>
    <x v="1846"/>
    <x v="7"/>
    <x v="0"/>
  </r>
  <r>
    <n v="8760"/>
    <x v="4364"/>
    <x v="405"/>
    <d v="2017-07-26T00:00:00"/>
    <s v="Standard Class"/>
    <x v="716"/>
    <s v="Maureen Fritzler"/>
    <x v="1"/>
    <s v="United States"/>
    <s v="Columbia"/>
    <x v="39"/>
    <n v="21044"/>
    <x v="3"/>
    <x v="751"/>
    <x v="1"/>
    <x v="8"/>
    <x v="749"/>
    <x v="5331"/>
    <x v="7"/>
    <x v="0"/>
  </r>
  <r>
    <n v="8761"/>
    <x v="4365"/>
    <x v="1011"/>
    <d v="2017-02-06T00:00:00"/>
    <s v="Standard Class"/>
    <x v="408"/>
    <s v="Ben Ferrer"/>
    <x v="2"/>
    <s v="United States"/>
    <s v="Atlanta"/>
    <x v="32"/>
    <n v="30318"/>
    <x v="0"/>
    <x v="450"/>
    <x v="1"/>
    <x v="8"/>
    <x v="451"/>
    <x v="5332"/>
    <x v="9"/>
    <x v="0"/>
  </r>
  <r>
    <n v="8762"/>
    <x v="4365"/>
    <x v="1011"/>
    <d v="2017-02-06T00:00:00"/>
    <s v="Standard Class"/>
    <x v="408"/>
    <s v="Ben Ferrer"/>
    <x v="2"/>
    <s v="United States"/>
    <s v="Atlanta"/>
    <x v="32"/>
    <n v="30318"/>
    <x v="0"/>
    <x v="1358"/>
    <x v="1"/>
    <x v="12"/>
    <x v="1344"/>
    <x v="5333"/>
    <x v="9"/>
    <x v="0"/>
  </r>
  <r>
    <n v="8763"/>
    <x v="4366"/>
    <x v="723"/>
    <d v="2018-01-02T00:00:00"/>
    <s v="Standard Class"/>
    <x v="383"/>
    <s v="Frank Olsen"/>
    <x v="0"/>
    <s v="United States"/>
    <s v="Sacramento"/>
    <x v="1"/>
    <n v="95823"/>
    <x v="1"/>
    <x v="768"/>
    <x v="1"/>
    <x v="4"/>
    <x v="767"/>
    <x v="912"/>
    <x v="4"/>
    <x v="0"/>
  </r>
  <r>
    <n v="8764"/>
    <x v="4366"/>
    <x v="723"/>
    <d v="2018-01-02T00:00:00"/>
    <s v="Standard Class"/>
    <x v="383"/>
    <s v="Frank Olsen"/>
    <x v="0"/>
    <s v="United States"/>
    <s v="Sacramento"/>
    <x v="1"/>
    <n v="95823"/>
    <x v="1"/>
    <x v="1352"/>
    <x v="1"/>
    <x v="14"/>
    <x v="1338"/>
    <x v="5233"/>
    <x v="4"/>
    <x v="0"/>
  </r>
  <r>
    <n v="8765"/>
    <x v="4367"/>
    <x v="82"/>
    <d v="2016-11-27T00:00:00"/>
    <s v="Standard Class"/>
    <x v="179"/>
    <s v="Brenda Bowman"/>
    <x v="1"/>
    <s v="United States"/>
    <s v="Fort Worth"/>
    <x v="5"/>
    <n v="76106"/>
    <x v="2"/>
    <x v="1216"/>
    <x v="1"/>
    <x v="6"/>
    <x v="1200"/>
    <x v="752"/>
    <x v="0"/>
    <x v="1"/>
  </r>
  <r>
    <n v="8766"/>
    <x v="4367"/>
    <x v="82"/>
    <d v="2016-11-27T00:00:00"/>
    <s v="Standard Class"/>
    <x v="179"/>
    <s v="Brenda Bowman"/>
    <x v="1"/>
    <s v="United States"/>
    <s v="Fort Worth"/>
    <x v="5"/>
    <n v="76106"/>
    <x v="2"/>
    <x v="15"/>
    <x v="1"/>
    <x v="8"/>
    <x v="15"/>
    <x v="5334"/>
    <x v="0"/>
    <x v="1"/>
  </r>
  <r>
    <n v="8767"/>
    <x v="4367"/>
    <x v="82"/>
    <d v="2016-11-27T00:00:00"/>
    <s v="Standard Class"/>
    <x v="179"/>
    <s v="Brenda Bowman"/>
    <x v="1"/>
    <s v="United States"/>
    <s v="Fort Worth"/>
    <x v="5"/>
    <n v="76106"/>
    <x v="2"/>
    <x v="1836"/>
    <x v="1"/>
    <x v="9"/>
    <x v="1824"/>
    <x v="4238"/>
    <x v="0"/>
    <x v="1"/>
  </r>
  <r>
    <n v="8768"/>
    <x v="4367"/>
    <x v="82"/>
    <d v="2016-11-27T00:00:00"/>
    <s v="Standard Class"/>
    <x v="179"/>
    <s v="Brenda Bowman"/>
    <x v="1"/>
    <s v="United States"/>
    <s v="Fort Worth"/>
    <x v="5"/>
    <n v="76106"/>
    <x v="2"/>
    <x v="416"/>
    <x v="1"/>
    <x v="8"/>
    <x v="416"/>
    <x v="3277"/>
    <x v="0"/>
    <x v="1"/>
  </r>
  <r>
    <n v="8769"/>
    <x v="4368"/>
    <x v="348"/>
    <d v="2016-10-09T00:00:00"/>
    <s v="Standard Class"/>
    <x v="582"/>
    <s v="Ivan Liston"/>
    <x v="0"/>
    <s v="United States"/>
    <s v="Columbus"/>
    <x v="24"/>
    <n v="43229"/>
    <x v="3"/>
    <x v="293"/>
    <x v="2"/>
    <x v="11"/>
    <x v="293"/>
    <x v="5335"/>
    <x v="2"/>
    <x v="1"/>
  </r>
  <r>
    <n v="8770"/>
    <x v="4369"/>
    <x v="126"/>
    <d v="2017-09-13T00:00:00"/>
    <s v="Same Day"/>
    <x v="178"/>
    <s v="Philisse Overcash"/>
    <x v="2"/>
    <s v="United States"/>
    <s v="Louisville"/>
    <x v="22"/>
    <n v="80027"/>
    <x v="1"/>
    <x v="1750"/>
    <x v="2"/>
    <x v="7"/>
    <x v="1740"/>
    <x v="5336"/>
    <x v="8"/>
    <x v="0"/>
  </r>
  <r>
    <n v="8771"/>
    <x v="4369"/>
    <x v="126"/>
    <d v="2017-09-13T00:00:00"/>
    <s v="Same Day"/>
    <x v="178"/>
    <s v="Philisse Overcash"/>
    <x v="2"/>
    <s v="United States"/>
    <s v="Louisville"/>
    <x v="22"/>
    <n v="80027"/>
    <x v="1"/>
    <x v="792"/>
    <x v="0"/>
    <x v="1"/>
    <x v="790"/>
    <x v="5337"/>
    <x v="8"/>
    <x v="0"/>
  </r>
  <r>
    <n v="8772"/>
    <x v="4370"/>
    <x v="32"/>
    <d v="2018-09-17T00:00:00"/>
    <s v="First Class"/>
    <x v="587"/>
    <s v="Dorothy Badders"/>
    <x v="1"/>
    <s v="United States"/>
    <s v="Raleigh"/>
    <x v="3"/>
    <n v="27604"/>
    <x v="0"/>
    <x v="1218"/>
    <x v="1"/>
    <x v="9"/>
    <x v="1202"/>
    <x v="5338"/>
    <x v="8"/>
    <x v="3"/>
  </r>
  <r>
    <n v="8773"/>
    <x v="4370"/>
    <x v="32"/>
    <d v="2018-09-17T00:00:00"/>
    <s v="First Class"/>
    <x v="587"/>
    <s v="Dorothy Badders"/>
    <x v="1"/>
    <s v="United States"/>
    <s v="Raleigh"/>
    <x v="3"/>
    <n v="27604"/>
    <x v="0"/>
    <x v="1030"/>
    <x v="1"/>
    <x v="10"/>
    <x v="1021"/>
    <x v="1339"/>
    <x v="8"/>
    <x v="3"/>
  </r>
  <r>
    <n v="8774"/>
    <x v="4371"/>
    <x v="1202"/>
    <d v="2016-02-28T00:00:00"/>
    <s v="Standard Class"/>
    <x v="784"/>
    <s v="Lindsay Castell"/>
    <x v="2"/>
    <s v="United States"/>
    <s v="New York City"/>
    <x v="15"/>
    <n v="10024"/>
    <x v="3"/>
    <x v="566"/>
    <x v="1"/>
    <x v="9"/>
    <x v="566"/>
    <x v="2017"/>
    <x v="11"/>
    <x v="1"/>
  </r>
  <r>
    <n v="8775"/>
    <x v="4371"/>
    <x v="1202"/>
    <d v="2016-02-28T00:00:00"/>
    <s v="Standard Class"/>
    <x v="784"/>
    <s v="Lindsay Castell"/>
    <x v="2"/>
    <s v="United States"/>
    <s v="New York City"/>
    <x v="15"/>
    <n v="10024"/>
    <x v="3"/>
    <x v="1282"/>
    <x v="1"/>
    <x v="8"/>
    <x v="1267"/>
    <x v="2944"/>
    <x v="11"/>
    <x v="1"/>
  </r>
  <r>
    <n v="8776"/>
    <x v="4372"/>
    <x v="5"/>
    <d v="2017-12-09T00:00:00"/>
    <s v="Second Class"/>
    <x v="486"/>
    <s v="Mike Pelletier"/>
    <x v="2"/>
    <s v="United States"/>
    <s v="Chicago"/>
    <x v="10"/>
    <n v="60623"/>
    <x v="2"/>
    <x v="147"/>
    <x v="1"/>
    <x v="6"/>
    <x v="148"/>
    <x v="5339"/>
    <x v="4"/>
    <x v="0"/>
  </r>
  <r>
    <n v="8777"/>
    <x v="4373"/>
    <x v="415"/>
    <d v="2017-07-03T00:00:00"/>
    <s v="First Class"/>
    <x v="105"/>
    <s v="Erin Ashbrook"/>
    <x v="1"/>
    <s v="United States"/>
    <s v="Huntsville"/>
    <x v="5"/>
    <n v="77340"/>
    <x v="2"/>
    <x v="662"/>
    <x v="0"/>
    <x v="1"/>
    <x v="662"/>
    <x v="2512"/>
    <x v="7"/>
    <x v="0"/>
  </r>
  <r>
    <n v="8778"/>
    <x v="4373"/>
    <x v="415"/>
    <d v="2017-07-03T00:00:00"/>
    <s v="First Class"/>
    <x v="105"/>
    <s v="Erin Ashbrook"/>
    <x v="1"/>
    <s v="United States"/>
    <s v="Huntsville"/>
    <x v="5"/>
    <n v="77340"/>
    <x v="2"/>
    <x v="1440"/>
    <x v="1"/>
    <x v="10"/>
    <x v="1428"/>
    <x v="753"/>
    <x v="7"/>
    <x v="0"/>
  </r>
  <r>
    <n v="8779"/>
    <x v="4374"/>
    <x v="1096"/>
    <d v="2018-12-18T00:00:00"/>
    <s v="Standard Class"/>
    <x v="162"/>
    <s v="Bart Pistole"/>
    <x v="1"/>
    <s v="United States"/>
    <s v="New York City"/>
    <x v="15"/>
    <n v="10024"/>
    <x v="3"/>
    <x v="574"/>
    <x v="0"/>
    <x v="0"/>
    <x v="574"/>
    <x v="5340"/>
    <x v="4"/>
    <x v="3"/>
  </r>
  <r>
    <n v="8780"/>
    <x v="4375"/>
    <x v="305"/>
    <d v="2016-03-22T00:00:00"/>
    <s v="Second Class"/>
    <x v="298"/>
    <s v="Bryan Mills"/>
    <x v="0"/>
    <s v="United States"/>
    <s v="Salem"/>
    <x v="21"/>
    <n v="97301"/>
    <x v="1"/>
    <x v="762"/>
    <x v="1"/>
    <x v="4"/>
    <x v="761"/>
    <x v="5341"/>
    <x v="10"/>
    <x v="1"/>
  </r>
  <r>
    <n v="8781"/>
    <x v="4376"/>
    <x v="879"/>
    <d v="2016-03-04T00:00:00"/>
    <s v="First Class"/>
    <x v="782"/>
    <s v="Craig Molinari"/>
    <x v="1"/>
    <s v="United States"/>
    <s v="Houston"/>
    <x v="5"/>
    <n v="77070"/>
    <x v="2"/>
    <x v="1261"/>
    <x v="1"/>
    <x v="6"/>
    <x v="1245"/>
    <x v="5342"/>
    <x v="10"/>
    <x v="1"/>
  </r>
  <r>
    <n v="8782"/>
    <x v="4376"/>
    <x v="879"/>
    <d v="2016-03-04T00:00:00"/>
    <s v="First Class"/>
    <x v="782"/>
    <s v="Craig Molinari"/>
    <x v="1"/>
    <s v="United States"/>
    <s v="Houston"/>
    <x v="5"/>
    <n v="77070"/>
    <x v="2"/>
    <x v="789"/>
    <x v="0"/>
    <x v="0"/>
    <x v="787"/>
    <x v="5343"/>
    <x v="10"/>
    <x v="1"/>
  </r>
  <r>
    <n v="8783"/>
    <x v="4377"/>
    <x v="306"/>
    <d v="2017-09-20T00:00:00"/>
    <s v="Standard Class"/>
    <x v="251"/>
    <s v="Justin Deggeller"/>
    <x v="1"/>
    <s v="United States"/>
    <s v="Twin Falls"/>
    <x v="45"/>
    <n v="83301"/>
    <x v="1"/>
    <x v="1206"/>
    <x v="1"/>
    <x v="8"/>
    <x v="1191"/>
    <x v="5344"/>
    <x v="8"/>
    <x v="0"/>
  </r>
  <r>
    <n v="8784"/>
    <x v="4377"/>
    <x v="306"/>
    <d v="2017-09-20T00:00:00"/>
    <s v="Standard Class"/>
    <x v="251"/>
    <s v="Justin Deggeller"/>
    <x v="1"/>
    <s v="United States"/>
    <s v="Twin Falls"/>
    <x v="45"/>
    <n v="83301"/>
    <x v="1"/>
    <x v="215"/>
    <x v="0"/>
    <x v="3"/>
    <x v="216"/>
    <x v="5345"/>
    <x v="8"/>
    <x v="0"/>
  </r>
  <r>
    <n v="8785"/>
    <x v="4378"/>
    <x v="294"/>
    <d v="2018-03-23T00:00:00"/>
    <s v="Standard Class"/>
    <x v="357"/>
    <s v="Ann Steele"/>
    <x v="2"/>
    <s v="United States"/>
    <s v="Knoxville"/>
    <x v="18"/>
    <n v="37918"/>
    <x v="0"/>
    <x v="1186"/>
    <x v="1"/>
    <x v="2"/>
    <x v="1172"/>
    <x v="871"/>
    <x v="10"/>
    <x v="3"/>
  </r>
  <r>
    <n v="8786"/>
    <x v="4379"/>
    <x v="39"/>
    <d v="2018-06-02T00:00:00"/>
    <s v="Standard Class"/>
    <x v="698"/>
    <s v="Candace McMahon"/>
    <x v="1"/>
    <s v="United States"/>
    <s v="Phoenix"/>
    <x v="16"/>
    <n v="85023"/>
    <x v="1"/>
    <x v="1692"/>
    <x v="2"/>
    <x v="7"/>
    <x v="1680"/>
    <x v="4240"/>
    <x v="5"/>
    <x v="3"/>
  </r>
  <r>
    <n v="8787"/>
    <x v="4379"/>
    <x v="39"/>
    <d v="2018-06-02T00:00:00"/>
    <s v="Standard Class"/>
    <x v="698"/>
    <s v="Candace McMahon"/>
    <x v="1"/>
    <s v="United States"/>
    <s v="Phoenix"/>
    <x v="16"/>
    <n v="85023"/>
    <x v="1"/>
    <x v="1483"/>
    <x v="1"/>
    <x v="10"/>
    <x v="1470"/>
    <x v="12"/>
    <x v="5"/>
    <x v="3"/>
  </r>
  <r>
    <n v="8788"/>
    <x v="4379"/>
    <x v="39"/>
    <d v="2018-06-02T00:00:00"/>
    <s v="Standard Class"/>
    <x v="698"/>
    <s v="Candace McMahon"/>
    <x v="1"/>
    <s v="United States"/>
    <s v="Phoenix"/>
    <x v="16"/>
    <n v="85023"/>
    <x v="1"/>
    <x v="106"/>
    <x v="2"/>
    <x v="11"/>
    <x v="106"/>
    <x v="5346"/>
    <x v="5"/>
    <x v="3"/>
  </r>
  <r>
    <n v="8789"/>
    <x v="4380"/>
    <x v="140"/>
    <d v="2018-06-19T00:00:00"/>
    <s v="Standard Class"/>
    <x v="555"/>
    <s v="Joe Elijah"/>
    <x v="0"/>
    <s v="United States"/>
    <s v="Monroe"/>
    <x v="3"/>
    <n v="28110"/>
    <x v="0"/>
    <x v="1003"/>
    <x v="0"/>
    <x v="1"/>
    <x v="995"/>
    <x v="324"/>
    <x v="1"/>
    <x v="3"/>
  </r>
  <r>
    <n v="8790"/>
    <x v="4380"/>
    <x v="140"/>
    <d v="2018-06-19T00:00:00"/>
    <s v="Standard Class"/>
    <x v="555"/>
    <s v="Joe Elijah"/>
    <x v="0"/>
    <s v="United States"/>
    <s v="Monroe"/>
    <x v="3"/>
    <n v="28110"/>
    <x v="0"/>
    <x v="1195"/>
    <x v="0"/>
    <x v="0"/>
    <x v="1180"/>
    <x v="5347"/>
    <x v="1"/>
    <x v="3"/>
  </r>
  <r>
    <n v="8791"/>
    <x v="4381"/>
    <x v="684"/>
    <d v="2016-09-12T00:00:00"/>
    <s v="Standard Class"/>
    <x v="132"/>
    <s v="Andy Gerbode"/>
    <x v="1"/>
    <s v="United States"/>
    <s v="Richmond"/>
    <x v="17"/>
    <n v="23223"/>
    <x v="0"/>
    <x v="1472"/>
    <x v="1"/>
    <x v="8"/>
    <x v="1459"/>
    <x v="5348"/>
    <x v="8"/>
    <x v="1"/>
  </r>
  <r>
    <n v="8792"/>
    <x v="4382"/>
    <x v="257"/>
    <d v="2018-03-24T00:00:00"/>
    <s v="Standard Class"/>
    <x v="627"/>
    <s v="Thomas Thornton"/>
    <x v="0"/>
    <s v="United States"/>
    <s v="Houston"/>
    <x v="5"/>
    <n v="77041"/>
    <x v="2"/>
    <x v="664"/>
    <x v="2"/>
    <x v="7"/>
    <x v="664"/>
    <x v="3333"/>
    <x v="10"/>
    <x v="3"/>
  </r>
  <r>
    <n v="8793"/>
    <x v="4383"/>
    <x v="174"/>
    <d v="2015-12-21T00:00:00"/>
    <s v="First Class"/>
    <x v="162"/>
    <s v="Bart Pistole"/>
    <x v="1"/>
    <s v="United States"/>
    <s v="Los Angeles"/>
    <x v="1"/>
    <n v="90008"/>
    <x v="1"/>
    <x v="573"/>
    <x v="1"/>
    <x v="2"/>
    <x v="573"/>
    <x v="2"/>
    <x v="4"/>
    <x v="2"/>
  </r>
  <r>
    <n v="8794"/>
    <x v="4383"/>
    <x v="174"/>
    <d v="2015-12-21T00:00:00"/>
    <s v="First Class"/>
    <x v="162"/>
    <s v="Bart Pistole"/>
    <x v="1"/>
    <s v="United States"/>
    <s v="Los Angeles"/>
    <x v="1"/>
    <n v="90008"/>
    <x v="1"/>
    <x v="485"/>
    <x v="1"/>
    <x v="13"/>
    <x v="485"/>
    <x v="5349"/>
    <x v="4"/>
    <x v="2"/>
  </r>
  <r>
    <n v="8795"/>
    <x v="4383"/>
    <x v="174"/>
    <d v="2015-12-21T00:00:00"/>
    <s v="First Class"/>
    <x v="162"/>
    <s v="Bart Pistole"/>
    <x v="1"/>
    <s v="United States"/>
    <s v="Los Angeles"/>
    <x v="1"/>
    <n v="90008"/>
    <x v="1"/>
    <x v="1285"/>
    <x v="2"/>
    <x v="7"/>
    <x v="1271"/>
    <x v="5350"/>
    <x v="4"/>
    <x v="2"/>
  </r>
  <r>
    <n v="8796"/>
    <x v="4383"/>
    <x v="174"/>
    <d v="2015-12-21T00:00:00"/>
    <s v="First Class"/>
    <x v="162"/>
    <s v="Bart Pistole"/>
    <x v="1"/>
    <s v="United States"/>
    <s v="Los Angeles"/>
    <x v="1"/>
    <n v="90008"/>
    <x v="1"/>
    <x v="665"/>
    <x v="2"/>
    <x v="7"/>
    <x v="665"/>
    <x v="1972"/>
    <x v="4"/>
    <x v="2"/>
  </r>
  <r>
    <n v="8797"/>
    <x v="4384"/>
    <x v="274"/>
    <d v="2017-07-13T00:00:00"/>
    <s v="Standard Class"/>
    <x v="77"/>
    <s v="Max Jones"/>
    <x v="0"/>
    <s v="United States"/>
    <s v="Orem"/>
    <x v="7"/>
    <n v="84057"/>
    <x v="1"/>
    <x v="490"/>
    <x v="1"/>
    <x v="10"/>
    <x v="490"/>
    <x v="91"/>
    <x v="7"/>
    <x v="0"/>
  </r>
  <r>
    <n v="8798"/>
    <x v="4384"/>
    <x v="274"/>
    <d v="2017-07-13T00:00:00"/>
    <s v="Standard Class"/>
    <x v="77"/>
    <s v="Max Jones"/>
    <x v="0"/>
    <s v="United States"/>
    <s v="Orem"/>
    <x v="7"/>
    <n v="84057"/>
    <x v="1"/>
    <x v="1243"/>
    <x v="1"/>
    <x v="6"/>
    <x v="1226"/>
    <x v="44"/>
    <x v="7"/>
    <x v="0"/>
  </r>
  <r>
    <n v="8799"/>
    <x v="4385"/>
    <x v="1203"/>
    <d v="2017-04-10T00:00:00"/>
    <s v="Standard Class"/>
    <x v="91"/>
    <s v="Valerie Mitchum"/>
    <x v="2"/>
    <s v="United States"/>
    <s v="Burlington"/>
    <x v="42"/>
    <m/>
    <x v="3"/>
    <x v="1367"/>
    <x v="2"/>
    <x v="7"/>
    <x v="1352"/>
    <x v="5351"/>
    <x v="3"/>
    <x v="0"/>
  </r>
  <r>
    <n v="8800"/>
    <x v="4386"/>
    <x v="1204"/>
    <d v="2015-05-10T00:00:00"/>
    <s v="First Class"/>
    <x v="409"/>
    <s v="Kean Thornton"/>
    <x v="0"/>
    <s v="United States"/>
    <s v="Philadelphia"/>
    <x v="9"/>
    <n v="19134"/>
    <x v="3"/>
    <x v="306"/>
    <x v="2"/>
    <x v="16"/>
    <x v="306"/>
    <x v="371"/>
    <x v="5"/>
    <x v="2"/>
  </r>
  <r>
    <n v="8801"/>
    <x v="4387"/>
    <x v="51"/>
    <d v="2018-11-27T00:00:00"/>
    <s v="Standard Class"/>
    <x v="294"/>
    <s v="Chris Selesnick"/>
    <x v="1"/>
    <s v="United States"/>
    <s v="Chicago"/>
    <x v="10"/>
    <n v="60623"/>
    <x v="2"/>
    <x v="1283"/>
    <x v="1"/>
    <x v="10"/>
    <x v="1268"/>
    <x v="1414"/>
    <x v="0"/>
    <x v="3"/>
  </r>
  <r>
    <n v="8802"/>
    <x v="4388"/>
    <x v="338"/>
    <d v="2017-11-12T00:00:00"/>
    <s v="First Class"/>
    <x v="755"/>
    <s v="Aaron Bergman"/>
    <x v="0"/>
    <s v="United States"/>
    <s v="Oklahoma City"/>
    <x v="26"/>
    <n v="73120"/>
    <x v="2"/>
    <x v="1720"/>
    <x v="2"/>
    <x v="7"/>
    <x v="1707"/>
    <x v="5352"/>
    <x v="0"/>
    <x v="0"/>
  </r>
  <r>
    <n v="8803"/>
    <x v="4388"/>
    <x v="338"/>
    <d v="2017-11-12T00:00:00"/>
    <s v="First Class"/>
    <x v="755"/>
    <s v="Aaron Bergman"/>
    <x v="0"/>
    <s v="United States"/>
    <s v="Oklahoma City"/>
    <x v="26"/>
    <n v="73120"/>
    <x v="2"/>
    <x v="1106"/>
    <x v="0"/>
    <x v="0"/>
    <x v="1095"/>
    <x v="2600"/>
    <x v="0"/>
    <x v="0"/>
  </r>
  <r>
    <n v="8804"/>
    <x v="4389"/>
    <x v="520"/>
    <d v="2016-01-01T00:00:00"/>
    <s v="First Class"/>
    <x v="692"/>
    <s v="Aaron Hawkins"/>
    <x v="1"/>
    <s v="United States"/>
    <s v="New York City"/>
    <x v="15"/>
    <n v="10035"/>
    <x v="3"/>
    <x v="567"/>
    <x v="2"/>
    <x v="11"/>
    <x v="567"/>
    <x v="5353"/>
    <x v="4"/>
    <x v="2"/>
  </r>
  <r>
    <n v="8805"/>
    <x v="4389"/>
    <x v="520"/>
    <d v="2016-01-01T00:00:00"/>
    <s v="First Class"/>
    <x v="692"/>
    <s v="Aaron Hawkins"/>
    <x v="1"/>
    <s v="United States"/>
    <s v="New York City"/>
    <x v="15"/>
    <n v="10035"/>
    <x v="3"/>
    <x v="165"/>
    <x v="1"/>
    <x v="2"/>
    <x v="166"/>
    <x v="1365"/>
    <x v="4"/>
    <x v="2"/>
  </r>
  <r>
    <n v="8806"/>
    <x v="4390"/>
    <x v="971"/>
    <d v="2018-08-23T00:00:00"/>
    <s v="Standard Class"/>
    <x v="157"/>
    <s v="Denny Ordway"/>
    <x v="0"/>
    <s v="United States"/>
    <s v="Salt Lake City"/>
    <x v="7"/>
    <n v="84106"/>
    <x v="1"/>
    <x v="1160"/>
    <x v="1"/>
    <x v="8"/>
    <x v="1147"/>
    <x v="5354"/>
    <x v="6"/>
    <x v="3"/>
  </r>
  <r>
    <n v="8807"/>
    <x v="4391"/>
    <x v="126"/>
    <d v="2017-09-16T00:00:00"/>
    <s v="Standard Class"/>
    <x v="565"/>
    <s v="Matt Collister"/>
    <x v="1"/>
    <s v="United States"/>
    <s v="Utica"/>
    <x v="15"/>
    <n v="13501"/>
    <x v="3"/>
    <x v="1702"/>
    <x v="0"/>
    <x v="5"/>
    <x v="1691"/>
    <x v="582"/>
    <x v="8"/>
    <x v="0"/>
  </r>
  <r>
    <n v="8808"/>
    <x v="4392"/>
    <x v="40"/>
    <d v="2018-10-31T00:00:00"/>
    <s v="Standard Class"/>
    <x v="440"/>
    <s v="Jamie Frazer"/>
    <x v="0"/>
    <s v="United States"/>
    <s v="Philadelphia"/>
    <x v="9"/>
    <n v="19134"/>
    <x v="3"/>
    <x v="805"/>
    <x v="1"/>
    <x v="8"/>
    <x v="803"/>
    <x v="5355"/>
    <x v="2"/>
    <x v="3"/>
  </r>
  <r>
    <n v="8809"/>
    <x v="4392"/>
    <x v="40"/>
    <d v="2018-10-31T00:00:00"/>
    <s v="Standard Class"/>
    <x v="440"/>
    <s v="Jamie Frazer"/>
    <x v="0"/>
    <s v="United States"/>
    <s v="Philadelphia"/>
    <x v="9"/>
    <n v="19134"/>
    <x v="3"/>
    <x v="1255"/>
    <x v="2"/>
    <x v="7"/>
    <x v="1239"/>
    <x v="5356"/>
    <x v="2"/>
    <x v="3"/>
  </r>
  <r>
    <n v="8810"/>
    <x v="4392"/>
    <x v="40"/>
    <d v="2018-10-31T00:00:00"/>
    <s v="Standard Class"/>
    <x v="440"/>
    <s v="Jamie Frazer"/>
    <x v="0"/>
    <s v="United States"/>
    <s v="Philadelphia"/>
    <x v="9"/>
    <n v="19134"/>
    <x v="3"/>
    <x v="932"/>
    <x v="1"/>
    <x v="2"/>
    <x v="925"/>
    <x v="1787"/>
    <x v="2"/>
    <x v="3"/>
  </r>
  <r>
    <n v="8811"/>
    <x v="4393"/>
    <x v="1109"/>
    <d v="2018-06-04T00:00:00"/>
    <s v="Standard Class"/>
    <x v="416"/>
    <s v="Suzanne McNair"/>
    <x v="1"/>
    <s v="United States"/>
    <s v="Los Angeles"/>
    <x v="1"/>
    <n v="90004"/>
    <x v="1"/>
    <x v="945"/>
    <x v="1"/>
    <x v="10"/>
    <x v="938"/>
    <x v="2778"/>
    <x v="5"/>
    <x v="3"/>
  </r>
  <r>
    <n v="8812"/>
    <x v="4394"/>
    <x v="387"/>
    <d v="2017-03-13T00:00:00"/>
    <s v="Standard Class"/>
    <x v="70"/>
    <s v="Stephanie Phelps"/>
    <x v="1"/>
    <s v="United States"/>
    <s v="Jackson"/>
    <x v="12"/>
    <n v="49201"/>
    <x v="2"/>
    <x v="1143"/>
    <x v="1"/>
    <x v="9"/>
    <x v="1131"/>
    <x v="5357"/>
    <x v="10"/>
    <x v="0"/>
  </r>
  <r>
    <n v="8813"/>
    <x v="4394"/>
    <x v="387"/>
    <d v="2017-03-13T00:00:00"/>
    <s v="Standard Class"/>
    <x v="70"/>
    <s v="Stephanie Phelps"/>
    <x v="1"/>
    <s v="United States"/>
    <s v="Jackson"/>
    <x v="12"/>
    <n v="49201"/>
    <x v="2"/>
    <x v="1622"/>
    <x v="1"/>
    <x v="6"/>
    <x v="1050"/>
    <x v="2213"/>
    <x v="10"/>
    <x v="0"/>
  </r>
  <r>
    <n v="8814"/>
    <x v="4395"/>
    <x v="353"/>
    <d v="2016-07-31T00:00:00"/>
    <s v="Standard Class"/>
    <x v="316"/>
    <s v="Cyma Kinney"/>
    <x v="1"/>
    <s v="United States"/>
    <s v="Glendale"/>
    <x v="16"/>
    <n v="85301"/>
    <x v="1"/>
    <x v="637"/>
    <x v="0"/>
    <x v="1"/>
    <x v="637"/>
    <x v="4429"/>
    <x v="7"/>
    <x v="1"/>
  </r>
  <r>
    <n v="8815"/>
    <x v="4396"/>
    <x v="521"/>
    <d v="2016-11-25T00:00:00"/>
    <s v="Second Class"/>
    <x v="617"/>
    <s v="Pierre Wener"/>
    <x v="0"/>
    <s v="United States"/>
    <s v="Wilmington"/>
    <x v="13"/>
    <n v="19805"/>
    <x v="3"/>
    <x v="348"/>
    <x v="2"/>
    <x v="7"/>
    <x v="348"/>
    <x v="669"/>
    <x v="0"/>
    <x v="1"/>
  </r>
  <r>
    <n v="8816"/>
    <x v="4396"/>
    <x v="521"/>
    <d v="2016-11-25T00:00:00"/>
    <s v="Second Class"/>
    <x v="617"/>
    <s v="Pierre Wener"/>
    <x v="0"/>
    <s v="United States"/>
    <s v="Wilmington"/>
    <x v="13"/>
    <n v="19805"/>
    <x v="3"/>
    <x v="1843"/>
    <x v="1"/>
    <x v="10"/>
    <x v="1831"/>
    <x v="5358"/>
    <x v="0"/>
    <x v="1"/>
  </r>
  <r>
    <n v="8817"/>
    <x v="4396"/>
    <x v="521"/>
    <d v="2016-11-25T00:00:00"/>
    <s v="Second Class"/>
    <x v="617"/>
    <s v="Pierre Wener"/>
    <x v="0"/>
    <s v="United States"/>
    <s v="Wilmington"/>
    <x v="13"/>
    <n v="19805"/>
    <x v="3"/>
    <x v="169"/>
    <x v="1"/>
    <x v="6"/>
    <x v="170"/>
    <x v="1317"/>
    <x v="0"/>
    <x v="1"/>
  </r>
  <r>
    <n v="8818"/>
    <x v="4396"/>
    <x v="521"/>
    <d v="2016-11-25T00:00:00"/>
    <s v="Second Class"/>
    <x v="617"/>
    <s v="Pierre Wener"/>
    <x v="0"/>
    <s v="United States"/>
    <s v="Wilmington"/>
    <x v="13"/>
    <n v="19805"/>
    <x v="3"/>
    <x v="1451"/>
    <x v="1"/>
    <x v="12"/>
    <x v="153"/>
    <x v="3319"/>
    <x v="0"/>
    <x v="1"/>
  </r>
  <r>
    <n v="8819"/>
    <x v="4396"/>
    <x v="521"/>
    <d v="2016-11-25T00:00:00"/>
    <s v="Second Class"/>
    <x v="617"/>
    <s v="Pierre Wener"/>
    <x v="0"/>
    <s v="United States"/>
    <s v="Wilmington"/>
    <x v="13"/>
    <n v="19805"/>
    <x v="3"/>
    <x v="490"/>
    <x v="1"/>
    <x v="10"/>
    <x v="490"/>
    <x v="783"/>
    <x v="0"/>
    <x v="1"/>
  </r>
  <r>
    <n v="8820"/>
    <x v="4397"/>
    <x v="109"/>
    <d v="2016-12-02T00:00:00"/>
    <s v="Standard Class"/>
    <x v="432"/>
    <s v="Evan Bailliet"/>
    <x v="0"/>
    <s v="United States"/>
    <s v="Austin"/>
    <x v="5"/>
    <n v="78745"/>
    <x v="2"/>
    <x v="656"/>
    <x v="1"/>
    <x v="10"/>
    <x v="656"/>
    <x v="757"/>
    <x v="0"/>
    <x v="1"/>
  </r>
  <r>
    <n v="8821"/>
    <x v="4398"/>
    <x v="132"/>
    <d v="2018-11-07T00:00:00"/>
    <s v="Standard Class"/>
    <x v="54"/>
    <s v="Dave Kipp"/>
    <x v="0"/>
    <s v="United States"/>
    <s v="Orlando"/>
    <x v="2"/>
    <n v="32839"/>
    <x v="0"/>
    <x v="455"/>
    <x v="2"/>
    <x v="16"/>
    <x v="456"/>
    <x v="321"/>
    <x v="0"/>
    <x v="3"/>
  </r>
  <r>
    <n v="8822"/>
    <x v="4398"/>
    <x v="132"/>
    <d v="2018-11-07T00:00:00"/>
    <s v="Standard Class"/>
    <x v="54"/>
    <s v="Dave Kipp"/>
    <x v="0"/>
    <s v="United States"/>
    <s v="Orlando"/>
    <x v="2"/>
    <n v="32839"/>
    <x v="0"/>
    <x v="1282"/>
    <x v="1"/>
    <x v="8"/>
    <x v="1267"/>
    <x v="5359"/>
    <x v="0"/>
    <x v="3"/>
  </r>
  <r>
    <n v="8823"/>
    <x v="4398"/>
    <x v="132"/>
    <d v="2018-11-07T00:00:00"/>
    <s v="Standard Class"/>
    <x v="54"/>
    <s v="Dave Kipp"/>
    <x v="0"/>
    <s v="United States"/>
    <s v="Orlando"/>
    <x v="2"/>
    <n v="32839"/>
    <x v="0"/>
    <x v="1753"/>
    <x v="1"/>
    <x v="6"/>
    <x v="1743"/>
    <x v="3886"/>
    <x v="0"/>
    <x v="3"/>
  </r>
  <r>
    <n v="8824"/>
    <x v="4398"/>
    <x v="132"/>
    <d v="2018-11-07T00:00:00"/>
    <s v="Standard Class"/>
    <x v="54"/>
    <s v="Dave Kipp"/>
    <x v="0"/>
    <s v="United States"/>
    <s v="Orlando"/>
    <x v="2"/>
    <n v="32839"/>
    <x v="0"/>
    <x v="711"/>
    <x v="1"/>
    <x v="10"/>
    <x v="710"/>
    <x v="1414"/>
    <x v="0"/>
    <x v="3"/>
  </r>
  <r>
    <n v="8825"/>
    <x v="4399"/>
    <x v="708"/>
    <d v="2018-03-23T00:00:00"/>
    <s v="Second Class"/>
    <x v="26"/>
    <s v="Ted Butterfield"/>
    <x v="0"/>
    <s v="United States"/>
    <s v="Reading"/>
    <x v="9"/>
    <n v="19601"/>
    <x v="3"/>
    <x v="436"/>
    <x v="1"/>
    <x v="12"/>
    <x v="436"/>
    <x v="3096"/>
    <x v="10"/>
    <x v="3"/>
  </r>
  <r>
    <n v="8826"/>
    <x v="4400"/>
    <x v="546"/>
    <d v="2016-12-22T00:00:00"/>
    <s v="First Class"/>
    <x v="151"/>
    <s v="Arthur Gainer"/>
    <x v="0"/>
    <s v="United States"/>
    <s v="Philadelphia"/>
    <x v="9"/>
    <n v="19134"/>
    <x v="3"/>
    <x v="1186"/>
    <x v="1"/>
    <x v="2"/>
    <x v="1172"/>
    <x v="2721"/>
    <x v="4"/>
    <x v="1"/>
  </r>
  <r>
    <n v="8827"/>
    <x v="4401"/>
    <x v="1063"/>
    <d v="2015-04-06T00:00:00"/>
    <s v="Second Class"/>
    <x v="710"/>
    <s v="Sam Craven"/>
    <x v="0"/>
    <s v="United States"/>
    <s v="Houston"/>
    <x v="5"/>
    <n v="77095"/>
    <x v="2"/>
    <x v="481"/>
    <x v="1"/>
    <x v="10"/>
    <x v="482"/>
    <x v="2979"/>
    <x v="3"/>
    <x v="2"/>
  </r>
  <r>
    <n v="8828"/>
    <x v="4401"/>
    <x v="1063"/>
    <d v="2015-04-06T00:00:00"/>
    <s v="Second Class"/>
    <x v="710"/>
    <s v="Sam Craven"/>
    <x v="0"/>
    <s v="United States"/>
    <s v="Houston"/>
    <x v="5"/>
    <n v="77095"/>
    <x v="2"/>
    <x v="1774"/>
    <x v="1"/>
    <x v="10"/>
    <x v="1764"/>
    <x v="1383"/>
    <x v="3"/>
    <x v="2"/>
  </r>
  <r>
    <n v="8829"/>
    <x v="4402"/>
    <x v="1117"/>
    <d v="2016-06-09T00:00:00"/>
    <s v="Standard Class"/>
    <x v="179"/>
    <s v="Brenda Bowman"/>
    <x v="1"/>
    <s v="United States"/>
    <s v="Saint Charles"/>
    <x v="25"/>
    <n v="63301"/>
    <x v="2"/>
    <x v="1157"/>
    <x v="1"/>
    <x v="10"/>
    <x v="1145"/>
    <x v="232"/>
    <x v="1"/>
    <x v="1"/>
  </r>
  <r>
    <n v="8830"/>
    <x v="4403"/>
    <x v="191"/>
    <d v="2015-10-09T00:00:00"/>
    <s v="First Class"/>
    <x v="778"/>
    <s v="Victoria Pisteka"/>
    <x v="1"/>
    <s v="United States"/>
    <s v="Indianapolis"/>
    <x v="14"/>
    <n v="46203"/>
    <x v="2"/>
    <x v="1662"/>
    <x v="1"/>
    <x v="4"/>
    <x v="1650"/>
    <x v="5360"/>
    <x v="2"/>
    <x v="2"/>
  </r>
  <r>
    <n v="8831"/>
    <x v="4404"/>
    <x v="1036"/>
    <d v="2017-08-24T00:00:00"/>
    <s v="Second Class"/>
    <x v="345"/>
    <s v="Rachel Payne"/>
    <x v="1"/>
    <s v="United States"/>
    <s v="Seattle"/>
    <x v="4"/>
    <n v="98115"/>
    <x v="1"/>
    <x v="807"/>
    <x v="1"/>
    <x v="8"/>
    <x v="805"/>
    <x v="5361"/>
    <x v="6"/>
    <x v="0"/>
  </r>
  <r>
    <n v="8832"/>
    <x v="4405"/>
    <x v="219"/>
    <d v="2016-11-19T00:00:00"/>
    <s v="Standard Class"/>
    <x v="723"/>
    <s v="Duane Huffman"/>
    <x v="2"/>
    <s v="United States"/>
    <s v="Harrisonburg"/>
    <x v="17"/>
    <n v="22801"/>
    <x v="0"/>
    <x v="561"/>
    <x v="0"/>
    <x v="5"/>
    <x v="560"/>
    <x v="786"/>
    <x v="0"/>
    <x v="1"/>
  </r>
  <r>
    <n v="8833"/>
    <x v="4406"/>
    <x v="137"/>
    <d v="2016-06-27T00:00:00"/>
    <s v="Standard Class"/>
    <x v="517"/>
    <s v="Shaun Weien"/>
    <x v="0"/>
    <s v="United States"/>
    <s v="Rochester"/>
    <x v="15"/>
    <n v="14609"/>
    <x v="3"/>
    <x v="692"/>
    <x v="1"/>
    <x v="8"/>
    <x v="692"/>
    <x v="1380"/>
    <x v="1"/>
    <x v="1"/>
  </r>
  <r>
    <n v="8834"/>
    <x v="4407"/>
    <x v="241"/>
    <d v="2018-09-28T00:00:00"/>
    <s v="Standard Class"/>
    <x v="580"/>
    <s v="Karen Ferguson"/>
    <x v="2"/>
    <s v="United States"/>
    <s v="Sandy Springs"/>
    <x v="32"/>
    <n v="30328"/>
    <x v="0"/>
    <x v="1018"/>
    <x v="1"/>
    <x v="4"/>
    <x v="1519"/>
    <x v="4542"/>
    <x v="8"/>
    <x v="3"/>
  </r>
  <r>
    <n v="8835"/>
    <x v="4407"/>
    <x v="241"/>
    <d v="2018-09-28T00:00:00"/>
    <s v="Standard Class"/>
    <x v="580"/>
    <s v="Karen Ferguson"/>
    <x v="2"/>
    <s v="United States"/>
    <s v="Sandy Springs"/>
    <x v="32"/>
    <n v="30328"/>
    <x v="0"/>
    <x v="1517"/>
    <x v="2"/>
    <x v="7"/>
    <x v="1504"/>
    <x v="5362"/>
    <x v="8"/>
    <x v="3"/>
  </r>
  <r>
    <n v="8836"/>
    <x v="4407"/>
    <x v="241"/>
    <d v="2018-09-28T00:00:00"/>
    <s v="Standard Class"/>
    <x v="580"/>
    <s v="Karen Ferguson"/>
    <x v="2"/>
    <s v="United States"/>
    <s v="Sandy Springs"/>
    <x v="32"/>
    <n v="30328"/>
    <x v="0"/>
    <x v="1742"/>
    <x v="1"/>
    <x v="6"/>
    <x v="1731"/>
    <x v="190"/>
    <x v="8"/>
    <x v="3"/>
  </r>
  <r>
    <n v="8837"/>
    <x v="4407"/>
    <x v="241"/>
    <d v="2018-09-28T00:00:00"/>
    <s v="Standard Class"/>
    <x v="580"/>
    <s v="Karen Ferguson"/>
    <x v="2"/>
    <s v="United States"/>
    <s v="Sandy Springs"/>
    <x v="32"/>
    <n v="30328"/>
    <x v="0"/>
    <x v="753"/>
    <x v="1"/>
    <x v="6"/>
    <x v="751"/>
    <x v="1905"/>
    <x v="8"/>
    <x v="3"/>
  </r>
  <r>
    <n v="8838"/>
    <x v="4407"/>
    <x v="241"/>
    <d v="2018-09-28T00:00:00"/>
    <s v="Standard Class"/>
    <x v="580"/>
    <s v="Karen Ferguson"/>
    <x v="2"/>
    <s v="United States"/>
    <s v="Sandy Springs"/>
    <x v="32"/>
    <n v="30328"/>
    <x v="0"/>
    <x v="365"/>
    <x v="1"/>
    <x v="2"/>
    <x v="365"/>
    <x v="2104"/>
    <x v="8"/>
    <x v="3"/>
  </r>
  <r>
    <n v="8839"/>
    <x v="4408"/>
    <x v="322"/>
    <d v="2015-04-10T00:00:00"/>
    <s v="Second Class"/>
    <x v="395"/>
    <s v="Frank Hawley"/>
    <x v="1"/>
    <s v="United States"/>
    <s v="Los Angeles"/>
    <x v="1"/>
    <n v="90004"/>
    <x v="1"/>
    <x v="1559"/>
    <x v="1"/>
    <x v="6"/>
    <x v="1549"/>
    <x v="418"/>
    <x v="3"/>
    <x v="2"/>
  </r>
  <r>
    <n v="8840"/>
    <x v="4408"/>
    <x v="322"/>
    <d v="2015-04-10T00:00:00"/>
    <s v="Second Class"/>
    <x v="395"/>
    <s v="Frank Hawley"/>
    <x v="1"/>
    <s v="United States"/>
    <s v="Los Angeles"/>
    <x v="1"/>
    <n v="90004"/>
    <x v="1"/>
    <x v="102"/>
    <x v="1"/>
    <x v="8"/>
    <x v="102"/>
    <x v="951"/>
    <x v="3"/>
    <x v="2"/>
  </r>
  <r>
    <n v="8841"/>
    <x v="4408"/>
    <x v="322"/>
    <d v="2015-04-10T00:00:00"/>
    <s v="Second Class"/>
    <x v="395"/>
    <s v="Frank Hawley"/>
    <x v="1"/>
    <s v="United States"/>
    <s v="Los Angeles"/>
    <x v="1"/>
    <n v="90004"/>
    <x v="1"/>
    <x v="1336"/>
    <x v="2"/>
    <x v="11"/>
    <x v="1321"/>
    <x v="670"/>
    <x v="3"/>
    <x v="2"/>
  </r>
  <r>
    <n v="8842"/>
    <x v="4409"/>
    <x v="1205"/>
    <d v="2017-02-13T00:00:00"/>
    <s v="Standard Class"/>
    <x v="335"/>
    <s v="Justin Ritter"/>
    <x v="1"/>
    <s v="United States"/>
    <s v="San Francisco"/>
    <x v="1"/>
    <n v="94110"/>
    <x v="1"/>
    <x v="246"/>
    <x v="2"/>
    <x v="11"/>
    <x v="247"/>
    <x v="1309"/>
    <x v="11"/>
    <x v="0"/>
  </r>
  <r>
    <n v="8843"/>
    <x v="4409"/>
    <x v="1205"/>
    <d v="2017-02-13T00:00:00"/>
    <s v="Standard Class"/>
    <x v="335"/>
    <s v="Justin Ritter"/>
    <x v="1"/>
    <s v="United States"/>
    <s v="San Francisco"/>
    <x v="1"/>
    <n v="94110"/>
    <x v="1"/>
    <x v="788"/>
    <x v="2"/>
    <x v="11"/>
    <x v="786"/>
    <x v="937"/>
    <x v="11"/>
    <x v="0"/>
  </r>
  <r>
    <n v="8844"/>
    <x v="4410"/>
    <x v="728"/>
    <d v="2015-11-20T00:00:00"/>
    <s v="Second Class"/>
    <x v="36"/>
    <s v="Julie Creighton"/>
    <x v="1"/>
    <s v="United States"/>
    <s v="Minneapolis"/>
    <x v="11"/>
    <n v="55407"/>
    <x v="2"/>
    <x v="1678"/>
    <x v="1"/>
    <x v="4"/>
    <x v="1666"/>
    <x v="5102"/>
    <x v="0"/>
    <x v="2"/>
  </r>
  <r>
    <n v="8845"/>
    <x v="4411"/>
    <x v="404"/>
    <d v="2018-12-23T00:00:00"/>
    <s v="Standard Class"/>
    <x v="443"/>
    <s v="Beth Paige"/>
    <x v="0"/>
    <s v="United States"/>
    <s v="Columbus"/>
    <x v="24"/>
    <n v="43229"/>
    <x v="3"/>
    <x v="1232"/>
    <x v="1"/>
    <x v="8"/>
    <x v="1215"/>
    <x v="5363"/>
    <x v="4"/>
    <x v="3"/>
  </r>
  <r>
    <n v="8846"/>
    <x v="4411"/>
    <x v="404"/>
    <d v="2018-12-23T00:00:00"/>
    <s v="Standard Class"/>
    <x v="443"/>
    <s v="Beth Paige"/>
    <x v="0"/>
    <s v="United States"/>
    <s v="Columbus"/>
    <x v="24"/>
    <n v="43229"/>
    <x v="3"/>
    <x v="131"/>
    <x v="1"/>
    <x v="13"/>
    <x v="132"/>
    <x v="5364"/>
    <x v="4"/>
    <x v="3"/>
  </r>
  <r>
    <n v="8847"/>
    <x v="4411"/>
    <x v="404"/>
    <d v="2018-12-23T00:00:00"/>
    <s v="Standard Class"/>
    <x v="443"/>
    <s v="Beth Paige"/>
    <x v="0"/>
    <s v="United States"/>
    <s v="Columbus"/>
    <x v="24"/>
    <n v="43229"/>
    <x v="3"/>
    <x v="393"/>
    <x v="1"/>
    <x v="10"/>
    <x v="394"/>
    <x v="419"/>
    <x v="4"/>
    <x v="3"/>
  </r>
  <r>
    <n v="8848"/>
    <x v="4411"/>
    <x v="404"/>
    <d v="2018-12-23T00:00:00"/>
    <s v="Standard Class"/>
    <x v="443"/>
    <s v="Beth Paige"/>
    <x v="0"/>
    <s v="United States"/>
    <s v="Columbus"/>
    <x v="24"/>
    <n v="43229"/>
    <x v="3"/>
    <x v="723"/>
    <x v="1"/>
    <x v="9"/>
    <x v="722"/>
    <x v="5365"/>
    <x v="4"/>
    <x v="3"/>
  </r>
  <r>
    <n v="8849"/>
    <x v="4412"/>
    <x v="740"/>
    <d v="2016-07-04T00:00:00"/>
    <s v="First Class"/>
    <x v="135"/>
    <s v="Frank Atkinson"/>
    <x v="1"/>
    <s v="United States"/>
    <s v="Raleigh"/>
    <x v="3"/>
    <n v="27604"/>
    <x v="0"/>
    <x v="918"/>
    <x v="2"/>
    <x v="7"/>
    <x v="910"/>
    <x v="5366"/>
    <x v="7"/>
    <x v="1"/>
  </r>
  <r>
    <n v="8850"/>
    <x v="4412"/>
    <x v="740"/>
    <d v="2016-07-04T00:00:00"/>
    <s v="First Class"/>
    <x v="135"/>
    <s v="Frank Atkinson"/>
    <x v="1"/>
    <s v="United States"/>
    <s v="Raleigh"/>
    <x v="3"/>
    <n v="27604"/>
    <x v="0"/>
    <x v="891"/>
    <x v="0"/>
    <x v="5"/>
    <x v="884"/>
    <x v="5367"/>
    <x v="7"/>
    <x v="1"/>
  </r>
  <r>
    <n v="8851"/>
    <x v="4412"/>
    <x v="740"/>
    <d v="2016-07-04T00:00:00"/>
    <s v="First Class"/>
    <x v="135"/>
    <s v="Frank Atkinson"/>
    <x v="1"/>
    <s v="United States"/>
    <s v="Raleigh"/>
    <x v="3"/>
    <n v="27604"/>
    <x v="0"/>
    <x v="544"/>
    <x v="1"/>
    <x v="8"/>
    <x v="544"/>
    <x v="4698"/>
    <x v="7"/>
    <x v="1"/>
  </r>
  <r>
    <n v="8852"/>
    <x v="4412"/>
    <x v="740"/>
    <d v="2016-07-04T00:00:00"/>
    <s v="First Class"/>
    <x v="135"/>
    <s v="Frank Atkinson"/>
    <x v="1"/>
    <s v="United States"/>
    <s v="Raleigh"/>
    <x v="3"/>
    <n v="27604"/>
    <x v="0"/>
    <x v="707"/>
    <x v="1"/>
    <x v="10"/>
    <x v="706"/>
    <x v="1718"/>
    <x v="7"/>
    <x v="1"/>
  </r>
  <r>
    <n v="8853"/>
    <x v="4413"/>
    <x v="1169"/>
    <d v="2015-10-13T00:00:00"/>
    <s v="Second Class"/>
    <x v="35"/>
    <s v="Duane Noonan"/>
    <x v="0"/>
    <s v="United States"/>
    <s v="New York City"/>
    <x v="15"/>
    <n v="10011"/>
    <x v="3"/>
    <x v="1019"/>
    <x v="1"/>
    <x v="10"/>
    <x v="1010"/>
    <x v="1832"/>
    <x v="2"/>
    <x v="2"/>
  </r>
  <r>
    <n v="8854"/>
    <x v="4414"/>
    <x v="357"/>
    <d v="2016-09-25T00:00:00"/>
    <s v="First Class"/>
    <x v="383"/>
    <s v="Frank Olsen"/>
    <x v="0"/>
    <s v="United States"/>
    <s v="Philadelphia"/>
    <x v="9"/>
    <n v="19143"/>
    <x v="3"/>
    <x v="1205"/>
    <x v="1"/>
    <x v="14"/>
    <x v="1190"/>
    <x v="5368"/>
    <x v="8"/>
    <x v="1"/>
  </r>
  <r>
    <n v="8855"/>
    <x v="4414"/>
    <x v="357"/>
    <d v="2016-09-25T00:00:00"/>
    <s v="First Class"/>
    <x v="383"/>
    <s v="Frank Olsen"/>
    <x v="0"/>
    <s v="United States"/>
    <s v="Philadelphia"/>
    <x v="9"/>
    <n v="19143"/>
    <x v="3"/>
    <x v="217"/>
    <x v="2"/>
    <x v="11"/>
    <x v="218"/>
    <x v="231"/>
    <x v="8"/>
    <x v="1"/>
  </r>
  <r>
    <n v="8856"/>
    <x v="4415"/>
    <x v="165"/>
    <d v="2018-12-30T00:00:00"/>
    <s v="Standard Class"/>
    <x v="317"/>
    <s v="Dave Poirier"/>
    <x v="1"/>
    <s v="United States"/>
    <s v="Meridian"/>
    <x v="45"/>
    <n v="83642"/>
    <x v="1"/>
    <x v="213"/>
    <x v="1"/>
    <x v="8"/>
    <x v="214"/>
    <x v="3309"/>
    <x v="4"/>
    <x v="3"/>
  </r>
  <r>
    <n v="8857"/>
    <x v="4416"/>
    <x v="119"/>
    <d v="2018-10-20T00:00:00"/>
    <s v="Standard Class"/>
    <x v="478"/>
    <s v="Jane Waco"/>
    <x v="1"/>
    <s v="United States"/>
    <s v="Sacramento"/>
    <x v="1"/>
    <n v="95823"/>
    <x v="1"/>
    <x v="343"/>
    <x v="2"/>
    <x v="11"/>
    <x v="343"/>
    <x v="4383"/>
    <x v="2"/>
    <x v="3"/>
  </r>
  <r>
    <n v="8858"/>
    <x v="4416"/>
    <x v="119"/>
    <d v="2018-10-20T00:00:00"/>
    <s v="Standard Class"/>
    <x v="478"/>
    <s v="Jane Waco"/>
    <x v="1"/>
    <s v="United States"/>
    <s v="Sacramento"/>
    <x v="1"/>
    <n v="95823"/>
    <x v="1"/>
    <x v="1431"/>
    <x v="2"/>
    <x v="7"/>
    <x v="1419"/>
    <x v="236"/>
    <x v="2"/>
    <x v="3"/>
  </r>
  <r>
    <n v="8859"/>
    <x v="4416"/>
    <x v="119"/>
    <d v="2018-10-20T00:00:00"/>
    <s v="Standard Class"/>
    <x v="478"/>
    <s v="Jane Waco"/>
    <x v="1"/>
    <s v="United States"/>
    <s v="Sacramento"/>
    <x v="1"/>
    <n v="95823"/>
    <x v="1"/>
    <x v="450"/>
    <x v="1"/>
    <x v="8"/>
    <x v="451"/>
    <x v="5369"/>
    <x v="2"/>
    <x v="3"/>
  </r>
  <r>
    <n v="8860"/>
    <x v="4417"/>
    <x v="648"/>
    <d v="2018-08-26T00:00:00"/>
    <s v="Standard Class"/>
    <x v="499"/>
    <s v="Tonja Turnell"/>
    <x v="2"/>
    <s v="United States"/>
    <s v="Charlotte"/>
    <x v="3"/>
    <n v="28205"/>
    <x v="0"/>
    <x v="1517"/>
    <x v="2"/>
    <x v="7"/>
    <x v="1504"/>
    <x v="3539"/>
    <x v="6"/>
    <x v="3"/>
  </r>
  <r>
    <n v="8861"/>
    <x v="4418"/>
    <x v="861"/>
    <d v="2016-09-18T00:00:00"/>
    <s v="Standard Class"/>
    <x v="381"/>
    <s v="Skye Norling"/>
    <x v="2"/>
    <s v="United States"/>
    <s v="Paterson"/>
    <x v="30"/>
    <n v="7501"/>
    <x v="3"/>
    <x v="1655"/>
    <x v="1"/>
    <x v="2"/>
    <x v="1643"/>
    <x v="2496"/>
    <x v="8"/>
    <x v="1"/>
  </r>
  <r>
    <n v="8862"/>
    <x v="4418"/>
    <x v="861"/>
    <d v="2016-09-18T00:00:00"/>
    <s v="Standard Class"/>
    <x v="381"/>
    <s v="Skye Norling"/>
    <x v="2"/>
    <s v="United States"/>
    <s v="Paterson"/>
    <x v="30"/>
    <n v="7501"/>
    <x v="3"/>
    <x v="1348"/>
    <x v="0"/>
    <x v="5"/>
    <x v="1333"/>
    <x v="4056"/>
    <x v="8"/>
    <x v="1"/>
  </r>
  <r>
    <n v="8863"/>
    <x v="4418"/>
    <x v="861"/>
    <d v="2016-09-18T00:00:00"/>
    <s v="Standard Class"/>
    <x v="381"/>
    <s v="Skye Norling"/>
    <x v="2"/>
    <s v="United States"/>
    <s v="Paterson"/>
    <x v="30"/>
    <n v="7501"/>
    <x v="3"/>
    <x v="270"/>
    <x v="1"/>
    <x v="8"/>
    <x v="270"/>
    <x v="4582"/>
    <x v="8"/>
    <x v="1"/>
  </r>
  <r>
    <n v="8864"/>
    <x v="4418"/>
    <x v="861"/>
    <d v="2016-09-18T00:00:00"/>
    <s v="Standard Class"/>
    <x v="381"/>
    <s v="Skye Norling"/>
    <x v="2"/>
    <s v="United States"/>
    <s v="Paterson"/>
    <x v="30"/>
    <n v="7501"/>
    <x v="3"/>
    <x v="1109"/>
    <x v="1"/>
    <x v="9"/>
    <x v="1098"/>
    <x v="5370"/>
    <x v="8"/>
    <x v="1"/>
  </r>
  <r>
    <n v="8865"/>
    <x v="4418"/>
    <x v="861"/>
    <d v="2016-09-18T00:00:00"/>
    <s v="Standard Class"/>
    <x v="381"/>
    <s v="Skye Norling"/>
    <x v="2"/>
    <s v="United States"/>
    <s v="Paterson"/>
    <x v="30"/>
    <n v="7501"/>
    <x v="3"/>
    <x v="1650"/>
    <x v="1"/>
    <x v="10"/>
    <x v="1639"/>
    <x v="783"/>
    <x v="8"/>
    <x v="1"/>
  </r>
  <r>
    <n v="8866"/>
    <x v="4419"/>
    <x v="139"/>
    <d v="2016-12-26T00:00:00"/>
    <s v="Standard Class"/>
    <x v="622"/>
    <s v="John Murray"/>
    <x v="0"/>
    <s v="United States"/>
    <s v="Arlington"/>
    <x v="17"/>
    <n v="22204"/>
    <x v="0"/>
    <x v="1204"/>
    <x v="1"/>
    <x v="9"/>
    <x v="1189"/>
    <x v="2267"/>
    <x v="4"/>
    <x v="1"/>
  </r>
  <r>
    <n v="8867"/>
    <x v="4420"/>
    <x v="59"/>
    <d v="2015-09-23T00:00:00"/>
    <s v="First Class"/>
    <x v="766"/>
    <s v="Sarah Brown"/>
    <x v="0"/>
    <s v="United States"/>
    <s v="Chicago"/>
    <x v="10"/>
    <n v="60653"/>
    <x v="2"/>
    <x v="1601"/>
    <x v="0"/>
    <x v="0"/>
    <x v="1593"/>
    <x v="5371"/>
    <x v="8"/>
    <x v="2"/>
  </r>
  <r>
    <n v="8868"/>
    <x v="4420"/>
    <x v="59"/>
    <d v="2015-09-23T00:00:00"/>
    <s v="First Class"/>
    <x v="766"/>
    <s v="Sarah Brown"/>
    <x v="0"/>
    <s v="United States"/>
    <s v="Chicago"/>
    <x v="10"/>
    <n v="60653"/>
    <x v="2"/>
    <x v="1091"/>
    <x v="2"/>
    <x v="7"/>
    <x v="1081"/>
    <x v="1731"/>
    <x v="8"/>
    <x v="2"/>
  </r>
  <r>
    <n v="8869"/>
    <x v="4421"/>
    <x v="254"/>
    <d v="2017-11-08T00:00:00"/>
    <s v="Standard Class"/>
    <x v="693"/>
    <s v="Cindy Chapman"/>
    <x v="0"/>
    <s v="United States"/>
    <s v="San Diego"/>
    <x v="1"/>
    <n v="92037"/>
    <x v="1"/>
    <x v="1771"/>
    <x v="2"/>
    <x v="15"/>
    <x v="1761"/>
    <x v="5372"/>
    <x v="0"/>
    <x v="0"/>
  </r>
  <r>
    <n v="8870"/>
    <x v="4422"/>
    <x v="96"/>
    <d v="2018-12-06T00:00:00"/>
    <s v="Standard Class"/>
    <x v="64"/>
    <s v="Sally Hughsby"/>
    <x v="1"/>
    <s v="United States"/>
    <s v="Seattle"/>
    <x v="4"/>
    <n v="98105"/>
    <x v="1"/>
    <x v="1406"/>
    <x v="1"/>
    <x v="8"/>
    <x v="1393"/>
    <x v="204"/>
    <x v="4"/>
    <x v="3"/>
  </r>
  <r>
    <n v="8871"/>
    <x v="4422"/>
    <x v="96"/>
    <d v="2018-12-06T00:00:00"/>
    <s v="Standard Class"/>
    <x v="64"/>
    <s v="Sally Hughsby"/>
    <x v="1"/>
    <s v="United States"/>
    <s v="Seattle"/>
    <x v="4"/>
    <n v="98105"/>
    <x v="1"/>
    <x v="325"/>
    <x v="0"/>
    <x v="5"/>
    <x v="325"/>
    <x v="5373"/>
    <x v="4"/>
    <x v="3"/>
  </r>
  <r>
    <n v="8872"/>
    <x v="4422"/>
    <x v="96"/>
    <d v="2018-12-06T00:00:00"/>
    <s v="Standard Class"/>
    <x v="64"/>
    <s v="Sally Hughsby"/>
    <x v="1"/>
    <s v="United States"/>
    <s v="Seattle"/>
    <x v="4"/>
    <n v="98105"/>
    <x v="1"/>
    <x v="273"/>
    <x v="1"/>
    <x v="4"/>
    <x v="273"/>
    <x v="5023"/>
    <x v="4"/>
    <x v="3"/>
  </r>
  <r>
    <n v="8873"/>
    <x v="4423"/>
    <x v="982"/>
    <d v="2015-10-10T00:00:00"/>
    <s v="Same Day"/>
    <x v="579"/>
    <s v="Richard Bierner"/>
    <x v="0"/>
    <s v="United States"/>
    <s v="Columbus"/>
    <x v="24"/>
    <n v="43229"/>
    <x v="3"/>
    <x v="1844"/>
    <x v="2"/>
    <x v="15"/>
    <x v="1832"/>
    <x v="5374"/>
    <x v="2"/>
    <x v="2"/>
  </r>
  <r>
    <n v="8874"/>
    <x v="4423"/>
    <x v="982"/>
    <d v="2015-10-10T00:00:00"/>
    <s v="Same Day"/>
    <x v="579"/>
    <s v="Richard Bierner"/>
    <x v="0"/>
    <s v="United States"/>
    <s v="Columbus"/>
    <x v="24"/>
    <n v="43229"/>
    <x v="3"/>
    <x v="471"/>
    <x v="1"/>
    <x v="8"/>
    <x v="472"/>
    <x v="3487"/>
    <x v="2"/>
    <x v="2"/>
  </r>
  <r>
    <n v="8875"/>
    <x v="4424"/>
    <x v="237"/>
    <d v="2018-11-16T00:00:00"/>
    <s v="Second Class"/>
    <x v="646"/>
    <s v="Toby Carlisle"/>
    <x v="0"/>
    <s v="United States"/>
    <s v="Houston"/>
    <x v="5"/>
    <n v="77095"/>
    <x v="2"/>
    <x v="715"/>
    <x v="1"/>
    <x v="8"/>
    <x v="714"/>
    <x v="839"/>
    <x v="0"/>
    <x v="3"/>
  </r>
  <r>
    <n v="8876"/>
    <x v="4425"/>
    <x v="572"/>
    <d v="2017-08-19T00:00:00"/>
    <s v="Standard Class"/>
    <x v="564"/>
    <s v="Carol Triggs"/>
    <x v="0"/>
    <s v="United States"/>
    <s v="Irving"/>
    <x v="5"/>
    <n v="75061"/>
    <x v="2"/>
    <x v="413"/>
    <x v="1"/>
    <x v="14"/>
    <x v="413"/>
    <x v="439"/>
    <x v="6"/>
    <x v="0"/>
  </r>
  <r>
    <n v="8877"/>
    <x v="4425"/>
    <x v="572"/>
    <d v="2017-08-19T00:00:00"/>
    <s v="Standard Class"/>
    <x v="564"/>
    <s v="Carol Triggs"/>
    <x v="0"/>
    <s v="United States"/>
    <s v="Irving"/>
    <x v="5"/>
    <n v="75061"/>
    <x v="2"/>
    <x v="1218"/>
    <x v="1"/>
    <x v="9"/>
    <x v="1202"/>
    <x v="5375"/>
    <x v="6"/>
    <x v="0"/>
  </r>
  <r>
    <n v="8878"/>
    <x v="4426"/>
    <x v="697"/>
    <d v="2018-09-23T00:00:00"/>
    <s v="Standard Class"/>
    <x v="47"/>
    <s v="Gary Zandusky"/>
    <x v="0"/>
    <s v="United States"/>
    <s v="Morristown"/>
    <x v="30"/>
    <n v="7960"/>
    <x v="3"/>
    <x v="1845"/>
    <x v="2"/>
    <x v="15"/>
    <x v="1833"/>
    <x v="5376"/>
    <x v="8"/>
    <x v="3"/>
  </r>
  <r>
    <n v="8879"/>
    <x v="4426"/>
    <x v="697"/>
    <d v="2018-09-23T00:00:00"/>
    <s v="Standard Class"/>
    <x v="47"/>
    <s v="Gary Zandusky"/>
    <x v="0"/>
    <s v="United States"/>
    <s v="Morristown"/>
    <x v="30"/>
    <n v="7960"/>
    <x v="3"/>
    <x v="75"/>
    <x v="1"/>
    <x v="4"/>
    <x v="75"/>
    <x v="3881"/>
    <x v="8"/>
    <x v="3"/>
  </r>
  <r>
    <n v="8880"/>
    <x v="4427"/>
    <x v="391"/>
    <d v="2016-03-25T00:00:00"/>
    <s v="First Class"/>
    <x v="87"/>
    <s v="Alice McCarthy"/>
    <x v="1"/>
    <s v="United States"/>
    <s v="Los Angeles"/>
    <x v="1"/>
    <n v="90008"/>
    <x v="1"/>
    <x v="161"/>
    <x v="1"/>
    <x v="10"/>
    <x v="1295"/>
    <x v="5377"/>
    <x v="10"/>
    <x v="1"/>
  </r>
  <r>
    <n v="8881"/>
    <x v="4427"/>
    <x v="391"/>
    <d v="2016-03-25T00:00:00"/>
    <s v="First Class"/>
    <x v="87"/>
    <s v="Alice McCarthy"/>
    <x v="1"/>
    <s v="United States"/>
    <s v="Los Angeles"/>
    <x v="1"/>
    <n v="90008"/>
    <x v="1"/>
    <x v="1105"/>
    <x v="2"/>
    <x v="11"/>
    <x v="1094"/>
    <x v="758"/>
    <x v="10"/>
    <x v="1"/>
  </r>
  <r>
    <n v="8882"/>
    <x v="4428"/>
    <x v="1186"/>
    <d v="2017-07-03T00:00:00"/>
    <s v="Second Class"/>
    <x v="571"/>
    <s v="Adrian Hane"/>
    <x v="2"/>
    <s v="United States"/>
    <s v="Aurora"/>
    <x v="10"/>
    <n v="60505"/>
    <x v="2"/>
    <x v="1044"/>
    <x v="2"/>
    <x v="11"/>
    <x v="1033"/>
    <x v="2255"/>
    <x v="1"/>
    <x v="0"/>
  </r>
  <r>
    <n v="8883"/>
    <x v="4429"/>
    <x v="179"/>
    <d v="2018-10-25T00:00:00"/>
    <s v="Standard Class"/>
    <x v="501"/>
    <s v="Muhammed Yedwab"/>
    <x v="1"/>
    <s v="United States"/>
    <s v="Durham"/>
    <x v="3"/>
    <n v="27707"/>
    <x v="0"/>
    <x v="1557"/>
    <x v="2"/>
    <x v="7"/>
    <x v="1546"/>
    <x v="2913"/>
    <x v="2"/>
    <x v="3"/>
  </r>
  <r>
    <n v="8884"/>
    <x v="4429"/>
    <x v="179"/>
    <d v="2018-10-25T00:00:00"/>
    <s v="Standard Class"/>
    <x v="501"/>
    <s v="Muhammed Yedwab"/>
    <x v="1"/>
    <s v="United States"/>
    <s v="Durham"/>
    <x v="3"/>
    <n v="27707"/>
    <x v="0"/>
    <x v="457"/>
    <x v="1"/>
    <x v="10"/>
    <x v="458"/>
    <x v="642"/>
    <x v="2"/>
    <x v="3"/>
  </r>
  <r>
    <n v="8885"/>
    <x v="4430"/>
    <x v="55"/>
    <d v="2015-08-30T00:00:00"/>
    <s v="Standard Class"/>
    <x v="29"/>
    <s v="Brendan Sweed"/>
    <x v="1"/>
    <s v="United States"/>
    <s v="Columbus"/>
    <x v="24"/>
    <n v="43229"/>
    <x v="3"/>
    <x v="304"/>
    <x v="1"/>
    <x v="8"/>
    <x v="304"/>
    <x v="5378"/>
    <x v="6"/>
    <x v="2"/>
  </r>
  <r>
    <n v="8886"/>
    <x v="4430"/>
    <x v="55"/>
    <d v="2015-08-30T00:00:00"/>
    <s v="Standard Class"/>
    <x v="29"/>
    <s v="Brendan Sweed"/>
    <x v="1"/>
    <s v="United States"/>
    <s v="Columbus"/>
    <x v="24"/>
    <n v="43229"/>
    <x v="3"/>
    <x v="1310"/>
    <x v="1"/>
    <x v="8"/>
    <x v="1296"/>
    <x v="5379"/>
    <x v="6"/>
    <x v="2"/>
  </r>
  <r>
    <n v="8887"/>
    <x v="4430"/>
    <x v="55"/>
    <d v="2015-08-30T00:00:00"/>
    <s v="Standard Class"/>
    <x v="29"/>
    <s v="Brendan Sweed"/>
    <x v="1"/>
    <s v="United States"/>
    <s v="Columbus"/>
    <x v="24"/>
    <n v="43229"/>
    <x v="3"/>
    <x v="530"/>
    <x v="1"/>
    <x v="8"/>
    <x v="530"/>
    <x v="5380"/>
    <x v="6"/>
    <x v="2"/>
  </r>
  <r>
    <n v="8888"/>
    <x v="4431"/>
    <x v="923"/>
    <d v="2015-07-30T00:00:00"/>
    <s v="Second Class"/>
    <x v="121"/>
    <s v="Barry Blumstein"/>
    <x v="1"/>
    <s v="United States"/>
    <s v="Los Angeles"/>
    <x v="1"/>
    <n v="90036"/>
    <x v="1"/>
    <x v="942"/>
    <x v="1"/>
    <x v="4"/>
    <x v="935"/>
    <x v="5381"/>
    <x v="7"/>
    <x v="2"/>
  </r>
  <r>
    <n v="8889"/>
    <x v="4432"/>
    <x v="96"/>
    <d v="2018-12-07T00:00:00"/>
    <s v="Standard Class"/>
    <x v="529"/>
    <s v="Max Ludwig"/>
    <x v="2"/>
    <s v="United States"/>
    <s v="Stockton"/>
    <x v="1"/>
    <n v="95207"/>
    <x v="1"/>
    <x v="583"/>
    <x v="0"/>
    <x v="5"/>
    <x v="583"/>
    <x v="5382"/>
    <x v="4"/>
    <x v="3"/>
  </r>
  <r>
    <n v="8890"/>
    <x v="4433"/>
    <x v="508"/>
    <d v="2017-10-21T00:00:00"/>
    <s v="Second Class"/>
    <x v="763"/>
    <s v="Frank Carlisle"/>
    <x v="2"/>
    <s v="United States"/>
    <s v="Columbia"/>
    <x v="25"/>
    <n v="65203"/>
    <x v="2"/>
    <x v="1334"/>
    <x v="2"/>
    <x v="7"/>
    <x v="1319"/>
    <x v="5383"/>
    <x v="2"/>
    <x v="0"/>
  </r>
  <r>
    <n v="8891"/>
    <x v="4433"/>
    <x v="508"/>
    <d v="2017-10-21T00:00:00"/>
    <s v="Second Class"/>
    <x v="763"/>
    <s v="Frank Carlisle"/>
    <x v="2"/>
    <s v="United States"/>
    <s v="Columbia"/>
    <x v="25"/>
    <n v="65203"/>
    <x v="2"/>
    <x v="1341"/>
    <x v="1"/>
    <x v="9"/>
    <x v="1326"/>
    <x v="5384"/>
    <x v="2"/>
    <x v="0"/>
  </r>
  <r>
    <n v="8892"/>
    <x v="4434"/>
    <x v="1142"/>
    <d v="2017-09-18T00:00:00"/>
    <s v="First Class"/>
    <x v="128"/>
    <s v="Corey Roper"/>
    <x v="2"/>
    <s v="United States"/>
    <s v="Columbus"/>
    <x v="32"/>
    <n v="31907"/>
    <x v="0"/>
    <x v="64"/>
    <x v="0"/>
    <x v="1"/>
    <x v="64"/>
    <x v="5385"/>
    <x v="8"/>
    <x v="0"/>
  </r>
  <r>
    <n v="8893"/>
    <x v="4435"/>
    <x v="494"/>
    <d v="2016-12-06T00:00:00"/>
    <s v="Standard Class"/>
    <x v="784"/>
    <s v="Lindsay Castell"/>
    <x v="2"/>
    <s v="United States"/>
    <s v="San Diego"/>
    <x v="1"/>
    <n v="92037"/>
    <x v="1"/>
    <x v="873"/>
    <x v="0"/>
    <x v="1"/>
    <x v="867"/>
    <x v="5386"/>
    <x v="4"/>
    <x v="1"/>
  </r>
  <r>
    <n v="8894"/>
    <x v="4436"/>
    <x v="79"/>
    <d v="2015-08-12T00:00:00"/>
    <s v="Standard Class"/>
    <x v="47"/>
    <s v="Gary Zandusky"/>
    <x v="0"/>
    <s v="United States"/>
    <s v="Texas City"/>
    <x v="5"/>
    <n v="77590"/>
    <x v="2"/>
    <x v="1110"/>
    <x v="0"/>
    <x v="3"/>
    <x v="1099"/>
    <x v="5387"/>
    <x v="6"/>
    <x v="2"/>
  </r>
  <r>
    <n v="8895"/>
    <x v="4437"/>
    <x v="243"/>
    <d v="2017-08-22T00:00:00"/>
    <s v="Standard Class"/>
    <x v="217"/>
    <s v="Bill Donatelli"/>
    <x v="0"/>
    <s v="United States"/>
    <s v="Los Angeles"/>
    <x v="1"/>
    <n v="90004"/>
    <x v="1"/>
    <x v="575"/>
    <x v="0"/>
    <x v="5"/>
    <x v="575"/>
    <x v="5388"/>
    <x v="6"/>
    <x v="0"/>
  </r>
  <r>
    <n v="8896"/>
    <x v="4437"/>
    <x v="243"/>
    <d v="2017-08-22T00:00:00"/>
    <s v="Standard Class"/>
    <x v="217"/>
    <s v="Bill Donatelli"/>
    <x v="0"/>
    <s v="United States"/>
    <s v="Los Angeles"/>
    <x v="1"/>
    <n v="90004"/>
    <x v="1"/>
    <x v="1198"/>
    <x v="1"/>
    <x v="4"/>
    <x v="1183"/>
    <x v="1444"/>
    <x v="6"/>
    <x v="0"/>
  </r>
  <r>
    <n v="8897"/>
    <x v="4437"/>
    <x v="243"/>
    <d v="2017-08-22T00:00:00"/>
    <s v="Standard Class"/>
    <x v="217"/>
    <s v="Bill Donatelli"/>
    <x v="0"/>
    <s v="United States"/>
    <s v="Los Angeles"/>
    <x v="1"/>
    <n v="90004"/>
    <x v="1"/>
    <x v="302"/>
    <x v="2"/>
    <x v="7"/>
    <x v="302"/>
    <x v="5198"/>
    <x v="6"/>
    <x v="0"/>
  </r>
  <r>
    <n v="8898"/>
    <x v="4437"/>
    <x v="243"/>
    <d v="2017-08-22T00:00:00"/>
    <s v="Standard Class"/>
    <x v="217"/>
    <s v="Bill Donatelli"/>
    <x v="0"/>
    <s v="United States"/>
    <s v="Los Angeles"/>
    <x v="1"/>
    <n v="90004"/>
    <x v="1"/>
    <x v="945"/>
    <x v="1"/>
    <x v="10"/>
    <x v="938"/>
    <x v="2778"/>
    <x v="6"/>
    <x v="0"/>
  </r>
  <r>
    <n v="8899"/>
    <x v="4438"/>
    <x v="976"/>
    <d v="2016-08-09T00:00:00"/>
    <s v="Second Class"/>
    <x v="313"/>
    <s v="Eudokia Martin"/>
    <x v="1"/>
    <s v="United States"/>
    <s v="Springfield"/>
    <x v="17"/>
    <n v="22153"/>
    <x v="0"/>
    <x v="1405"/>
    <x v="2"/>
    <x v="7"/>
    <x v="1392"/>
    <x v="4496"/>
    <x v="6"/>
    <x v="1"/>
  </r>
  <r>
    <n v="8900"/>
    <x v="4438"/>
    <x v="976"/>
    <d v="2016-08-09T00:00:00"/>
    <s v="Second Class"/>
    <x v="313"/>
    <s v="Eudokia Martin"/>
    <x v="1"/>
    <s v="United States"/>
    <s v="Springfield"/>
    <x v="17"/>
    <n v="22153"/>
    <x v="0"/>
    <x v="1351"/>
    <x v="1"/>
    <x v="2"/>
    <x v="1337"/>
    <x v="2910"/>
    <x v="6"/>
    <x v="1"/>
  </r>
  <r>
    <n v="8901"/>
    <x v="4439"/>
    <x v="1206"/>
    <d v="2017-06-04T00:00:00"/>
    <s v="Standard Class"/>
    <x v="443"/>
    <s v="Beth Paige"/>
    <x v="0"/>
    <s v="United States"/>
    <s v="Decatur"/>
    <x v="10"/>
    <n v="62521"/>
    <x v="2"/>
    <x v="1831"/>
    <x v="0"/>
    <x v="5"/>
    <x v="1819"/>
    <x v="164"/>
    <x v="5"/>
    <x v="0"/>
  </r>
  <r>
    <n v="8902"/>
    <x v="4439"/>
    <x v="1206"/>
    <d v="2017-06-04T00:00:00"/>
    <s v="Standard Class"/>
    <x v="443"/>
    <s v="Beth Paige"/>
    <x v="0"/>
    <s v="United States"/>
    <s v="Decatur"/>
    <x v="10"/>
    <n v="62521"/>
    <x v="2"/>
    <x v="1828"/>
    <x v="1"/>
    <x v="10"/>
    <x v="1816"/>
    <x v="281"/>
    <x v="5"/>
    <x v="0"/>
  </r>
  <r>
    <n v="8903"/>
    <x v="4439"/>
    <x v="1206"/>
    <d v="2017-06-04T00:00:00"/>
    <s v="Standard Class"/>
    <x v="443"/>
    <s v="Beth Paige"/>
    <x v="0"/>
    <s v="United States"/>
    <s v="Decatur"/>
    <x v="10"/>
    <n v="62521"/>
    <x v="2"/>
    <x v="1455"/>
    <x v="0"/>
    <x v="1"/>
    <x v="1441"/>
    <x v="5389"/>
    <x v="5"/>
    <x v="0"/>
  </r>
  <r>
    <n v="8904"/>
    <x v="4439"/>
    <x v="1206"/>
    <d v="2017-06-04T00:00:00"/>
    <s v="Standard Class"/>
    <x v="443"/>
    <s v="Beth Paige"/>
    <x v="0"/>
    <s v="United States"/>
    <s v="Decatur"/>
    <x v="10"/>
    <n v="62521"/>
    <x v="2"/>
    <x v="747"/>
    <x v="1"/>
    <x v="10"/>
    <x v="745"/>
    <x v="559"/>
    <x v="5"/>
    <x v="0"/>
  </r>
  <r>
    <n v="8905"/>
    <x v="4440"/>
    <x v="949"/>
    <d v="2017-07-01T00:00:00"/>
    <s v="Same Day"/>
    <x v="711"/>
    <s v="Stephanie Ulpright"/>
    <x v="2"/>
    <s v="United States"/>
    <s v="New York City"/>
    <x v="15"/>
    <n v="10009"/>
    <x v="3"/>
    <x v="933"/>
    <x v="1"/>
    <x v="2"/>
    <x v="926"/>
    <x v="5390"/>
    <x v="7"/>
    <x v="0"/>
  </r>
  <r>
    <n v="8906"/>
    <x v="4440"/>
    <x v="949"/>
    <d v="2017-07-01T00:00:00"/>
    <s v="Same Day"/>
    <x v="711"/>
    <s v="Stephanie Ulpright"/>
    <x v="2"/>
    <s v="United States"/>
    <s v="New York City"/>
    <x v="15"/>
    <n v="10009"/>
    <x v="3"/>
    <x v="1386"/>
    <x v="2"/>
    <x v="11"/>
    <x v="1372"/>
    <x v="117"/>
    <x v="7"/>
    <x v="0"/>
  </r>
  <r>
    <n v="8907"/>
    <x v="4440"/>
    <x v="949"/>
    <d v="2017-07-01T00:00:00"/>
    <s v="Same Day"/>
    <x v="711"/>
    <s v="Stephanie Ulpright"/>
    <x v="2"/>
    <s v="United States"/>
    <s v="New York City"/>
    <x v="15"/>
    <n v="10009"/>
    <x v="3"/>
    <x v="144"/>
    <x v="1"/>
    <x v="10"/>
    <x v="145"/>
    <x v="5391"/>
    <x v="7"/>
    <x v="0"/>
  </r>
  <r>
    <n v="8908"/>
    <x v="4441"/>
    <x v="122"/>
    <d v="2017-12-20T00:00:00"/>
    <s v="First Class"/>
    <x v="672"/>
    <s v="Andy Yotov"/>
    <x v="1"/>
    <s v="United States"/>
    <s v="San Francisco"/>
    <x v="1"/>
    <n v="94110"/>
    <x v="1"/>
    <x v="179"/>
    <x v="2"/>
    <x v="7"/>
    <x v="180"/>
    <x v="5392"/>
    <x v="4"/>
    <x v="0"/>
  </r>
  <r>
    <n v="8909"/>
    <x v="4442"/>
    <x v="1207"/>
    <d v="2016-02-01T00:00:00"/>
    <s v="Standard Class"/>
    <x v="605"/>
    <s v="Elizabeth Moffitt"/>
    <x v="1"/>
    <s v="United States"/>
    <s v="Moreno Valley"/>
    <x v="1"/>
    <n v="92553"/>
    <x v="1"/>
    <x v="1274"/>
    <x v="1"/>
    <x v="10"/>
    <x v="1259"/>
    <x v="681"/>
    <x v="9"/>
    <x v="1"/>
  </r>
  <r>
    <n v="8910"/>
    <x v="4443"/>
    <x v="960"/>
    <d v="2018-11-01T00:00:00"/>
    <s v="Standard Class"/>
    <x v="193"/>
    <s v="Sue Ann Reed"/>
    <x v="0"/>
    <s v="United States"/>
    <s v="Everett"/>
    <x v="31"/>
    <n v="2149"/>
    <x v="3"/>
    <x v="148"/>
    <x v="1"/>
    <x v="2"/>
    <x v="149"/>
    <x v="2468"/>
    <x v="2"/>
    <x v="3"/>
  </r>
  <r>
    <n v="8911"/>
    <x v="4444"/>
    <x v="259"/>
    <d v="2018-11-08T00:00:00"/>
    <s v="Standard Class"/>
    <x v="244"/>
    <s v="Christina Anderson"/>
    <x v="0"/>
    <s v="United States"/>
    <s v="Chattanooga"/>
    <x v="18"/>
    <n v="37421"/>
    <x v="0"/>
    <x v="434"/>
    <x v="2"/>
    <x v="11"/>
    <x v="434"/>
    <x v="98"/>
    <x v="0"/>
    <x v="3"/>
  </r>
  <r>
    <n v="8912"/>
    <x v="4444"/>
    <x v="259"/>
    <d v="2018-11-08T00:00:00"/>
    <s v="Standard Class"/>
    <x v="244"/>
    <s v="Christina Anderson"/>
    <x v="0"/>
    <s v="United States"/>
    <s v="Chattanooga"/>
    <x v="18"/>
    <n v="37421"/>
    <x v="0"/>
    <x v="1777"/>
    <x v="2"/>
    <x v="7"/>
    <x v="1767"/>
    <x v="5393"/>
    <x v="0"/>
    <x v="3"/>
  </r>
  <r>
    <n v="8913"/>
    <x v="4444"/>
    <x v="259"/>
    <d v="2018-11-08T00:00:00"/>
    <s v="Standard Class"/>
    <x v="244"/>
    <s v="Christina Anderson"/>
    <x v="0"/>
    <s v="United States"/>
    <s v="Chattanooga"/>
    <x v="18"/>
    <n v="37421"/>
    <x v="0"/>
    <x v="990"/>
    <x v="1"/>
    <x v="8"/>
    <x v="305"/>
    <x v="2940"/>
    <x v="0"/>
    <x v="3"/>
  </r>
  <r>
    <n v="8914"/>
    <x v="4444"/>
    <x v="259"/>
    <d v="2018-11-08T00:00:00"/>
    <s v="Standard Class"/>
    <x v="244"/>
    <s v="Christina Anderson"/>
    <x v="0"/>
    <s v="United States"/>
    <s v="Chattanooga"/>
    <x v="18"/>
    <n v="37421"/>
    <x v="0"/>
    <x v="1038"/>
    <x v="1"/>
    <x v="2"/>
    <x v="1028"/>
    <x v="1253"/>
    <x v="0"/>
    <x v="3"/>
  </r>
  <r>
    <n v="8915"/>
    <x v="4445"/>
    <x v="195"/>
    <d v="2017-05-13T00:00:00"/>
    <s v="Standard Class"/>
    <x v="51"/>
    <s v="Cynthia Voltz"/>
    <x v="1"/>
    <s v="United States"/>
    <s v="Austin"/>
    <x v="5"/>
    <n v="78745"/>
    <x v="2"/>
    <x v="518"/>
    <x v="1"/>
    <x v="4"/>
    <x v="518"/>
    <x v="5394"/>
    <x v="5"/>
    <x v="0"/>
  </r>
  <r>
    <n v="8916"/>
    <x v="4445"/>
    <x v="195"/>
    <d v="2017-05-13T00:00:00"/>
    <s v="Standard Class"/>
    <x v="51"/>
    <s v="Cynthia Voltz"/>
    <x v="1"/>
    <s v="United States"/>
    <s v="Austin"/>
    <x v="5"/>
    <n v="78745"/>
    <x v="2"/>
    <x v="91"/>
    <x v="1"/>
    <x v="8"/>
    <x v="91"/>
    <x v="1223"/>
    <x v="5"/>
    <x v="0"/>
  </r>
  <r>
    <n v="8917"/>
    <x v="4445"/>
    <x v="195"/>
    <d v="2017-05-13T00:00:00"/>
    <s v="Standard Class"/>
    <x v="51"/>
    <s v="Cynthia Voltz"/>
    <x v="1"/>
    <s v="United States"/>
    <s v="Austin"/>
    <x v="5"/>
    <n v="78745"/>
    <x v="2"/>
    <x v="1712"/>
    <x v="1"/>
    <x v="9"/>
    <x v="1700"/>
    <x v="3586"/>
    <x v="5"/>
    <x v="0"/>
  </r>
  <r>
    <n v="8918"/>
    <x v="4445"/>
    <x v="195"/>
    <d v="2017-05-13T00:00:00"/>
    <s v="Standard Class"/>
    <x v="51"/>
    <s v="Cynthia Voltz"/>
    <x v="1"/>
    <s v="United States"/>
    <s v="Austin"/>
    <x v="5"/>
    <n v="78745"/>
    <x v="2"/>
    <x v="136"/>
    <x v="1"/>
    <x v="10"/>
    <x v="137"/>
    <x v="4981"/>
    <x v="5"/>
    <x v="0"/>
  </r>
  <r>
    <n v="8919"/>
    <x v="4445"/>
    <x v="195"/>
    <d v="2017-05-13T00:00:00"/>
    <s v="Standard Class"/>
    <x v="51"/>
    <s v="Cynthia Voltz"/>
    <x v="1"/>
    <s v="United States"/>
    <s v="Austin"/>
    <x v="5"/>
    <n v="78745"/>
    <x v="2"/>
    <x v="1087"/>
    <x v="1"/>
    <x v="8"/>
    <x v="1077"/>
    <x v="4964"/>
    <x v="5"/>
    <x v="0"/>
  </r>
  <r>
    <n v="8920"/>
    <x v="4446"/>
    <x v="1063"/>
    <d v="2015-04-08T00:00:00"/>
    <s v="Standard Class"/>
    <x v="706"/>
    <s v="Anna Häberlin"/>
    <x v="1"/>
    <s v="United States"/>
    <s v="Virginia Beach"/>
    <x v="17"/>
    <n v="23464"/>
    <x v="0"/>
    <x v="1740"/>
    <x v="0"/>
    <x v="5"/>
    <x v="1729"/>
    <x v="5395"/>
    <x v="3"/>
    <x v="2"/>
  </r>
  <r>
    <n v="8921"/>
    <x v="4447"/>
    <x v="582"/>
    <d v="2015-05-03T00:00:00"/>
    <s v="Standard Class"/>
    <x v="103"/>
    <s v="David Smith"/>
    <x v="1"/>
    <s v="United States"/>
    <s v="Jamestown"/>
    <x v="15"/>
    <n v="14701"/>
    <x v="3"/>
    <x v="1105"/>
    <x v="2"/>
    <x v="11"/>
    <x v="1094"/>
    <x v="457"/>
    <x v="3"/>
    <x v="2"/>
  </r>
  <r>
    <n v="8922"/>
    <x v="4448"/>
    <x v="964"/>
    <d v="2017-10-08T00:00:00"/>
    <s v="Standard Class"/>
    <x v="706"/>
    <s v="Anna Häberlin"/>
    <x v="1"/>
    <s v="United States"/>
    <s v="Coral Gables"/>
    <x v="2"/>
    <n v="33134"/>
    <x v="0"/>
    <x v="1513"/>
    <x v="2"/>
    <x v="7"/>
    <x v="1500"/>
    <x v="2610"/>
    <x v="2"/>
    <x v="0"/>
  </r>
  <r>
    <n v="8923"/>
    <x v="4448"/>
    <x v="964"/>
    <d v="2017-10-08T00:00:00"/>
    <s v="Standard Class"/>
    <x v="706"/>
    <s v="Anna Häberlin"/>
    <x v="1"/>
    <s v="United States"/>
    <s v="Coral Gables"/>
    <x v="2"/>
    <n v="33134"/>
    <x v="0"/>
    <x v="763"/>
    <x v="0"/>
    <x v="5"/>
    <x v="762"/>
    <x v="5396"/>
    <x v="2"/>
    <x v="0"/>
  </r>
  <r>
    <n v="8924"/>
    <x v="4449"/>
    <x v="532"/>
    <d v="2018-06-17T00:00:00"/>
    <s v="Standard Class"/>
    <x v="233"/>
    <s v="Zuschuss Carroll"/>
    <x v="0"/>
    <s v="United States"/>
    <s v="Hickory"/>
    <x v="3"/>
    <n v="28601"/>
    <x v="0"/>
    <x v="31"/>
    <x v="1"/>
    <x v="8"/>
    <x v="31"/>
    <x v="5397"/>
    <x v="1"/>
    <x v="3"/>
  </r>
  <r>
    <n v="8925"/>
    <x v="4450"/>
    <x v="806"/>
    <d v="2017-02-03T00:00:00"/>
    <s v="Standard Class"/>
    <x v="650"/>
    <s v="David Flashing"/>
    <x v="0"/>
    <s v="United States"/>
    <s v="Rockford"/>
    <x v="10"/>
    <n v="61107"/>
    <x v="2"/>
    <x v="1846"/>
    <x v="2"/>
    <x v="7"/>
    <x v="1834"/>
    <x v="4188"/>
    <x v="9"/>
    <x v="0"/>
  </r>
  <r>
    <n v="8926"/>
    <x v="4450"/>
    <x v="806"/>
    <d v="2017-02-03T00:00:00"/>
    <s v="Standard Class"/>
    <x v="650"/>
    <s v="David Flashing"/>
    <x v="0"/>
    <s v="United States"/>
    <s v="Rockford"/>
    <x v="10"/>
    <n v="61107"/>
    <x v="2"/>
    <x v="614"/>
    <x v="1"/>
    <x v="8"/>
    <x v="614"/>
    <x v="1089"/>
    <x v="9"/>
    <x v="0"/>
  </r>
  <r>
    <n v="8927"/>
    <x v="4450"/>
    <x v="806"/>
    <d v="2017-02-03T00:00:00"/>
    <s v="Standard Class"/>
    <x v="650"/>
    <s v="David Flashing"/>
    <x v="0"/>
    <s v="United States"/>
    <s v="Rockford"/>
    <x v="10"/>
    <n v="61107"/>
    <x v="2"/>
    <x v="489"/>
    <x v="0"/>
    <x v="3"/>
    <x v="489"/>
    <x v="5398"/>
    <x v="9"/>
    <x v="0"/>
  </r>
  <r>
    <n v="8928"/>
    <x v="4451"/>
    <x v="874"/>
    <d v="2016-09-29T00:00:00"/>
    <s v="Second Class"/>
    <x v="164"/>
    <s v="Saphhira Shifley"/>
    <x v="1"/>
    <s v="United States"/>
    <s v="Seattle"/>
    <x v="4"/>
    <n v="98103"/>
    <x v="1"/>
    <x v="1167"/>
    <x v="1"/>
    <x v="6"/>
    <x v="1154"/>
    <x v="1593"/>
    <x v="8"/>
    <x v="1"/>
  </r>
  <r>
    <n v="8929"/>
    <x v="4452"/>
    <x v="657"/>
    <d v="2016-04-17T00:00:00"/>
    <s v="Standard Class"/>
    <x v="224"/>
    <s v="Frank Preis"/>
    <x v="0"/>
    <s v="United States"/>
    <s v="Huntsville"/>
    <x v="5"/>
    <n v="77340"/>
    <x v="2"/>
    <x v="562"/>
    <x v="0"/>
    <x v="3"/>
    <x v="561"/>
    <x v="4788"/>
    <x v="3"/>
    <x v="1"/>
  </r>
  <r>
    <n v="8930"/>
    <x v="4452"/>
    <x v="657"/>
    <d v="2016-04-17T00:00:00"/>
    <s v="Standard Class"/>
    <x v="224"/>
    <s v="Frank Preis"/>
    <x v="0"/>
    <s v="United States"/>
    <s v="Huntsville"/>
    <x v="5"/>
    <n v="77340"/>
    <x v="2"/>
    <x v="1000"/>
    <x v="0"/>
    <x v="3"/>
    <x v="992"/>
    <x v="5399"/>
    <x v="3"/>
    <x v="1"/>
  </r>
  <r>
    <n v="8931"/>
    <x v="4452"/>
    <x v="657"/>
    <d v="2016-04-17T00:00:00"/>
    <s v="Standard Class"/>
    <x v="224"/>
    <s v="Frank Preis"/>
    <x v="0"/>
    <s v="United States"/>
    <s v="Huntsville"/>
    <x v="5"/>
    <n v="77340"/>
    <x v="2"/>
    <x v="835"/>
    <x v="2"/>
    <x v="7"/>
    <x v="830"/>
    <x v="1946"/>
    <x v="3"/>
    <x v="1"/>
  </r>
  <r>
    <n v="8932"/>
    <x v="4453"/>
    <x v="404"/>
    <d v="2018-12-24T00:00:00"/>
    <s v="Standard Class"/>
    <x v="785"/>
    <s v="Harold Engle"/>
    <x v="1"/>
    <s v="United States"/>
    <s v="Milwaukee"/>
    <x v="6"/>
    <n v="53209"/>
    <x v="2"/>
    <x v="1801"/>
    <x v="0"/>
    <x v="5"/>
    <x v="1791"/>
    <x v="5400"/>
    <x v="4"/>
    <x v="3"/>
  </r>
  <r>
    <n v="8933"/>
    <x v="4453"/>
    <x v="404"/>
    <d v="2018-12-24T00:00:00"/>
    <s v="Standard Class"/>
    <x v="785"/>
    <s v="Harold Engle"/>
    <x v="1"/>
    <s v="United States"/>
    <s v="Milwaukee"/>
    <x v="6"/>
    <n v="53209"/>
    <x v="2"/>
    <x v="1599"/>
    <x v="2"/>
    <x v="11"/>
    <x v="1591"/>
    <x v="1599"/>
    <x v="4"/>
    <x v="3"/>
  </r>
  <r>
    <n v="8934"/>
    <x v="4454"/>
    <x v="560"/>
    <d v="2017-03-19T00:00:00"/>
    <s v="Standard Class"/>
    <x v="259"/>
    <s v="Sibella Parks"/>
    <x v="1"/>
    <s v="United States"/>
    <s v="Green Bay"/>
    <x v="6"/>
    <n v="54302"/>
    <x v="2"/>
    <x v="904"/>
    <x v="0"/>
    <x v="5"/>
    <x v="896"/>
    <x v="80"/>
    <x v="10"/>
    <x v="0"/>
  </r>
  <r>
    <n v="8935"/>
    <x v="4455"/>
    <x v="151"/>
    <d v="2018-08-27T00:00:00"/>
    <s v="Same Day"/>
    <x v="130"/>
    <s v="Ben Peterman"/>
    <x v="1"/>
    <s v="United States"/>
    <s v="Philadelphia"/>
    <x v="9"/>
    <n v="19120"/>
    <x v="3"/>
    <x v="1157"/>
    <x v="1"/>
    <x v="10"/>
    <x v="1145"/>
    <x v="2485"/>
    <x v="6"/>
    <x v="3"/>
  </r>
  <r>
    <n v="8936"/>
    <x v="4455"/>
    <x v="151"/>
    <d v="2018-08-27T00:00:00"/>
    <s v="Same Day"/>
    <x v="130"/>
    <s v="Ben Peterman"/>
    <x v="1"/>
    <s v="United States"/>
    <s v="Philadelphia"/>
    <x v="9"/>
    <n v="19120"/>
    <x v="3"/>
    <x v="295"/>
    <x v="2"/>
    <x v="11"/>
    <x v="295"/>
    <x v="5401"/>
    <x v="6"/>
    <x v="3"/>
  </r>
  <r>
    <n v="8937"/>
    <x v="4456"/>
    <x v="997"/>
    <d v="2016-12-19T00:00:00"/>
    <s v="Second Class"/>
    <x v="38"/>
    <s v="Paul Gonzalez"/>
    <x v="0"/>
    <s v="United States"/>
    <s v="Los Angeles"/>
    <x v="1"/>
    <n v="90008"/>
    <x v="1"/>
    <x v="894"/>
    <x v="1"/>
    <x v="6"/>
    <x v="887"/>
    <x v="3054"/>
    <x v="4"/>
    <x v="1"/>
  </r>
  <r>
    <n v="8938"/>
    <x v="4456"/>
    <x v="997"/>
    <d v="2016-12-19T00:00:00"/>
    <s v="Second Class"/>
    <x v="38"/>
    <s v="Paul Gonzalez"/>
    <x v="0"/>
    <s v="United States"/>
    <s v="Los Angeles"/>
    <x v="1"/>
    <n v="90008"/>
    <x v="1"/>
    <x v="1495"/>
    <x v="2"/>
    <x v="7"/>
    <x v="1483"/>
    <x v="5402"/>
    <x v="4"/>
    <x v="1"/>
  </r>
  <r>
    <n v="8939"/>
    <x v="4456"/>
    <x v="997"/>
    <d v="2016-12-19T00:00:00"/>
    <s v="Second Class"/>
    <x v="38"/>
    <s v="Paul Gonzalez"/>
    <x v="0"/>
    <s v="United States"/>
    <s v="Los Angeles"/>
    <x v="1"/>
    <n v="90008"/>
    <x v="1"/>
    <x v="169"/>
    <x v="1"/>
    <x v="6"/>
    <x v="170"/>
    <x v="1220"/>
    <x v="4"/>
    <x v="1"/>
  </r>
  <r>
    <n v="8940"/>
    <x v="4456"/>
    <x v="997"/>
    <d v="2016-12-19T00:00:00"/>
    <s v="Second Class"/>
    <x v="38"/>
    <s v="Paul Gonzalez"/>
    <x v="0"/>
    <s v="United States"/>
    <s v="Los Angeles"/>
    <x v="1"/>
    <n v="90008"/>
    <x v="1"/>
    <x v="920"/>
    <x v="1"/>
    <x v="8"/>
    <x v="912"/>
    <x v="5403"/>
    <x v="4"/>
    <x v="1"/>
  </r>
  <r>
    <n v="8941"/>
    <x v="4457"/>
    <x v="963"/>
    <d v="2015-08-24T00:00:00"/>
    <s v="Second Class"/>
    <x v="187"/>
    <s v="Jeremy Pistek"/>
    <x v="0"/>
    <s v="United States"/>
    <s v="North Miami"/>
    <x v="2"/>
    <n v="33161"/>
    <x v="0"/>
    <x v="1847"/>
    <x v="1"/>
    <x v="14"/>
    <x v="1835"/>
    <x v="5404"/>
    <x v="6"/>
    <x v="2"/>
  </r>
  <r>
    <n v="8942"/>
    <x v="4458"/>
    <x v="54"/>
    <d v="2017-11-05T00:00:00"/>
    <s v="First Class"/>
    <x v="508"/>
    <s v="Natalie Webber"/>
    <x v="0"/>
    <s v="United States"/>
    <s v="Portland"/>
    <x v="21"/>
    <n v="97206"/>
    <x v="1"/>
    <x v="922"/>
    <x v="1"/>
    <x v="8"/>
    <x v="914"/>
    <x v="4707"/>
    <x v="0"/>
    <x v="0"/>
  </r>
  <r>
    <n v="8943"/>
    <x v="4458"/>
    <x v="54"/>
    <d v="2017-11-05T00:00:00"/>
    <s v="First Class"/>
    <x v="508"/>
    <s v="Natalie Webber"/>
    <x v="0"/>
    <s v="United States"/>
    <s v="Portland"/>
    <x v="21"/>
    <n v="97206"/>
    <x v="1"/>
    <x v="1848"/>
    <x v="2"/>
    <x v="15"/>
    <x v="1836"/>
    <x v="5405"/>
    <x v="0"/>
    <x v="0"/>
  </r>
  <r>
    <n v="8944"/>
    <x v="4459"/>
    <x v="1208"/>
    <d v="2018-10-16T00:00:00"/>
    <s v="Standard Class"/>
    <x v="573"/>
    <s v="Scot Wooten"/>
    <x v="0"/>
    <s v="United States"/>
    <s v="Aurora"/>
    <x v="10"/>
    <n v="60505"/>
    <x v="2"/>
    <x v="1756"/>
    <x v="0"/>
    <x v="1"/>
    <x v="1746"/>
    <x v="5406"/>
    <x v="2"/>
    <x v="3"/>
  </r>
  <r>
    <n v="8945"/>
    <x v="4460"/>
    <x v="1035"/>
    <d v="2015-12-08T00:00:00"/>
    <s v="First Class"/>
    <x v="382"/>
    <s v="Erica Hernandez"/>
    <x v="2"/>
    <s v="United States"/>
    <s v="San Francisco"/>
    <x v="1"/>
    <n v="94109"/>
    <x v="1"/>
    <x v="1397"/>
    <x v="1"/>
    <x v="10"/>
    <x v="1384"/>
    <x v="2169"/>
    <x v="4"/>
    <x v="2"/>
  </r>
  <r>
    <n v="8946"/>
    <x v="4461"/>
    <x v="647"/>
    <d v="2015-11-17T00:00:00"/>
    <s v="Second Class"/>
    <x v="609"/>
    <s v="Scott Cohen"/>
    <x v="1"/>
    <s v="United States"/>
    <s v="San Francisco"/>
    <x v="1"/>
    <n v="94110"/>
    <x v="1"/>
    <x v="503"/>
    <x v="1"/>
    <x v="14"/>
    <x v="503"/>
    <x v="1023"/>
    <x v="0"/>
    <x v="2"/>
  </r>
  <r>
    <n v="8947"/>
    <x v="4462"/>
    <x v="165"/>
    <d v="2018-12-28T00:00:00"/>
    <s v="Standard Class"/>
    <x v="714"/>
    <s v="Nick Crebassa"/>
    <x v="1"/>
    <s v="United States"/>
    <s v="New Bedford"/>
    <x v="31"/>
    <n v="2740"/>
    <x v="3"/>
    <x v="1193"/>
    <x v="1"/>
    <x v="10"/>
    <x v="1178"/>
    <x v="537"/>
    <x v="4"/>
    <x v="3"/>
  </r>
  <r>
    <n v="8948"/>
    <x v="4462"/>
    <x v="165"/>
    <d v="2018-12-28T00:00:00"/>
    <s v="Standard Class"/>
    <x v="714"/>
    <s v="Nick Crebassa"/>
    <x v="1"/>
    <s v="United States"/>
    <s v="New Bedford"/>
    <x v="31"/>
    <n v="2740"/>
    <x v="3"/>
    <x v="1699"/>
    <x v="1"/>
    <x v="8"/>
    <x v="1687"/>
    <x v="5407"/>
    <x v="4"/>
    <x v="3"/>
  </r>
  <r>
    <n v="8949"/>
    <x v="4463"/>
    <x v="163"/>
    <d v="2015-12-26T00:00:00"/>
    <s v="First Class"/>
    <x v="548"/>
    <s v="Adam Shillingsburg"/>
    <x v="0"/>
    <s v="United States"/>
    <s v="San Diego"/>
    <x v="1"/>
    <n v="92037"/>
    <x v="1"/>
    <x v="1803"/>
    <x v="1"/>
    <x v="9"/>
    <x v="1793"/>
    <x v="5408"/>
    <x v="4"/>
    <x v="2"/>
  </r>
  <r>
    <n v="8950"/>
    <x v="4464"/>
    <x v="66"/>
    <d v="2018-12-28T00:00:00"/>
    <s v="Standard Class"/>
    <x v="691"/>
    <s v="Jack Lebron"/>
    <x v="0"/>
    <s v="United States"/>
    <s v="Jackson"/>
    <x v="18"/>
    <n v="38301"/>
    <x v="0"/>
    <x v="257"/>
    <x v="0"/>
    <x v="3"/>
    <x v="258"/>
    <x v="5409"/>
    <x v="4"/>
    <x v="3"/>
  </r>
  <r>
    <n v="8951"/>
    <x v="4464"/>
    <x v="66"/>
    <d v="2018-12-28T00:00:00"/>
    <s v="Standard Class"/>
    <x v="691"/>
    <s v="Jack Lebron"/>
    <x v="0"/>
    <s v="United States"/>
    <s v="Jackson"/>
    <x v="18"/>
    <n v="38301"/>
    <x v="0"/>
    <x v="825"/>
    <x v="2"/>
    <x v="11"/>
    <x v="821"/>
    <x v="1502"/>
    <x v="4"/>
    <x v="3"/>
  </r>
  <r>
    <n v="8952"/>
    <x v="4464"/>
    <x v="66"/>
    <d v="2018-12-28T00:00:00"/>
    <s v="Standard Class"/>
    <x v="691"/>
    <s v="Jack Lebron"/>
    <x v="0"/>
    <s v="United States"/>
    <s v="Jackson"/>
    <x v="18"/>
    <n v="38301"/>
    <x v="0"/>
    <x v="376"/>
    <x v="1"/>
    <x v="4"/>
    <x v="377"/>
    <x v="4165"/>
    <x v="4"/>
    <x v="3"/>
  </r>
  <r>
    <n v="8953"/>
    <x v="4464"/>
    <x v="66"/>
    <d v="2018-12-28T00:00:00"/>
    <s v="Standard Class"/>
    <x v="691"/>
    <s v="Jack Lebron"/>
    <x v="0"/>
    <s v="United States"/>
    <s v="Jackson"/>
    <x v="18"/>
    <n v="38301"/>
    <x v="0"/>
    <x v="1024"/>
    <x v="1"/>
    <x v="6"/>
    <x v="1015"/>
    <x v="5410"/>
    <x v="4"/>
    <x v="3"/>
  </r>
  <r>
    <n v="8954"/>
    <x v="4464"/>
    <x v="66"/>
    <d v="2018-12-28T00:00:00"/>
    <s v="Standard Class"/>
    <x v="691"/>
    <s v="Jack Lebron"/>
    <x v="0"/>
    <s v="United States"/>
    <s v="Jackson"/>
    <x v="18"/>
    <n v="38301"/>
    <x v="0"/>
    <x v="667"/>
    <x v="1"/>
    <x v="9"/>
    <x v="667"/>
    <x v="5411"/>
    <x v="4"/>
    <x v="3"/>
  </r>
  <r>
    <n v="8955"/>
    <x v="4465"/>
    <x v="233"/>
    <d v="2015-08-10T00:00:00"/>
    <s v="Second Class"/>
    <x v="364"/>
    <s v="Vivek Gonzalez"/>
    <x v="0"/>
    <s v="United States"/>
    <s v="Jacksonville"/>
    <x v="2"/>
    <n v="32216"/>
    <x v="0"/>
    <x v="1195"/>
    <x v="0"/>
    <x v="0"/>
    <x v="1180"/>
    <x v="5412"/>
    <x v="6"/>
    <x v="2"/>
  </r>
  <r>
    <n v="8956"/>
    <x v="4466"/>
    <x v="59"/>
    <d v="2015-09-24T00:00:00"/>
    <s v="Standard Class"/>
    <x v="428"/>
    <s v="Henry Goldwyn"/>
    <x v="1"/>
    <s v="United States"/>
    <s v="San Diego"/>
    <x v="1"/>
    <n v="92024"/>
    <x v="1"/>
    <x v="1532"/>
    <x v="1"/>
    <x v="10"/>
    <x v="1520"/>
    <x v="18"/>
    <x v="8"/>
    <x v="2"/>
  </r>
  <r>
    <n v="8957"/>
    <x v="4467"/>
    <x v="53"/>
    <d v="2018-12-28T00:00:00"/>
    <s v="First Class"/>
    <x v="371"/>
    <s v="Jennifer Halladay"/>
    <x v="0"/>
    <s v="United States"/>
    <s v="Hialeah"/>
    <x v="2"/>
    <n v="33012"/>
    <x v="0"/>
    <x v="1457"/>
    <x v="0"/>
    <x v="5"/>
    <x v="1443"/>
    <x v="5413"/>
    <x v="4"/>
    <x v="3"/>
  </r>
  <r>
    <n v="8958"/>
    <x v="4467"/>
    <x v="53"/>
    <d v="2018-12-28T00:00:00"/>
    <s v="First Class"/>
    <x v="371"/>
    <s v="Jennifer Halladay"/>
    <x v="0"/>
    <s v="United States"/>
    <s v="Hialeah"/>
    <x v="2"/>
    <n v="33012"/>
    <x v="0"/>
    <x v="1845"/>
    <x v="2"/>
    <x v="15"/>
    <x v="1833"/>
    <x v="5028"/>
    <x v="4"/>
    <x v="3"/>
  </r>
  <r>
    <n v="8959"/>
    <x v="4468"/>
    <x v="920"/>
    <d v="2018-11-30T00:00:00"/>
    <s v="Standard Class"/>
    <x v="197"/>
    <s v="Rose O'Brian"/>
    <x v="0"/>
    <s v="United States"/>
    <s v="Houston"/>
    <x v="5"/>
    <n v="77070"/>
    <x v="2"/>
    <x v="929"/>
    <x v="2"/>
    <x v="7"/>
    <x v="922"/>
    <x v="5414"/>
    <x v="0"/>
    <x v="3"/>
  </r>
  <r>
    <n v="8960"/>
    <x v="4468"/>
    <x v="920"/>
    <d v="2018-11-30T00:00:00"/>
    <s v="Standard Class"/>
    <x v="197"/>
    <s v="Rose O'Brian"/>
    <x v="0"/>
    <s v="United States"/>
    <s v="Houston"/>
    <x v="5"/>
    <n v="77070"/>
    <x v="2"/>
    <x v="1527"/>
    <x v="1"/>
    <x v="9"/>
    <x v="1514"/>
    <x v="3561"/>
    <x v="0"/>
    <x v="3"/>
  </r>
  <r>
    <n v="8961"/>
    <x v="4468"/>
    <x v="920"/>
    <d v="2018-11-30T00:00:00"/>
    <s v="Standard Class"/>
    <x v="197"/>
    <s v="Rose O'Brian"/>
    <x v="0"/>
    <s v="United States"/>
    <s v="Houston"/>
    <x v="5"/>
    <n v="77070"/>
    <x v="2"/>
    <x v="856"/>
    <x v="0"/>
    <x v="1"/>
    <x v="849"/>
    <x v="3042"/>
    <x v="0"/>
    <x v="3"/>
  </r>
  <r>
    <n v="8962"/>
    <x v="4468"/>
    <x v="920"/>
    <d v="2018-11-30T00:00:00"/>
    <s v="Standard Class"/>
    <x v="197"/>
    <s v="Rose O'Brian"/>
    <x v="0"/>
    <s v="United States"/>
    <s v="Houston"/>
    <x v="5"/>
    <n v="77070"/>
    <x v="2"/>
    <x v="1663"/>
    <x v="1"/>
    <x v="6"/>
    <x v="1651"/>
    <x v="3917"/>
    <x v="0"/>
    <x v="3"/>
  </r>
  <r>
    <n v="8963"/>
    <x v="4469"/>
    <x v="732"/>
    <d v="2017-11-07T00:00:00"/>
    <s v="First Class"/>
    <x v="752"/>
    <s v="Liz Willingham"/>
    <x v="0"/>
    <s v="United States"/>
    <s v="Virginia Beach"/>
    <x v="17"/>
    <n v="23464"/>
    <x v="0"/>
    <x v="1369"/>
    <x v="0"/>
    <x v="5"/>
    <x v="1354"/>
    <x v="2887"/>
    <x v="0"/>
    <x v="0"/>
  </r>
  <r>
    <n v="8964"/>
    <x v="4469"/>
    <x v="732"/>
    <d v="2017-11-07T00:00:00"/>
    <s v="First Class"/>
    <x v="752"/>
    <s v="Liz Willingham"/>
    <x v="0"/>
    <s v="United States"/>
    <s v="Virginia Beach"/>
    <x v="17"/>
    <n v="23464"/>
    <x v="0"/>
    <x v="632"/>
    <x v="2"/>
    <x v="11"/>
    <x v="632"/>
    <x v="1309"/>
    <x v="0"/>
    <x v="0"/>
  </r>
  <r>
    <n v="8965"/>
    <x v="4469"/>
    <x v="732"/>
    <d v="2017-11-07T00:00:00"/>
    <s v="First Class"/>
    <x v="752"/>
    <s v="Liz Willingham"/>
    <x v="0"/>
    <s v="United States"/>
    <s v="Virginia Beach"/>
    <x v="17"/>
    <n v="23464"/>
    <x v="0"/>
    <x v="1814"/>
    <x v="0"/>
    <x v="5"/>
    <x v="1804"/>
    <x v="4653"/>
    <x v="0"/>
    <x v="0"/>
  </r>
  <r>
    <n v="8966"/>
    <x v="4470"/>
    <x v="44"/>
    <d v="2018-11-12T00:00:00"/>
    <s v="Standard Class"/>
    <x v="666"/>
    <s v="Christopher Conant"/>
    <x v="0"/>
    <s v="United States"/>
    <s v="Houston"/>
    <x v="5"/>
    <n v="77070"/>
    <x v="2"/>
    <x v="744"/>
    <x v="1"/>
    <x v="8"/>
    <x v="742"/>
    <x v="75"/>
    <x v="0"/>
    <x v="3"/>
  </r>
  <r>
    <n v="8967"/>
    <x v="4471"/>
    <x v="54"/>
    <d v="2017-11-07T00:00:00"/>
    <s v="Standard Class"/>
    <x v="655"/>
    <s v="Julie Prescott"/>
    <x v="2"/>
    <s v="United States"/>
    <s v="Philadelphia"/>
    <x v="9"/>
    <n v="19120"/>
    <x v="3"/>
    <x v="293"/>
    <x v="2"/>
    <x v="11"/>
    <x v="293"/>
    <x v="2709"/>
    <x v="0"/>
    <x v="0"/>
  </r>
  <r>
    <n v="8968"/>
    <x v="4471"/>
    <x v="54"/>
    <d v="2017-11-07T00:00:00"/>
    <s v="Standard Class"/>
    <x v="655"/>
    <s v="Julie Prescott"/>
    <x v="2"/>
    <s v="United States"/>
    <s v="Philadelphia"/>
    <x v="9"/>
    <n v="19120"/>
    <x v="3"/>
    <x v="370"/>
    <x v="0"/>
    <x v="1"/>
    <x v="371"/>
    <x v="5415"/>
    <x v="0"/>
    <x v="0"/>
  </r>
  <r>
    <n v="8969"/>
    <x v="4472"/>
    <x v="125"/>
    <d v="2016-01-01T00:00:00"/>
    <s v="First Class"/>
    <x v="732"/>
    <s v="Dorothy Dickinson"/>
    <x v="0"/>
    <s v="United States"/>
    <s v="Memphis"/>
    <x v="18"/>
    <n v="38109"/>
    <x v="0"/>
    <x v="1166"/>
    <x v="1"/>
    <x v="4"/>
    <x v="1153"/>
    <x v="5416"/>
    <x v="4"/>
    <x v="2"/>
  </r>
  <r>
    <n v="8970"/>
    <x v="4473"/>
    <x v="574"/>
    <d v="2018-12-07T00:00:00"/>
    <s v="Standard Class"/>
    <x v="20"/>
    <s v="Erin Smith"/>
    <x v="1"/>
    <s v="United States"/>
    <s v="Lakewood"/>
    <x v="24"/>
    <n v="44107"/>
    <x v="3"/>
    <x v="448"/>
    <x v="1"/>
    <x v="6"/>
    <x v="448"/>
    <x v="5417"/>
    <x v="4"/>
    <x v="3"/>
  </r>
  <r>
    <n v="8971"/>
    <x v="4473"/>
    <x v="574"/>
    <d v="2018-12-07T00:00:00"/>
    <s v="Standard Class"/>
    <x v="20"/>
    <s v="Erin Smith"/>
    <x v="1"/>
    <s v="United States"/>
    <s v="Lakewood"/>
    <x v="24"/>
    <n v="44107"/>
    <x v="3"/>
    <x v="722"/>
    <x v="2"/>
    <x v="7"/>
    <x v="1404"/>
    <x v="5418"/>
    <x v="4"/>
    <x v="3"/>
  </r>
  <r>
    <n v="8972"/>
    <x v="4474"/>
    <x v="668"/>
    <d v="2018-03-28T00:00:00"/>
    <s v="Standard Class"/>
    <x v="597"/>
    <s v="Mark Van Huff"/>
    <x v="0"/>
    <s v="United States"/>
    <s v="New York City"/>
    <x v="15"/>
    <n v="10011"/>
    <x v="3"/>
    <x v="662"/>
    <x v="0"/>
    <x v="1"/>
    <x v="662"/>
    <x v="2598"/>
    <x v="10"/>
    <x v="3"/>
  </r>
  <r>
    <n v="8973"/>
    <x v="4475"/>
    <x v="84"/>
    <d v="2015-11-21T00:00:00"/>
    <s v="First Class"/>
    <x v="76"/>
    <s v="Ruben Dartt"/>
    <x v="0"/>
    <s v="United States"/>
    <s v="Philadelphia"/>
    <x v="9"/>
    <n v="19120"/>
    <x v="3"/>
    <x v="1089"/>
    <x v="2"/>
    <x v="11"/>
    <x v="1079"/>
    <x v="5419"/>
    <x v="0"/>
    <x v="2"/>
  </r>
  <r>
    <n v="8974"/>
    <x v="4476"/>
    <x v="1016"/>
    <d v="2018-04-27T00:00:00"/>
    <s v="Second Class"/>
    <x v="210"/>
    <s v="Rob Lucas"/>
    <x v="0"/>
    <s v="United States"/>
    <s v="Los Angeles"/>
    <x v="1"/>
    <n v="90008"/>
    <x v="1"/>
    <x v="266"/>
    <x v="0"/>
    <x v="0"/>
    <x v="266"/>
    <x v="5420"/>
    <x v="3"/>
    <x v="3"/>
  </r>
  <r>
    <n v="8975"/>
    <x v="4477"/>
    <x v="51"/>
    <d v="2018-11-26T00:00:00"/>
    <s v="First Class"/>
    <x v="687"/>
    <s v="Jennifer Patt"/>
    <x v="1"/>
    <s v="United States"/>
    <s v="Dallas"/>
    <x v="5"/>
    <n v="75220"/>
    <x v="2"/>
    <x v="1231"/>
    <x v="1"/>
    <x v="10"/>
    <x v="1270"/>
    <x v="1566"/>
    <x v="0"/>
    <x v="3"/>
  </r>
  <r>
    <n v="8976"/>
    <x v="4477"/>
    <x v="51"/>
    <d v="2018-11-26T00:00:00"/>
    <s v="First Class"/>
    <x v="687"/>
    <s v="Jennifer Patt"/>
    <x v="1"/>
    <s v="United States"/>
    <s v="Dallas"/>
    <x v="5"/>
    <n v="75220"/>
    <x v="2"/>
    <x v="1438"/>
    <x v="1"/>
    <x v="10"/>
    <x v="1426"/>
    <x v="128"/>
    <x v="0"/>
    <x v="3"/>
  </r>
  <r>
    <n v="8977"/>
    <x v="4477"/>
    <x v="51"/>
    <d v="2018-11-26T00:00:00"/>
    <s v="First Class"/>
    <x v="687"/>
    <s v="Jennifer Patt"/>
    <x v="1"/>
    <s v="United States"/>
    <s v="Dallas"/>
    <x v="5"/>
    <n v="75220"/>
    <x v="2"/>
    <x v="962"/>
    <x v="0"/>
    <x v="3"/>
    <x v="955"/>
    <x v="5421"/>
    <x v="0"/>
    <x v="3"/>
  </r>
  <r>
    <n v="8978"/>
    <x v="4477"/>
    <x v="51"/>
    <d v="2018-11-26T00:00:00"/>
    <s v="First Class"/>
    <x v="687"/>
    <s v="Jennifer Patt"/>
    <x v="1"/>
    <s v="United States"/>
    <s v="Dallas"/>
    <x v="5"/>
    <n v="75220"/>
    <x v="2"/>
    <x v="785"/>
    <x v="1"/>
    <x v="8"/>
    <x v="784"/>
    <x v="5422"/>
    <x v="0"/>
    <x v="3"/>
  </r>
  <r>
    <n v="8979"/>
    <x v="4478"/>
    <x v="935"/>
    <d v="2015-11-05T00:00:00"/>
    <s v="Second Class"/>
    <x v="664"/>
    <s v="Denise Monton"/>
    <x v="1"/>
    <s v="United States"/>
    <s v="Orange"/>
    <x v="30"/>
    <n v="7050"/>
    <x v="3"/>
    <x v="614"/>
    <x v="1"/>
    <x v="8"/>
    <x v="614"/>
    <x v="1755"/>
    <x v="0"/>
    <x v="2"/>
  </r>
  <r>
    <n v="8980"/>
    <x v="4479"/>
    <x v="324"/>
    <d v="2016-10-24T00:00:00"/>
    <s v="Second Class"/>
    <x v="750"/>
    <s v="Cari Schnelling"/>
    <x v="0"/>
    <s v="United States"/>
    <s v="Dallas"/>
    <x v="5"/>
    <n v="75220"/>
    <x v="2"/>
    <x v="480"/>
    <x v="1"/>
    <x v="8"/>
    <x v="481"/>
    <x v="5423"/>
    <x v="2"/>
    <x v="1"/>
  </r>
  <r>
    <n v="8981"/>
    <x v="4480"/>
    <x v="644"/>
    <d v="2015-02-10T00:00:00"/>
    <s v="Second Class"/>
    <x v="111"/>
    <s v="Delfina Latchford"/>
    <x v="0"/>
    <s v="United States"/>
    <s v="Romeoville"/>
    <x v="10"/>
    <n v="60441"/>
    <x v="2"/>
    <x v="1403"/>
    <x v="1"/>
    <x v="8"/>
    <x v="1390"/>
    <x v="4808"/>
    <x v="11"/>
    <x v="2"/>
  </r>
  <r>
    <n v="8982"/>
    <x v="4481"/>
    <x v="1193"/>
    <d v="2017-03-12T00:00:00"/>
    <s v="Standard Class"/>
    <x v="48"/>
    <s v="Lena Cacioppo"/>
    <x v="0"/>
    <s v="United States"/>
    <s v="Chicago"/>
    <x v="10"/>
    <n v="60623"/>
    <x v="2"/>
    <x v="1034"/>
    <x v="1"/>
    <x v="9"/>
    <x v="1025"/>
    <x v="5424"/>
    <x v="10"/>
    <x v="0"/>
  </r>
  <r>
    <n v="8983"/>
    <x v="4481"/>
    <x v="1193"/>
    <d v="2017-03-12T00:00:00"/>
    <s v="Standard Class"/>
    <x v="48"/>
    <s v="Lena Cacioppo"/>
    <x v="0"/>
    <s v="United States"/>
    <s v="Chicago"/>
    <x v="10"/>
    <n v="60623"/>
    <x v="2"/>
    <x v="870"/>
    <x v="1"/>
    <x v="8"/>
    <x v="864"/>
    <x v="1089"/>
    <x v="10"/>
    <x v="0"/>
  </r>
  <r>
    <n v="8984"/>
    <x v="4481"/>
    <x v="1193"/>
    <d v="2017-03-12T00:00:00"/>
    <s v="Standard Class"/>
    <x v="48"/>
    <s v="Lena Cacioppo"/>
    <x v="0"/>
    <s v="United States"/>
    <s v="Chicago"/>
    <x v="10"/>
    <n v="60623"/>
    <x v="2"/>
    <x v="124"/>
    <x v="0"/>
    <x v="5"/>
    <x v="125"/>
    <x v="5425"/>
    <x v="10"/>
    <x v="0"/>
  </r>
  <r>
    <n v="8985"/>
    <x v="4481"/>
    <x v="1193"/>
    <d v="2017-03-12T00:00:00"/>
    <s v="Standard Class"/>
    <x v="48"/>
    <s v="Lena Cacioppo"/>
    <x v="0"/>
    <s v="United States"/>
    <s v="Chicago"/>
    <x v="10"/>
    <n v="60623"/>
    <x v="2"/>
    <x v="1342"/>
    <x v="0"/>
    <x v="3"/>
    <x v="1327"/>
    <x v="2010"/>
    <x v="10"/>
    <x v="0"/>
  </r>
  <r>
    <n v="8986"/>
    <x v="4482"/>
    <x v="155"/>
    <d v="2016-12-07T00:00:00"/>
    <s v="Standard Class"/>
    <x v="161"/>
    <s v="Jack Garza"/>
    <x v="0"/>
    <s v="United States"/>
    <s v="Jacksonville"/>
    <x v="3"/>
    <n v="28540"/>
    <x v="0"/>
    <x v="596"/>
    <x v="0"/>
    <x v="5"/>
    <x v="596"/>
    <x v="2486"/>
    <x v="4"/>
    <x v="1"/>
  </r>
  <r>
    <n v="8987"/>
    <x v="4482"/>
    <x v="155"/>
    <d v="2016-12-07T00:00:00"/>
    <s v="Standard Class"/>
    <x v="161"/>
    <s v="Jack Garza"/>
    <x v="0"/>
    <s v="United States"/>
    <s v="Jacksonville"/>
    <x v="3"/>
    <n v="28540"/>
    <x v="0"/>
    <x v="1242"/>
    <x v="1"/>
    <x v="8"/>
    <x v="1225"/>
    <x v="5426"/>
    <x v="4"/>
    <x v="1"/>
  </r>
  <r>
    <n v="8988"/>
    <x v="4482"/>
    <x v="155"/>
    <d v="2016-12-07T00:00:00"/>
    <s v="Standard Class"/>
    <x v="161"/>
    <s v="Jack Garza"/>
    <x v="0"/>
    <s v="United States"/>
    <s v="Jacksonville"/>
    <x v="3"/>
    <n v="28540"/>
    <x v="0"/>
    <x v="194"/>
    <x v="2"/>
    <x v="7"/>
    <x v="195"/>
    <x v="550"/>
    <x v="4"/>
    <x v="1"/>
  </r>
  <r>
    <n v="8989"/>
    <x v="4482"/>
    <x v="155"/>
    <d v="2016-12-07T00:00:00"/>
    <s v="Standard Class"/>
    <x v="161"/>
    <s v="Jack Garza"/>
    <x v="0"/>
    <s v="United States"/>
    <s v="Jacksonville"/>
    <x v="3"/>
    <n v="28540"/>
    <x v="0"/>
    <x v="512"/>
    <x v="1"/>
    <x v="6"/>
    <x v="512"/>
    <x v="560"/>
    <x v="4"/>
    <x v="1"/>
  </r>
  <r>
    <n v="8990"/>
    <x v="4483"/>
    <x v="100"/>
    <d v="2016-12-30T00:00:00"/>
    <s v="Standard Class"/>
    <x v="447"/>
    <s v="Harry Marie"/>
    <x v="1"/>
    <s v="United States"/>
    <s v="Springfield"/>
    <x v="25"/>
    <n v="65807"/>
    <x v="2"/>
    <x v="1573"/>
    <x v="0"/>
    <x v="5"/>
    <x v="1564"/>
    <x v="387"/>
    <x v="4"/>
    <x v="1"/>
  </r>
  <r>
    <n v="8991"/>
    <x v="4483"/>
    <x v="100"/>
    <d v="2016-12-30T00:00:00"/>
    <s v="Standard Class"/>
    <x v="447"/>
    <s v="Harry Marie"/>
    <x v="1"/>
    <s v="United States"/>
    <s v="Springfield"/>
    <x v="25"/>
    <n v="65807"/>
    <x v="2"/>
    <x v="1293"/>
    <x v="2"/>
    <x v="16"/>
    <x v="1279"/>
    <x v="972"/>
    <x v="4"/>
    <x v="1"/>
  </r>
  <r>
    <n v="8992"/>
    <x v="4484"/>
    <x v="172"/>
    <d v="2018-10-06T00:00:00"/>
    <s v="Standard Class"/>
    <x v="184"/>
    <s v="Tanja Norvell"/>
    <x v="2"/>
    <s v="United States"/>
    <s v="San Francisco"/>
    <x v="1"/>
    <n v="94110"/>
    <x v="1"/>
    <x v="341"/>
    <x v="2"/>
    <x v="11"/>
    <x v="341"/>
    <x v="5427"/>
    <x v="2"/>
    <x v="3"/>
  </r>
  <r>
    <n v="8993"/>
    <x v="4485"/>
    <x v="524"/>
    <d v="2018-10-21T00:00:00"/>
    <s v="Standard Class"/>
    <x v="778"/>
    <s v="Victoria Pisteka"/>
    <x v="1"/>
    <s v="United States"/>
    <s v="Columbia"/>
    <x v="18"/>
    <n v="38401"/>
    <x v="0"/>
    <x v="103"/>
    <x v="2"/>
    <x v="11"/>
    <x v="103"/>
    <x v="4964"/>
    <x v="2"/>
    <x v="3"/>
  </r>
  <r>
    <n v="8994"/>
    <x v="4485"/>
    <x v="524"/>
    <d v="2018-10-21T00:00:00"/>
    <s v="Standard Class"/>
    <x v="778"/>
    <s v="Victoria Pisteka"/>
    <x v="1"/>
    <s v="United States"/>
    <s v="Columbia"/>
    <x v="18"/>
    <n v="38401"/>
    <x v="0"/>
    <x v="1299"/>
    <x v="0"/>
    <x v="3"/>
    <x v="1284"/>
    <x v="5428"/>
    <x v="2"/>
    <x v="3"/>
  </r>
  <r>
    <n v="8995"/>
    <x v="4486"/>
    <x v="860"/>
    <d v="2015-08-17T00:00:00"/>
    <s v="First Class"/>
    <x v="394"/>
    <s v="Christine Sundaresam"/>
    <x v="0"/>
    <s v="United States"/>
    <s v="Hollywood"/>
    <x v="2"/>
    <n v="33021"/>
    <x v="0"/>
    <x v="1841"/>
    <x v="1"/>
    <x v="10"/>
    <x v="1829"/>
    <x v="419"/>
    <x v="6"/>
    <x v="2"/>
  </r>
  <r>
    <n v="8996"/>
    <x v="4486"/>
    <x v="860"/>
    <d v="2015-08-17T00:00:00"/>
    <s v="First Class"/>
    <x v="394"/>
    <s v="Christine Sundaresam"/>
    <x v="0"/>
    <s v="United States"/>
    <s v="Hollywood"/>
    <x v="2"/>
    <n v="33021"/>
    <x v="0"/>
    <x v="513"/>
    <x v="1"/>
    <x v="9"/>
    <x v="513"/>
    <x v="5429"/>
    <x v="6"/>
    <x v="2"/>
  </r>
  <r>
    <n v="8997"/>
    <x v="4487"/>
    <x v="343"/>
    <d v="2018-11-13T00:00:00"/>
    <s v="First Class"/>
    <x v="310"/>
    <s v="Patrick Gardner"/>
    <x v="0"/>
    <s v="United States"/>
    <s v="Dallas"/>
    <x v="5"/>
    <n v="75081"/>
    <x v="2"/>
    <x v="722"/>
    <x v="2"/>
    <x v="7"/>
    <x v="721"/>
    <x v="5430"/>
    <x v="0"/>
    <x v="3"/>
  </r>
  <r>
    <n v="8998"/>
    <x v="4488"/>
    <x v="177"/>
    <d v="2018-03-20T00:00:00"/>
    <s v="Same Day"/>
    <x v="668"/>
    <s v="Harry Greene"/>
    <x v="0"/>
    <s v="United States"/>
    <s v="Houston"/>
    <x v="5"/>
    <n v="77041"/>
    <x v="2"/>
    <x v="258"/>
    <x v="1"/>
    <x v="10"/>
    <x v="33"/>
    <x v="3849"/>
    <x v="10"/>
    <x v="3"/>
  </r>
  <r>
    <n v="8999"/>
    <x v="4488"/>
    <x v="177"/>
    <d v="2018-03-20T00:00:00"/>
    <s v="Same Day"/>
    <x v="668"/>
    <s v="Harry Greene"/>
    <x v="0"/>
    <s v="United States"/>
    <s v="Houston"/>
    <x v="5"/>
    <n v="77041"/>
    <x v="2"/>
    <x v="126"/>
    <x v="1"/>
    <x v="10"/>
    <x v="127"/>
    <x v="5431"/>
    <x v="10"/>
    <x v="3"/>
  </r>
  <r>
    <n v="9000"/>
    <x v="4489"/>
    <x v="726"/>
    <d v="2018-05-17T00:00:00"/>
    <s v="Standard Class"/>
    <x v="414"/>
    <s v="Mick Hernandez"/>
    <x v="2"/>
    <s v="United States"/>
    <s v="Philadelphia"/>
    <x v="9"/>
    <n v="19140"/>
    <x v="3"/>
    <x v="541"/>
    <x v="0"/>
    <x v="1"/>
    <x v="541"/>
    <x v="4087"/>
    <x v="5"/>
    <x v="3"/>
  </r>
  <r>
    <n v="9001"/>
    <x v="4490"/>
    <x v="169"/>
    <d v="2015-06-22T00:00:00"/>
    <s v="Same Day"/>
    <x v="509"/>
    <s v="Toby Braunhardt"/>
    <x v="0"/>
    <s v="United States"/>
    <s v="Phoenix"/>
    <x v="16"/>
    <n v="85023"/>
    <x v="1"/>
    <x v="1316"/>
    <x v="1"/>
    <x v="8"/>
    <x v="1302"/>
    <x v="2238"/>
    <x v="1"/>
    <x v="2"/>
  </r>
  <r>
    <n v="9002"/>
    <x v="4491"/>
    <x v="266"/>
    <d v="2015-12-09T00:00:00"/>
    <s v="Standard Class"/>
    <x v="605"/>
    <s v="Elizabeth Moffitt"/>
    <x v="1"/>
    <s v="United States"/>
    <s v="Sandy Springs"/>
    <x v="32"/>
    <n v="30328"/>
    <x v="0"/>
    <x v="1628"/>
    <x v="2"/>
    <x v="11"/>
    <x v="1618"/>
    <x v="5432"/>
    <x v="4"/>
    <x v="2"/>
  </r>
  <r>
    <n v="9003"/>
    <x v="4491"/>
    <x v="266"/>
    <d v="2015-12-09T00:00:00"/>
    <s v="Standard Class"/>
    <x v="605"/>
    <s v="Elizabeth Moffitt"/>
    <x v="1"/>
    <s v="United States"/>
    <s v="Sandy Springs"/>
    <x v="32"/>
    <n v="30328"/>
    <x v="0"/>
    <x v="727"/>
    <x v="1"/>
    <x v="10"/>
    <x v="726"/>
    <x v="593"/>
    <x v="4"/>
    <x v="2"/>
  </r>
  <r>
    <n v="9004"/>
    <x v="4492"/>
    <x v="57"/>
    <d v="2016-04-06T00:00:00"/>
    <s v="Same Day"/>
    <x v="226"/>
    <s v="Jennifer Ferguson"/>
    <x v="0"/>
    <s v="United States"/>
    <s v="Spokane"/>
    <x v="4"/>
    <n v="99207"/>
    <x v="1"/>
    <x v="97"/>
    <x v="2"/>
    <x v="11"/>
    <x v="97"/>
    <x v="5433"/>
    <x v="3"/>
    <x v="1"/>
  </r>
  <r>
    <n v="9005"/>
    <x v="4492"/>
    <x v="57"/>
    <d v="2016-04-06T00:00:00"/>
    <s v="Same Day"/>
    <x v="226"/>
    <s v="Jennifer Ferguson"/>
    <x v="0"/>
    <s v="United States"/>
    <s v="Spokane"/>
    <x v="4"/>
    <n v="99207"/>
    <x v="1"/>
    <x v="1701"/>
    <x v="1"/>
    <x v="6"/>
    <x v="1690"/>
    <x v="4748"/>
    <x v="3"/>
    <x v="1"/>
  </r>
  <r>
    <n v="9006"/>
    <x v="4493"/>
    <x v="551"/>
    <d v="2018-11-18T00:00:00"/>
    <s v="Same Day"/>
    <x v="240"/>
    <s v="Nona Balk"/>
    <x v="1"/>
    <s v="United States"/>
    <s v="Milwaukee"/>
    <x v="6"/>
    <n v="53209"/>
    <x v="2"/>
    <x v="421"/>
    <x v="1"/>
    <x v="4"/>
    <x v="421"/>
    <x v="448"/>
    <x v="0"/>
    <x v="3"/>
  </r>
  <r>
    <n v="9007"/>
    <x v="4493"/>
    <x v="551"/>
    <d v="2018-11-18T00:00:00"/>
    <s v="Same Day"/>
    <x v="240"/>
    <s v="Nona Balk"/>
    <x v="1"/>
    <s v="United States"/>
    <s v="Milwaukee"/>
    <x v="6"/>
    <n v="53209"/>
    <x v="2"/>
    <x v="117"/>
    <x v="1"/>
    <x v="4"/>
    <x v="117"/>
    <x v="5434"/>
    <x v="0"/>
    <x v="3"/>
  </r>
  <r>
    <n v="9008"/>
    <x v="4493"/>
    <x v="551"/>
    <d v="2018-11-18T00:00:00"/>
    <s v="Same Day"/>
    <x v="240"/>
    <s v="Nona Balk"/>
    <x v="1"/>
    <s v="United States"/>
    <s v="Milwaukee"/>
    <x v="6"/>
    <n v="53209"/>
    <x v="2"/>
    <x v="1647"/>
    <x v="1"/>
    <x v="2"/>
    <x v="1636"/>
    <x v="1552"/>
    <x v="0"/>
    <x v="3"/>
  </r>
  <r>
    <n v="9009"/>
    <x v="4493"/>
    <x v="551"/>
    <d v="2018-11-18T00:00:00"/>
    <s v="Same Day"/>
    <x v="240"/>
    <s v="Nona Balk"/>
    <x v="1"/>
    <s v="United States"/>
    <s v="Milwaukee"/>
    <x v="6"/>
    <n v="53209"/>
    <x v="2"/>
    <x v="396"/>
    <x v="0"/>
    <x v="5"/>
    <x v="397"/>
    <x v="5435"/>
    <x v="0"/>
    <x v="3"/>
  </r>
  <r>
    <n v="9010"/>
    <x v="4494"/>
    <x v="1209"/>
    <d v="2018-07-18T00:00:00"/>
    <s v="Standard Class"/>
    <x v="750"/>
    <s v="Cari Schnelling"/>
    <x v="0"/>
    <s v="United States"/>
    <s v="Fairfield"/>
    <x v="24"/>
    <n v="45014"/>
    <x v="3"/>
    <x v="1446"/>
    <x v="1"/>
    <x v="10"/>
    <x v="1433"/>
    <x v="5436"/>
    <x v="7"/>
    <x v="3"/>
  </r>
  <r>
    <n v="9011"/>
    <x v="4495"/>
    <x v="240"/>
    <d v="2018-05-23T00:00:00"/>
    <s v="Standard Class"/>
    <x v="540"/>
    <s v="Neil Ducich"/>
    <x v="1"/>
    <s v="United States"/>
    <s v="Huntsville"/>
    <x v="19"/>
    <n v="35810"/>
    <x v="0"/>
    <x v="1504"/>
    <x v="1"/>
    <x v="8"/>
    <x v="1491"/>
    <x v="4165"/>
    <x v="5"/>
    <x v="3"/>
  </r>
  <r>
    <n v="9012"/>
    <x v="4496"/>
    <x v="139"/>
    <d v="2016-12-21T00:00:00"/>
    <s v="First Class"/>
    <x v="525"/>
    <s v="Emily Ducich"/>
    <x v="2"/>
    <s v="United States"/>
    <s v="Houston"/>
    <x v="5"/>
    <n v="77036"/>
    <x v="2"/>
    <x v="725"/>
    <x v="2"/>
    <x v="11"/>
    <x v="724"/>
    <x v="4470"/>
    <x v="4"/>
    <x v="1"/>
  </r>
  <r>
    <n v="9013"/>
    <x v="4497"/>
    <x v="823"/>
    <d v="2017-02-22T00:00:00"/>
    <s v="First Class"/>
    <x v="105"/>
    <s v="Erin Ashbrook"/>
    <x v="1"/>
    <s v="United States"/>
    <s v="New York City"/>
    <x v="15"/>
    <n v="10011"/>
    <x v="3"/>
    <x v="275"/>
    <x v="0"/>
    <x v="5"/>
    <x v="275"/>
    <x v="5437"/>
    <x v="11"/>
    <x v="0"/>
  </r>
  <r>
    <n v="9014"/>
    <x v="4498"/>
    <x v="257"/>
    <d v="2018-03-22T00:00:00"/>
    <s v="Standard Class"/>
    <x v="771"/>
    <s v="Barry Pond"/>
    <x v="1"/>
    <s v="United States"/>
    <s v="Los Angeles"/>
    <x v="1"/>
    <n v="90008"/>
    <x v="1"/>
    <x v="1622"/>
    <x v="1"/>
    <x v="6"/>
    <x v="1050"/>
    <x v="2213"/>
    <x v="10"/>
    <x v="3"/>
  </r>
  <r>
    <n v="9015"/>
    <x v="4498"/>
    <x v="257"/>
    <d v="2018-03-22T00:00:00"/>
    <s v="Standard Class"/>
    <x v="771"/>
    <s v="Barry Pond"/>
    <x v="1"/>
    <s v="United States"/>
    <s v="Los Angeles"/>
    <x v="1"/>
    <n v="90008"/>
    <x v="1"/>
    <x v="776"/>
    <x v="1"/>
    <x v="12"/>
    <x v="775"/>
    <x v="5438"/>
    <x v="10"/>
    <x v="3"/>
  </r>
  <r>
    <n v="9016"/>
    <x v="4499"/>
    <x v="907"/>
    <d v="2017-12-23T00:00:00"/>
    <s v="Standard Class"/>
    <x v="374"/>
    <s v="Noel Staavos"/>
    <x v="1"/>
    <s v="United States"/>
    <s v="Carlsbad"/>
    <x v="27"/>
    <n v="88220"/>
    <x v="1"/>
    <x v="674"/>
    <x v="1"/>
    <x v="8"/>
    <x v="674"/>
    <x v="5439"/>
    <x v="4"/>
    <x v="0"/>
  </r>
  <r>
    <n v="9017"/>
    <x v="4499"/>
    <x v="907"/>
    <d v="2017-12-23T00:00:00"/>
    <s v="Standard Class"/>
    <x v="374"/>
    <s v="Noel Staavos"/>
    <x v="1"/>
    <s v="United States"/>
    <s v="Carlsbad"/>
    <x v="27"/>
    <n v="88220"/>
    <x v="1"/>
    <x v="1395"/>
    <x v="1"/>
    <x v="8"/>
    <x v="1382"/>
    <x v="3161"/>
    <x v="4"/>
    <x v="0"/>
  </r>
  <r>
    <n v="9018"/>
    <x v="4500"/>
    <x v="253"/>
    <d v="2017-03-28T00:00:00"/>
    <s v="Second Class"/>
    <x v="597"/>
    <s v="Mark Van Huff"/>
    <x v="0"/>
    <s v="United States"/>
    <s v="Pocatello"/>
    <x v="45"/>
    <n v="83201"/>
    <x v="1"/>
    <x v="1017"/>
    <x v="1"/>
    <x v="10"/>
    <x v="1008"/>
    <x v="4459"/>
    <x v="10"/>
    <x v="0"/>
  </r>
  <r>
    <n v="9019"/>
    <x v="4500"/>
    <x v="253"/>
    <d v="2017-03-28T00:00:00"/>
    <s v="Second Class"/>
    <x v="597"/>
    <s v="Mark Van Huff"/>
    <x v="0"/>
    <s v="United States"/>
    <s v="Pocatello"/>
    <x v="45"/>
    <n v="83201"/>
    <x v="1"/>
    <x v="20"/>
    <x v="1"/>
    <x v="8"/>
    <x v="20"/>
    <x v="339"/>
    <x v="10"/>
    <x v="0"/>
  </r>
  <r>
    <n v="9020"/>
    <x v="4501"/>
    <x v="757"/>
    <d v="2015-12-18T00:00:00"/>
    <s v="Second Class"/>
    <x v="97"/>
    <s v="Laurel Elliston"/>
    <x v="0"/>
    <s v="United States"/>
    <s v="Springfield"/>
    <x v="17"/>
    <n v="22153"/>
    <x v="0"/>
    <x v="959"/>
    <x v="2"/>
    <x v="11"/>
    <x v="952"/>
    <x v="2564"/>
    <x v="4"/>
    <x v="2"/>
  </r>
  <r>
    <n v="9021"/>
    <x v="4501"/>
    <x v="757"/>
    <d v="2015-12-18T00:00:00"/>
    <s v="Second Class"/>
    <x v="97"/>
    <s v="Laurel Elliston"/>
    <x v="0"/>
    <s v="United States"/>
    <s v="Springfield"/>
    <x v="17"/>
    <n v="22153"/>
    <x v="0"/>
    <x v="875"/>
    <x v="0"/>
    <x v="5"/>
    <x v="869"/>
    <x v="2074"/>
    <x v="4"/>
    <x v="2"/>
  </r>
  <r>
    <n v="9022"/>
    <x v="4502"/>
    <x v="219"/>
    <d v="2016-11-20T00:00:00"/>
    <s v="Standard Class"/>
    <x v="778"/>
    <s v="Victoria Pisteka"/>
    <x v="1"/>
    <s v="United States"/>
    <s v="Toledo"/>
    <x v="24"/>
    <n v="43615"/>
    <x v="3"/>
    <x v="1160"/>
    <x v="1"/>
    <x v="8"/>
    <x v="1147"/>
    <x v="5440"/>
    <x v="0"/>
    <x v="1"/>
  </r>
  <r>
    <n v="9023"/>
    <x v="4503"/>
    <x v="250"/>
    <d v="2017-08-23T00:00:00"/>
    <s v="First Class"/>
    <x v="679"/>
    <s v="Tony Chapman"/>
    <x v="2"/>
    <s v="United States"/>
    <s v="Fort Collins"/>
    <x v="22"/>
    <n v="80525"/>
    <x v="1"/>
    <x v="514"/>
    <x v="0"/>
    <x v="5"/>
    <x v="514"/>
    <x v="5441"/>
    <x v="6"/>
    <x v="0"/>
  </r>
  <r>
    <n v="9024"/>
    <x v="4504"/>
    <x v="685"/>
    <d v="2016-07-02T00:00:00"/>
    <s v="First Class"/>
    <x v="495"/>
    <s v="Sheri Gordon"/>
    <x v="0"/>
    <s v="United States"/>
    <s v="New York City"/>
    <x v="15"/>
    <n v="10024"/>
    <x v="3"/>
    <x v="541"/>
    <x v="0"/>
    <x v="1"/>
    <x v="541"/>
    <x v="5442"/>
    <x v="1"/>
    <x v="1"/>
  </r>
  <r>
    <n v="9025"/>
    <x v="4505"/>
    <x v="190"/>
    <d v="2017-07-02T00:00:00"/>
    <s v="Standard Class"/>
    <x v="778"/>
    <s v="Victoria Pisteka"/>
    <x v="1"/>
    <s v="United States"/>
    <s v="New York City"/>
    <x v="15"/>
    <n v="10035"/>
    <x v="3"/>
    <x v="1695"/>
    <x v="2"/>
    <x v="11"/>
    <x v="1683"/>
    <x v="5443"/>
    <x v="1"/>
    <x v="0"/>
  </r>
  <r>
    <n v="9026"/>
    <x v="4505"/>
    <x v="190"/>
    <d v="2017-07-02T00:00:00"/>
    <s v="Standard Class"/>
    <x v="778"/>
    <s v="Victoria Pisteka"/>
    <x v="1"/>
    <s v="United States"/>
    <s v="New York City"/>
    <x v="15"/>
    <n v="10035"/>
    <x v="3"/>
    <x v="1481"/>
    <x v="2"/>
    <x v="11"/>
    <x v="1468"/>
    <x v="3943"/>
    <x v="1"/>
    <x v="0"/>
  </r>
  <r>
    <n v="9027"/>
    <x v="4505"/>
    <x v="190"/>
    <d v="2017-07-02T00:00:00"/>
    <s v="Standard Class"/>
    <x v="778"/>
    <s v="Victoria Pisteka"/>
    <x v="1"/>
    <s v="United States"/>
    <s v="New York City"/>
    <x v="15"/>
    <n v="10035"/>
    <x v="3"/>
    <x v="980"/>
    <x v="0"/>
    <x v="5"/>
    <x v="973"/>
    <x v="1250"/>
    <x v="1"/>
    <x v="0"/>
  </r>
  <r>
    <n v="9028"/>
    <x v="4506"/>
    <x v="42"/>
    <d v="2017-09-22T00:00:00"/>
    <s v="Standard Class"/>
    <x v="22"/>
    <s v="Patrick O'Donnell"/>
    <x v="0"/>
    <s v="United States"/>
    <s v="Marlborough"/>
    <x v="31"/>
    <n v="1752"/>
    <x v="3"/>
    <x v="627"/>
    <x v="0"/>
    <x v="5"/>
    <x v="627"/>
    <x v="1450"/>
    <x v="8"/>
    <x v="0"/>
  </r>
  <r>
    <n v="9029"/>
    <x v="4506"/>
    <x v="42"/>
    <d v="2017-09-22T00:00:00"/>
    <s v="Standard Class"/>
    <x v="22"/>
    <s v="Patrick O'Donnell"/>
    <x v="0"/>
    <s v="United States"/>
    <s v="Marlborough"/>
    <x v="31"/>
    <n v="1752"/>
    <x v="3"/>
    <x v="441"/>
    <x v="0"/>
    <x v="5"/>
    <x v="441"/>
    <x v="1838"/>
    <x v="8"/>
    <x v="0"/>
  </r>
  <r>
    <n v="9030"/>
    <x v="4507"/>
    <x v="667"/>
    <d v="2015-07-23T00:00:00"/>
    <s v="Standard Class"/>
    <x v="691"/>
    <s v="Jack Lebron"/>
    <x v="0"/>
    <s v="United States"/>
    <s v="New Rochelle"/>
    <x v="15"/>
    <n v="10801"/>
    <x v="3"/>
    <x v="530"/>
    <x v="1"/>
    <x v="8"/>
    <x v="530"/>
    <x v="1150"/>
    <x v="7"/>
    <x v="2"/>
  </r>
  <r>
    <n v="9031"/>
    <x v="4508"/>
    <x v="853"/>
    <d v="2018-09-01T00:00:00"/>
    <s v="Same Day"/>
    <x v="459"/>
    <s v="Rick Wilson"/>
    <x v="1"/>
    <s v="United States"/>
    <s v="Seattle"/>
    <x v="4"/>
    <n v="98103"/>
    <x v="1"/>
    <x v="1152"/>
    <x v="1"/>
    <x v="9"/>
    <x v="1140"/>
    <x v="5444"/>
    <x v="8"/>
    <x v="3"/>
  </r>
  <r>
    <n v="9032"/>
    <x v="4508"/>
    <x v="853"/>
    <d v="2018-09-01T00:00:00"/>
    <s v="Same Day"/>
    <x v="459"/>
    <s v="Rick Wilson"/>
    <x v="1"/>
    <s v="United States"/>
    <s v="Seattle"/>
    <x v="4"/>
    <n v="98103"/>
    <x v="1"/>
    <x v="223"/>
    <x v="0"/>
    <x v="3"/>
    <x v="224"/>
    <x v="5445"/>
    <x v="8"/>
    <x v="3"/>
  </r>
  <r>
    <n v="9033"/>
    <x v="4509"/>
    <x v="738"/>
    <d v="2018-06-26T00:00:00"/>
    <s v="Standard Class"/>
    <x v="46"/>
    <s v="Rick Bensley"/>
    <x v="2"/>
    <s v="United States"/>
    <s v="Detroit"/>
    <x v="12"/>
    <n v="48227"/>
    <x v="2"/>
    <x v="1"/>
    <x v="0"/>
    <x v="1"/>
    <x v="1"/>
    <x v="5446"/>
    <x v="1"/>
    <x v="3"/>
  </r>
  <r>
    <n v="9034"/>
    <x v="4510"/>
    <x v="814"/>
    <d v="2015-09-07T00:00:00"/>
    <s v="Standard Class"/>
    <x v="183"/>
    <s v="Sanjit Chand"/>
    <x v="0"/>
    <s v="United States"/>
    <s v="Fayetteville"/>
    <x v="36"/>
    <n v="72701"/>
    <x v="0"/>
    <x v="1176"/>
    <x v="1"/>
    <x v="8"/>
    <x v="1162"/>
    <x v="1612"/>
    <x v="8"/>
    <x v="2"/>
  </r>
  <r>
    <n v="9035"/>
    <x v="4511"/>
    <x v="486"/>
    <d v="2016-10-05T00:00:00"/>
    <s v="Standard Class"/>
    <x v="75"/>
    <s v="Eric Murdock"/>
    <x v="0"/>
    <s v="United States"/>
    <s v="Quincy"/>
    <x v="10"/>
    <n v="62301"/>
    <x v="2"/>
    <x v="1390"/>
    <x v="1"/>
    <x v="8"/>
    <x v="1376"/>
    <x v="5447"/>
    <x v="2"/>
    <x v="1"/>
  </r>
  <r>
    <n v="9036"/>
    <x v="4511"/>
    <x v="486"/>
    <d v="2016-10-05T00:00:00"/>
    <s v="Standard Class"/>
    <x v="75"/>
    <s v="Eric Murdock"/>
    <x v="0"/>
    <s v="United States"/>
    <s v="Quincy"/>
    <x v="10"/>
    <n v="62301"/>
    <x v="2"/>
    <x v="151"/>
    <x v="2"/>
    <x v="11"/>
    <x v="152"/>
    <x v="5448"/>
    <x v="2"/>
    <x v="1"/>
  </r>
  <r>
    <n v="9037"/>
    <x v="4512"/>
    <x v="1003"/>
    <d v="2016-04-10T00:00:00"/>
    <s v="First Class"/>
    <x v="261"/>
    <s v="Resi Pölking"/>
    <x v="0"/>
    <s v="United States"/>
    <s v="New York City"/>
    <x v="15"/>
    <n v="10035"/>
    <x v="3"/>
    <x v="1009"/>
    <x v="1"/>
    <x v="10"/>
    <x v="1001"/>
    <x v="233"/>
    <x v="3"/>
    <x v="1"/>
  </r>
  <r>
    <n v="9038"/>
    <x v="4512"/>
    <x v="1003"/>
    <d v="2016-04-10T00:00:00"/>
    <s v="First Class"/>
    <x v="261"/>
    <s v="Resi Pölking"/>
    <x v="0"/>
    <s v="United States"/>
    <s v="New York City"/>
    <x v="15"/>
    <n v="10035"/>
    <x v="3"/>
    <x v="1011"/>
    <x v="1"/>
    <x v="4"/>
    <x v="1003"/>
    <x v="2383"/>
    <x v="3"/>
    <x v="1"/>
  </r>
  <r>
    <n v="9039"/>
    <x v="4513"/>
    <x v="610"/>
    <d v="2018-11-21T00:00:00"/>
    <s v="Same Day"/>
    <x v="521"/>
    <s v="Henia Zydlo"/>
    <x v="0"/>
    <s v="United States"/>
    <s v="Houston"/>
    <x v="5"/>
    <n v="77095"/>
    <x v="2"/>
    <x v="461"/>
    <x v="2"/>
    <x v="7"/>
    <x v="462"/>
    <x v="494"/>
    <x v="0"/>
    <x v="3"/>
  </r>
  <r>
    <n v="9040"/>
    <x v="4514"/>
    <x v="907"/>
    <d v="2017-12-21T00:00:00"/>
    <s v="Standard Class"/>
    <x v="455"/>
    <s v="Adrian Barton"/>
    <x v="0"/>
    <s v="United States"/>
    <s v="Detroit"/>
    <x v="12"/>
    <n v="48205"/>
    <x v="2"/>
    <x v="692"/>
    <x v="1"/>
    <x v="8"/>
    <x v="692"/>
    <x v="5449"/>
    <x v="4"/>
    <x v="0"/>
  </r>
  <r>
    <n v="9041"/>
    <x v="4515"/>
    <x v="111"/>
    <d v="2015-09-24T00:00:00"/>
    <s v="Standard Class"/>
    <x v="540"/>
    <s v="Neil Ducich"/>
    <x v="1"/>
    <s v="United States"/>
    <s v="Chandler"/>
    <x v="16"/>
    <n v="85224"/>
    <x v="1"/>
    <x v="1116"/>
    <x v="0"/>
    <x v="3"/>
    <x v="1104"/>
    <x v="5450"/>
    <x v="8"/>
    <x v="2"/>
  </r>
  <r>
    <n v="9042"/>
    <x v="4516"/>
    <x v="450"/>
    <d v="2015-10-03T00:00:00"/>
    <s v="Standard Class"/>
    <x v="190"/>
    <s v="Xylona Preis"/>
    <x v="0"/>
    <s v="United States"/>
    <s v="Hollywood"/>
    <x v="2"/>
    <n v="33021"/>
    <x v="0"/>
    <x v="1805"/>
    <x v="0"/>
    <x v="5"/>
    <x v="1795"/>
    <x v="5451"/>
    <x v="8"/>
    <x v="2"/>
  </r>
  <r>
    <n v="9043"/>
    <x v="4517"/>
    <x v="357"/>
    <d v="2016-09-26T00:00:00"/>
    <s v="Second Class"/>
    <x v="152"/>
    <s v="Muhammed MacIntyre"/>
    <x v="1"/>
    <s v="United States"/>
    <s v="Los Angeles"/>
    <x v="1"/>
    <n v="90049"/>
    <x v="1"/>
    <x v="564"/>
    <x v="1"/>
    <x v="9"/>
    <x v="564"/>
    <x v="635"/>
    <x v="8"/>
    <x v="1"/>
  </r>
  <r>
    <n v="9044"/>
    <x v="4518"/>
    <x v="77"/>
    <d v="2017-11-13T00:00:00"/>
    <s v="Standard Class"/>
    <x v="504"/>
    <s v="Marina Lichtenstein"/>
    <x v="1"/>
    <s v="United States"/>
    <s v="San Francisco"/>
    <x v="1"/>
    <n v="94122"/>
    <x v="1"/>
    <x v="331"/>
    <x v="2"/>
    <x v="11"/>
    <x v="331"/>
    <x v="647"/>
    <x v="0"/>
    <x v="0"/>
  </r>
  <r>
    <n v="9045"/>
    <x v="4519"/>
    <x v="819"/>
    <d v="2018-12-20T00:00:00"/>
    <s v="Second Class"/>
    <x v="366"/>
    <s v="Kalyca Meade"/>
    <x v="1"/>
    <s v="United States"/>
    <s v="Sunnyvale"/>
    <x v="1"/>
    <n v="94086"/>
    <x v="1"/>
    <x v="1390"/>
    <x v="1"/>
    <x v="8"/>
    <x v="1376"/>
    <x v="4290"/>
    <x v="4"/>
    <x v="3"/>
  </r>
  <r>
    <n v="9046"/>
    <x v="4519"/>
    <x v="819"/>
    <d v="2018-12-20T00:00:00"/>
    <s v="Second Class"/>
    <x v="366"/>
    <s v="Kalyca Meade"/>
    <x v="1"/>
    <s v="United States"/>
    <s v="Sunnyvale"/>
    <x v="1"/>
    <n v="94086"/>
    <x v="1"/>
    <x v="1302"/>
    <x v="2"/>
    <x v="11"/>
    <x v="1287"/>
    <x v="5452"/>
    <x v="4"/>
    <x v="3"/>
  </r>
  <r>
    <n v="9047"/>
    <x v="4519"/>
    <x v="819"/>
    <d v="2018-12-20T00:00:00"/>
    <s v="Second Class"/>
    <x v="366"/>
    <s v="Kalyca Meade"/>
    <x v="1"/>
    <s v="United States"/>
    <s v="Sunnyvale"/>
    <x v="1"/>
    <n v="94086"/>
    <x v="1"/>
    <x v="632"/>
    <x v="2"/>
    <x v="11"/>
    <x v="632"/>
    <x v="179"/>
    <x v="4"/>
    <x v="3"/>
  </r>
  <r>
    <n v="9048"/>
    <x v="4519"/>
    <x v="819"/>
    <d v="2018-12-20T00:00:00"/>
    <s v="Second Class"/>
    <x v="366"/>
    <s v="Kalyca Meade"/>
    <x v="1"/>
    <s v="United States"/>
    <s v="Sunnyvale"/>
    <x v="1"/>
    <n v="94086"/>
    <x v="1"/>
    <x v="758"/>
    <x v="1"/>
    <x v="6"/>
    <x v="756"/>
    <x v="5453"/>
    <x v="4"/>
    <x v="3"/>
  </r>
  <r>
    <n v="9049"/>
    <x v="4519"/>
    <x v="819"/>
    <d v="2018-12-20T00:00:00"/>
    <s v="Second Class"/>
    <x v="366"/>
    <s v="Kalyca Meade"/>
    <x v="1"/>
    <s v="United States"/>
    <s v="Sunnyvale"/>
    <x v="1"/>
    <n v="94086"/>
    <x v="1"/>
    <x v="1760"/>
    <x v="1"/>
    <x v="2"/>
    <x v="1749"/>
    <x v="1821"/>
    <x v="4"/>
    <x v="3"/>
  </r>
  <r>
    <n v="9050"/>
    <x v="4520"/>
    <x v="158"/>
    <d v="2015-09-25T00:00:00"/>
    <s v="Standard Class"/>
    <x v="359"/>
    <s v="Sara Luxemburg"/>
    <x v="2"/>
    <s v="United States"/>
    <s v="New York City"/>
    <x v="15"/>
    <n v="10011"/>
    <x v="3"/>
    <x v="666"/>
    <x v="1"/>
    <x v="6"/>
    <x v="666"/>
    <x v="5454"/>
    <x v="8"/>
    <x v="2"/>
  </r>
  <r>
    <n v="9051"/>
    <x v="4521"/>
    <x v="1210"/>
    <d v="2016-05-22T00:00:00"/>
    <s v="Standard Class"/>
    <x v="321"/>
    <s v="Anthony Jacobs"/>
    <x v="1"/>
    <s v="United States"/>
    <s v="Los Angeles"/>
    <x v="1"/>
    <n v="90004"/>
    <x v="1"/>
    <x v="362"/>
    <x v="1"/>
    <x v="10"/>
    <x v="362"/>
    <x v="139"/>
    <x v="5"/>
    <x v="1"/>
  </r>
  <r>
    <n v="9052"/>
    <x v="4522"/>
    <x v="959"/>
    <d v="2015-03-31T00:00:00"/>
    <s v="Second Class"/>
    <x v="460"/>
    <s v="Damala Kotsonis"/>
    <x v="1"/>
    <s v="United States"/>
    <s v="San Francisco"/>
    <x v="1"/>
    <n v="94122"/>
    <x v="1"/>
    <x v="1245"/>
    <x v="1"/>
    <x v="6"/>
    <x v="1229"/>
    <x v="3525"/>
    <x v="10"/>
    <x v="2"/>
  </r>
  <r>
    <n v="9053"/>
    <x v="4522"/>
    <x v="959"/>
    <d v="2015-03-31T00:00:00"/>
    <s v="Second Class"/>
    <x v="460"/>
    <s v="Damala Kotsonis"/>
    <x v="1"/>
    <s v="United States"/>
    <s v="San Francisco"/>
    <x v="1"/>
    <n v="94122"/>
    <x v="1"/>
    <x v="44"/>
    <x v="1"/>
    <x v="8"/>
    <x v="44"/>
    <x v="688"/>
    <x v="10"/>
    <x v="2"/>
  </r>
  <r>
    <n v="9054"/>
    <x v="4522"/>
    <x v="959"/>
    <d v="2015-03-31T00:00:00"/>
    <s v="Second Class"/>
    <x v="460"/>
    <s v="Damala Kotsonis"/>
    <x v="1"/>
    <s v="United States"/>
    <s v="San Francisco"/>
    <x v="1"/>
    <n v="94122"/>
    <x v="1"/>
    <x v="1763"/>
    <x v="2"/>
    <x v="7"/>
    <x v="1752"/>
    <x v="5455"/>
    <x v="10"/>
    <x v="2"/>
  </r>
  <r>
    <n v="9055"/>
    <x v="4523"/>
    <x v="585"/>
    <d v="2018-09-28T00:00:00"/>
    <s v="Standard Class"/>
    <x v="318"/>
    <s v="Berenike Kampe"/>
    <x v="0"/>
    <s v="United States"/>
    <s v="Santa Ana"/>
    <x v="1"/>
    <n v="92704"/>
    <x v="1"/>
    <x v="133"/>
    <x v="1"/>
    <x v="14"/>
    <x v="134"/>
    <x v="2099"/>
    <x v="8"/>
    <x v="3"/>
  </r>
  <r>
    <n v="9056"/>
    <x v="4524"/>
    <x v="811"/>
    <d v="2016-09-17T00:00:00"/>
    <s v="Second Class"/>
    <x v="113"/>
    <s v="Craig Carreira"/>
    <x v="0"/>
    <s v="United States"/>
    <s v="Seattle"/>
    <x v="4"/>
    <n v="98103"/>
    <x v="1"/>
    <x v="916"/>
    <x v="2"/>
    <x v="11"/>
    <x v="908"/>
    <x v="223"/>
    <x v="8"/>
    <x v="1"/>
  </r>
  <r>
    <n v="9057"/>
    <x v="4525"/>
    <x v="121"/>
    <d v="2016-11-04T00:00:00"/>
    <s v="First Class"/>
    <x v="525"/>
    <s v="Emily Ducich"/>
    <x v="2"/>
    <s v="United States"/>
    <s v="New York City"/>
    <x v="15"/>
    <n v="10011"/>
    <x v="3"/>
    <x v="1802"/>
    <x v="0"/>
    <x v="1"/>
    <x v="1792"/>
    <x v="5456"/>
    <x v="0"/>
    <x v="1"/>
  </r>
  <r>
    <n v="9058"/>
    <x v="4526"/>
    <x v="1182"/>
    <d v="2016-10-24T00:00:00"/>
    <s v="Standard Class"/>
    <x v="647"/>
    <s v="Stewart Visinsky"/>
    <x v="0"/>
    <s v="United States"/>
    <s v="Los Angeles"/>
    <x v="1"/>
    <n v="90045"/>
    <x v="1"/>
    <x v="1680"/>
    <x v="0"/>
    <x v="5"/>
    <x v="1668"/>
    <x v="4021"/>
    <x v="2"/>
    <x v="1"/>
  </r>
  <r>
    <n v="9059"/>
    <x v="4526"/>
    <x v="1182"/>
    <d v="2016-10-24T00:00:00"/>
    <s v="Standard Class"/>
    <x v="647"/>
    <s v="Stewart Visinsky"/>
    <x v="0"/>
    <s v="United States"/>
    <s v="Los Angeles"/>
    <x v="1"/>
    <n v="90045"/>
    <x v="1"/>
    <x v="1746"/>
    <x v="0"/>
    <x v="3"/>
    <x v="1736"/>
    <x v="5457"/>
    <x v="2"/>
    <x v="1"/>
  </r>
  <r>
    <n v="9060"/>
    <x v="4527"/>
    <x v="403"/>
    <d v="2017-06-18T00:00:00"/>
    <s v="Standard Class"/>
    <x v="255"/>
    <s v="Anthony Rawles"/>
    <x v="1"/>
    <s v="United States"/>
    <s v="Seattle"/>
    <x v="4"/>
    <n v="98103"/>
    <x v="1"/>
    <x v="898"/>
    <x v="0"/>
    <x v="3"/>
    <x v="891"/>
    <x v="5458"/>
    <x v="1"/>
    <x v="0"/>
  </r>
  <r>
    <n v="9061"/>
    <x v="4528"/>
    <x v="312"/>
    <d v="2016-11-21T00:00:00"/>
    <s v="First Class"/>
    <x v="294"/>
    <s v="Chris Selesnick"/>
    <x v="1"/>
    <s v="United States"/>
    <s v="San Diego"/>
    <x v="1"/>
    <n v="92024"/>
    <x v="1"/>
    <x v="912"/>
    <x v="1"/>
    <x v="8"/>
    <x v="904"/>
    <x v="5459"/>
    <x v="0"/>
    <x v="1"/>
  </r>
  <r>
    <n v="9062"/>
    <x v="4528"/>
    <x v="312"/>
    <d v="2016-11-21T00:00:00"/>
    <s v="First Class"/>
    <x v="294"/>
    <s v="Chris Selesnick"/>
    <x v="1"/>
    <s v="United States"/>
    <s v="San Diego"/>
    <x v="1"/>
    <n v="92024"/>
    <x v="1"/>
    <x v="49"/>
    <x v="1"/>
    <x v="2"/>
    <x v="49"/>
    <x v="2255"/>
    <x v="0"/>
    <x v="1"/>
  </r>
  <r>
    <n v="9063"/>
    <x v="4529"/>
    <x v="905"/>
    <d v="2017-03-06T00:00:00"/>
    <s v="Standard Class"/>
    <x v="645"/>
    <s v="Rick Reed"/>
    <x v="1"/>
    <s v="United States"/>
    <s v="New York City"/>
    <x v="15"/>
    <n v="10035"/>
    <x v="3"/>
    <x v="829"/>
    <x v="1"/>
    <x v="13"/>
    <x v="128"/>
    <x v="5460"/>
    <x v="11"/>
    <x v="0"/>
  </r>
  <r>
    <n v="9064"/>
    <x v="4530"/>
    <x v="1005"/>
    <d v="2015-10-20T00:00:00"/>
    <s v="Standard Class"/>
    <x v="214"/>
    <s v="Bradley Drucker"/>
    <x v="0"/>
    <s v="United States"/>
    <s v="Chicago"/>
    <x v="10"/>
    <n v="60653"/>
    <x v="2"/>
    <x v="1323"/>
    <x v="1"/>
    <x v="10"/>
    <x v="1309"/>
    <x v="5461"/>
    <x v="2"/>
    <x v="2"/>
  </r>
  <r>
    <n v="9065"/>
    <x v="4530"/>
    <x v="1005"/>
    <d v="2015-10-20T00:00:00"/>
    <s v="Standard Class"/>
    <x v="214"/>
    <s v="Bradley Drucker"/>
    <x v="0"/>
    <s v="United States"/>
    <s v="Chicago"/>
    <x v="10"/>
    <n v="60653"/>
    <x v="2"/>
    <x v="185"/>
    <x v="1"/>
    <x v="8"/>
    <x v="186"/>
    <x v="194"/>
    <x v="2"/>
    <x v="2"/>
  </r>
  <r>
    <n v="9066"/>
    <x v="4530"/>
    <x v="1005"/>
    <d v="2015-10-20T00:00:00"/>
    <s v="Standard Class"/>
    <x v="214"/>
    <s v="Bradley Drucker"/>
    <x v="0"/>
    <s v="United States"/>
    <s v="Chicago"/>
    <x v="10"/>
    <n v="60653"/>
    <x v="2"/>
    <x v="1331"/>
    <x v="1"/>
    <x v="10"/>
    <x v="1316"/>
    <x v="4336"/>
    <x v="2"/>
    <x v="2"/>
  </r>
  <r>
    <n v="9067"/>
    <x v="4531"/>
    <x v="1143"/>
    <d v="2018-05-30T00:00:00"/>
    <s v="Standard Class"/>
    <x v="298"/>
    <s v="Bryan Mills"/>
    <x v="0"/>
    <s v="United States"/>
    <s v="Harrisonburg"/>
    <x v="17"/>
    <n v="22801"/>
    <x v="0"/>
    <x v="1575"/>
    <x v="2"/>
    <x v="11"/>
    <x v="1566"/>
    <x v="5462"/>
    <x v="5"/>
    <x v="3"/>
  </r>
  <r>
    <n v="9068"/>
    <x v="4532"/>
    <x v="1084"/>
    <d v="2017-02-10T00:00:00"/>
    <s v="Standard Class"/>
    <x v="333"/>
    <s v="Maribeth Schnelling"/>
    <x v="0"/>
    <s v="United States"/>
    <s v="Rockville"/>
    <x v="39"/>
    <n v="20852"/>
    <x v="3"/>
    <x v="1409"/>
    <x v="2"/>
    <x v="7"/>
    <x v="1396"/>
    <x v="3377"/>
    <x v="11"/>
    <x v="0"/>
  </r>
  <r>
    <n v="9069"/>
    <x v="4533"/>
    <x v="476"/>
    <d v="2017-09-05T00:00:00"/>
    <s v="Second Class"/>
    <x v="78"/>
    <s v="Becky Martin"/>
    <x v="0"/>
    <s v="United States"/>
    <s v="Des Moines"/>
    <x v="4"/>
    <n v="98198"/>
    <x v="1"/>
    <x v="51"/>
    <x v="0"/>
    <x v="1"/>
    <x v="51"/>
    <x v="1775"/>
    <x v="8"/>
    <x v="0"/>
  </r>
  <r>
    <n v="9070"/>
    <x v="4533"/>
    <x v="476"/>
    <d v="2017-09-05T00:00:00"/>
    <s v="Second Class"/>
    <x v="78"/>
    <s v="Becky Martin"/>
    <x v="0"/>
    <s v="United States"/>
    <s v="Des Moines"/>
    <x v="4"/>
    <n v="98198"/>
    <x v="1"/>
    <x v="1664"/>
    <x v="1"/>
    <x v="12"/>
    <x v="1652"/>
    <x v="4196"/>
    <x v="8"/>
    <x v="0"/>
  </r>
  <r>
    <n v="9071"/>
    <x v="4534"/>
    <x v="769"/>
    <d v="2018-12-05T00:00:00"/>
    <s v="First Class"/>
    <x v="722"/>
    <s v="Katrina Edelman"/>
    <x v="1"/>
    <s v="United States"/>
    <s v="Philadelphia"/>
    <x v="9"/>
    <n v="19134"/>
    <x v="3"/>
    <x v="283"/>
    <x v="0"/>
    <x v="5"/>
    <x v="283"/>
    <x v="1366"/>
    <x v="4"/>
    <x v="3"/>
  </r>
  <r>
    <n v="9072"/>
    <x v="4535"/>
    <x v="821"/>
    <d v="2016-06-16T00:00:00"/>
    <s v="Standard Class"/>
    <x v="449"/>
    <s v="Sam Zeldin"/>
    <x v="2"/>
    <s v="United States"/>
    <s v="Columbus"/>
    <x v="14"/>
    <n v="47201"/>
    <x v="2"/>
    <x v="576"/>
    <x v="1"/>
    <x v="4"/>
    <x v="576"/>
    <x v="332"/>
    <x v="1"/>
    <x v="1"/>
  </r>
  <r>
    <n v="9073"/>
    <x v="4536"/>
    <x v="913"/>
    <d v="2017-09-08T00:00:00"/>
    <s v="Standard Class"/>
    <x v="469"/>
    <s v="Mick Brown"/>
    <x v="0"/>
    <s v="United States"/>
    <s v="Springfield"/>
    <x v="25"/>
    <n v="65807"/>
    <x v="2"/>
    <x v="1451"/>
    <x v="1"/>
    <x v="12"/>
    <x v="153"/>
    <x v="3319"/>
    <x v="8"/>
    <x v="0"/>
  </r>
  <r>
    <n v="9074"/>
    <x v="4536"/>
    <x v="913"/>
    <d v="2017-09-08T00:00:00"/>
    <s v="Standard Class"/>
    <x v="469"/>
    <s v="Mick Brown"/>
    <x v="0"/>
    <s v="United States"/>
    <s v="Springfield"/>
    <x v="25"/>
    <n v="65807"/>
    <x v="2"/>
    <x v="201"/>
    <x v="2"/>
    <x v="11"/>
    <x v="202"/>
    <x v="5463"/>
    <x v="8"/>
    <x v="0"/>
  </r>
  <r>
    <n v="9075"/>
    <x v="4537"/>
    <x v="419"/>
    <d v="2015-04-26T00:00:00"/>
    <s v="Standard Class"/>
    <x v="587"/>
    <s v="Dorothy Badders"/>
    <x v="1"/>
    <s v="United States"/>
    <s v="Henderson"/>
    <x v="0"/>
    <n v="42420"/>
    <x v="0"/>
    <x v="942"/>
    <x v="1"/>
    <x v="4"/>
    <x v="935"/>
    <x v="5464"/>
    <x v="3"/>
    <x v="2"/>
  </r>
  <r>
    <n v="9076"/>
    <x v="4538"/>
    <x v="599"/>
    <d v="2016-11-08T00:00:00"/>
    <s v="First Class"/>
    <x v="558"/>
    <s v="Christy Brittain"/>
    <x v="0"/>
    <s v="United States"/>
    <s v="Lakewood"/>
    <x v="24"/>
    <n v="44107"/>
    <x v="3"/>
    <x v="385"/>
    <x v="1"/>
    <x v="8"/>
    <x v="386"/>
    <x v="570"/>
    <x v="0"/>
    <x v="1"/>
  </r>
  <r>
    <n v="9077"/>
    <x v="4538"/>
    <x v="599"/>
    <d v="2016-11-08T00:00:00"/>
    <s v="First Class"/>
    <x v="558"/>
    <s v="Christy Brittain"/>
    <x v="0"/>
    <s v="United States"/>
    <s v="Lakewood"/>
    <x v="24"/>
    <n v="44107"/>
    <x v="3"/>
    <x v="1768"/>
    <x v="1"/>
    <x v="14"/>
    <x v="1757"/>
    <x v="5465"/>
    <x v="0"/>
    <x v="1"/>
  </r>
  <r>
    <n v="9078"/>
    <x v="4539"/>
    <x v="935"/>
    <d v="2015-11-07T00:00:00"/>
    <s v="Standard Class"/>
    <x v="70"/>
    <s v="Stephanie Phelps"/>
    <x v="1"/>
    <s v="United States"/>
    <s v="Omaha"/>
    <x v="8"/>
    <n v="68104"/>
    <x v="2"/>
    <x v="1048"/>
    <x v="2"/>
    <x v="11"/>
    <x v="1037"/>
    <x v="1309"/>
    <x v="0"/>
    <x v="2"/>
  </r>
  <r>
    <n v="9079"/>
    <x v="4540"/>
    <x v="595"/>
    <d v="2017-02-23T00:00:00"/>
    <s v="Standard Class"/>
    <x v="543"/>
    <s v="Giulietta Weimer"/>
    <x v="0"/>
    <s v="United States"/>
    <s v="Henderson"/>
    <x v="0"/>
    <n v="42420"/>
    <x v="0"/>
    <x v="124"/>
    <x v="0"/>
    <x v="5"/>
    <x v="125"/>
    <x v="5466"/>
    <x v="11"/>
    <x v="0"/>
  </r>
  <r>
    <n v="9080"/>
    <x v="4540"/>
    <x v="595"/>
    <d v="2017-02-23T00:00:00"/>
    <s v="Standard Class"/>
    <x v="543"/>
    <s v="Giulietta Weimer"/>
    <x v="0"/>
    <s v="United States"/>
    <s v="Henderson"/>
    <x v="0"/>
    <n v="42420"/>
    <x v="0"/>
    <x v="326"/>
    <x v="1"/>
    <x v="8"/>
    <x v="326"/>
    <x v="4773"/>
    <x v="11"/>
    <x v="0"/>
  </r>
  <r>
    <n v="9081"/>
    <x v="4541"/>
    <x v="220"/>
    <d v="2018-09-13T00:00:00"/>
    <s v="Second Class"/>
    <x v="175"/>
    <s v="Ken Heidel"/>
    <x v="1"/>
    <s v="United States"/>
    <s v="Santa Ana"/>
    <x v="1"/>
    <n v="92704"/>
    <x v="1"/>
    <x v="993"/>
    <x v="2"/>
    <x v="7"/>
    <x v="985"/>
    <x v="2092"/>
    <x v="8"/>
    <x v="3"/>
  </r>
  <r>
    <n v="9082"/>
    <x v="4541"/>
    <x v="220"/>
    <d v="2018-09-13T00:00:00"/>
    <s v="Second Class"/>
    <x v="175"/>
    <s v="Ken Heidel"/>
    <x v="1"/>
    <s v="United States"/>
    <s v="Santa Ana"/>
    <x v="1"/>
    <n v="92704"/>
    <x v="1"/>
    <x v="1009"/>
    <x v="1"/>
    <x v="10"/>
    <x v="1001"/>
    <x v="537"/>
    <x v="8"/>
    <x v="3"/>
  </r>
  <r>
    <n v="9083"/>
    <x v="4542"/>
    <x v="808"/>
    <d v="2018-11-06T00:00:00"/>
    <s v="Standard Class"/>
    <x v="767"/>
    <s v="Barry Gonzalez"/>
    <x v="0"/>
    <s v="United States"/>
    <s v="Springfield"/>
    <x v="17"/>
    <n v="22153"/>
    <x v="0"/>
    <x v="21"/>
    <x v="1"/>
    <x v="6"/>
    <x v="21"/>
    <x v="345"/>
    <x v="0"/>
    <x v="3"/>
  </r>
  <r>
    <n v="9084"/>
    <x v="4543"/>
    <x v="525"/>
    <d v="2016-02-08T00:00:00"/>
    <s v="First Class"/>
    <x v="628"/>
    <s v="Lori Olson"/>
    <x v="1"/>
    <s v="United States"/>
    <s v="Suffolk"/>
    <x v="17"/>
    <n v="23434"/>
    <x v="0"/>
    <x v="1166"/>
    <x v="1"/>
    <x v="4"/>
    <x v="1153"/>
    <x v="64"/>
    <x v="11"/>
    <x v="1"/>
  </r>
  <r>
    <n v="9085"/>
    <x v="4543"/>
    <x v="525"/>
    <d v="2016-02-08T00:00:00"/>
    <s v="First Class"/>
    <x v="628"/>
    <s v="Lori Olson"/>
    <x v="1"/>
    <s v="United States"/>
    <s v="Suffolk"/>
    <x v="17"/>
    <n v="23434"/>
    <x v="0"/>
    <x v="150"/>
    <x v="1"/>
    <x v="10"/>
    <x v="151"/>
    <x v="2680"/>
    <x v="11"/>
    <x v="1"/>
  </r>
  <r>
    <n v="9086"/>
    <x v="4544"/>
    <x v="545"/>
    <d v="2017-09-12T00:00:00"/>
    <s v="Second Class"/>
    <x v="231"/>
    <s v="Dianna Vittorini"/>
    <x v="0"/>
    <s v="United States"/>
    <s v="Los Angeles"/>
    <x v="1"/>
    <n v="90049"/>
    <x v="1"/>
    <x v="1591"/>
    <x v="1"/>
    <x v="8"/>
    <x v="1583"/>
    <x v="4604"/>
    <x v="8"/>
    <x v="0"/>
  </r>
  <r>
    <n v="9087"/>
    <x v="4545"/>
    <x v="182"/>
    <d v="2017-09-30T00:00:00"/>
    <s v="Standard Class"/>
    <x v="756"/>
    <s v="Lisa Ryan"/>
    <x v="1"/>
    <s v="United States"/>
    <s v="Houston"/>
    <x v="5"/>
    <n v="77041"/>
    <x v="2"/>
    <x v="1778"/>
    <x v="1"/>
    <x v="9"/>
    <x v="1768"/>
    <x v="5467"/>
    <x v="8"/>
    <x v="0"/>
  </r>
  <r>
    <n v="9088"/>
    <x v="4545"/>
    <x v="182"/>
    <d v="2017-09-30T00:00:00"/>
    <s v="Standard Class"/>
    <x v="756"/>
    <s v="Lisa Ryan"/>
    <x v="1"/>
    <s v="United States"/>
    <s v="Houston"/>
    <x v="5"/>
    <n v="77041"/>
    <x v="2"/>
    <x v="70"/>
    <x v="0"/>
    <x v="1"/>
    <x v="70"/>
    <x v="5468"/>
    <x v="8"/>
    <x v="0"/>
  </r>
  <r>
    <n v="9089"/>
    <x v="4546"/>
    <x v="83"/>
    <d v="2016-12-20T00:00:00"/>
    <s v="Standard Class"/>
    <x v="645"/>
    <s v="Rick Reed"/>
    <x v="1"/>
    <s v="United States"/>
    <s v="Cary"/>
    <x v="3"/>
    <n v="27511"/>
    <x v="0"/>
    <x v="239"/>
    <x v="2"/>
    <x v="7"/>
    <x v="240"/>
    <x v="2126"/>
    <x v="4"/>
    <x v="1"/>
  </r>
  <r>
    <n v="9090"/>
    <x v="4547"/>
    <x v="42"/>
    <d v="2017-09-20T00:00:00"/>
    <s v="Second Class"/>
    <x v="59"/>
    <s v="Troy Staebel"/>
    <x v="0"/>
    <s v="United States"/>
    <s v="Springfield"/>
    <x v="24"/>
    <n v="45503"/>
    <x v="3"/>
    <x v="235"/>
    <x v="1"/>
    <x v="4"/>
    <x v="236"/>
    <x v="5469"/>
    <x v="8"/>
    <x v="0"/>
  </r>
  <r>
    <n v="9091"/>
    <x v="4548"/>
    <x v="119"/>
    <d v="2018-10-15T00:00:00"/>
    <s v="First Class"/>
    <x v="117"/>
    <s v="Alan Hwang"/>
    <x v="0"/>
    <s v="United States"/>
    <s v="Louisville"/>
    <x v="0"/>
    <n v="40214"/>
    <x v="0"/>
    <x v="123"/>
    <x v="1"/>
    <x v="4"/>
    <x v="123"/>
    <x v="5470"/>
    <x v="2"/>
    <x v="3"/>
  </r>
  <r>
    <n v="9092"/>
    <x v="4549"/>
    <x v="1141"/>
    <d v="2016-07-03T00:00:00"/>
    <s v="Second Class"/>
    <x v="61"/>
    <s v="Dorothy Wardle"/>
    <x v="1"/>
    <s v="United States"/>
    <s v="Troy"/>
    <x v="24"/>
    <n v="45373"/>
    <x v="3"/>
    <x v="89"/>
    <x v="1"/>
    <x v="10"/>
    <x v="89"/>
    <x v="12"/>
    <x v="1"/>
    <x v="1"/>
  </r>
  <r>
    <n v="9093"/>
    <x v="4549"/>
    <x v="1141"/>
    <d v="2016-07-03T00:00:00"/>
    <s v="Second Class"/>
    <x v="61"/>
    <s v="Dorothy Wardle"/>
    <x v="1"/>
    <s v="United States"/>
    <s v="Troy"/>
    <x v="24"/>
    <n v="45373"/>
    <x v="3"/>
    <x v="1162"/>
    <x v="0"/>
    <x v="0"/>
    <x v="1149"/>
    <x v="5471"/>
    <x v="1"/>
    <x v="1"/>
  </r>
  <r>
    <n v="9094"/>
    <x v="4550"/>
    <x v="932"/>
    <d v="2016-06-05T00:00:00"/>
    <s v="Standard Class"/>
    <x v="219"/>
    <s v="Ashley Jarboe"/>
    <x v="0"/>
    <s v="United States"/>
    <s v="Detroit"/>
    <x v="12"/>
    <n v="48227"/>
    <x v="2"/>
    <x v="1501"/>
    <x v="2"/>
    <x v="7"/>
    <x v="1489"/>
    <x v="3633"/>
    <x v="1"/>
    <x v="1"/>
  </r>
  <r>
    <n v="9095"/>
    <x v="4550"/>
    <x v="932"/>
    <d v="2016-06-05T00:00:00"/>
    <s v="Standard Class"/>
    <x v="219"/>
    <s v="Ashley Jarboe"/>
    <x v="0"/>
    <s v="United States"/>
    <s v="Detroit"/>
    <x v="12"/>
    <n v="48227"/>
    <x v="2"/>
    <x v="1080"/>
    <x v="1"/>
    <x v="8"/>
    <x v="1070"/>
    <x v="5472"/>
    <x v="1"/>
    <x v="1"/>
  </r>
  <r>
    <n v="9096"/>
    <x v="4550"/>
    <x v="932"/>
    <d v="2016-06-05T00:00:00"/>
    <s v="Standard Class"/>
    <x v="219"/>
    <s v="Ashley Jarboe"/>
    <x v="0"/>
    <s v="United States"/>
    <s v="Detroit"/>
    <x v="12"/>
    <n v="48227"/>
    <x v="2"/>
    <x v="1020"/>
    <x v="2"/>
    <x v="7"/>
    <x v="1011"/>
    <x v="362"/>
    <x v="1"/>
    <x v="1"/>
  </r>
  <r>
    <n v="9097"/>
    <x v="4550"/>
    <x v="932"/>
    <d v="2016-06-05T00:00:00"/>
    <s v="Standard Class"/>
    <x v="219"/>
    <s v="Ashley Jarboe"/>
    <x v="0"/>
    <s v="United States"/>
    <s v="Detroit"/>
    <x v="12"/>
    <n v="48227"/>
    <x v="2"/>
    <x v="1722"/>
    <x v="1"/>
    <x v="2"/>
    <x v="1709"/>
    <x v="1301"/>
    <x v="1"/>
    <x v="1"/>
  </r>
  <r>
    <n v="9098"/>
    <x v="4551"/>
    <x v="791"/>
    <d v="2015-04-17T00:00:00"/>
    <s v="Standard Class"/>
    <x v="647"/>
    <s v="Stewart Visinsky"/>
    <x v="0"/>
    <s v="United States"/>
    <s v="Bloomington"/>
    <x v="14"/>
    <n v="47401"/>
    <x v="2"/>
    <x v="730"/>
    <x v="1"/>
    <x v="10"/>
    <x v="729"/>
    <x v="56"/>
    <x v="3"/>
    <x v="2"/>
  </r>
  <r>
    <n v="9099"/>
    <x v="4552"/>
    <x v="386"/>
    <d v="2018-10-16T00:00:00"/>
    <s v="Standard Class"/>
    <x v="377"/>
    <s v="Matthew Grinstein"/>
    <x v="2"/>
    <s v="United States"/>
    <s v="Dallas"/>
    <x v="5"/>
    <n v="75081"/>
    <x v="2"/>
    <x v="665"/>
    <x v="2"/>
    <x v="7"/>
    <x v="665"/>
    <x v="4085"/>
    <x v="2"/>
    <x v="3"/>
  </r>
  <r>
    <n v="9100"/>
    <x v="4552"/>
    <x v="386"/>
    <d v="2018-10-16T00:00:00"/>
    <s v="Standard Class"/>
    <x v="377"/>
    <s v="Matthew Grinstein"/>
    <x v="2"/>
    <s v="United States"/>
    <s v="Dallas"/>
    <x v="5"/>
    <n v="75081"/>
    <x v="2"/>
    <x v="548"/>
    <x v="1"/>
    <x v="10"/>
    <x v="548"/>
    <x v="559"/>
    <x v="2"/>
    <x v="3"/>
  </r>
  <r>
    <n v="9101"/>
    <x v="4552"/>
    <x v="386"/>
    <d v="2018-10-16T00:00:00"/>
    <s v="Standard Class"/>
    <x v="377"/>
    <s v="Matthew Grinstein"/>
    <x v="2"/>
    <s v="United States"/>
    <s v="Dallas"/>
    <x v="5"/>
    <n v="75081"/>
    <x v="2"/>
    <x v="764"/>
    <x v="2"/>
    <x v="11"/>
    <x v="763"/>
    <x v="5473"/>
    <x v="2"/>
    <x v="3"/>
  </r>
  <r>
    <n v="9102"/>
    <x v="4553"/>
    <x v="209"/>
    <d v="2016-11-12T00:00:00"/>
    <s v="Standard Class"/>
    <x v="455"/>
    <s v="Adrian Barton"/>
    <x v="0"/>
    <s v="United States"/>
    <s v="Houston"/>
    <x v="5"/>
    <n v="77041"/>
    <x v="2"/>
    <x v="32"/>
    <x v="1"/>
    <x v="6"/>
    <x v="32"/>
    <x v="5474"/>
    <x v="0"/>
    <x v="1"/>
  </r>
  <r>
    <n v="9103"/>
    <x v="4553"/>
    <x v="209"/>
    <d v="2016-11-12T00:00:00"/>
    <s v="Standard Class"/>
    <x v="455"/>
    <s v="Adrian Barton"/>
    <x v="0"/>
    <s v="United States"/>
    <s v="Houston"/>
    <x v="5"/>
    <n v="77041"/>
    <x v="2"/>
    <x v="45"/>
    <x v="1"/>
    <x v="4"/>
    <x v="45"/>
    <x v="556"/>
    <x v="0"/>
    <x v="1"/>
  </r>
  <r>
    <n v="9104"/>
    <x v="4553"/>
    <x v="209"/>
    <d v="2016-11-12T00:00:00"/>
    <s v="Standard Class"/>
    <x v="455"/>
    <s v="Adrian Barton"/>
    <x v="0"/>
    <s v="United States"/>
    <s v="Houston"/>
    <x v="5"/>
    <n v="77041"/>
    <x v="2"/>
    <x v="1525"/>
    <x v="0"/>
    <x v="5"/>
    <x v="1512"/>
    <x v="643"/>
    <x v="0"/>
    <x v="1"/>
  </r>
  <r>
    <n v="9105"/>
    <x v="4553"/>
    <x v="209"/>
    <d v="2016-11-12T00:00:00"/>
    <s v="Standard Class"/>
    <x v="455"/>
    <s v="Adrian Barton"/>
    <x v="0"/>
    <s v="United States"/>
    <s v="Houston"/>
    <x v="5"/>
    <n v="77041"/>
    <x v="2"/>
    <x v="27"/>
    <x v="1"/>
    <x v="8"/>
    <x v="27"/>
    <x v="4078"/>
    <x v="0"/>
    <x v="1"/>
  </r>
  <r>
    <n v="9106"/>
    <x v="4553"/>
    <x v="209"/>
    <d v="2016-11-12T00:00:00"/>
    <s v="Standard Class"/>
    <x v="455"/>
    <s v="Adrian Barton"/>
    <x v="0"/>
    <s v="United States"/>
    <s v="Houston"/>
    <x v="5"/>
    <n v="77041"/>
    <x v="2"/>
    <x v="1667"/>
    <x v="1"/>
    <x v="4"/>
    <x v="1655"/>
    <x v="5475"/>
    <x v="0"/>
    <x v="1"/>
  </r>
  <r>
    <n v="9107"/>
    <x v="4553"/>
    <x v="209"/>
    <d v="2016-11-12T00:00:00"/>
    <s v="Standard Class"/>
    <x v="455"/>
    <s v="Adrian Barton"/>
    <x v="0"/>
    <s v="United States"/>
    <s v="Houston"/>
    <x v="5"/>
    <n v="77041"/>
    <x v="2"/>
    <x v="1616"/>
    <x v="2"/>
    <x v="15"/>
    <x v="1607"/>
    <x v="3030"/>
    <x v="0"/>
    <x v="1"/>
  </r>
  <r>
    <n v="9108"/>
    <x v="4554"/>
    <x v="442"/>
    <d v="2016-05-28T00:00:00"/>
    <s v="First Class"/>
    <x v="152"/>
    <s v="Muhammed MacIntyre"/>
    <x v="1"/>
    <s v="United States"/>
    <s v="Haltom City"/>
    <x v="5"/>
    <n v="76117"/>
    <x v="2"/>
    <x v="1352"/>
    <x v="1"/>
    <x v="14"/>
    <x v="1338"/>
    <x v="4"/>
    <x v="5"/>
    <x v="1"/>
  </r>
  <r>
    <n v="9109"/>
    <x v="4554"/>
    <x v="442"/>
    <d v="2016-05-28T00:00:00"/>
    <s v="First Class"/>
    <x v="152"/>
    <s v="Muhammed MacIntyre"/>
    <x v="1"/>
    <s v="United States"/>
    <s v="Haltom City"/>
    <x v="5"/>
    <n v="76117"/>
    <x v="2"/>
    <x v="1215"/>
    <x v="1"/>
    <x v="10"/>
    <x v="1199"/>
    <x v="5476"/>
    <x v="5"/>
    <x v="1"/>
  </r>
  <r>
    <n v="9110"/>
    <x v="4554"/>
    <x v="442"/>
    <d v="2016-05-28T00:00:00"/>
    <s v="First Class"/>
    <x v="152"/>
    <s v="Muhammed MacIntyre"/>
    <x v="1"/>
    <s v="United States"/>
    <s v="Haltom City"/>
    <x v="5"/>
    <n v="76117"/>
    <x v="2"/>
    <x v="1301"/>
    <x v="2"/>
    <x v="11"/>
    <x v="1286"/>
    <x v="3568"/>
    <x v="5"/>
    <x v="1"/>
  </r>
  <r>
    <n v="9111"/>
    <x v="4555"/>
    <x v="303"/>
    <d v="2015-10-15T00:00:00"/>
    <s v="First Class"/>
    <x v="671"/>
    <s v="Michelle Arnett"/>
    <x v="2"/>
    <s v="United States"/>
    <s v="Richmond"/>
    <x v="17"/>
    <n v="23223"/>
    <x v="0"/>
    <x v="1047"/>
    <x v="1"/>
    <x v="12"/>
    <x v="1036"/>
    <x v="3343"/>
    <x v="2"/>
    <x v="2"/>
  </r>
  <r>
    <n v="9112"/>
    <x v="4555"/>
    <x v="303"/>
    <d v="2015-10-15T00:00:00"/>
    <s v="First Class"/>
    <x v="671"/>
    <s v="Michelle Arnett"/>
    <x v="2"/>
    <s v="United States"/>
    <s v="Richmond"/>
    <x v="17"/>
    <n v="23223"/>
    <x v="0"/>
    <x v="1690"/>
    <x v="2"/>
    <x v="11"/>
    <x v="1678"/>
    <x v="1003"/>
    <x v="2"/>
    <x v="2"/>
  </r>
  <r>
    <n v="9113"/>
    <x v="4555"/>
    <x v="303"/>
    <d v="2015-10-15T00:00:00"/>
    <s v="First Class"/>
    <x v="671"/>
    <s v="Michelle Arnett"/>
    <x v="2"/>
    <s v="United States"/>
    <s v="Richmond"/>
    <x v="17"/>
    <n v="23223"/>
    <x v="0"/>
    <x v="1819"/>
    <x v="1"/>
    <x v="4"/>
    <x v="1808"/>
    <x v="5477"/>
    <x v="2"/>
    <x v="2"/>
  </r>
  <r>
    <n v="9114"/>
    <x v="4555"/>
    <x v="303"/>
    <d v="2015-10-15T00:00:00"/>
    <s v="First Class"/>
    <x v="671"/>
    <s v="Michelle Arnett"/>
    <x v="2"/>
    <s v="United States"/>
    <s v="Richmond"/>
    <x v="17"/>
    <n v="23223"/>
    <x v="0"/>
    <x v="881"/>
    <x v="1"/>
    <x v="8"/>
    <x v="875"/>
    <x v="5478"/>
    <x v="2"/>
    <x v="2"/>
  </r>
  <r>
    <n v="9115"/>
    <x v="4556"/>
    <x v="569"/>
    <d v="2017-02-10T00:00:00"/>
    <s v="Second Class"/>
    <x v="424"/>
    <s v="Erica Bern"/>
    <x v="1"/>
    <s v="United States"/>
    <s v="Los Angeles"/>
    <x v="1"/>
    <n v="90049"/>
    <x v="1"/>
    <x v="1807"/>
    <x v="2"/>
    <x v="7"/>
    <x v="1797"/>
    <x v="4537"/>
    <x v="11"/>
    <x v="0"/>
  </r>
  <r>
    <n v="9116"/>
    <x v="4557"/>
    <x v="617"/>
    <d v="2018-01-24T00:00:00"/>
    <s v="Second Class"/>
    <x v="515"/>
    <s v="Neola Schneider"/>
    <x v="0"/>
    <s v="United States"/>
    <s v="Philadelphia"/>
    <x v="9"/>
    <n v="19140"/>
    <x v="3"/>
    <x v="1118"/>
    <x v="2"/>
    <x v="7"/>
    <x v="1106"/>
    <x v="5479"/>
    <x v="9"/>
    <x v="3"/>
  </r>
  <r>
    <n v="9117"/>
    <x v="4557"/>
    <x v="617"/>
    <d v="2018-01-24T00:00:00"/>
    <s v="Second Class"/>
    <x v="515"/>
    <s v="Neola Schneider"/>
    <x v="0"/>
    <s v="United States"/>
    <s v="Philadelphia"/>
    <x v="9"/>
    <n v="19140"/>
    <x v="3"/>
    <x v="561"/>
    <x v="0"/>
    <x v="5"/>
    <x v="560"/>
    <x v="1303"/>
    <x v="9"/>
    <x v="3"/>
  </r>
  <r>
    <n v="9118"/>
    <x v="4557"/>
    <x v="617"/>
    <d v="2018-01-24T00:00:00"/>
    <s v="Second Class"/>
    <x v="515"/>
    <s v="Neola Schneider"/>
    <x v="0"/>
    <s v="United States"/>
    <s v="Philadelphia"/>
    <x v="9"/>
    <n v="19140"/>
    <x v="3"/>
    <x v="774"/>
    <x v="0"/>
    <x v="1"/>
    <x v="773"/>
    <x v="4843"/>
    <x v="9"/>
    <x v="3"/>
  </r>
  <r>
    <n v="9119"/>
    <x v="4557"/>
    <x v="617"/>
    <d v="2018-01-24T00:00:00"/>
    <s v="Second Class"/>
    <x v="515"/>
    <s v="Neola Schneider"/>
    <x v="0"/>
    <s v="United States"/>
    <s v="Philadelphia"/>
    <x v="9"/>
    <n v="19140"/>
    <x v="3"/>
    <x v="987"/>
    <x v="1"/>
    <x v="10"/>
    <x v="980"/>
    <x v="5480"/>
    <x v="9"/>
    <x v="3"/>
  </r>
  <r>
    <n v="9120"/>
    <x v="4558"/>
    <x v="112"/>
    <d v="2017-06-12T00:00:00"/>
    <s v="Standard Class"/>
    <x v="176"/>
    <s v="Ross Baird"/>
    <x v="2"/>
    <s v="United States"/>
    <s v="Los Angeles"/>
    <x v="1"/>
    <n v="90036"/>
    <x v="1"/>
    <x v="816"/>
    <x v="1"/>
    <x v="2"/>
    <x v="812"/>
    <x v="421"/>
    <x v="1"/>
    <x v="0"/>
  </r>
  <r>
    <n v="9121"/>
    <x v="4558"/>
    <x v="112"/>
    <d v="2017-06-12T00:00:00"/>
    <s v="Standard Class"/>
    <x v="176"/>
    <s v="Ross Baird"/>
    <x v="2"/>
    <s v="United States"/>
    <s v="Los Angeles"/>
    <x v="1"/>
    <n v="90036"/>
    <x v="1"/>
    <x v="1849"/>
    <x v="1"/>
    <x v="10"/>
    <x v="1837"/>
    <x v="3324"/>
    <x v="1"/>
    <x v="0"/>
  </r>
  <r>
    <n v="9122"/>
    <x v="4559"/>
    <x v="257"/>
    <d v="2018-03-20T00:00:00"/>
    <s v="Second Class"/>
    <x v="759"/>
    <s v="Jason Klamczynski"/>
    <x v="1"/>
    <s v="United States"/>
    <s v="Los Angeles"/>
    <x v="1"/>
    <n v="90032"/>
    <x v="1"/>
    <x v="95"/>
    <x v="1"/>
    <x v="9"/>
    <x v="95"/>
    <x v="1750"/>
    <x v="10"/>
    <x v="3"/>
  </r>
  <r>
    <n v="9123"/>
    <x v="4560"/>
    <x v="221"/>
    <d v="2018-11-24T00:00:00"/>
    <s v="Same Day"/>
    <x v="701"/>
    <s v="Patrick Ryan"/>
    <x v="0"/>
    <s v="United States"/>
    <s v="San Francisco"/>
    <x v="1"/>
    <n v="94109"/>
    <x v="1"/>
    <x v="565"/>
    <x v="1"/>
    <x v="10"/>
    <x v="565"/>
    <x v="3890"/>
    <x v="0"/>
    <x v="3"/>
  </r>
  <r>
    <n v="9124"/>
    <x v="4561"/>
    <x v="491"/>
    <d v="2017-11-28T00:00:00"/>
    <s v="Second Class"/>
    <x v="13"/>
    <s v="Eric Hoffmann"/>
    <x v="0"/>
    <s v="United States"/>
    <s v="Philadelphia"/>
    <x v="9"/>
    <n v="19120"/>
    <x v="3"/>
    <x v="705"/>
    <x v="1"/>
    <x v="8"/>
    <x v="705"/>
    <x v="5481"/>
    <x v="0"/>
    <x v="0"/>
  </r>
  <r>
    <n v="9125"/>
    <x v="4562"/>
    <x v="298"/>
    <d v="2017-08-20T00:00:00"/>
    <s v="Second Class"/>
    <x v="15"/>
    <s v="Matt Abelman"/>
    <x v="2"/>
    <s v="United States"/>
    <s v="Houston"/>
    <x v="5"/>
    <n v="77070"/>
    <x v="2"/>
    <x v="740"/>
    <x v="0"/>
    <x v="5"/>
    <x v="222"/>
    <x v="1235"/>
    <x v="6"/>
    <x v="0"/>
  </r>
  <r>
    <n v="9126"/>
    <x v="4562"/>
    <x v="298"/>
    <d v="2017-08-20T00:00:00"/>
    <s v="Second Class"/>
    <x v="15"/>
    <s v="Matt Abelman"/>
    <x v="2"/>
    <s v="United States"/>
    <s v="Houston"/>
    <x v="5"/>
    <n v="77070"/>
    <x v="2"/>
    <x v="1533"/>
    <x v="0"/>
    <x v="5"/>
    <x v="1521"/>
    <x v="752"/>
    <x v="6"/>
    <x v="0"/>
  </r>
  <r>
    <n v="9127"/>
    <x v="4563"/>
    <x v="109"/>
    <d v="2016-12-03T00:00:00"/>
    <s v="Standard Class"/>
    <x v="671"/>
    <s v="Michelle Arnett"/>
    <x v="2"/>
    <s v="United States"/>
    <s v="Las Cruces"/>
    <x v="27"/>
    <n v="88001"/>
    <x v="1"/>
    <x v="154"/>
    <x v="1"/>
    <x v="6"/>
    <x v="155"/>
    <x v="5482"/>
    <x v="0"/>
    <x v="1"/>
  </r>
  <r>
    <n v="9128"/>
    <x v="4564"/>
    <x v="1126"/>
    <d v="2018-06-01T00:00:00"/>
    <s v="Standard Class"/>
    <x v="145"/>
    <s v="Jeremy Lonsdale"/>
    <x v="0"/>
    <s v="United States"/>
    <s v="Houston"/>
    <x v="5"/>
    <n v="77070"/>
    <x v="2"/>
    <x v="1751"/>
    <x v="1"/>
    <x v="4"/>
    <x v="1741"/>
    <x v="5483"/>
    <x v="5"/>
    <x v="3"/>
  </r>
  <r>
    <n v="9129"/>
    <x v="4565"/>
    <x v="507"/>
    <d v="2018-09-05T00:00:00"/>
    <s v="First Class"/>
    <x v="442"/>
    <s v="Aaron Smayling"/>
    <x v="1"/>
    <s v="United States"/>
    <s v="Redmond"/>
    <x v="21"/>
    <n v="97756"/>
    <x v="1"/>
    <x v="735"/>
    <x v="1"/>
    <x v="8"/>
    <x v="734"/>
    <x v="5484"/>
    <x v="8"/>
    <x v="3"/>
  </r>
  <r>
    <n v="9130"/>
    <x v="4566"/>
    <x v="830"/>
    <d v="2017-03-26T00:00:00"/>
    <s v="Second Class"/>
    <x v="419"/>
    <s v="Dan Campbell"/>
    <x v="0"/>
    <s v="United States"/>
    <s v="Cleveland"/>
    <x v="24"/>
    <n v="44105"/>
    <x v="3"/>
    <x v="1373"/>
    <x v="0"/>
    <x v="0"/>
    <x v="1358"/>
    <x v="5485"/>
    <x v="10"/>
    <x v="0"/>
  </r>
  <r>
    <n v="9131"/>
    <x v="4566"/>
    <x v="830"/>
    <d v="2017-03-26T00:00:00"/>
    <s v="Second Class"/>
    <x v="419"/>
    <s v="Dan Campbell"/>
    <x v="0"/>
    <s v="United States"/>
    <s v="Cleveland"/>
    <x v="24"/>
    <n v="44105"/>
    <x v="3"/>
    <x v="1132"/>
    <x v="1"/>
    <x v="6"/>
    <x v="1120"/>
    <x v="3923"/>
    <x v="10"/>
    <x v="0"/>
  </r>
  <r>
    <n v="9132"/>
    <x v="4567"/>
    <x v="39"/>
    <d v="2018-06-01T00:00:00"/>
    <s v="Standard Class"/>
    <x v="550"/>
    <s v="Michael Dominguez"/>
    <x v="1"/>
    <s v="United States"/>
    <s v="Laurel"/>
    <x v="39"/>
    <n v="20707"/>
    <x v="3"/>
    <x v="1001"/>
    <x v="0"/>
    <x v="5"/>
    <x v="993"/>
    <x v="1287"/>
    <x v="5"/>
    <x v="3"/>
  </r>
  <r>
    <n v="9133"/>
    <x v="4567"/>
    <x v="39"/>
    <d v="2018-06-01T00:00:00"/>
    <s v="Standard Class"/>
    <x v="550"/>
    <s v="Michael Dominguez"/>
    <x v="1"/>
    <s v="United States"/>
    <s v="Laurel"/>
    <x v="39"/>
    <n v="20707"/>
    <x v="3"/>
    <x v="586"/>
    <x v="1"/>
    <x v="9"/>
    <x v="586"/>
    <x v="5486"/>
    <x v="5"/>
    <x v="3"/>
  </r>
  <r>
    <n v="9134"/>
    <x v="4568"/>
    <x v="284"/>
    <d v="2016-09-04T00:00:00"/>
    <s v="Standard Class"/>
    <x v="563"/>
    <s v="Rick Huthwaite"/>
    <x v="2"/>
    <s v="United States"/>
    <s v="San Diego"/>
    <x v="1"/>
    <n v="92037"/>
    <x v="1"/>
    <x v="872"/>
    <x v="2"/>
    <x v="7"/>
    <x v="866"/>
    <x v="5487"/>
    <x v="6"/>
    <x v="1"/>
  </r>
  <r>
    <n v="9135"/>
    <x v="4569"/>
    <x v="408"/>
    <d v="2017-04-17T00:00:00"/>
    <s v="Standard Class"/>
    <x v="533"/>
    <s v="Thomas Boland"/>
    <x v="1"/>
    <s v="United States"/>
    <s v="Wilson"/>
    <x v="3"/>
    <n v="27893"/>
    <x v="0"/>
    <x v="398"/>
    <x v="1"/>
    <x v="4"/>
    <x v="399"/>
    <x v="5001"/>
    <x v="3"/>
    <x v="0"/>
  </r>
  <r>
    <n v="9136"/>
    <x v="4569"/>
    <x v="408"/>
    <d v="2017-04-17T00:00:00"/>
    <s v="Standard Class"/>
    <x v="533"/>
    <s v="Thomas Boland"/>
    <x v="1"/>
    <s v="United States"/>
    <s v="Wilson"/>
    <x v="3"/>
    <n v="27893"/>
    <x v="0"/>
    <x v="391"/>
    <x v="1"/>
    <x v="4"/>
    <x v="392"/>
    <x v="5488"/>
    <x v="3"/>
    <x v="0"/>
  </r>
  <r>
    <n v="9137"/>
    <x v="4569"/>
    <x v="408"/>
    <d v="2017-04-17T00:00:00"/>
    <s v="Standard Class"/>
    <x v="533"/>
    <s v="Thomas Boland"/>
    <x v="1"/>
    <s v="United States"/>
    <s v="Wilson"/>
    <x v="3"/>
    <n v="27893"/>
    <x v="0"/>
    <x v="1671"/>
    <x v="1"/>
    <x v="10"/>
    <x v="1659"/>
    <x v="1495"/>
    <x v="3"/>
    <x v="0"/>
  </r>
  <r>
    <n v="9138"/>
    <x v="4570"/>
    <x v="563"/>
    <d v="2015-02-09T00:00:00"/>
    <s v="Standard Class"/>
    <x v="518"/>
    <s v="Eric Barreto"/>
    <x v="0"/>
    <s v="United States"/>
    <s v="Saint Petersburg"/>
    <x v="2"/>
    <n v="33710"/>
    <x v="0"/>
    <x v="997"/>
    <x v="1"/>
    <x v="8"/>
    <x v="989"/>
    <x v="823"/>
    <x v="11"/>
    <x v="2"/>
  </r>
  <r>
    <n v="9139"/>
    <x v="4570"/>
    <x v="563"/>
    <d v="2015-02-09T00:00:00"/>
    <s v="Standard Class"/>
    <x v="518"/>
    <s v="Eric Barreto"/>
    <x v="0"/>
    <s v="United States"/>
    <s v="Saint Petersburg"/>
    <x v="2"/>
    <n v="33710"/>
    <x v="0"/>
    <x v="1409"/>
    <x v="2"/>
    <x v="7"/>
    <x v="1396"/>
    <x v="2131"/>
    <x v="11"/>
    <x v="2"/>
  </r>
  <r>
    <n v="9140"/>
    <x v="4571"/>
    <x v="814"/>
    <d v="2015-09-08T00:00:00"/>
    <s v="Standard Class"/>
    <x v="298"/>
    <s v="Bryan Mills"/>
    <x v="0"/>
    <s v="United States"/>
    <s v="Buffalo Grove"/>
    <x v="10"/>
    <n v="60089"/>
    <x v="2"/>
    <x v="106"/>
    <x v="2"/>
    <x v="11"/>
    <x v="106"/>
    <x v="5267"/>
    <x v="8"/>
    <x v="2"/>
  </r>
  <r>
    <n v="9141"/>
    <x v="4572"/>
    <x v="1033"/>
    <d v="2018-10-02T00:00:00"/>
    <s v="Second Class"/>
    <x v="404"/>
    <s v="Bradley Talbott"/>
    <x v="2"/>
    <s v="United States"/>
    <s v="Los Angeles"/>
    <x v="1"/>
    <n v="90049"/>
    <x v="1"/>
    <x v="657"/>
    <x v="2"/>
    <x v="11"/>
    <x v="657"/>
    <x v="457"/>
    <x v="8"/>
    <x v="3"/>
  </r>
  <r>
    <n v="9142"/>
    <x v="4573"/>
    <x v="64"/>
    <d v="2017-09-07T00:00:00"/>
    <s v="First Class"/>
    <x v="783"/>
    <s v="Fred Wasserman"/>
    <x v="1"/>
    <s v="United States"/>
    <s v="New York City"/>
    <x v="15"/>
    <n v="10011"/>
    <x v="3"/>
    <x v="47"/>
    <x v="2"/>
    <x v="7"/>
    <x v="47"/>
    <x v="3477"/>
    <x v="8"/>
    <x v="0"/>
  </r>
  <r>
    <n v="9143"/>
    <x v="4574"/>
    <x v="968"/>
    <d v="2018-05-26T00:00:00"/>
    <s v="Standard Class"/>
    <x v="502"/>
    <s v="Rick Duston"/>
    <x v="0"/>
    <s v="United States"/>
    <s v="Las Vegas"/>
    <x v="33"/>
    <n v="89115"/>
    <x v="1"/>
    <x v="1499"/>
    <x v="1"/>
    <x v="8"/>
    <x v="1487"/>
    <x v="1808"/>
    <x v="5"/>
    <x v="3"/>
  </r>
  <r>
    <n v="9144"/>
    <x v="4574"/>
    <x v="968"/>
    <d v="2018-05-26T00:00:00"/>
    <s v="Standard Class"/>
    <x v="502"/>
    <s v="Rick Duston"/>
    <x v="0"/>
    <s v="United States"/>
    <s v="Las Vegas"/>
    <x v="33"/>
    <n v="89115"/>
    <x v="1"/>
    <x v="1807"/>
    <x v="2"/>
    <x v="7"/>
    <x v="1797"/>
    <x v="5489"/>
    <x v="5"/>
    <x v="3"/>
  </r>
  <r>
    <n v="9145"/>
    <x v="4574"/>
    <x v="968"/>
    <d v="2018-05-26T00:00:00"/>
    <s v="Standard Class"/>
    <x v="502"/>
    <s v="Rick Duston"/>
    <x v="0"/>
    <s v="United States"/>
    <s v="Las Vegas"/>
    <x v="33"/>
    <n v="89115"/>
    <x v="1"/>
    <x v="95"/>
    <x v="1"/>
    <x v="9"/>
    <x v="95"/>
    <x v="5490"/>
    <x v="5"/>
    <x v="3"/>
  </r>
  <r>
    <n v="9146"/>
    <x v="4575"/>
    <x v="1181"/>
    <d v="2016-09-24T00:00:00"/>
    <s v="Standard Class"/>
    <x v="236"/>
    <s v="Theone Pippenger"/>
    <x v="0"/>
    <s v="United States"/>
    <s v="Naperville"/>
    <x v="10"/>
    <n v="60540"/>
    <x v="2"/>
    <x v="605"/>
    <x v="1"/>
    <x v="8"/>
    <x v="605"/>
    <x v="1774"/>
    <x v="8"/>
    <x v="1"/>
  </r>
  <r>
    <n v="9147"/>
    <x v="4576"/>
    <x v="1156"/>
    <d v="2017-01-27T00:00:00"/>
    <s v="Standard Class"/>
    <x v="118"/>
    <s v="Claudia Bergmann"/>
    <x v="1"/>
    <s v="United States"/>
    <s v="Burlington"/>
    <x v="42"/>
    <m/>
    <x v="3"/>
    <x v="1135"/>
    <x v="2"/>
    <x v="11"/>
    <x v="1123"/>
    <x v="2564"/>
    <x v="9"/>
    <x v="0"/>
  </r>
  <r>
    <n v="9148"/>
    <x v="4576"/>
    <x v="1156"/>
    <d v="2017-01-27T00:00:00"/>
    <s v="Standard Class"/>
    <x v="118"/>
    <s v="Claudia Bergmann"/>
    <x v="1"/>
    <s v="United States"/>
    <s v="Burlington"/>
    <x v="42"/>
    <m/>
    <x v="3"/>
    <x v="1850"/>
    <x v="1"/>
    <x v="6"/>
    <x v="1838"/>
    <x v="1384"/>
    <x v="9"/>
    <x v="0"/>
  </r>
  <r>
    <n v="9149"/>
    <x v="4576"/>
    <x v="1156"/>
    <d v="2017-01-27T00:00:00"/>
    <s v="Standard Class"/>
    <x v="118"/>
    <s v="Claudia Bergmann"/>
    <x v="1"/>
    <s v="United States"/>
    <s v="Burlington"/>
    <x v="42"/>
    <m/>
    <x v="3"/>
    <x v="772"/>
    <x v="1"/>
    <x v="4"/>
    <x v="771"/>
    <x v="5491"/>
    <x v="9"/>
    <x v="0"/>
  </r>
  <r>
    <n v="9150"/>
    <x v="4577"/>
    <x v="106"/>
    <d v="2015-06-06T00:00:00"/>
    <s v="Standard Class"/>
    <x v="425"/>
    <s v="Quincy Jones"/>
    <x v="1"/>
    <s v="United States"/>
    <s v="Detroit"/>
    <x v="12"/>
    <n v="48234"/>
    <x v="2"/>
    <x v="1002"/>
    <x v="1"/>
    <x v="8"/>
    <x v="994"/>
    <x v="5492"/>
    <x v="1"/>
    <x v="2"/>
  </r>
  <r>
    <n v="9151"/>
    <x v="4577"/>
    <x v="106"/>
    <d v="2015-06-06T00:00:00"/>
    <s v="Standard Class"/>
    <x v="425"/>
    <s v="Quincy Jones"/>
    <x v="1"/>
    <s v="United States"/>
    <s v="Detroit"/>
    <x v="12"/>
    <n v="48234"/>
    <x v="2"/>
    <x v="937"/>
    <x v="1"/>
    <x v="9"/>
    <x v="930"/>
    <x v="5493"/>
    <x v="1"/>
    <x v="2"/>
  </r>
  <r>
    <n v="9152"/>
    <x v="4578"/>
    <x v="496"/>
    <d v="2016-09-29T00:00:00"/>
    <s v="Second Class"/>
    <x v="27"/>
    <s v="Kunst Miller"/>
    <x v="0"/>
    <s v="United States"/>
    <s v="Avondale"/>
    <x v="16"/>
    <n v="85323"/>
    <x v="1"/>
    <x v="1583"/>
    <x v="1"/>
    <x v="6"/>
    <x v="1574"/>
    <x v="4581"/>
    <x v="8"/>
    <x v="1"/>
  </r>
  <r>
    <n v="9153"/>
    <x v="4578"/>
    <x v="496"/>
    <d v="2016-09-29T00:00:00"/>
    <s v="Second Class"/>
    <x v="27"/>
    <s v="Kunst Miller"/>
    <x v="0"/>
    <s v="United States"/>
    <s v="Avondale"/>
    <x v="16"/>
    <n v="85323"/>
    <x v="1"/>
    <x v="174"/>
    <x v="2"/>
    <x v="11"/>
    <x v="175"/>
    <x v="347"/>
    <x v="8"/>
    <x v="1"/>
  </r>
  <r>
    <n v="9154"/>
    <x v="4578"/>
    <x v="496"/>
    <d v="2016-09-29T00:00:00"/>
    <s v="Second Class"/>
    <x v="27"/>
    <s v="Kunst Miller"/>
    <x v="0"/>
    <s v="United States"/>
    <s v="Avondale"/>
    <x v="16"/>
    <n v="85323"/>
    <x v="1"/>
    <x v="454"/>
    <x v="1"/>
    <x v="6"/>
    <x v="455"/>
    <x v="2265"/>
    <x v="8"/>
    <x v="1"/>
  </r>
  <r>
    <n v="9155"/>
    <x v="4579"/>
    <x v="1147"/>
    <d v="2017-08-03T00:00:00"/>
    <s v="Second Class"/>
    <x v="730"/>
    <s v="Khloe Miller"/>
    <x v="0"/>
    <s v="United States"/>
    <s v="Philadelphia"/>
    <x v="9"/>
    <n v="19140"/>
    <x v="3"/>
    <x v="441"/>
    <x v="0"/>
    <x v="5"/>
    <x v="1719"/>
    <x v="5494"/>
    <x v="6"/>
    <x v="0"/>
  </r>
  <r>
    <n v="9156"/>
    <x v="4580"/>
    <x v="1211"/>
    <d v="2015-01-28T00:00:00"/>
    <s v="Standard Class"/>
    <x v="780"/>
    <s v="Ionia McGrath"/>
    <x v="0"/>
    <s v="United States"/>
    <s v="Las Vegas"/>
    <x v="33"/>
    <n v="89115"/>
    <x v="1"/>
    <x v="128"/>
    <x v="1"/>
    <x v="10"/>
    <x v="129"/>
    <x v="1574"/>
    <x v="9"/>
    <x v="2"/>
  </r>
  <r>
    <n v="9157"/>
    <x v="4581"/>
    <x v="472"/>
    <d v="2015-08-08T00:00:00"/>
    <s v="Standard Class"/>
    <x v="504"/>
    <s v="Marina Lichtenstein"/>
    <x v="1"/>
    <s v="United States"/>
    <s v="Bangor"/>
    <x v="43"/>
    <n v="4401"/>
    <x v="3"/>
    <x v="473"/>
    <x v="1"/>
    <x v="9"/>
    <x v="474"/>
    <x v="5495"/>
    <x v="6"/>
    <x v="2"/>
  </r>
  <r>
    <n v="9158"/>
    <x v="4581"/>
    <x v="472"/>
    <d v="2015-08-08T00:00:00"/>
    <s v="Standard Class"/>
    <x v="504"/>
    <s v="Marina Lichtenstein"/>
    <x v="1"/>
    <s v="United States"/>
    <s v="Bangor"/>
    <x v="43"/>
    <n v="4401"/>
    <x v="3"/>
    <x v="1673"/>
    <x v="1"/>
    <x v="10"/>
    <x v="1661"/>
    <x v="5496"/>
    <x v="6"/>
    <x v="2"/>
  </r>
  <r>
    <n v="9159"/>
    <x v="4581"/>
    <x v="472"/>
    <d v="2015-08-08T00:00:00"/>
    <s v="Standard Class"/>
    <x v="504"/>
    <s v="Marina Lichtenstein"/>
    <x v="1"/>
    <s v="United States"/>
    <s v="Bangor"/>
    <x v="43"/>
    <n v="4401"/>
    <x v="3"/>
    <x v="721"/>
    <x v="2"/>
    <x v="11"/>
    <x v="720"/>
    <x v="5497"/>
    <x v="6"/>
    <x v="2"/>
  </r>
  <r>
    <n v="9160"/>
    <x v="4582"/>
    <x v="888"/>
    <d v="2017-08-14T00:00:00"/>
    <s v="Standard Class"/>
    <x v="689"/>
    <s v="Gary Hansen"/>
    <x v="2"/>
    <s v="United States"/>
    <s v="Hendersonville"/>
    <x v="18"/>
    <n v="37075"/>
    <x v="0"/>
    <x v="308"/>
    <x v="1"/>
    <x v="8"/>
    <x v="308"/>
    <x v="5498"/>
    <x v="6"/>
    <x v="0"/>
  </r>
  <r>
    <n v="9161"/>
    <x v="4582"/>
    <x v="888"/>
    <d v="2017-08-14T00:00:00"/>
    <s v="Standard Class"/>
    <x v="689"/>
    <s v="Gary Hansen"/>
    <x v="2"/>
    <s v="United States"/>
    <s v="Hendersonville"/>
    <x v="18"/>
    <n v="37075"/>
    <x v="0"/>
    <x v="741"/>
    <x v="1"/>
    <x v="8"/>
    <x v="739"/>
    <x v="5264"/>
    <x v="6"/>
    <x v="0"/>
  </r>
  <r>
    <n v="9162"/>
    <x v="4583"/>
    <x v="16"/>
    <d v="2017-12-12T00:00:00"/>
    <s v="Standard Class"/>
    <x v="151"/>
    <s v="Arthur Gainer"/>
    <x v="0"/>
    <s v="United States"/>
    <s v="Eau Claire"/>
    <x v="6"/>
    <n v="54703"/>
    <x v="2"/>
    <x v="1368"/>
    <x v="0"/>
    <x v="0"/>
    <x v="1353"/>
    <x v="5499"/>
    <x v="4"/>
    <x v="0"/>
  </r>
  <r>
    <n v="9163"/>
    <x v="4583"/>
    <x v="16"/>
    <d v="2017-12-12T00:00:00"/>
    <s v="Standard Class"/>
    <x v="151"/>
    <s v="Arthur Gainer"/>
    <x v="0"/>
    <s v="United States"/>
    <s v="Eau Claire"/>
    <x v="6"/>
    <n v="54703"/>
    <x v="2"/>
    <x v="629"/>
    <x v="0"/>
    <x v="1"/>
    <x v="629"/>
    <x v="5500"/>
    <x v="4"/>
    <x v="0"/>
  </r>
  <r>
    <n v="9164"/>
    <x v="4584"/>
    <x v="1212"/>
    <d v="2016-06-12T00:00:00"/>
    <s v="Standard Class"/>
    <x v="726"/>
    <s v="Maureen Gnade"/>
    <x v="0"/>
    <s v="United States"/>
    <s v="Chicago"/>
    <x v="10"/>
    <n v="60610"/>
    <x v="2"/>
    <x v="1430"/>
    <x v="2"/>
    <x v="11"/>
    <x v="1418"/>
    <x v="477"/>
    <x v="1"/>
    <x v="1"/>
  </r>
  <r>
    <n v="9165"/>
    <x v="4584"/>
    <x v="1212"/>
    <d v="2016-06-12T00:00:00"/>
    <s v="Standard Class"/>
    <x v="726"/>
    <s v="Maureen Gnade"/>
    <x v="0"/>
    <s v="United States"/>
    <s v="Chicago"/>
    <x v="10"/>
    <n v="60610"/>
    <x v="2"/>
    <x v="847"/>
    <x v="1"/>
    <x v="9"/>
    <x v="841"/>
    <x v="5501"/>
    <x v="1"/>
    <x v="1"/>
  </r>
  <r>
    <n v="9166"/>
    <x v="4585"/>
    <x v="890"/>
    <d v="2017-06-26T00:00:00"/>
    <s v="Second Class"/>
    <x v="77"/>
    <s v="Max Jones"/>
    <x v="0"/>
    <s v="United States"/>
    <s v="San Diego"/>
    <x v="1"/>
    <n v="92037"/>
    <x v="1"/>
    <x v="1832"/>
    <x v="2"/>
    <x v="15"/>
    <x v="1820"/>
    <x v="5502"/>
    <x v="1"/>
    <x v="0"/>
  </r>
  <r>
    <n v="9167"/>
    <x v="4585"/>
    <x v="890"/>
    <d v="2017-06-26T00:00:00"/>
    <s v="Second Class"/>
    <x v="77"/>
    <s v="Max Jones"/>
    <x v="0"/>
    <s v="United States"/>
    <s v="San Diego"/>
    <x v="1"/>
    <n v="92037"/>
    <x v="1"/>
    <x v="976"/>
    <x v="1"/>
    <x v="10"/>
    <x v="970"/>
    <x v="1230"/>
    <x v="1"/>
    <x v="0"/>
  </r>
  <r>
    <n v="9168"/>
    <x v="4585"/>
    <x v="890"/>
    <d v="2017-06-26T00:00:00"/>
    <s v="Second Class"/>
    <x v="77"/>
    <s v="Max Jones"/>
    <x v="0"/>
    <s v="United States"/>
    <s v="San Diego"/>
    <x v="1"/>
    <n v="92037"/>
    <x v="1"/>
    <x v="1429"/>
    <x v="1"/>
    <x v="9"/>
    <x v="1417"/>
    <x v="2566"/>
    <x v="1"/>
    <x v="0"/>
  </r>
  <r>
    <n v="9169"/>
    <x v="4586"/>
    <x v="543"/>
    <d v="2017-03-19T00:00:00"/>
    <s v="Standard Class"/>
    <x v="319"/>
    <s v="Sanjit Jacobs"/>
    <x v="2"/>
    <s v="United States"/>
    <s v="Jackson"/>
    <x v="35"/>
    <n v="39212"/>
    <x v="0"/>
    <x v="600"/>
    <x v="1"/>
    <x v="10"/>
    <x v="600"/>
    <x v="5503"/>
    <x v="10"/>
    <x v="0"/>
  </r>
  <r>
    <n v="9170"/>
    <x v="4586"/>
    <x v="543"/>
    <d v="2017-03-19T00:00:00"/>
    <s v="Standard Class"/>
    <x v="319"/>
    <s v="Sanjit Jacobs"/>
    <x v="2"/>
    <s v="United States"/>
    <s v="Jackson"/>
    <x v="35"/>
    <n v="39212"/>
    <x v="0"/>
    <x v="600"/>
    <x v="1"/>
    <x v="10"/>
    <x v="600"/>
    <x v="1816"/>
    <x v="10"/>
    <x v="0"/>
  </r>
  <r>
    <n v="9171"/>
    <x v="4587"/>
    <x v="49"/>
    <d v="2017-12-01T00:00:00"/>
    <s v="Same Day"/>
    <x v="697"/>
    <s v="Laurel Beltran"/>
    <x v="2"/>
    <s v="United States"/>
    <s v="Oxnard"/>
    <x v="1"/>
    <n v="93030"/>
    <x v="1"/>
    <x v="468"/>
    <x v="0"/>
    <x v="5"/>
    <x v="469"/>
    <x v="5504"/>
    <x v="4"/>
    <x v="0"/>
  </r>
  <r>
    <n v="9172"/>
    <x v="4587"/>
    <x v="49"/>
    <d v="2017-12-01T00:00:00"/>
    <s v="Same Day"/>
    <x v="697"/>
    <s v="Laurel Beltran"/>
    <x v="2"/>
    <s v="United States"/>
    <s v="Oxnard"/>
    <x v="1"/>
    <n v="93030"/>
    <x v="1"/>
    <x v="1052"/>
    <x v="1"/>
    <x v="10"/>
    <x v="1041"/>
    <x v="3531"/>
    <x v="4"/>
    <x v="0"/>
  </r>
  <r>
    <n v="9173"/>
    <x v="4587"/>
    <x v="49"/>
    <d v="2017-12-01T00:00:00"/>
    <s v="Same Day"/>
    <x v="697"/>
    <s v="Laurel Beltran"/>
    <x v="2"/>
    <s v="United States"/>
    <s v="Oxnard"/>
    <x v="1"/>
    <n v="93030"/>
    <x v="1"/>
    <x v="878"/>
    <x v="1"/>
    <x v="4"/>
    <x v="872"/>
    <x v="5505"/>
    <x v="4"/>
    <x v="0"/>
  </r>
  <r>
    <n v="9174"/>
    <x v="4587"/>
    <x v="49"/>
    <d v="2017-12-01T00:00:00"/>
    <s v="Same Day"/>
    <x v="697"/>
    <s v="Laurel Beltran"/>
    <x v="2"/>
    <s v="United States"/>
    <s v="Oxnard"/>
    <x v="1"/>
    <n v="93030"/>
    <x v="1"/>
    <x v="588"/>
    <x v="1"/>
    <x v="12"/>
    <x v="588"/>
    <x v="988"/>
    <x v="4"/>
    <x v="0"/>
  </r>
  <r>
    <n v="9175"/>
    <x v="4588"/>
    <x v="492"/>
    <d v="2018-06-14T00:00:00"/>
    <s v="Second Class"/>
    <x v="766"/>
    <s v="Sarah Brown"/>
    <x v="0"/>
    <s v="United States"/>
    <s v="Kent"/>
    <x v="4"/>
    <n v="98031"/>
    <x v="1"/>
    <x v="993"/>
    <x v="2"/>
    <x v="7"/>
    <x v="985"/>
    <x v="973"/>
    <x v="1"/>
    <x v="3"/>
  </r>
  <r>
    <n v="9176"/>
    <x v="4588"/>
    <x v="492"/>
    <d v="2018-06-14T00:00:00"/>
    <s v="Second Class"/>
    <x v="766"/>
    <s v="Sarah Brown"/>
    <x v="0"/>
    <s v="United States"/>
    <s v="Kent"/>
    <x v="4"/>
    <n v="98031"/>
    <x v="1"/>
    <x v="988"/>
    <x v="1"/>
    <x v="10"/>
    <x v="981"/>
    <x v="537"/>
    <x v="1"/>
    <x v="3"/>
  </r>
  <r>
    <n v="9177"/>
    <x v="4589"/>
    <x v="690"/>
    <d v="2017-03-24T00:00:00"/>
    <s v="Standard Class"/>
    <x v="566"/>
    <s v="Corey Catlett"/>
    <x v="1"/>
    <s v="United States"/>
    <s v="Nashville"/>
    <x v="18"/>
    <n v="37211"/>
    <x v="0"/>
    <x v="303"/>
    <x v="1"/>
    <x v="8"/>
    <x v="303"/>
    <x v="756"/>
    <x v="10"/>
    <x v="0"/>
  </r>
  <r>
    <n v="9178"/>
    <x v="4590"/>
    <x v="696"/>
    <d v="2017-11-18T00:00:00"/>
    <s v="Standard Class"/>
    <x v="24"/>
    <s v="Darren Powers"/>
    <x v="0"/>
    <s v="United States"/>
    <s v="New York City"/>
    <x v="15"/>
    <n v="10035"/>
    <x v="3"/>
    <x v="1709"/>
    <x v="2"/>
    <x v="7"/>
    <x v="1698"/>
    <x v="62"/>
    <x v="0"/>
    <x v="0"/>
  </r>
  <r>
    <n v="9179"/>
    <x v="4590"/>
    <x v="696"/>
    <d v="2017-11-18T00:00:00"/>
    <s v="Standard Class"/>
    <x v="24"/>
    <s v="Darren Powers"/>
    <x v="0"/>
    <s v="United States"/>
    <s v="New York City"/>
    <x v="15"/>
    <n v="10035"/>
    <x v="3"/>
    <x v="1559"/>
    <x v="1"/>
    <x v="6"/>
    <x v="1549"/>
    <x v="5506"/>
    <x v="0"/>
    <x v="0"/>
  </r>
  <r>
    <n v="9180"/>
    <x v="4591"/>
    <x v="783"/>
    <d v="2018-08-11T00:00:00"/>
    <s v="Standard Class"/>
    <x v="145"/>
    <s v="Jeremy Lonsdale"/>
    <x v="0"/>
    <s v="United States"/>
    <s v="Westminster"/>
    <x v="1"/>
    <n v="92683"/>
    <x v="1"/>
    <x v="1538"/>
    <x v="2"/>
    <x v="7"/>
    <x v="1526"/>
    <x v="5507"/>
    <x v="6"/>
    <x v="3"/>
  </r>
  <r>
    <n v="9181"/>
    <x v="4591"/>
    <x v="783"/>
    <d v="2018-08-11T00:00:00"/>
    <s v="Standard Class"/>
    <x v="145"/>
    <s v="Jeremy Lonsdale"/>
    <x v="0"/>
    <s v="United States"/>
    <s v="Westminster"/>
    <x v="1"/>
    <n v="92683"/>
    <x v="1"/>
    <x v="591"/>
    <x v="1"/>
    <x v="8"/>
    <x v="591"/>
    <x v="1627"/>
    <x v="6"/>
    <x v="3"/>
  </r>
  <r>
    <n v="9182"/>
    <x v="4591"/>
    <x v="783"/>
    <d v="2018-08-11T00:00:00"/>
    <s v="Standard Class"/>
    <x v="145"/>
    <s v="Jeremy Lonsdale"/>
    <x v="0"/>
    <s v="United States"/>
    <s v="Westminster"/>
    <x v="1"/>
    <n v="92683"/>
    <x v="1"/>
    <x v="1645"/>
    <x v="1"/>
    <x v="8"/>
    <x v="1634"/>
    <x v="5508"/>
    <x v="6"/>
    <x v="3"/>
  </r>
  <r>
    <n v="9183"/>
    <x v="4591"/>
    <x v="783"/>
    <d v="2018-08-11T00:00:00"/>
    <s v="Standard Class"/>
    <x v="145"/>
    <s v="Jeremy Lonsdale"/>
    <x v="0"/>
    <s v="United States"/>
    <s v="Westminster"/>
    <x v="1"/>
    <n v="92683"/>
    <x v="1"/>
    <x v="1775"/>
    <x v="2"/>
    <x v="11"/>
    <x v="1765"/>
    <x v="5509"/>
    <x v="6"/>
    <x v="3"/>
  </r>
  <r>
    <n v="9184"/>
    <x v="4591"/>
    <x v="783"/>
    <d v="2018-08-11T00:00:00"/>
    <s v="Standard Class"/>
    <x v="145"/>
    <s v="Jeremy Lonsdale"/>
    <x v="0"/>
    <s v="United States"/>
    <s v="Westminster"/>
    <x v="1"/>
    <n v="92683"/>
    <x v="1"/>
    <x v="314"/>
    <x v="1"/>
    <x v="10"/>
    <x v="314"/>
    <x v="332"/>
    <x v="6"/>
    <x v="3"/>
  </r>
  <r>
    <n v="9185"/>
    <x v="4591"/>
    <x v="783"/>
    <d v="2018-08-11T00:00:00"/>
    <s v="Standard Class"/>
    <x v="145"/>
    <s v="Jeremy Lonsdale"/>
    <x v="0"/>
    <s v="United States"/>
    <s v="Westminster"/>
    <x v="1"/>
    <n v="92683"/>
    <x v="1"/>
    <x v="28"/>
    <x v="0"/>
    <x v="5"/>
    <x v="28"/>
    <x v="2616"/>
    <x v="6"/>
    <x v="3"/>
  </r>
  <r>
    <n v="9186"/>
    <x v="4591"/>
    <x v="783"/>
    <d v="2018-08-11T00:00:00"/>
    <s v="Standard Class"/>
    <x v="145"/>
    <s v="Jeremy Lonsdale"/>
    <x v="0"/>
    <s v="United States"/>
    <s v="Westminster"/>
    <x v="1"/>
    <n v="92683"/>
    <x v="1"/>
    <x v="1851"/>
    <x v="0"/>
    <x v="1"/>
    <x v="1839"/>
    <x v="5510"/>
    <x v="6"/>
    <x v="3"/>
  </r>
  <r>
    <n v="9187"/>
    <x v="4591"/>
    <x v="783"/>
    <d v="2018-08-11T00:00:00"/>
    <s v="Standard Class"/>
    <x v="145"/>
    <s v="Jeremy Lonsdale"/>
    <x v="0"/>
    <s v="United States"/>
    <s v="Westminster"/>
    <x v="1"/>
    <n v="92683"/>
    <x v="1"/>
    <x v="1218"/>
    <x v="1"/>
    <x v="9"/>
    <x v="1202"/>
    <x v="5511"/>
    <x v="6"/>
    <x v="3"/>
  </r>
  <r>
    <n v="9188"/>
    <x v="4592"/>
    <x v="291"/>
    <d v="2016-08-25T00:00:00"/>
    <s v="Standard Class"/>
    <x v="598"/>
    <s v="Sean Miller"/>
    <x v="2"/>
    <s v="United States"/>
    <s v="Allentown"/>
    <x v="9"/>
    <n v="18103"/>
    <x v="3"/>
    <x v="482"/>
    <x v="1"/>
    <x v="14"/>
    <x v="327"/>
    <x v="4120"/>
    <x v="6"/>
    <x v="1"/>
  </r>
  <r>
    <n v="9189"/>
    <x v="4592"/>
    <x v="291"/>
    <d v="2016-08-25T00:00:00"/>
    <s v="Standard Class"/>
    <x v="598"/>
    <s v="Sean Miller"/>
    <x v="2"/>
    <s v="United States"/>
    <s v="Allentown"/>
    <x v="9"/>
    <n v="18103"/>
    <x v="3"/>
    <x v="234"/>
    <x v="2"/>
    <x v="11"/>
    <x v="235"/>
    <x v="4809"/>
    <x v="6"/>
    <x v="1"/>
  </r>
  <r>
    <n v="9190"/>
    <x v="4592"/>
    <x v="291"/>
    <d v="2016-08-25T00:00:00"/>
    <s v="Standard Class"/>
    <x v="598"/>
    <s v="Sean Miller"/>
    <x v="2"/>
    <s v="United States"/>
    <s v="Allentown"/>
    <x v="9"/>
    <n v="18103"/>
    <x v="3"/>
    <x v="942"/>
    <x v="1"/>
    <x v="4"/>
    <x v="935"/>
    <x v="5512"/>
    <x v="6"/>
    <x v="1"/>
  </r>
  <r>
    <n v="9191"/>
    <x v="4592"/>
    <x v="291"/>
    <d v="2016-08-25T00:00:00"/>
    <s v="Standard Class"/>
    <x v="598"/>
    <s v="Sean Miller"/>
    <x v="2"/>
    <s v="United States"/>
    <s v="Allentown"/>
    <x v="9"/>
    <n v="18103"/>
    <x v="3"/>
    <x v="896"/>
    <x v="1"/>
    <x v="8"/>
    <x v="889"/>
    <x v="5513"/>
    <x v="6"/>
    <x v="1"/>
  </r>
  <r>
    <n v="9192"/>
    <x v="4592"/>
    <x v="291"/>
    <d v="2016-08-25T00:00:00"/>
    <s v="Standard Class"/>
    <x v="598"/>
    <s v="Sean Miller"/>
    <x v="2"/>
    <s v="United States"/>
    <s v="Allentown"/>
    <x v="9"/>
    <n v="18103"/>
    <x v="3"/>
    <x v="759"/>
    <x v="1"/>
    <x v="10"/>
    <x v="757"/>
    <x v="1967"/>
    <x v="6"/>
    <x v="1"/>
  </r>
  <r>
    <n v="9193"/>
    <x v="4593"/>
    <x v="121"/>
    <d v="2016-11-07T00:00:00"/>
    <s v="Standard Class"/>
    <x v="121"/>
    <s v="Barry Blumstein"/>
    <x v="1"/>
    <s v="United States"/>
    <s v="San Antonio"/>
    <x v="5"/>
    <n v="78207"/>
    <x v="2"/>
    <x v="301"/>
    <x v="1"/>
    <x v="8"/>
    <x v="301"/>
    <x v="5514"/>
    <x v="0"/>
    <x v="1"/>
  </r>
  <r>
    <n v="9194"/>
    <x v="4593"/>
    <x v="121"/>
    <d v="2016-11-07T00:00:00"/>
    <s v="Standard Class"/>
    <x v="121"/>
    <s v="Barry Blumstein"/>
    <x v="1"/>
    <s v="United States"/>
    <s v="San Antonio"/>
    <x v="5"/>
    <n v="78207"/>
    <x v="2"/>
    <x v="883"/>
    <x v="2"/>
    <x v="7"/>
    <x v="1480"/>
    <x v="3430"/>
    <x v="0"/>
    <x v="1"/>
  </r>
  <r>
    <n v="9195"/>
    <x v="4594"/>
    <x v="953"/>
    <d v="2015-12-06T00:00:00"/>
    <s v="Standard Class"/>
    <x v="171"/>
    <s v="Philip Brown"/>
    <x v="0"/>
    <s v="United States"/>
    <s v="Avondale"/>
    <x v="16"/>
    <n v="85323"/>
    <x v="1"/>
    <x v="1257"/>
    <x v="1"/>
    <x v="14"/>
    <x v="1241"/>
    <x v="1388"/>
    <x v="0"/>
    <x v="2"/>
  </r>
  <r>
    <n v="9196"/>
    <x v="4594"/>
    <x v="953"/>
    <d v="2015-12-06T00:00:00"/>
    <s v="Standard Class"/>
    <x v="171"/>
    <s v="Philip Brown"/>
    <x v="0"/>
    <s v="United States"/>
    <s v="Avondale"/>
    <x v="16"/>
    <n v="85323"/>
    <x v="1"/>
    <x v="1365"/>
    <x v="2"/>
    <x v="11"/>
    <x v="1548"/>
    <x v="5515"/>
    <x v="0"/>
    <x v="2"/>
  </r>
  <r>
    <n v="9197"/>
    <x v="4595"/>
    <x v="1025"/>
    <d v="2015-05-15T00:00:00"/>
    <s v="Standard Class"/>
    <x v="411"/>
    <s v="Greg Matthias"/>
    <x v="0"/>
    <s v="United States"/>
    <s v="San Jose"/>
    <x v="1"/>
    <n v="95123"/>
    <x v="1"/>
    <x v="1673"/>
    <x v="1"/>
    <x v="10"/>
    <x v="1661"/>
    <x v="786"/>
    <x v="5"/>
    <x v="2"/>
  </r>
  <r>
    <n v="9198"/>
    <x v="4595"/>
    <x v="1025"/>
    <d v="2015-05-15T00:00:00"/>
    <s v="Standard Class"/>
    <x v="411"/>
    <s v="Greg Matthias"/>
    <x v="0"/>
    <s v="United States"/>
    <s v="San Jose"/>
    <x v="1"/>
    <n v="95123"/>
    <x v="1"/>
    <x v="1118"/>
    <x v="2"/>
    <x v="7"/>
    <x v="1106"/>
    <x v="5516"/>
    <x v="5"/>
    <x v="2"/>
  </r>
  <r>
    <n v="9199"/>
    <x v="4595"/>
    <x v="1025"/>
    <d v="2015-05-15T00:00:00"/>
    <s v="Standard Class"/>
    <x v="411"/>
    <s v="Greg Matthias"/>
    <x v="0"/>
    <s v="United States"/>
    <s v="San Jose"/>
    <x v="1"/>
    <n v="95123"/>
    <x v="1"/>
    <x v="1726"/>
    <x v="1"/>
    <x v="14"/>
    <x v="1713"/>
    <x v="5517"/>
    <x v="5"/>
    <x v="2"/>
  </r>
  <r>
    <n v="9200"/>
    <x v="4595"/>
    <x v="1025"/>
    <d v="2015-05-15T00:00:00"/>
    <s v="Standard Class"/>
    <x v="411"/>
    <s v="Greg Matthias"/>
    <x v="0"/>
    <s v="United States"/>
    <s v="San Jose"/>
    <x v="1"/>
    <n v="95123"/>
    <x v="1"/>
    <x v="1476"/>
    <x v="0"/>
    <x v="1"/>
    <x v="1463"/>
    <x v="5518"/>
    <x v="5"/>
    <x v="2"/>
  </r>
  <r>
    <n v="9201"/>
    <x v="4596"/>
    <x v="508"/>
    <d v="2017-10-20T00:00:00"/>
    <s v="First Class"/>
    <x v="749"/>
    <s v="Nick Radford"/>
    <x v="0"/>
    <s v="United States"/>
    <s v="Perth Amboy"/>
    <x v="30"/>
    <n v="8861"/>
    <x v="3"/>
    <x v="430"/>
    <x v="0"/>
    <x v="0"/>
    <x v="430"/>
    <x v="5519"/>
    <x v="2"/>
    <x v="0"/>
  </r>
  <r>
    <n v="9202"/>
    <x v="4596"/>
    <x v="508"/>
    <d v="2017-10-20T00:00:00"/>
    <s v="First Class"/>
    <x v="749"/>
    <s v="Nick Radford"/>
    <x v="0"/>
    <s v="United States"/>
    <s v="Perth Amboy"/>
    <x v="30"/>
    <n v="8861"/>
    <x v="3"/>
    <x v="382"/>
    <x v="1"/>
    <x v="8"/>
    <x v="383"/>
    <x v="5520"/>
    <x v="2"/>
    <x v="0"/>
  </r>
  <r>
    <n v="9203"/>
    <x v="4597"/>
    <x v="859"/>
    <d v="2017-11-03T00:00:00"/>
    <s v="Standard Class"/>
    <x v="553"/>
    <s v="Edward Hooks"/>
    <x v="1"/>
    <s v="United States"/>
    <s v="New York City"/>
    <x v="15"/>
    <n v="10011"/>
    <x v="3"/>
    <x v="1224"/>
    <x v="1"/>
    <x v="8"/>
    <x v="1208"/>
    <x v="1505"/>
    <x v="2"/>
    <x v="0"/>
  </r>
  <r>
    <n v="9204"/>
    <x v="4597"/>
    <x v="859"/>
    <d v="2017-11-03T00:00:00"/>
    <s v="Standard Class"/>
    <x v="553"/>
    <s v="Edward Hooks"/>
    <x v="1"/>
    <s v="United States"/>
    <s v="New York City"/>
    <x v="15"/>
    <n v="10011"/>
    <x v="3"/>
    <x v="1243"/>
    <x v="1"/>
    <x v="6"/>
    <x v="1226"/>
    <x v="1152"/>
    <x v="2"/>
    <x v="0"/>
  </r>
  <r>
    <n v="9205"/>
    <x v="4598"/>
    <x v="49"/>
    <d v="2017-12-05T00:00:00"/>
    <s v="Standard Class"/>
    <x v="92"/>
    <s v="Fred Hopkins"/>
    <x v="1"/>
    <s v="United States"/>
    <s v="Los Angeles"/>
    <x v="1"/>
    <n v="90004"/>
    <x v="1"/>
    <x v="130"/>
    <x v="1"/>
    <x v="6"/>
    <x v="131"/>
    <x v="4023"/>
    <x v="4"/>
    <x v="0"/>
  </r>
  <r>
    <n v="9206"/>
    <x v="4599"/>
    <x v="438"/>
    <d v="2017-04-21T00:00:00"/>
    <s v="Same Day"/>
    <x v="537"/>
    <s v="Brian Thompson"/>
    <x v="0"/>
    <s v="United States"/>
    <s v="Milford"/>
    <x v="29"/>
    <n v="6460"/>
    <x v="3"/>
    <x v="923"/>
    <x v="1"/>
    <x v="6"/>
    <x v="915"/>
    <x v="1142"/>
    <x v="3"/>
    <x v="0"/>
  </r>
  <r>
    <n v="9207"/>
    <x v="4599"/>
    <x v="438"/>
    <d v="2017-04-21T00:00:00"/>
    <s v="Same Day"/>
    <x v="537"/>
    <s v="Brian Thompson"/>
    <x v="0"/>
    <s v="United States"/>
    <s v="Milford"/>
    <x v="29"/>
    <n v="6460"/>
    <x v="3"/>
    <x v="1723"/>
    <x v="1"/>
    <x v="10"/>
    <x v="1710"/>
    <x v="187"/>
    <x v="3"/>
    <x v="0"/>
  </r>
  <r>
    <n v="9208"/>
    <x v="4600"/>
    <x v="646"/>
    <d v="2018-08-07T00:00:00"/>
    <s v="Standard Class"/>
    <x v="455"/>
    <s v="Adrian Barton"/>
    <x v="0"/>
    <s v="United States"/>
    <s v="Bloomington"/>
    <x v="10"/>
    <n v="61701"/>
    <x v="2"/>
    <x v="1350"/>
    <x v="2"/>
    <x v="11"/>
    <x v="1336"/>
    <x v="5521"/>
    <x v="6"/>
    <x v="3"/>
  </r>
  <r>
    <n v="9209"/>
    <x v="4601"/>
    <x v="646"/>
    <d v="2018-08-08T00:00:00"/>
    <s v="Second Class"/>
    <x v="554"/>
    <s v="Scot Coram"/>
    <x v="1"/>
    <s v="United States"/>
    <s v="Seattle"/>
    <x v="4"/>
    <n v="98105"/>
    <x v="1"/>
    <x v="1229"/>
    <x v="1"/>
    <x v="4"/>
    <x v="1212"/>
    <x v="5522"/>
    <x v="6"/>
    <x v="3"/>
  </r>
  <r>
    <n v="9210"/>
    <x v="4602"/>
    <x v="157"/>
    <d v="2018-12-14T00:00:00"/>
    <s v="Second Class"/>
    <x v="789"/>
    <s v="Roy Skaria"/>
    <x v="2"/>
    <s v="United States"/>
    <s v="Burlington"/>
    <x v="23"/>
    <n v="52601"/>
    <x v="2"/>
    <x v="1047"/>
    <x v="1"/>
    <x v="12"/>
    <x v="1036"/>
    <x v="6"/>
    <x v="4"/>
    <x v="3"/>
  </r>
  <r>
    <n v="9211"/>
    <x v="4602"/>
    <x v="157"/>
    <d v="2018-12-14T00:00:00"/>
    <s v="Second Class"/>
    <x v="789"/>
    <s v="Roy Skaria"/>
    <x v="2"/>
    <s v="United States"/>
    <s v="Burlington"/>
    <x v="23"/>
    <n v="52601"/>
    <x v="2"/>
    <x v="751"/>
    <x v="1"/>
    <x v="8"/>
    <x v="749"/>
    <x v="5331"/>
    <x v="4"/>
    <x v="3"/>
  </r>
  <r>
    <n v="9212"/>
    <x v="4603"/>
    <x v="948"/>
    <d v="2016-03-19T00:00:00"/>
    <s v="Standard Class"/>
    <x v="482"/>
    <s v="Arianne Irving"/>
    <x v="0"/>
    <s v="United States"/>
    <s v="Roseville"/>
    <x v="1"/>
    <n v="95661"/>
    <x v="1"/>
    <x v="272"/>
    <x v="1"/>
    <x v="10"/>
    <x v="272"/>
    <x v="537"/>
    <x v="10"/>
    <x v="1"/>
  </r>
  <r>
    <n v="9213"/>
    <x v="4604"/>
    <x v="589"/>
    <d v="2015-12-15T00:00:00"/>
    <s v="Standard Class"/>
    <x v="249"/>
    <s v="Denny Joy"/>
    <x v="1"/>
    <s v="United States"/>
    <s v="San Francisco"/>
    <x v="1"/>
    <n v="94110"/>
    <x v="1"/>
    <x v="63"/>
    <x v="0"/>
    <x v="5"/>
    <x v="63"/>
    <x v="1143"/>
    <x v="4"/>
    <x v="2"/>
  </r>
  <r>
    <n v="9214"/>
    <x v="4604"/>
    <x v="589"/>
    <d v="2015-12-15T00:00:00"/>
    <s v="Standard Class"/>
    <x v="249"/>
    <s v="Denny Joy"/>
    <x v="1"/>
    <s v="United States"/>
    <s v="San Francisco"/>
    <x v="1"/>
    <n v="94110"/>
    <x v="1"/>
    <x v="1092"/>
    <x v="0"/>
    <x v="5"/>
    <x v="1082"/>
    <x v="3946"/>
    <x v="4"/>
    <x v="2"/>
  </r>
  <r>
    <n v="9215"/>
    <x v="4605"/>
    <x v="1033"/>
    <d v="2018-10-02T00:00:00"/>
    <s v="First Class"/>
    <x v="541"/>
    <s v="Barbara Fisher"/>
    <x v="1"/>
    <s v="United States"/>
    <s v="Philadelphia"/>
    <x v="9"/>
    <n v="19120"/>
    <x v="3"/>
    <x v="1852"/>
    <x v="1"/>
    <x v="2"/>
    <x v="1840"/>
    <x v="5523"/>
    <x v="8"/>
    <x v="3"/>
  </r>
  <r>
    <n v="9216"/>
    <x v="4606"/>
    <x v="831"/>
    <d v="2017-11-26T00:00:00"/>
    <s v="Standard Class"/>
    <x v="260"/>
    <s v="Tiffany House"/>
    <x v="1"/>
    <s v="United States"/>
    <s v="Los Angeles"/>
    <x v="1"/>
    <n v="90049"/>
    <x v="1"/>
    <x v="498"/>
    <x v="1"/>
    <x v="10"/>
    <x v="498"/>
    <x v="56"/>
    <x v="0"/>
    <x v="0"/>
  </r>
  <r>
    <n v="9217"/>
    <x v="4607"/>
    <x v="221"/>
    <d v="2018-11-30T00:00:00"/>
    <s v="Standard Class"/>
    <x v="684"/>
    <s v="Jason Gross"/>
    <x v="1"/>
    <s v="United States"/>
    <s v="Odessa"/>
    <x v="5"/>
    <n v="79762"/>
    <x v="2"/>
    <x v="14"/>
    <x v="1"/>
    <x v="9"/>
    <x v="14"/>
    <x v="5524"/>
    <x v="0"/>
    <x v="3"/>
  </r>
  <r>
    <n v="9218"/>
    <x v="4608"/>
    <x v="237"/>
    <d v="2018-11-17T00:00:00"/>
    <s v="First Class"/>
    <x v="585"/>
    <s v="Arthur Wiediger"/>
    <x v="2"/>
    <s v="United States"/>
    <s v="Minneapolis"/>
    <x v="11"/>
    <n v="55407"/>
    <x v="2"/>
    <x v="661"/>
    <x v="1"/>
    <x v="12"/>
    <x v="661"/>
    <x v="764"/>
    <x v="0"/>
    <x v="3"/>
  </r>
  <r>
    <n v="9219"/>
    <x v="4609"/>
    <x v="748"/>
    <d v="2016-08-20T00:00:00"/>
    <s v="Standard Class"/>
    <x v="527"/>
    <s v="Joni Wasserman"/>
    <x v="0"/>
    <s v="United States"/>
    <s v="Philadelphia"/>
    <x v="9"/>
    <n v="19120"/>
    <x v="3"/>
    <x v="861"/>
    <x v="1"/>
    <x v="4"/>
    <x v="855"/>
    <x v="4998"/>
    <x v="6"/>
    <x v="1"/>
  </r>
  <r>
    <n v="9220"/>
    <x v="4609"/>
    <x v="748"/>
    <d v="2016-08-20T00:00:00"/>
    <s v="Standard Class"/>
    <x v="527"/>
    <s v="Joni Wasserman"/>
    <x v="0"/>
    <s v="United States"/>
    <s v="Philadelphia"/>
    <x v="9"/>
    <n v="19120"/>
    <x v="3"/>
    <x v="1333"/>
    <x v="0"/>
    <x v="0"/>
    <x v="1318"/>
    <x v="5485"/>
    <x v="6"/>
    <x v="1"/>
  </r>
  <r>
    <n v="9221"/>
    <x v="4610"/>
    <x v="119"/>
    <d v="2018-10-14T00:00:00"/>
    <s v="First Class"/>
    <x v="659"/>
    <s v="Michelle Huthwaite"/>
    <x v="0"/>
    <s v="United States"/>
    <s v="Lafayette"/>
    <x v="28"/>
    <n v="70506"/>
    <x v="0"/>
    <x v="1238"/>
    <x v="1"/>
    <x v="2"/>
    <x v="1221"/>
    <x v="466"/>
    <x v="2"/>
    <x v="3"/>
  </r>
  <r>
    <n v="9222"/>
    <x v="4610"/>
    <x v="119"/>
    <d v="2018-10-14T00:00:00"/>
    <s v="First Class"/>
    <x v="659"/>
    <s v="Michelle Huthwaite"/>
    <x v="0"/>
    <s v="United States"/>
    <s v="Lafayette"/>
    <x v="28"/>
    <n v="70506"/>
    <x v="0"/>
    <x v="215"/>
    <x v="0"/>
    <x v="3"/>
    <x v="216"/>
    <x v="5525"/>
    <x v="2"/>
    <x v="3"/>
  </r>
  <r>
    <n v="9223"/>
    <x v="4610"/>
    <x v="119"/>
    <d v="2018-10-14T00:00:00"/>
    <s v="First Class"/>
    <x v="659"/>
    <s v="Michelle Huthwaite"/>
    <x v="0"/>
    <s v="United States"/>
    <s v="Lafayette"/>
    <x v="28"/>
    <n v="70506"/>
    <x v="0"/>
    <x v="1114"/>
    <x v="1"/>
    <x v="10"/>
    <x v="1103"/>
    <x v="233"/>
    <x v="2"/>
    <x v="3"/>
  </r>
  <r>
    <n v="9224"/>
    <x v="4611"/>
    <x v="259"/>
    <d v="2018-11-04T00:00:00"/>
    <s v="Same Day"/>
    <x v="86"/>
    <s v="Frank Merwin"/>
    <x v="2"/>
    <s v="United States"/>
    <s v="Bryan"/>
    <x v="5"/>
    <n v="77803"/>
    <x v="2"/>
    <x v="1375"/>
    <x v="1"/>
    <x v="8"/>
    <x v="1360"/>
    <x v="5526"/>
    <x v="0"/>
    <x v="3"/>
  </r>
  <r>
    <n v="9225"/>
    <x v="4611"/>
    <x v="259"/>
    <d v="2018-11-04T00:00:00"/>
    <s v="Same Day"/>
    <x v="86"/>
    <s v="Frank Merwin"/>
    <x v="2"/>
    <s v="United States"/>
    <s v="Bryan"/>
    <x v="5"/>
    <n v="77803"/>
    <x v="2"/>
    <x v="653"/>
    <x v="1"/>
    <x v="8"/>
    <x v="653"/>
    <x v="4729"/>
    <x v="0"/>
    <x v="3"/>
  </r>
  <r>
    <n v="9226"/>
    <x v="4611"/>
    <x v="259"/>
    <d v="2018-11-04T00:00:00"/>
    <s v="Same Day"/>
    <x v="86"/>
    <s v="Frank Merwin"/>
    <x v="2"/>
    <s v="United States"/>
    <s v="Bryan"/>
    <x v="5"/>
    <n v="77803"/>
    <x v="2"/>
    <x v="1499"/>
    <x v="1"/>
    <x v="8"/>
    <x v="1487"/>
    <x v="5527"/>
    <x v="0"/>
    <x v="3"/>
  </r>
  <r>
    <n v="9227"/>
    <x v="4611"/>
    <x v="259"/>
    <d v="2018-11-04T00:00:00"/>
    <s v="Same Day"/>
    <x v="86"/>
    <s v="Frank Merwin"/>
    <x v="2"/>
    <s v="United States"/>
    <s v="Bryan"/>
    <x v="5"/>
    <n v="77803"/>
    <x v="2"/>
    <x v="210"/>
    <x v="1"/>
    <x v="4"/>
    <x v="211"/>
    <x v="5528"/>
    <x v="0"/>
    <x v="3"/>
  </r>
  <r>
    <n v="9228"/>
    <x v="4612"/>
    <x v="498"/>
    <d v="2018-03-24T00:00:00"/>
    <s v="Standard Class"/>
    <x v="433"/>
    <s v="George Zrebassa"/>
    <x v="1"/>
    <s v="United States"/>
    <s v="Los Angeles"/>
    <x v="1"/>
    <n v="90008"/>
    <x v="1"/>
    <x v="1309"/>
    <x v="1"/>
    <x v="9"/>
    <x v="1294"/>
    <x v="5529"/>
    <x v="10"/>
    <x v="3"/>
  </r>
  <r>
    <n v="9229"/>
    <x v="4613"/>
    <x v="935"/>
    <d v="2015-11-03T00:00:00"/>
    <s v="Same Day"/>
    <x v="426"/>
    <s v="Tracy Collins"/>
    <x v="2"/>
    <s v="United States"/>
    <s v="Los Angeles"/>
    <x v="1"/>
    <n v="90049"/>
    <x v="1"/>
    <x v="59"/>
    <x v="1"/>
    <x v="6"/>
    <x v="59"/>
    <x v="944"/>
    <x v="0"/>
    <x v="2"/>
  </r>
  <r>
    <n v="9230"/>
    <x v="4614"/>
    <x v="283"/>
    <d v="2018-07-26T00:00:00"/>
    <s v="First Class"/>
    <x v="14"/>
    <s v="Tracy Blumstein"/>
    <x v="0"/>
    <s v="United States"/>
    <s v="Los Angeles"/>
    <x v="1"/>
    <n v="90045"/>
    <x v="1"/>
    <x v="858"/>
    <x v="1"/>
    <x v="8"/>
    <x v="852"/>
    <x v="5530"/>
    <x v="7"/>
    <x v="3"/>
  </r>
  <r>
    <n v="9231"/>
    <x v="4614"/>
    <x v="283"/>
    <d v="2018-07-26T00:00:00"/>
    <s v="First Class"/>
    <x v="14"/>
    <s v="Tracy Blumstein"/>
    <x v="0"/>
    <s v="United States"/>
    <s v="Los Angeles"/>
    <x v="1"/>
    <n v="90045"/>
    <x v="1"/>
    <x v="1076"/>
    <x v="1"/>
    <x v="10"/>
    <x v="1066"/>
    <x v="707"/>
    <x v="7"/>
    <x v="3"/>
  </r>
  <r>
    <n v="9232"/>
    <x v="4615"/>
    <x v="422"/>
    <d v="2015-12-31T00:00:00"/>
    <s v="Standard Class"/>
    <x v="261"/>
    <s v="Resi Pölking"/>
    <x v="0"/>
    <s v="United States"/>
    <s v="Phoenix"/>
    <x v="16"/>
    <n v="85023"/>
    <x v="1"/>
    <x v="115"/>
    <x v="1"/>
    <x v="8"/>
    <x v="115"/>
    <x v="5531"/>
    <x v="4"/>
    <x v="2"/>
  </r>
  <r>
    <n v="9233"/>
    <x v="4616"/>
    <x v="476"/>
    <d v="2017-09-06T00:00:00"/>
    <s v="Standard Class"/>
    <x v="235"/>
    <s v="Lena Radford"/>
    <x v="0"/>
    <s v="United States"/>
    <s v="Los Angeles"/>
    <x v="1"/>
    <n v="90036"/>
    <x v="1"/>
    <x v="1172"/>
    <x v="0"/>
    <x v="5"/>
    <x v="1158"/>
    <x v="5532"/>
    <x v="8"/>
    <x v="0"/>
  </r>
  <r>
    <n v="9234"/>
    <x v="4616"/>
    <x v="476"/>
    <d v="2017-09-06T00:00:00"/>
    <s v="Standard Class"/>
    <x v="235"/>
    <s v="Lena Radford"/>
    <x v="0"/>
    <s v="United States"/>
    <s v="Los Angeles"/>
    <x v="1"/>
    <n v="90036"/>
    <x v="1"/>
    <x v="1555"/>
    <x v="1"/>
    <x v="4"/>
    <x v="1543"/>
    <x v="5533"/>
    <x v="8"/>
    <x v="0"/>
  </r>
  <r>
    <n v="9235"/>
    <x v="4616"/>
    <x v="476"/>
    <d v="2017-09-06T00:00:00"/>
    <s v="Standard Class"/>
    <x v="235"/>
    <s v="Lena Radford"/>
    <x v="0"/>
    <s v="United States"/>
    <s v="Los Angeles"/>
    <x v="1"/>
    <n v="90036"/>
    <x v="1"/>
    <x v="638"/>
    <x v="2"/>
    <x v="7"/>
    <x v="638"/>
    <x v="2645"/>
    <x v="8"/>
    <x v="0"/>
  </r>
  <r>
    <n v="9236"/>
    <x v="4616"/>
    <x v="476"/>
    <d v="2017-09-06T00:00:00"/>
    <s v="Standard Class"/>
    <x v="235"/>
    <s v="Lena Radford"/>
    <x v="0"/>
    <s v="United States"/>
    <s v="Los Angeles"/>
    <x v="1"/>
    <n v="90036"/>
    <x v="1"/>
    <x v="1126"/>
    <x v="1"/>
    <x v="6"/>
    <x v="1114"/>
    <x v="3450"/>
    <x v="8"/>
    <x v="0"/>
  </r>
  <r>
    <n v="9237"/>
    <x v="4616"/>
    <x v="476"/>
    <d v="2017-09-06T00:00:00"/>
    <s v="Standard Class"/>
    <x v="235"/>
    <s v="Lena Radford"/>
    <x v="0"/>
    <s v="United States"/>
    <s v="Los Angeles"/>
    <x v="1"/>
    <n v="90036"/>
    <x v="1"/>
    <x v="10"/>
    <x v="0"/>
    <x v="3"/>
    <x v="10"/>
    <x v="2613"/>
    <x v="8"/>
    <x v="0"/>
  </r>
  <r>
    <n v="9238"/>
    <x v="4616"/>
    <x v="476"/>
    <d v="2017-09-06T00:00:00"/>
    <s v="Standard Class"/>
    <x v="235"/>
    <s v="Lena Radford"/>
    <x v="0"/>
    <s v="United States"/>
    <s v="Los Angeles"/>
    <x v="1"/>
    <n v="90036"/>
    <x v="1"/>
    <x v="1316"/>
    <x v="1"/>
    <x v="8"/>
    <x v="1302"/>
    <x v="1746"/>
    <x v="8"/>
    <x v="0"/>
  </r>
  <r>
    <n v="9239"/>
    <x v="4617"/>
    <x v="512"/>
    <d v="2018-02-14T00:00:00"/>
    <s v="First Class"/>
    <x v="570"/>
    <s v="Magdelene Morse"/>
    <x v="0"/>
    <s v="United States"/>
    <s v="Columbus"/>
    <x v="24"/>
    <n v="43229"/>
    <x v="3"/>
    <x v="737"/>
    <x v="0"/>
    <x v="5"/>
    <x v="736"/>
    <x v="5534"/>
    <x v="11"/>
    <x v="3"/>
  </r>
  <r>
    <n v="9240"/>
    <x v="4618"/>
    <x v="855"/>
    <d v="2018-11-02T00:00:00"/>
    <s v="Standard Class"/>
    <x v="240"/>
    <s v="Nona Balk"/>
    <x v="1"/>
    <s v="United States"/>
    <s v="Tallahassee"/>
    <x v="2"/>
    <n v="32303"/>
    <x v="0"/>
    <x v="885"/>
    <x v="1"/>
    <x v="10"/>
    <x v="33"/>
    <x v="5535"/>
    <x v="2"/>
    <x v="3"/>
  </r>
  <r>
    <n v="9241"/>
    <x v="4618"/>
    <x v="855"/>
    <d v="2018-11-02T00:00:00"/>
    <s v="Standard Class"/>
    <x v="240"/>
    <s v="Nona Balk"/>
    <x v="1"/>
    <s v="United States"/>
    <s v="Tallahassee"/>
    <x v="2"/>
    <n v="32303"/>
    <x v="0"/>
    <x v="799"/>
    <x v="1"/>
    <x v="8"/>
    <x v="797"/>
    <x v="1540"/>
    <x v="2"/>
    <x v="3"/>
  </r>
  <r>
    <n v="9242"/>
    <x v="4618"/>
    <x v="855"/>
    <d v="2018-11-02T00:00:00"/>
    <s v="Standard Class"/>
    <x v="240"/>
    <s v="Nona Balk"/>
    <x v="1"/>
    <s v="United States"/>
    <s v="Tallahassee"/>
    <x v="2"/>
    <n v="32303"/>
    <x v="0"/>
    <x v="448"/>
    <x v="1"/>
    <x v="6"/>
    <x v="448"/>
    <x v="5536"/>
    <x v="2"/>
    <x v="3"/>
  </r>
  <r>
    <n v="9243"/>
    <x v="4619"/>
    <x v="868"/>
    <d v="2015-07-14T00:00:00"/>
    <s v="Standard Class"/>
    <x v="284"/>
    <s v="Darrin Sayre"/>
    <x v="2"/>
    <s v="United States"/>
    <s v="San Francisco"/>
    <x v="1"/>
    <n v="94122"/>
    <x v="1"/>
    <x v="98"/>
    <x v="1"/>
    <x v="8"/>
    <x v="98"/>
    <x v="1471"/>
    <x v="7"/>
    <x v="2"/>
  </r>
  <r>
    <n v="9244"/>
    <x v="4619"/>
    <x v="868"/>
    <d v="2015-07-14T00:00:00"/>
    <s v="Standard Class"/>
    <x v="284"/>
    <s v="Darrin Sayre"/>
    <x v="2"/>
    <s v="United States"/>
    <s v="San Francisco"/>
    <x v="1"/>
    <n v="94122"/>
    <x v="1"/>
    <x v="1601"/>
    <x v="0"/>
    <x v="0"/>
    <x v="1593"/>
    <x v="997"/>
    <x v="7"/>
    <x v="2"/>
  </r>
  <r>
    <n v="9245"/>
    <x v="4619"/>
    <x v="868"/>
    <d v="2015-07-14T00:00:00"/>
    <s v="Standard Class"/>
    <x v="284"/>
    <s v="Darrin Sayre"/>
    <x v="2"/>
    <s v="United States"/>
    <s v="San Francisco"/>
    <x v="1"/>
    <n v="94122"/>
    <x v="1"/>
    <x v="1061"/>
    <x v="1"/>
    <x v="6"/>
    <x v="1050"/>
    <x v="345"/>
    <x v="7"/>
    <x v="2"/>
  </r>
  <r>
    <n v="9246"/>
    <x v="4619"/>
    <x v="868"/>
    <d v="2015-07-14T00:00:00"/>
    <s v="Standard Class"/>
    <x v="284"/>
    <s v="Darrin Sayre"/>
    <x v="2"/>
    <s v="United States"/>
    <s v="San Francisco"/>
    <x v="1"/>
    <n v="94122"/>
    <x v="1"/>
    <x v="12"/>
    <x v="1"/>
    <x v="10"/>
    <x v="12"/>
    <x v="56"/>
    <x v="7"/>
    <x v="2"/>
  </r>
  <r>
    <n v="9247"/>
    <x v="4620"/>
    <x v="1053"/>
    <d v="2018-05-26T00:00:00"/>
    <s v="Standard Class"/>
    <x v="665"/>
    <s v="Vicky Freymann"/>
    <x v="2"/>
    <s v="United States"/>
    <s v="San Francisco"/>
    <x v="1"/>
    <n v="94109"/>
    <x v="1"/>
    <x v="279"/>
    <x v="1"/>
    <x v="6"/>
    <x v="279"/>
    <x v="294"/>
    <x v="5"/>
    <x v="3"/>
  </r>
  <r>
    <n v="9248"/>
    <x v="4620"/>
    <x v="1053"/>
    <d v="2018-05-26T00:00:00"/>
    <s v="Standard Class"/>
    <x v="665"/>
    <s v="Vicky Freymann"/>
    <x v="2"/>
    <s v="United States"/>
    <s v="San Francisco"/>
    <x v="1"/>
    <n v="94109"/>
    <x v="1"/>
    <x v="324"/>
    <x v="1"/>
    <x v="6"/>
    <x v="324"/>
    <x v="1094"/>
    <x v="5"/>
    <x v="3"/>
  </r>
  <r>
    <n v="9249"/>
    <x v="4621"/>
    <x v="338"/>
    <d v="2017-11-14T00:00:00"/>
    <s v="Standard Class"/>
    <x v="349"/>
    <s v="Scott Williamson"/>
    <x v="0"/>
    <s v="United States"/>
    <s v="New York City"/>
    <x v="15"/>
    <n v="10009"/>
    <x v="3"/>
    <x v="248"/>
    <x v="1"/>
    <x v="8"/>
    <x v="249"/>
    <x v="1026"/>
    <x v="0"/>
    <x v="0"/>
  </r>
  <r>
    <n v="9250"/>
    <x v="4621"/>
    <x v="338"/>
    <d v="2017-11-14T00:00:00"/>
    <s v="Standard Class"/>
    <x v="349"/>
    <s v="Scott Williamson"/>
    <x v="0"/>
    <s v="United States"/>
    <s v="New York City"/>
    <x v="15"/>
    <n v="10009"/>
    <x v="3"/>
    <x v="1419"/>
    <x v="2"/>
    <x v="7"/>
    <x v="1407"/>
    <x v="1837"/>
    <x v="0"/>
    <x v="0"/>
  </r>
  <r>
    <n v="9251"/>
    <x v="4622"/>
    <x v="499"/>
    <d v="2017-12-06T00:00:00"/>
    <s v="Standard Class"/>
    <x v="463"/>
    <s v="Pauline Webber"/>
    <x v="1"/>
    <s v="United States"/>
    <s v="Marion"/>
    <x v="23"/>
    <n v="52302"/>
    <x v="2"/>
    <x v="497"/>
    <x v="1"/>
    <x v="8"/>
    <x v="497"/>
    <x v="5537"/>
    <x v="4"/>
    <x v="0"/>
  </r>
  <r>
    <n v="9252"/>
    <x v="4623"/>
    <x v="580"/>
    <d v="2018-03-08T00:00:00"/>
    <s v="Standard Class"/>
    <x v="629"/>
    <s v="Ken Dana"/>
    <x v="1"/>
    <s v="United States"/>
    <s v="Los Angeles"/>
    <x v="1"/>
    <n v="90008"/>
    <x v="1"/>
    <x v="1080"/>
    <x v="1"/>
    <x v="8"/>
    <x v="1070"/>
    <x v="3725"/>
    <x v="10"/>
    <x v="3"/>
  </r>
  <r>
    <n v="9253"/>
    <x v="4624"/>
    <x v="397"/>
    <d v="2018-09-25T00:00:00"/>
    <s v="Second Class"/>
    <x v="770"/>
    <s v="Doug O'Connell"/>
    <x v="0"/>
    <s v="United States"/>
    <s v="Pine Bluff"/>
    <x v="36"/>
    <n v="71603"/>
    <x v="0"/>
    <x v="1227"/>
    <x v="2"/>
    <x v="11"/>
    <x v="1211"/>
    <x v="1695"/>
    <x v="8"/>
    <x v="3"/>
  </r>
  <r>
    <n v="9254"/>
    <x v="4624"/>
    <x v="397"/>
    <d v="2018-09-25T00:00:00"/>
    <s v="Second Class"/>
    <x v="770"/>
    <s v="Doug O'Connell"/>
    <x v="0"/>
    <s v="United States"/>
    <s v="Pine Bluff"/>
    <x v="36"/>
    <n v="71603"/>
    <x v="0"/>
    <x v="510"/>
    <x v="1"/>
    <x v="10"/>
    <x v="510"/>
    <x v="91"/>
    <x v="8"/>
    <x v="3"/>
  </r>
  <r>
    <n v="9255"/>
    <x v="4625"/>
    <x v="1058"/>
    <d v="2015-02-15T00:00:00"/>
    <s v="Second Class"/>
    <x v="315"/>
    <s v="Guy Armstrong"/>
    <x v="0"/>
    <s v="United States"/>
    <s v="Columbia"/>
    <x v="25"/>
    <n v="65203"/>
    <x v="2"/>
    <x v="64"/>
    <x v="0"/>
    <x v="1"/>
    <x v="64"/>
    <x v="5538"/>
    <x v="11"/>
    <x v="2"/>
  </r>
  <r>
    <n v="9256"/>
    <x v="4625"/>
    <x v="1058"/>
    <d v="2015-02-15T00:00:00"/>
    <s v="Second Class"/>
    <x v="315"/>
    <s v="Guy Armstrong"/>
    <x v="0"/>
    <s v="United States"/>
    <s v="Columbia"/>
    <x v="25"/>
    <n v="65203"/>
    <x v="2"/>
    <x v="690"/>
    <x v="1"/>
    <x v="2"/>
    <x v="690"/>
    <x v="1801"/>
    <x v="11"/>
    <x v="2"/>
  </r>
  <r>
    <n v="9257"/>
    <x v="4625"/>
    <x v="1058"/>
    <d v="2015-02-15T00:00:00"/>
    <s v="Second Class"/>
    <x v="315"/>
    <s v="Guy Armstrong"/>
    <x v="0"/>
    <s v="United States"/>
    <s v="Columbia"/>
    <x v="25"/>
    <n v="65203"/>
    <x v="2"/>
    <x v="544"/>
    <x v="1"/>
    <x v="8"/>
    <x v="544"/>
    <x v="1313"/>
    <x v="11"/>
    <x v="2"/>
  </r>
  <r>
    <n v="9258"/>
    <x v="4625"/>
    <x v="1058"/>
    <d v="2015-02-15T00:00:00"/>
    <s v="Second Class"/>
    <x v="315"/>
    <s v="Guy Armstrong"/>
    <x v="0"/>
    <s v="United States"/>
    <s v="Columbia"/>
    <x v="25"/>
    <n v="65203"/>
    <x v="2"/>
    <x v="1319"/>
    <x v="0"/>
    <x v="5"/>
    <x v="1305"/>
    <x v="737"/>
    <x v="11"/>
    <x v="2"/>
  </r>
  <r>
    <n v="9259"/>
    <x v="4625"/>
    <x v="1058"/>
    <d v="2015-02-15T00:00:00"/>
    <s v="Second Class"/>
    <x v="315"/>
    <s v="Guy Armstrong"/>
    <x v="0"/>
    <s v="United States"/>
    <s v="Columbia"/>
    <x v="25"/>
    <n v="65203"/>
    <x v="2"/>
    <x v="68"/>
    <x v="1"/>
    <x v="8"/>
    <x v="1453"/>
    <x v="5539"/>
    <x v="11"/>
    <x v="2"/>
  </r>
  <r>
    <n v="9260"/>
    <x v="4625"/>
    <x v="1058"/>
    <d v="2015-02-15T00:00:00"/>
    <s v="Second Class"/>
    <x v="315"/>
    <s v="Guy Armstrong"/>
    <x v="0"/>
    <s v="United States"/>
    <s v="Columbia"/>
    <x v="25"/>
    <n v="65203"/>
    <x v="2"/>
    <x v="571"/>
    <x v="1"/>
    <x v="4"/>
    <x v="571"/>
    <x v="643"/>
    <x v="11"/>
    <x v="2"/>
  </r>
  <r>
    <n v="9261"/>
    <x v="4626"/>
    <x v="343"/>
    <d v="2018-11-14T00:00:00"/>
    <s v="Second Class"/>
    <x v="145"/>
    <s v="Jeremy Lonsdale"/>
    <x v="0"/>
    <s v="United States"/>
    <s v="Aberdeen"/>
    <x v="44"/>
    <n v="57401"/>
    <x v="2"/>
    <x v="1768"/>
    <x v="1"/>
    <x v="14"/>
    <x v="1757"/>
    <x v="4048"/>
    <x v="0"/>
    <x v="3"/>
  </r>
  <r>
    <n v="9262"/>
    <x v="4627"/>
    <x v="264"/>
    <d v="2018-09-02T00:00:00"/>
    <s v="Same Day"/>
    <x v="711"/>
    <s v="Stephanie Ulpright"/>
    <x v="2"/>
    <s v="United States"/>
    <s v="Seattle"/>
    <x v="4"/>
    <n v="98103"/>
    <x v="1"/>
    <x v="51"/>
    <x v="0"/>
    <x v="1"/>
    <x v="51"/>
    <x v="1775"/>
    <x v="8"/>
    <x v="3"/>
  </r>
  <r>
    <n v="9263"/>
    <x v="4628"/>
    <x v="330"/>
    <d v="2016-10-13T00:00:00"/>
    <s v="Standard Class"/>
    <x v="248"/>
    <s v="Fred McMath"/>
    <x v="0"/>
    <s v="United States"/>
    <s v="Detroit"/>
    <x v="12"/>
    <n v="48227"/>
    <x v="2"/>
    <x v="70"/>
    <x v="0"/>
    <x v="1"/>
    <x v="70"/>
    <x v="1917"/>
    <x v="2"/>
    <x v="1"/>
  </r>
  <r>
    <n v="9264"/>
    <x v="4628"/>
    <x v="330"/>
    <d v="2016-10-13T00:00:00"/>
    <s v="Standard Class"/>
    <x v="248"/>
    <s v="Fred McMath"/>
    <x v="0"/>
    <s v="United States"/>
    <s v="Detroit"/>
    <x v="12"/>
    <n v="48227"/>
    <x v="2"/>
    <x v="810"/>
    <x v="1"/>
    <x v="9"/>
    <x v="808"/>
    <x v="5540"/>
    <x v="2"/>
    <x v="1"/>
  </r>
  <r>
    <n v="9265"/>
    <x v="4629"/>
    <x v="221"/>
    <d v="2018-12-01T00:00:00"/>
    <s v="Standard Class"/>
    <x v="199"/>
    <s v="Maribeth Yedwab"/>
    <x v="1"/>
    <s v="United States"/>
    <s v="Memphis"/>
    <x v="18"/>
    <n v="38109"/>
    <x v="0"/>
    <x v="1645"/>
    <x v="1"/>
    <x v="8"/>
    <x v="1634"/>
    <x v="3177"/>
    <x v="0"/>
    <x v="3"/>
  </r>
  <r>
    <n v="9266"/>
    <x v="4629"/>
    <x v="221"/>
    <d v="2018-12-01T00:00:00"/>
    <s v="Standard Class"/>
    <x v="199"/>
    <s v="Maribeth Yedwab"/>
    <x v="1"/>
    <s v="United States"/>
    <s v="Memphis"/>
    <x v="18"/>
    <n v="38109"/>
    <x v="0"/>
    <x v="1724"/>
    <x v="1"/>
    <x v="12"/>
    <x v="1711"/>
    <x v="5541"/>
    <x v="0"/>
    <x v="3"/>
  </r>
  <r>
    <n v="9267"/>
    <x v="4630"/>
    <x v="1213"/>
    <d v="2015-02-09T00:00:00"/>
    <s v="First Class"/>
    <x v="134"/>
    <s v="Nathan Mautz"/>
    <x v="2"/>
    <s v="United States"/>
    <s v="North Las Vegas"/>
    <x v="33"/>
    <n v="89031"/>
    <x v="1"/>
    <x v="1677"/>
    <x v="0"/>
    <x v="5"/>
    <x v="1665"/>
    <x v="58"/>
    <x v="11"/>
    <x v="2"/>
  </r>
  <r>
    <n v="9268"/>
    <x v="4631"/>
    <x v="12"/>
    <d v="2016-09-25T00:00:00"/>
    <s v="Same Day"/>
    <x v="229"/>
    <s v="Carlos Soltero"/>
    <x v="0"/>
    <s v="United States"/>
    <s v="Freeport"/>
    <x v="15"/>
    <n v="11520"/>
    <x v="3"/>
    <x v="1756"/>
    <x v="0"/>
    <x v="1"/>
    <x v="1746"/>
    <x v="5542"/>
    <x v="8"/>
    <x v="1"/>
  </r>
  <r>
    <n v="9269"/>
    <x v="4631"/>
    <x v="12"/>
    <d v="2016-09-25T00:00:00"/>
    <s v="Same Day"/>
    <x v="229"/>
    <s v="Carlos Soltero"/>
    <x v="0"/>
    <s v="United States"/>
    <s v="Freeport"/>
    <x v="15"/>
    <n v="11520"/>
    <x v="3"/>
    <x v="711"/>
    <x v="1"/>
    <x v="10"/>
    <x v="710"/>
    <x v="130"/>
    <x v="8"/>
    <x v="1"/>
  </r>
  <r>
    <n v="9270"/>
    <x v="4632"/>
    <x v="170"/>
    <d v="2018-08-28T00:00:00"/>
    <s v="Standard Class"/>
    <x v="7"/>
    <s v="Pete Kriz"/>
    <x v="0"/>
    <s v="United States"/>
    <s v="New York City"/>
    <x v="15"/>
    <n v="10035"/>
    <x v="3"/>
    <x v="1547"/>
    <x v="1"/>
    <x v="8"/>
    <x v="1535"/>
    <x v="5543"/>
    <x v="6"/>
    <x v="3"/>
  </r>
  <r>
    <n v="9271"/>
    <x v="4632"/>
    <x v="170"/>
    <d v="2018-08-28T00:00:00"/>
    <s v="Standard Class"/>
    <x v="7"/>
    <s v="Pete Kriz"/>
    <x v="0"/>
    <s v="United States"/>
    <s v="New York City"/>
    <x v="15"/>
    <n v="10035"/>
    <x v="3"/>
    <x v="1176"/>
    <x v="1"/>
    <x v="8"/>
    <x v="1162"/>
    <x v="5544"/>
    <x v="6"/>
    <x v="3"/>
  </r>
  <r>
    <n v="9272"/>
    <x v="4633"/>
    <x v="536"/>
    <d v="2017-05-17T00:00:00"/>
    <s v="Standard Class"/>
    <x v="447"/>
    <s v="Harry Marie"/>
    <x v="1"/>
    <s v="United States"/>
    <s v="New York City"/>
    <x v="15"/>
    <n v="10024"/>
    <x v="3"/>
    <x v="1533"/>
    <x v="0"/>
    <x v="5"/>
    <x v="1521"/>
    <x v="4613"/>
    <x v="5"/>
    <x v="0"/>
  </r>
  <r>
    <n v="9273"/>
    <x v="4633"/>
    <x v="536"/>
    <d v="2017-05-17T00:00:00"/>
    <s v="Standard Class"/>
    <x v="447"/>
    <s v="Harry Marie"/>
    <x v="1"/>
    <s v="United States"/>
    <s v="New York City"/>
    <x v="15"/>
    <n v="10024"/>
    <x v="3"/>
    <x v="1356"/>
    <x v="2"/>
    <x v="7"/>
    <x v="1342"/>
    <x v="2050"/>
    <x v="5"/>
    <x v="0"/>
  </r>
  <r>
    <n v="9274"/>
    <x v="4634"/>
    <x v="264"/>
    <d v="2018-09-06T00:00:00"/>
    <s v="Standard Class"/>
    <x v="117"/>
    <s v="Alan Hwang"/>
    <x v="0"/>
    <s v="United States"/>
    <s v="Henderson"/>
    <x v="0"/>
    <n v="42420"/>
    <x v="0"/>
    <x v="115"/>
    <x v="1"/>
    <x v="8"/>
    <x v="115"/>
    <x v="2758"/>
    <x v="8"/>
    <x v="3"/>
  </r>
  <r>
    <n v="9275"/>
    <x v="4635"/>
    <x v="982"/>
    <d v="2015-10-10T00:00:00"/>
    <s v="Same Day"/>
    <x v="712"/>
    <s v="Fred Chung"/>
    <x v="1"/>
    <s v="United States"/>
    <s v="Albuquerque"/>
    <x v="27"/>
    <n v="87105"/>
    <x v="1"/>
    <x v="1833"/>
    <x v="1"/>
    <x v="6"/>
    <x v="1821"/>
    <x v="5545"/>
    <x v="2"/>
    <x v="2"/>
  </r>
  <r>
    <n v="9276"/>
    <x v="4636"/>
    <x v="439"/>
    <d v="2017-05-29T00:00:00"/>
    <s v="Second Class"/>
    <x v="434"/>
    <s v="Cathy Prescott"/>
    <x v="1"/>
    <s v="United States"/>
    <s v="Delray Beach"/>
    <x v="2"/>
    <n v="33445"/>
    <x v="0"/>
    <x v="1424"/>
    <x v="1"/>
    <x v="4"/>
    <x v="1412"/>
    <x v="5546"/>
    <x v="5"/>
    <x v="0"/>
  </r>
  <r>
    <n v="9277"/>
    <x v="4636"/>
    <x v="439"/>
    <d v="2017-05-29T00:00:00"/>
    <s v="Second Class"/>
    <x v="434"/>
    <s v="Cathy Prescott"/>
    <x v="1"/>
    <s v="United States"/>
    <s v="Delray Beach"/>
    <x v="2"/>
    <n v="33445"/>
    <x v="0"/>
    <x v="538"/>
    <x v="2"/>
    <x v="11"/>
    <x v="538"/>
    <x v="5547"/>
    <x v="5"/>
    <x v="0"/>
  </r>
  <r>
    <n v="9278"/>
    <x v="4637"/>
    <x v="96"/>
    <d v="2018-12-05T00:00:00"/>
    <s v="Standard Class"/>
    <x v="253"/>
    <s v="Sean Christensen"/>
    <x v="0"/>
    <s v="United States"/>
    <s v="Philadelphia"/>
    <x v="9"/>
    <n v="19140"/>
    <x v="3"/>
    <x v="690"/>
    <x v="1"/>
    <x v="2"/>
    <x v="690"/>
    <x v="795"/>
    <x v="4"/>
    <x v="3"/>
  </r>
  <r>
    <n v="9279"/>
    <x v="4637"/>
    <x v="96"/>
    <d v="2018-12-05T00:00:00"/>
    <s v="Standard Class"/>
    <x v="253"/>
    <s v="Sean Christensen"/>
    <x v="0"/>
    <s v="United States"/>
    <s v="Philadelphia"/>
    <x v="9"/>
    <n v="19140"/>
    <x v="3"/>
    <x v="733"/>
    <x v="1"/>
    <x v="8"/>
    <x v="732"/>
    <x v="5548"/>
    <x v="4"/>
    <x v="3"/>
  </r>
  <r>
    <n v="9280"/>
    <x v="4637"/>
    <x v="96"/>
    <d v="2018-12-05T00:00:00"/>
    <s v="Standard Class"/>
    <x v="253"/>
    <s v="Sean Christensen"/>
    <x v="0"/>
    <s v="United States"/>
    <s v="Philadelphia"/>
    <x v="9"/>
    <n v="19140"/>
    <x v="3"/>
    <x v="463"/>
    <x v="0"/>
    <x v="1"/>
    <x v="464"/>
    <x v="5549"/>
    <x v="4"/>
    <x v="3"/>
  </r>
  <r>
    <n v="9281"/>
    <x v="4638"/>
    <x v="873"/>
    <d v="2017-09-24T00:00:00"/>
    <s v="Standard Class"/>
    <x v="707"/>
    <s v="Heather Jas"/>
    <x v="2"/>
    <s v="United States"/>
    <s v="Seattle"/>
    <x v="4"/>
    <n v="98105"/>
    <x v="1"/>
    <x v="1632"/>
    <x v="0"/>
    <x v="0"/>
    <x v="1622"/>
    <x v="3413"/>
    <x v="8"/>
    <x v="0"/>
  </r>
  <r>
    <n v="9282"/>
    <x v="4639"/>
    <x v="220"/>
    <d v="2018-09-15T00:00:00"/>
    <s v="Standard Class"/>
    <x v="90"/>
    <s v="Cassandra Brandow"/>
    <x v="0"/>
    <s v="United States"/>
    <s v="Richmond"/>
    <x v="17"/>
    <n v="23223"/>
    <x v="0"/>
    <x v="1825"/>
    <x v="1"/>
    <x v="9"/>
    <x v="1813"/>
    <x v="4490"/>
    <x v="8"/>
    <x v="3"/>
  </r>
  <r>
    <n v="9283"/>
    <x v="4640"/>
    <x v="945"/>
    <d v="2018-01-04T00:00:00"/>
    <s v="Standard Class"/>
    <x v="699"/>
    <s v="Evan Henry"/>
    <x v="0"/>
    <s v="United States"/>
    <s v="West Palm Beach"/>
    <x v="2"/>
    <n v="33407"/>
    <x v="0"/>
    <x v="1437"/>
    <x v="1"/>
    <x v="10"/>
    <x v="1425"/>
    <x v="5550"/>
    <x v="4"/>
    <x v="0"/>
  </r>
  <r>
    <n v="9284"/>
    <x v="4641"/>
    <x v="264"/>
    <d v="2018-09-04T00:00:00"/>
    <s v="Second Class"/>
    <x v="560"/>
    <s v="Luke Weiss"/>
    <x v="0"/>
    <s v="United States"/>
    <s v="Fort Collins"/>
    <x v="22"/>
    <n v="80525"/>
    <x v="1"/>
    <x v="148"/>
    <x v="1"/>
    <x v="2"/>
    <x v="149"/>
    <x v="3190"/>
    <x v="8"/>
    <x v="3"/>
  </r>
  <r>
    <n v="9285"/>
    <x v="4642"/>
    <x v="728"/>
    <d v="2015-11-23T00:00:00"/>
    <s v="Standard Class"/>
    <x v="149"/>
    <s v="Michael Kennedy"/>
    <x v="1"/>
    <s v="United States"/>
    <s v="Franklin"/>
    <x v="6"/>
    <n v="53132"/>
    <x v="2"/>
    <x v="541"/>
    <x v="0"/>
    <x v="1"/>
    <x v="541"/>
    <x v="600"/>
    <x v="0"/>
    <x v="2"/>
  </r>
  <r>
    <n v="9286"/>
    <x v="4643"/>
    <x v="82"/>
    <d v="2016-11-24T00:00:00"/>
    <s v="First Class"/>
    <x v="581"/>
    <s v="John Huston"/>
    <x v="0"/>
    <s v="United States"/>
    <s v="Monroe"/>
    <x v="3"/>
    <n v="28110"/>
    <x v="0"/>
    <x v="205"/>
    <x v="0"/>
    <x v="5"/>
    <x v="206"/>
    <x v="268"/>
    <x v="0"/>
    <x v="1"/>
  </r>
  <r>
    <n v="9287"/>
    <x v="4644"/>
    <x v="249"/>
    <d v="2018-06-26T00:00:00"/>
    <s v="Standard Class"/>
    <x v="489"/>
    <s v="Deborah Brumfield"/>
    <x v="2"/>
    <s v="United States"/>
    <s v="Dallas"/>
    <x v="5"/>
    <n v="75081"/>
    <x v="2"/>
    <x v="1426"/>
    <x v="1"/>
    <x v="8"/>
    <x v="1414"/>
    <x v="4734"/>
    <x v="1"/>
    <x v="3"/>
  </r>
  <r>
    <n v="9288"/>
    <x v="4644"/>
    <x v="249"/>
    <d v="2018-06-26T00:00:00"/>
    <s v="Standard Class"/>
    <x v="489"/>
    <s v="Deborah Brumfield"/>
    <x v="2"/>
    <s v="United States"/>
    <s v="Dallas"/>
    <x v="5"/>
    <n v="75081"/>
    <x v="2"/>
    <x v="562"/>
    <x v="0"/>
    <x v="3"/>
    <x v="561"/>
    <x v="5551"/>
    <x v="1"/>
    <x v="3"/>
  </r>
  <r>
    <n v="9289"/>
    <x v="4645"/>
    <x v="329"/>
    <d v="2018-12-03T00:00:00"/>
    <s v="First Class"/>
    <x v="577"/>
    <s v="Trudy Brown"/>
    <x v="0"/>
    <s v="United States"/>
    <s v="Philadelphia"/>
    <x v="9"/>
    <n v="19134"/>
    <x v="3"/>
    <x v="1189"/>
    <x v="0"/>
    <x v="1"/>
    <x v="1175"/>
    <x v="5552"/>
    <x v="0"/>
    <x v="3"/>
  </r>
  <r>
    <n v="9290"/>
    <x v="4646"/>
    <x v="488"/>
    <d v="2015-04-26T00:00:00"/>
    <s v="Second Class"/>
    <x v="134"/>
    <s v="Nathan Mautz"/>
    <x v="2"/>
    <s v="United States"/>
    <s v="San Francisco"/>
    <x v="1"/>
    <n v="94109"/>
    <x v="1"/>
    <x v="1184"/>
    <x v="1"/>
    <x v="10"/>
    <x v="1170"/>
    <x v="5553"/>
    <x v="3"/>
    <x v="2"/>
  </r>
  <r>
    <n v="9291"/>
    <x v="4647"/>
    <x v="865"/>
    <d v="2015-09-25T00:00:00"/>
    <s v="First Class"/>
    <x v="627"/>
    <s v="Thomas Thornton"/>
    <x v="0"/>
    <s v="United States"/>
    <s v="Dover"/>
    <x v="13"/>
    <n v="19901"/>
    <x v="3"/>
    <x v="836"/>
    <x v="1"/>
    <x v="6"/>
    <x v="831"/>
    <x v="294"/>
    <x v="8"/>
    <x v="2"/>
  </r>
  <r>
    <n v="9292"/>
    <x v="4647"/>
    <x v="865"/>
    <d v="2015-09-25T00:00:00"/>
    <s v="First Class"/>
    <x v="627"/>
    <s v="Thomas Thornton"/>
    <x v="0"/>
    <s v="United States"/>
    <s v="Dover"/>
    <x v="13"/>
    <n v="19901"/>
    <x v="3"/>
    <x v="1023"/>
    <x v="1"/>
    <x v="8"/>
    <x v="1014"/>
    <x v="1323"/>
    <x v="8"/>
    <x v="2"/>
  </r>
  <r>
    <n v="9293"/>
    <x v="4648"/>
    <x v="580"/>
    <d v="2018-03-02T00:00:00"/>
    <s v="Same Day"/>
    <x v="276"/>
    <s v="Roland Schwarz"/>
    <x v="1"/>
    <s v="United States"/>
    <s v="Waco"/>
    <x v="5"/>
    <n v="76706"/>
    <x v="2"/>
    <x v="757"/>
    <x v="1"/>
    <x v="8"/>
    <x v="755"/>
    <x v="5554"/>
    <x v="10"/>
    <x v="3"/>
  </r>
  <r>
    <n v="9294"/>
    <x v="4649"/>
    <x v="701"/>
    <d v="2018-11-21T00:00:00"/>
    <s v="Second Class"/>
    <x v="577"/>
    <s v="Trudy Brown"/>
    <x v="0"/>
    <s v="United States"/>
    <s v="Hagerstown"/>
    <x v="39"/>
    <n v="21740"/>
    <x v="3"/>
    <x v="347"/>
    <x v="1"/>
    <x v="8"/>
    <x v="347"/>
    <x v="1844"/>
    <x v="0"/>
    <x v="3"/>
  </r>
  <r>
    <n v="9295"/>
    <x v="4650"/>
    <x v="39"/>
    <d v="2018-06-01T00:00:00"/>
    <s v="Standard Class"/>
    <x v="87"/>
    <s v="Alice McCarthy"/>
    <x v="1"/>
    <s v="United States"/>
    <s v="Cleveland"/>
    <x v="24"/>
    <n v="44105"/>
    <x v="3"/>
    <x v="1010"/>
    <x v="1"/>
    <x v="10"/>
    <x v="1002"/>
    <x v="847"/>
    <x v="5"/>
    <x v="3"/>
  </r>
  <r>
    <n v="9296"/>
    <x v="4650"/>
    <x v="39"/>
    <d v="2018-06-01T00:00:00"/>
    <s v="Standard Class"/>
    <x v="87"/>
    <s v="Alice McCarthy"/>
    <x v="1"/>
    <s v="United States"/>
    <s v="Cleveland"/>
    <x v="24"/>
    <n v="44105"/>
    <x v="3"/>
    <x v="266"/>
    <x v="0"/>
    <x v="0"/>
    <x v="266"/>
    <x v="4518"/>
    <x v="5"/>
    <x v="3"/>
  </r>
  <r>
    <n v="9297"/>
    <x v="4651"/>
    <x v="24"/>
    <d v="2016-04-22T00:00:00"/>
    <s v="Second Class"/>
    <x v="172"/>
    <s v="Michael Paige"/>
    <x v="1"/>
    <s v="United States"/>
    <s v="Mcallen"/>
    <x v="5"/>
    <n v="78501"/>
    <x v="2"/>
    <x v="1113"/>
    <x v="2"/>
    <x v="11"/>
    <x v="1102"/>
    <x v="2890"/>
    <x v="3"/>
    <x v="1"/>
  </r>
  <r>
    <n v="9298"/>
    <x v="4651"/>
    <x v="24"/>
    <d v="2016-04-22T00:00:00"/>
    <s v="Second Class"/>
    <x v="172"/>
    <s v="Michael Paige"/>
    <x v="1"/>
    <s v="United States"/>
    <s v="Mcallen"/>
    <x v="5"/>
    <n v="78501"/>
    <x v="2"/>
    <x v="1081"/>
    <x v="2"/>
    <x v="7"/>
    <x v="1071"/>
    <x v="4329"/>
    <x v="3"/>
    <x v="1"/>
  </r>
  <r>
    <n v="9299"/>
    <x v="4651"/>
    <x v="24"/>
    <d v="2016-04-22T00:00:00"/>
    <s v="Second Class"/>
    <x v="172"/>
    <s v="Michael Paige"/>
    <x v="1"/>
    <s v="United States"/>
    <s v="Mcallen"/>
    <x v="5"/>
    <n v="78501"/>
    <x v="2"/>
    <x v="290"/>
    <x v="1"/>
    <x v="6"/>
    <x v="290"/>
    <x v="1339"/>
    <x v="3"/>
    <x v="1"/>
  </r>
  <r>
    <n v="9300"/>
    <x v="4651"/>
    <x v="24"/>
    <d v="2016-04-22T00:00:00"/>
    <s v="Second Class"/>
    <x v="172"/>
    <s v="Michael Paige"/>
    <x v="1"/>
    <s v="United States"/>
    <s v="Mcallen"/>
    <x v="5"/>
    <n v="78501"/>
    <x v="2"/>
    <x v="828"/>
    <x v="1"/>
    <x v="8"/>
    <x v="824"/>
    <x v="3093"/>
    <x v="3"/>
    <x v="1"/>
  </r>
  <r>
    <n v="9301"/>
    <x v="4651"/>
    <x v="24"/>
    <d v="2016-04-22T00:00:00"/>
    <s v="Second Class"/>
    <x v="172"/>
    <s v="Michael Paige"/>
    <x v="1"/>
    <s v="United States"/>
    <s v="Mcallen"/>
    <x v="5"/>
    <n v="78501"/>
    <x v="2"/>
    <x v="405"/>
    <x v="0"/>
    <x v="1"/>
    <x v="406"/>
    <x v="4193"/>
    <x v="3"/>
    <x v="1"/>
  </r>
  <r>
    <n v="9302"/>
    <x v="4651"/>
    <x v="24"/>
    <d v="2016-04-22T00:00:00"/>
    <s v="Second Class"/>
    <x v="172"/>
    <s v="Michael Paige"/>
    <x v="1"/>
    <s v="United States"/>
    <s v="Mcallen"/>
    <x v="5"/>
    <n v="78501"/>
    <x v="2"/>
    <x v="1750"/>
    <x v="2"/>
    <x v="7"/>
    <x v="1740"/>
    <x v="5555"/>
    <x v="3"/>
    <x v="1"/>
  </r>
  <r>
    <n v="9303"/>
    <x v="4651"/>
    <x v="24"/>
    <d v="2016-04-22T00:00:00"/>
    <s v="Second Class"/>
    <x v="172"/>
    <s v="Michael Paige"/>
    <x v="1"/>
    <s v="United States"/>
    <s v="Mcallen"/>
    <x v="5"/>
    <n v="78501"/>
    <x v="2"/>
    <x v="1609"/>
    <x v="1"/>
    <x v="6"/>
    <x v="1600"/>
    <x v="956"/>
    <x v="3"/>
    <x v="1"/>
  </r>
  <r>
    <n v="9304"/>
    <x v="4651"/>
    <x v="24"/>
    <d v="2016-04-22T00:00:00"/>
    <s v="Second Class"/>
    <x v="172"/>
    <s v="Michael Paige"/>
    <x v="1"/>
    <s v="United States"/>
    <s v="Mcallen"/>
    <x v="5"/>
    <n v="78501"/>
    <x v="2"/>
    <x v="1307"/>
    <x v="1"/>
    <x v="10"/>
    <x v="1292"/>
    <x v="12"/>
    <x v="3"/>
    <x v="1"/>
  </r>
  <r>
    <n v="9305"/>
    <x v="4651"/>
    <x v="24"/>
    <d v="2016-04-22T00:00:00"/>
    <s v="Second Class"/>
    <x v="172"/>
    <s v="Michael Paige"/>
    <x v="1"/>
    <s v="United States"/>
    <s v="Mcallen"/>
    <x v="5"/>
    <n v="78501"/>
    <x v="2"/>
    <x v="777"/>
    <x v="1"/>
    <x v="8"/>
    <x v="776"/>
    <x v="3466"/>
    <x v="3"/>
    <x v="1"/>
  </r>
  <r>
    <n v="9306"/>
    <x v="4652"/>
    <x v="444"/>
    <d v="2016-09-24T00:00:00"/>
    <s v="Standard Class"/>
    <x v="762"/>
    <s v="Marc Harrigan"/>
    <x v="2"/>
    <s v="United States"/>
    <s v="Santa Fe"/>
    <x v="27"/>
    <n v="87505"/>
    <x v="1"/>
    <x v="1642"/>
    <x v="1"/>
    <x v="6"/>
    <x v="1632"/>
    <x v="3566"/>
    <x v="8"/>
    <x v="1"/>
  </r>
  <r>
    <n v="9307"/>
    <x v="4653"/>
    <x v="727"/>
    <d v="2015-03-30T00:00:00"/>
    <s v="Standard Class"/>
    <x v="244"/>
    <s v="Christina Anderson"/>
    <x v="0"/>
    <s v="United States"/>
    <s v="San Francisco"/>
    <x v="1"/>
    <n v="94110"/>
    <x v="1"/>
    <x v="950"/>
    <x v="1"/>
    <x v="6"/>
    <x v="943"/>
    <x v="2578"/>
    <x v="10"/>
    <x v="2"/>
  </r>
  <r>
    <n v="9308"/>
    <x v="4653"/>
    <x v="727"/>
    <d v="2015-03-30T00:00:00"/>
    <s v="Standard Class"/>
    <x v="244"/>
    <s v="Christina Anderson"/>
    <x v="0"/>
    <s v="United States"/>
    <s v="San Francisco"/>
    <x v="1"/>
    <n v="94110"/>
    <x v="1"/>
    <x v="1453"/>
    <x v="1"/>
    <x v="6"/>
    <x v="1439"/>
    <x v="3544"/>
    <x v="10"/>
    <x v="2"/>
  </r>
  <r>
    <n v="9309"/>
    <x v="4653"/>
    <x v="727"/>
    <d v="2015-03-30T00:00:00"/>
    <s v="Standard Class"/>
    <x v="244"/>
    <s v="Christina Anderson"/>
    <x v="0"/>
    <s v="United States"/>
    <s v="San Francisco"/>
    <x v="1"/>
    <n v="94110"/>
    <x v="1"/>
    <x v="1564"/>
    <x v="2"/>
    <x v="11"/>
    <x v="1555"/>
    <x v="295"/>
    <x v="10"/>
    <x v="2"/>
  </r>
  <r>
    <n v="9310"/>
    <x v="4653"/>
    <x v="727"/>
    <d v="2015-03-30T00:00:00"/>
    <s v="Standard Class"/>
    <x v="244"/>
    <s v="Christina Anderson"/>
    <x v="0"/>
    <s v="United States"/>
    <s v="San Francisco"/>
    <x v="1"/>
    <n v="94110"/>
    <x v="1"/>
    <x v="753"/>
    <x v="1"/>
    <x v="6"/>
    <x v="751"/>
    <x v="2326"/>
    <x v="10"/>
    <x v="2"/>
  </r>
  <r>
    <n v="9311"/>
    <x v="4654"/>
    <x v="370"/>
    <d v="2017-08-31T00:00:00"/>
    <s v="Standard Class"/>
    <x v="629"/>
    <s v="Ken Dana"/>
    <x v="1"/>
    <s v="United States"/>
    <s v="New York City"/>
    <x v="15"/>
    <n v="10024"/>
    <x v="3"/>
    <x v="710"/>
    <x v="1"/>
    <x v="8"/>
    <x v="709"/>
    <x v="4603"/>
    <x v="6"/>
    <x v="0"/>
  </r>
  <r>
    <n v="9312"/>
    <x v="4655"/>
    <x v="904"/>
    <d v="2018-03-12T00:00:00"/>
    <s v="Standard Class"/>
    <x v="386"/>
    <s v="Don Weiss"/>
    <x v="0"/>
    <s v="United States"/>
    <s v="Dallas"/>
    <x v="5"/>
    <n v="75220"/>
    <x v="2"/>
    <x v="85"/>
    <x v="1"/>
    <x v="2"/>
    <x v="85"/>
    <x v="1253"/>
    <x v="10"/>
    <x v="3"/>
  </r>
  <r>
    <n v="9313"/>
    <x v="4655"/>
    <x v="904"/>
    <d v="2018-03-12T00:00:00"/>
    <s v="Standard Class"/>
    <x v="386"/>
    <s v="Don Weiss"/>
    <x v="0"/>
    <s v="United States"/>
    <s v="Dallas"/>
    <x v="5"/>
    <n v="75220"/>
    <x v="2"/>
    <x v="397"/>
    <x v="1"/>
    <x v="6"/>
    <x v="398"/>
    <x v="5556"/>
    <x v="10"/>
    <x v="3"/>
  </r>
  <r>
    <n v="9314"/>
    <x v="4656"/>
    <x v="1214"/>
    <d v="2016-11-11T00:00:00"/>
    <s v="Same Day"/>
    <x v="122"/>
    <s v="Andrew Gjertsen"/>
    <x v="1"/>
    <s v="United States"/>
    <s v="Detroit"/>
    <x v="12"/>
    <n v="48234"/>
    <x v="2"/>
    <x v="42"/>
    <x v="1"/>
    <x v="4"/>
    <x v="42"/>
    <x v="5557"/>
    <x v="0"/>
    <x v="1"/>
  </r>
  <r>
    <n v="9315"/>
    <x v="4656"/>
    <x v="1214"/>
    <d v="2016-11-11T00:00:00"/>
    <s v="Same Day"/>
    <x v="122"/>
    <s v="Andrew Gjertsen"/>
    <x v="1"/>
    <s v="United States"/>
    <s v="Detroit"/>
    <x v="12"/>
    <n v="48234"/>
    <x v="2"/>
    <x v="14"/>
    <x v="1"/>
    <x v="9"/>
    <x v="14"/>
    <x v="5558"/>
    <x v="0"/>
    <x v="1"/>
  </r>
  <r>
    <n v="9316"/>
    <x v="4657"/>
    <x v="41"/>
    <d v="2017-04-09T00:00:00"/>
    <s v="Standard Class"/>
    <x v="423"/>
    <s v="Justin Hirsh"/>
    <x v="0"/>
    <s v="United States"/>
    <s v="Philadelphia"/>
    <x v="9"/>
    <n v="19140"/>
    <x v="3"/>
    <x v="1326"/>
    <x v="2"/>
    <x v="7"/>
    <x v="1312"/>
    <x v="957"/>
    <x v="3"/>
    <x v="0"/>
  </r>
  <r>
    <n v="9317"/>
    <x v="4657"/>
    <x v="41"/>
    <d v="2017-04-09T00:00:00"/>
    <s v="Standard Class"/>
    <x v="423"/>
    <s v="Justin Hirsh"/>
    <x v="0"/>
    <s v="United States"/>
    <s v="Philadelphia"/>
    <x v="9"/>
    <n v="19140"/>
    <x v="3"/>
    <x v="262"/>
    <x v="1"/>
    <x v="14"/>
    <x v="262"/>
    <x v="5559"/>
    <x v="3"/>
    <x v="0"/>
  </r>
  <r>
    <n v="9318"/>
    <x v="4658"/>
    <x v="1215"/>
    <d v="2018-02-26T00:00:00"/>
    <s v="Standard Class"/>
    <x v="54"/>
    <s v="Dave Kipp"/>
    <x v="0"/>
    <s v="United States"/>
    <s v="Carrollton"/>
    <x v="5"/>
    <n v="75007"/>
    <x v="2"/>
    <x v="333"/>
    <x v="2"/>
    <x v="11"/>
    <x v="333"/>
    <x v="5560"/>
    <x v="11"/>
    <x v="3"/>
  </r>
  <r>
    <n v="9319"/>
    <x v="4659"/>
    <x v="228"/>
    <d v="2018-07-25T00:00:00"/>
    <s v="Standard Class"/>
    <x v="255"/>
    <s v="Anthony Rawles"/>
    <x v="1"/>
    <s v="United States"/>
    <s v="New York City"/>
    <x v="15"/>
    <n v="10009"/>
    <x v="3"/>
    <x v="578"/>
    <x v="1"/>
    <x v="10"/>
    <x v="578"/>
    <x v="518"/>
    <x v="7"/>
    <x v="3"/>
  </r>
  <r>
    <n v="9320"/>
    <x v="4659"/>
    <x v="228"/>
    <d v="2018-07-25T00:00:00"/>
    <s v="Standard Class"/>
    <x v="255"/>
    <s v="Anthony Rawles"/>
    <x v="1"/>
    <s v="United States"/>
    <s v="New York City"/>
    <x v="15"/>
    <n v="10009"/>
    <x v="3"/>
    <x v="1853"/>
    <x v="0"/>
    <x v="1"/>
    <x v="1841"/>
    <x v="5561"/>
    <x v="7"/>
    <x v="3"/>
  </r>
  <r>
    <n v="9321"/>
    <x v="4659"/>
    <x v="228"/>
    <d v="2018-07-25T00:00:00"/>
    <s v="Standard Class"/>
    <x v="255"/>
    <s v="Anthony Rawles"/>
    <x v="1"/>
    <s v="United States"/>
    <s v="New York City"/>
    <x v="15"/>
    <n v="10009"/>
    <x v="3"/>
    <x v="1762"/>
    <x v="0"/>
    <x v="5"/>
    <x v="1751"/>
    <x v="5562"/>
    <x v="7"/>
    <x v="3"/>
  </r>
  <r>
    <n v="9322"/>
    <x v="4660"/>
    <x v="254"/>
    <d v="2017-11-08T00:00:00"/>
    <s v="Standard Class"/>
    <x v="325"/>
    <s v="Sally Matthias"/>
    <x v="0"/>
    <s v="United States"/>
    <s v="Houston"/>
    <x v="5"/>
    <n v="77041"/>
    <x v="2"/>
    <x v="1462"/>
    <x v="0"/>
    <x v="5"/>
    <x v="1448"/>
    <x v="5563"/>
    <x v="0"/>
    <x v="0"/>
  </r>
  <r>
    <n v="9323"/>
    <x v="4660"/>
    <x v="254"/>
    <d v="2017-11-08T00:00:00"/>
    <s v="Standard Class"/>
    <x v="325"/>
    <s v="Sally Matthias"/>
    <x v="0"/>
    <s v="United States"/>
    <s v="Houston"/>
    <x v="5"/>
    <n v="77041"/>
    <x v="2"/>
    <x v="479"/>
    <x v="0"/>
    <x v="5"/>
    <x v="480"/>
    <x v="516"/>
    <x v="0"/>
    <x v="0"/>
  </r>
  <r>
    <n v="9324"/>
    <x v="4661"/>
    <x v="397"/>
    <d v="2018-09-29T00:00:00"/>
    <s v="Standard Class"/>
    <x v="551"/>
    <s v="Duane Benoit"/>
    <x v="0"/>
    <s v="United States"/>
    <s v="Los Angeles"/>
    <x v="1"/>
    <n v="90036"/>
    <x v="1"/>
    <x v="954"/>
    <x v="1"/>
    <x v="10"/>
    <x v="947"/>
    <x v="5564"/>
    <x v="8"/>
    <x v="3"/>
  </r>
  <r>
    <n v="9325"/>
    <x v="4661"/>
    <x v="397"/>
    <d v="2018-09-29T00:00:00"/>
    <s v="Standard Class"/>
    <x v="551"/>
    <s v="Duane Benoit"/>
    <x v="0"/>
    <s v="United States"/>
    <s v="Los Angeles"/>
    <x v="1"/>
    <n v="90036"/>
    <x v="1"/>
    <x v="873"/>
    <x v="0"/>
    <x v="1"/>
    <x v="867"/>
    <x v="5565"/>
    <x v="8"/>
    <x v="3"/>
  </r>
  <r>
    <n v="9326"/>
    <x v="4661"/>
    <x v="397"/>
    <d v="2018-09-29T00:00:00"/>
    <s v="Standard Class"/>
    <x v="551"/>
    <s v="Duane Benoit"/>
    <x v="0"/>
    <s v="United States"/>
    <s v="Los Angeles"/>
    <x v="1"/>
    <n v="90036"/>
    <x v="1"/>
    <x v="999"/>
    <x v="1"/>
    <x v="8"/>
    <x v="991"/>
    <x v="5566"/>
    <x v="8"/>
    <x v="3"/>
  </r>
  <r>
    <n v="9327"/>
    <x v="4662"/>
    <x v="210"/>
    <d v="2018-09-10T00:00:00"/>
    <s v="First Class"/>
    <x v="418"/>
    <s v="Phillip Flathmann"/>
    <x v="0"/>
    <s v="United States"/>
    <s v="Edmonds"/>
    <x v="4"/>
    <n v="98026"/>
    <x v="1"/>
    <x v="1653"/>
    <x v="0"/>
    <x v="5"/>
    <x v="1642"/>
    <x v="4016"/>
    <x v="8"/>
    <x v="3"/>
  </r>
  <r>
    <n v="9328"/>
    <x v="4662"/>
    <x v="210"/>
    <d v="2018-09-10T00:00:00"/>
    <s v="First Class"/>
    <x v="418"/>
    <s v="Phillip Flathmann"/>
    <x v="0"/>
    <s v="United States"/>
    <s v="Edmonds"/>
    <x v="4"/>
    <n v="98026"/>
    <x v="1"/>
    <x v="11"/>
    <x v="2"/>
    <x v="7"/>
    <x v="11"/>
    <x v="5567"/>
    <x v="8"/>
    <x v="3"/>
  </r>
  <r>
    <n v="9329"/>
    <x v="4662"/>
    <x v="210"/>
    <d v="2018-09-10T00:00:00"/>
    <s v="First Class"/>
    <x v="418"/>
    <s v="Phillip Flathmann"/>
    <x v="0"/>
    <s v="United States"/>
    <s v="Edmonds"/>
    <x v="4"/>
    <n v="98026"/>
    <x v="1"/>
    <x v="1502"/>
    <x v="1"/>
    <x v="6"/>
    <x v="1490"/>
    <x v="2232"/>
    <x v="8"/>
    <x v="3"/>
  </r>
  <r>
    <n v="9330"/>
    <x v="4663"/>
    <x v="109"/>
    <d v="2016-11-30T00:00:00"/>
    <s v="First Class"/>
    <x v="219"/>
    <s v="Ashley Jarboe"/>
    <x v="0"/>
    <s v="United States"/>
    <s v="San Francisco"/>
    <x v="1"/>
    <n v="94110"/>
    <x v="1"/>
    <x v="1626"/>
    <x v="1"/>
    <x v="9"/>
    <x v="1616"/>
    <x v="5568"/>
    <x v="0"/>
    <x v="1"/>
  </r>
  <r>
    <n v="9331"/>
    <x v="4664"/>
    <x v="768"/>
    <d v="2016-11-18T00:00:00"/>
    <s v="Standard Class"/>
    <x v="686"/>
    <s v="Eugene Barchas"/>
    <x v="0"/>
    <s v="United States"/>
    <s v="New York City"/>
    <x v="15"/>
    <n v="10035"/>
    <x v="3"/>
    <x v="837"/>
    <x v="1"/>
    <x v="12"/>
    <x v="153"/>
    <x v="2505"/>
    <x v="0"/>
    <x v="1"/>
  </r>
  <r>
    <n v="9332"/>
    <x v="4665"/>
    <x v="321"/>
    <d v="2017-10-03T00:00:00"/>
    <s v="Standard Class"/>
    <x v="20"/>
    <s v="Erin Smith"/>
    <x v="1"/>
    <s v="United States"/>
    <s v="Springfield"/>
    <x v="21"/>
    <n v="97477"/>
    <x v="1"/>
    <x v="1118"/>
    <x v="2"/>
    <x v="7"/>
    <x v="1106"/>
    <x v="3848"/>
    <x v="8"/>
    <x v="0"/>
  </r>
  <r>
    <n v="9333"/>
    <x v="4666"/>
    <x v="220"/>
    <d v="2018-09-13T00:00:00"/>
    <s v="Second Class"/>
    <x v="757"/>
    <s v="Shahid Shariari"/>
    <x v="0"/>
    <s v="United States"/>
    <s v="Georgetown"/>
    <x v="0"/>
    <n v="40324"/>
    <x v="0"/>
    <x v="414"/>
    <x v="1"/>
    <x v="9"/>
    <x v="414"/>
    <x v="5569"/>
    <x v="8"/>
    <x v="3"/>
  </r>
  <r>
    <n v="9334"/>
    <x v="4666"/>
    <x v="220"/>
    <d v="2018-09-13T00:00:00"/>
    <s v="Second Class"/>
    <x v="757"/>
    <s v="Shahid Shariari"/>
    <x v="0"/>
    <s v="United States"/>
    <s v="Georgetown"/>
    <x v="0"/>
    <n v="40324"/>
    <x v="0"/>
    <x v="1053"/>
    <x v="1"/>
    <x v="13"/>
    <x v="1042"/>
    <x v="1168"/>
    <x v="8"/>
    <x v="3"/>
  </r>
  <r>
    <n v="9335"/>
    <x v="4667"/>
    <x v="927"/>
    <d v="2018-05-02T00:00:00"/>
    <s v="First Class"/>
    <x v="151"/>
    <s v="Arthur Gainer"/>
    <x v="0"/>
    <s v="United States"/>
    <s v="Coral Springs"/>
    <x v="2"/>
    <n v="33065"/>
    <x v="0"/>
    <x v="0"/>
    <x v="0"/>
    <x v="0"/>
    <x v="0"/>
    <x v="2317"/>
    <x v="5"/>
    <x v="3"/>
  </r>
  <r>
    <n v="9336"/>
    <x v="4667"/>
    <x v="927"/>
    <d v="2018-05-02T00:00:00"/>
    <s v="First Class"/>
    <x v="151"/>
    <s v="Arthur Gainer"/>
    <x v="0"/>
    <s v="United States"/>
    <s v="Coral Springs"/>
    <x v="2"/>
    <n v="33065"/>
    <x v="0"/>
    <x v="1568"/>
    <x v="1"/>
    <x v="2"/>
    <x v="1559"/>
    <x v="871"/>
    <x v="5"/>
    <x v="3"/>
  </r>
  <r>
    <n v="9337"/>
    <x v="4668"/>
    <x v="118"/>
    <d v="2018-09-20T00:00:00"/>
    <s v="Standard Class"/>
    <x v="388"/>
    <s v="Craig Yedwab"/>
    <x v="1"/>
    <s v="United States"/>
    <s v="San Francisco"/>
    <x v="1"/>
    <n v="94110"/>
    <x v="1"/>
    <x v="110"/>
    <x v="1"/>
    <x v="13"/>
    <x v="110"/>
    <x v="1488"/>
    <x v="8"/>
    <x v="3"/>
  </r>
  <r>
    <n v="9338"/>
    <x v="4669"/>
    <x v="538"/>
    <d v="2015-10-22T00:00:00"/>
    <s v="Second Class"/>
    <x v="345"/>
    <s v="Rachel Payne"/>
    <x v="1"/>
    <s v="United States"/>
    <s v="San Francisco"/>
    <x v="1"/>
    <n v="94110"/>
    <x v="1"/>
    <x v="1390"/>
    <x v="1"/>
    <x v="8"/>
    <x v="1376"/>
    <x v="5447"/>
    <x v="2"/>
    <x v="2"/>
  </r>
  <r>
    <n v="9339"/>
    <x v="4669"/>
    <x v="538"/>
    <d v="2015-10-22T00:00:00"/>
    <s v="Second Class"/>
    <x v="345"/>
    <s v="Rachel Payne"/>
    <x v="1"/>
    <s v="United States"/>
    <s v="San Francisco"/>
    <x v="1"/>
    <n v="94110"/>
    <x v="1"/>
    <x v="807"/>
    <x v="1"/>
    <x v="8"/>
    <x v="805"/>
    <x v="5570"/>
    <x v="2"/>
    <x v="2"/>
  </r>
  <r>
    <n v="9340"/>
    <x v="4669"/>
    <x v="538"/>
    <d v="2015-10-22T00:00:00"/>
    <s v="Second Class"/>
    <x v="345"/>
    <s v="Rachel Payne"/>
    <x v="1"/>
    <s v="United States"/>
    <s v="San Francisco"/>
    <x v="1"/>
    <n v="94110"/>
    <x v="1"/>
    <x v="1689"/>
    <x v="1"/>
    <x v="10"/>
    <x v="1677"/>
    <x v="64"/>
    <x v="2"/>
    <x v="2"/>
  </r>
  <r>
    <n v="9341"/>
    <x v="4669"/>
    <x v="538"/>
    <d v="2015-10-22T00:00:00"/>
    <s v="Second Class"/>
    <x v="345"/>
    <s v="Rachel Payne"/>
    <x v="1"/>
    <s v="United States"/>
    <s v="San Francisco"/>
    <x v="1"/>
    <n v="94110"/>
    <x v="1"/>
    <x v="547"/>
    <x v="1"/>
    <x v="2"/>
    <x v="547"/>
    <x v="2022"/>
    <x v="2"/>
    <x v="2"/>
  </r>
  <r>
    <n v="9342"/>
    <x v="4669"/>
    <x v="538"/>
    <d v="2015-10-22T00:00:00"/>
    <s v="Second Class"/>
    <x v="345"/>
    <s v="Rachel Payne"/>
    <x v="1"/>
    <s v="United States"/>
    <s v="San Francisco"/>
    <x v="1"/>
    <n v="94110"/>
    <x v="1"/>
    <x v="1692"/>
    <x v="2"/>
    <x v="7"/>
    <x v="1680"/>
    <x v="5571"/>
    <x v="2"/>
    <x v="2"/>
  </r>
  <r>
    <n v="9343"/>
    <x v="4670"/>
    <x v="69"/>
    <d v="2017-03-18T00:00:00"/>
    <s v="Standard Class"/>
    <x v="748"/>
    <s v="Dennis Bolton"/>
    <x v="2"/>
    <s v="United States"/>
    <s v="Riverside"/>
    <x v="1"/>
    <n v="92503"/>
    <x v="1"/>
    <x v="624"/>
    <x v="1"/>
    <x v="8"/>
    <x v="624"/>
    <x v="771"/>
    <x v="10"/>
    <x v="0"/>
  </r>
  <r>
    <n v="9344"/>
    <x v="4671"/>
    <x v="922"/>
    <d v="2018-02-20T00:00:00"/>
    <s v="First Class"/>
    <x v="278"/>
    <s v="Christine Kargatis"/>
    <x v="2"/>
    <s v="United States"/>
    <s v="Troy"/>
    <x v="24"/>
    <n v="45373"/>
    <x v="3"/>
    <x v="1746"/>
    <x v="0"/>
    <x v="3"/>
    <x v="1736"/>
    <x v="3861"/>
    <x v="11"/>
    <x v="3"/>
  </r>
  <r>
    <n v="9345"/>
    <x v="4671"/>
    <x v="922"/>
    <d v="2018-02-20T00:00:00"/>
    <s v="First Class"/>
    <x v="278"/>
    <s v="Christine Kargatis"/>
    <x v="2"/>
    <s v="United States"/>
    <s v="Troy"/>
    <x v="24"/>
    <n v="45373"/>
    <x v="3"/>
    <x v="31"/>
    <x v="1"/>
    <x v="8"/>
    <x v="31"/>
    <x v="3416"/>
    <x v="11"/>
    <x v="3"/>
  </r>
  <r>
    <n v="9346"/>
    <x v="4671"/>
    <x v="922"/>
    <d v="2018-02-20T00:00:00"/>
    <s v="First Class"/>
    <x v="278"/>
    <s v="Christine Kargatis"/>
    <x v="2"/>
    <s v="United States"/>
    <s v="Troy"/>
    <x v="24"/>
    <n v="45373"/>
    <x v="3"/>
    <x v="1485"/>
    <x v="2"/>
    <x v="7"/>
    <x v="1472"/>
    <x v="5572"/>
    <x v="11"/>
    <x v="3"/>
  </r>
  <r>
    <n v="9347"/>
    <x v="4671"/>
    <x v="922"/>
    <d v="2018-02-20T00:00:00"/>
    <s v="First Class"/>
    <x v="278"/>
    <s v="Christine Kargatis"/>
    <x v="2"/>
    <s v="United States"/>
    <s v="Troy"/>
    <x v="24"/>
    <n v="45373"/>
    <x v="3"/>
    <x v="1155"/>
    <x v="0"/>
    <x v="5"/>
    <x v="1143"/>
    <x v="611"/>
    <x v="11"/>
    <x v="3"/>
  </r>
  <r>
    <n v="9348"/>
    <x v="4671"/>
    <x v="922"/>
    <d v="2018-02-20T00:00:00"/>
    <s v="First Class"/>
    <x v="278"/>
    <s v="Christine Kargatis"/>
    <x v="2"/>
    <s v="United States"/>
    <s v="Troy"/>
    <x v="24"/>
    <n v="45373"/>
    <x v="3"/>
    <x v="1189"/>
    <x v="0"/>
    <x v="1"/>
    <x v="1175"/>
    <x v="4287"/>
    <x v="11"/>
    <x v="3"/>
  </r>
  <r>
    <n v="9349"/>
    <x v="4672"/>
    <x v="596"/>
    <d v="2017-12-28T00:00:00"/>
    <s v="Standard Class"/>
    <x v="35"/>
    <s v="Duane Noonan"/>
    <x v="0"/>
    <s v="United States"/>
    <s v="Moreno Valley"/>
    <x v="1"/>
    <n v="92553"/>
    <x v="1"/>
    <x v="1805"/>
    <x v="0"/>
    <x v="5"/>
    <x v="1795"/>
    <x v="5573"/>
    <x v="4"/>
    <x v="0"/>
  </r>
  <r>
    <n v="9350"/>
    <x v="4672"/>
    <x v="596"/>
    <d v="2017-12-28T00:00:00"/>
    <s v="Standard Class"/>
    <x v="35"/>
    <s v="Duane Noonan"/>
    <x v="0"/>
    <s v="United States"/>
    <s v="Moreno Valley"/>
    <x v="1"/>
    <n v="92553"/>
    <x v="1"/>
    <x v="107"/>
    <x v="0"/>
    <x v="5"/>
    <x v="107"/>
    <x v="108"/>
    <x v="4"/>
    <x v="0"/>
  </r>
  <r>
    <n v="9351"/>
    <x v="4673"/>
    <x v="713"/>
    <d v="2017-09-27T00:00:00"/>
    <s v="Standard Class"/>
    <x v="317"/>
    <s v="Dave Poirier"/>
    <x v="1"/>
    <s v="United States"/>
    <s v="Seattle"/>
    <x v="4"/>
    <n v="98115"/>
    <x v="1"/>
    <x v="925"/>
    <x v="1"/>
    <x v="8"/>
    <x v="917"/>
    <x v="1145"/>
    <x v="8"/>
    <x v="0"/>
  </r>
  <r>
    <n v="9352"/>
    <x v="4673"/>
    <x v="713"/>
    <d v="2017-09-27T00:00:00"/>
    <s v="Standard Class"/>
    <x v="317"/>
    <s v="Dave Poirier"/>
    <x v="1"/>
    <s v="United States"/>
    <s v="Seattle"/>
    <x v="4"/>
    <n v="98115"/>
    <x v="1"/>
    <x v="389"/>
    <x v="0"/>
    <x v="1"/>
    <x v="390"/>
    <x v="4086"/>
    <x v="8"/>
    <x v="0"/>
  </r>
  <r>
    <n v="9353"/>
    <x v="4674"/>
    <x v="241"/>
    <d v="2018-09-26T00:00:00"/>
    <s v="First Class"/>
    <x v="197"/>
    <s v="Rose O'Brian"/>
    <x v="0"/>
    <s v="United States"/>
    <s v="Chicago"/>
    <x v="10"/>
    <n v="60623"/>
    <x v="2"/>
    <x v="873"/>
    <x v="0"/>
    <x v="1"/>
    <x v="867"/>
    <x v="3230"/>
    <x v="8"/>
    <x v="3"/>
  </r>
  <r>
    <n v="9354"/>
    <x v="4674"/>
    <x v="241"/>
    <d v="2018-09-26T00:00:00"/>
    <s v="First Class"/>
    <x v="197"/>
    <s v="Rose O'Brian"/>
    <x v="0"/>
    <s v="United States"/>
    <s v="Chicago"/>
    <x v="10"/>
    <n v="60623"/>
    <x v="2"/>
    <x v="1790"/>
    <x v="1"/>
    <x v="10"/>
    <x v="1780"/>
    <x v="5574"/>
    <x v="8"/>
    <x v="3"/>
  </r>
  <r>
    <n v="9355"/>
    <x v="4675"/>
    <x v="494"/>
    <d v="2016-12-05T00:00:00"/>
    <s v="Standard Class"/>
    <x v="15"/>
    <s v="Matt Abelman"/>
    <x v="2"/>
    <s v="United States"/>
    <s v="Jackson"/>
    <x v="12"/>
    <n v="49201"/>
    <x v="2"/>
    <x v="1769"/>
    <x v="1"/>
    <x v="10"/>
    <x v="1759"/>
    <x v="537"/>
    <x v="4"/>
    <x v="1"/>
  </r>
  <r>
    <n v="9356"/>
    <x v="4675"/>
    <x v="494"/>
    <d v="2016-12-05T00:00:00"/>
    <s v="Standard Class"/>
    <x v="15"/>
    <s v="Matt Abelman"/>
    <x v="2"/>
    <s v="United States"/>
    <s v="Jackson"/>
    <x v="12"/>
    <n v="49201"/>
    <x v="2"/>
    <x v="1063"/>
    <x v="1"/>
    <x v="6"/>
    <x v="1052"/>
    <x v="1026"/>
    <x v="4"/>
    <x v="1"/>
  </r>
  <r>
    <n v="9357"/>
    <x v="4675"/>
    <x v="494"/>
    <d v="2016-12-05T00:00:00"/>
    <s v="Standard Class"/>
    <x v="15"/>
    <s v="Matt Abelman"/>
    <x v="2"/>
    <s v="United States"/>
    <s v="Jackson"/>
    <x v="12"/>
    <n v="49201"/>
    <x v="2"/>
    <x v="1286"/>
    <x v="1"/>
    <x v="10"/>
    <x v="1272"/>
    <x v="1878"/>
    <x v="4"/>
    <x v="1"/>
  </r>
  <r>
    <n v="9358"/>
    <x v="4676"/>
    <x v="967"/>
    <d v="2017-01-28T00:00:00"/>
    <s v="Second Class"/>
    <x v="63"/>
    <s v="Jonathan Doherty"/>
    <x v="1"/>
    <s v="United States"/>
    <s v="New York City"/>
    <x v="15"/>
    <n v="10024"/>
    <x v="3"/>
    <x v="828"/>
    <x v="1"/>
    <x v="8"/>
    <x v="824"/>
    <x v="136"/>
    <x v="9"/>
    <x v="0"/>
  </r>
  <r>
    <n v="9359"/>
    <x v="4676"/>
    <x v="967"/>
    <d v="2017-01-28T00:00:00"/>
    <s v="Second Class"/>
    <x v="63"/>
    <s v="Jonathan Doherty"/>
    <x v="1"/>
    <s v="United States"/>
    <s v="New York City"/>
    <x v="15"/>
    <n v="10024"/>
    <x v="3"/>
    <x v="616"/>
    <x v="0"/>
    <x v="3"/>
    <x v="616"/>
    <x v="5575"/>
    <x v="9"/>
    <x v="0"/>
  </r>
  <r>
    <n v="9360"/>
    <x v="4676"/>
    <x v="967"/>
    <d v="2017-01-28T00:00:00"/>
    <s v="Second Class"/>
    <x v="63"/>
    <s v="Jonathan Doherty"/>
    <x v="1"/>
    <s v="United States"/>
    <s v="New York City"/>
    <x v="15"/>
    <n v="10024"/>
    <x v="3"/>
    <x v="1762"/>
    <x v="0"/>
    <x v="5"/>
    <x v="1751"/>
    <x v="44"/>
    <x v="9"/>
    <x v="0"/>
  </r>
  <r>
    <n v="9361"/>
    <x v="4676"/>
    <x v="967"/>
    <d v="2017-01-28T00:00:00"/>
    <s v="Second Class"/>
    <x v="63"/>
    <s v="Jonathan Doherty"/>
    <x v="1"/>
    <s v="United States"/>
    <s v="New York City"/>
    <x v="15"/>
    <n v="10024"/>
    <x v="3"/>
    <x v="854"/>
    <x v="1"/>
    <x v="4"/>
    <x v="847"/>
    <x v="5576"/>
    <x v="9"/>
    <x v="0"/>
  </r>
  <r>
    <n v="9362"/>
    <x v="4677"/>
    <x v="708"/>
    <d v="2018-03-25T00:00:00"/>
    <s v="Standard Class"/>
    <x v="28"/>
    <s v="Paul Stevenson"/>
    <x v="2"/>
    <s v="United States"/>
    <s v="Seattle"/>
    <x v="4"/>
    <n v="98105"/>
    <x v="1"/>
    <x v="48"/>
    <x v="1"/>
    <x v="8"/>
    <x v="48"/>
    <x v="5577"/>
    <x v="10"/>
    <x v="3"/>
  </r>
  <r>
    <n v="9363"/>
    <x v="4677"/>
    <x v="708"/>
    <d v="2018-03-25T00:00:00"/>
    <s v="Standard Class"/>
    <x v="28"/>
    <s v="Paul Stevenson"/>
    <x v="2"/>
    <s v="United States"/>
    <s v="Seattle"/>
    <x v="4"/>
    <n v="98105"/>
    <x v="1"/>
    <x v="802"/>
    <x v="1"/>
    <x v="13"/>
    <x v="800"/>
    <x v="5578"/>
    <x v="10"/>
    <x v="3"/>
  </r>
  <r>
    <n v="9364"/>
    <x v="4677"/>
    <x v="708"/>
    <d v="2018-03-25T00:00:00"/>
    <s v="Standard Class"/>
    <x v="28"/>
    <s v="Paul Stevenson"/>
    <x v="2"/>
    <s v="United States"/>
    <s v="Seattle"/>
    <x v="4"/>
    <n v="98105"/>
    <x v="1"/>
    <x v="1256"/>
    <x v="0"/>
    <x v="5"/>
    <x v="1240"/>
    <x v="2997"/>
    <x v="10"/>
    <x v="3"/>
  </r>
  <r>
    <n v="9365"/>
    <x v="4677"/>
    <x v="708"/>
    <d v="2018-03-25T00:00:00"/>
    <s v="Standard Class"/>
    <x v="28"/>
    <s v="Paul Stevenson"/>
    <x v="2"/>
    <s v="United States"/>
    <s v="Seattle"/>
    <x v="4"/>
    <n v="98105"/>
    <x v="1"/>
    <x v="435"/>
    <x v="1"/>
    <x v="4"/>
    <x v="435"/>
    <x v="699"/>
    <x v="10"/>
    <x v="3"/>
  </r>
  <r>
    <n v="9366"/>
    <x v="4678"/>
    <x v="963"/>
    <d v="2015-08-25T00:00:00"/>
    <s v="First Class"/>
    <x v="226"/>
    <s v="Jennifer Ferguson"/>
    <x v="0"/>
    <s v="United States"/>
    <s v="Saint Charles"/>
    <x v="25"/>
    <n v="63301"/>
    <x v="2"/>
    <x v="1828"/>
    <x v="1"/>
    <x v="10"/>
    <x v="1816"/>
    <x v="1049"/>
    <x v="6"/>
    <x v="2"/>
  </r>
  <r>
    <n v="9367"/>
    <x v="4679"/>
    <x v="785"/>
    <d v="2015-06-13T00:00:00"/>
    <s v="Standard Class"/>
    <x v="502"/>
    <s v="Rick Duston"/>
    <x v="0"/>
    <s v="United States"/>
    <s v="Long Beach"/>
    <x v="15"/>
    <n v="11561"/>
    <x v="3"/>
    <x v="1636"/>
    <x v="1"/>
    <x v="8"/>
    <x v="1626"/>
    <x v="5579"/>
    <x v="1"/>
    <x v="2"/>
  </r>
  <r>
    <n v="9368"/>
    <x v="4679"/>
    <x v="785"/>
    <d v="2015-06-13T00:00:00"/>
    <s v="Standard Class"/>
    <x v="502"/>
    <s v="Rick Duston"/>
    <x v="0"/>
    <s v="United States"/>
    <s v="Long Beach"/>
    <x v="15"/>
    <n v="11561"/>
    <x v="3"/>
    <x v="1362"/>
    <x v="1"/>
    <x v="4"/>
    <x v="1348"/>
    <x v="5580"/>
    <x v="1"/>
    <x v="2"/>
  </r>
  <r>
    <n v="9369"/>
    <x v="4680"/>
    <x v="281"/>
    <d v="2017-04-09T00:00:00"/>
    <s v="First Class"/>
    <x v="20"/>
    <s v="Erin Smith"/>
    <x v="1"/>
    <s v="United States"/>
    <s v="Lakewood"/>
    <x v="30"/>
    <n v="8701"/>
    <x v="3"/>
    <x v="274"/>
    <x v="1"/>
    <x v="10"/>
    <x v="274"/>
    <x v="2428"/>
    <x v="3"/>
    <x v="0"/>
  </r>
  <r>
    <n v="9370"/>
    <x v="4681"/>
    <x v="659"/>
    <d v="2018-11-09T00:00:00"/>
    <s v="Second Class"/>
    <x v="471"/>
    <s v="Katherine Nockton"/>
    <x v="1"/>
    <s v="United States"/>
    <s v="Clinton"/>
    <x v="39"/>
    <n v="20735"/>
    <x v="3"/>
    <x v="1455"/>
    <x v="0"/>
    <x v="1"/>
    <x v="1441"/>
    <x v="5581"/>
    <x v="0"/>
    <x v="3"/>
  </r>
  <r>
    <n v="9371"/>
    <x v="4682"/>
    <x v="352"/>
    <d v="2016-05-31T00:00:00"/>
    <s v="First Class"/>
    <x v="778"/>
    <s v="Victoria Pisteka"/>
    <x v="1"/>
    <s v="United States"/>
    <s v="Columbus"/>
    <x v="24"/>
    <n v="43229"/>
    <x v="3"/>
    <x v="1823"/>
    <x v="0"/>
    <x v="5"/>
    <x v="1811"/>
    <x v="1501"/>
    <x v="5"/>
    <x v="1"/>
  </r>
  <r>
    <n v="9372"/>
    <x v="4682"/>
    <x v="352"/>
    <d v="2016-05-31T00:00:00"/>
    <s v="First Class"/>
    <x v="778"/>
    <s v="Victoria Pisteka"/>
    <x v="1"/>
    <s v="United States"/>
    <s v="Columbus"/>
    <x v="24"/>
    <n v="43229"/>
    <x v="3"/>
    <x v="83"/>
    <x v="0"/>
    <x v="1"/>
    <x v="83"/>
    <x v="2555"/>
    <x v="5"/>
    <x v="1"/>
  </r>
  <r>
    <n v="9373"/>
    <x v="4682"/>
    <x v="352"/>
    <d v="2016-05-31T00:00:00"/>
    <s v="First Class"/>
    <x v="778"/>
    <s v="Victoria Pisteka"/>
    <x v="1"/>
    <s v="United States"/>
    <s v="Columbus"/>
    <x v="24"/>
    <n v="43229"/>
    <x v="3"/>
    <x v="131"/>
    <x v="1"/>
    <x v="13"/>
    <x v="132"/>
    <x v="1384"/>
    <x v="5"/>
    <x v="1"/>
  </r>
  <r>
    <n v="9374"/>
    <x v="4683"/>
    <x v="917"/>
    <d v="2018-05-11T00:00:00"/>
    <s v="Standard Class"/>
    <x v="229"/>
    <s v="Carlos Soltero"/>
    <x v="0"/>
    <s v="United States"/>
    <s v="Pasadena"/>
    <x v="1"/>
    <n v="91104"/>
    <x v="1"/>
    <x v="929"/>
    <x v="2"/>
    <x v="7"/>
    <x v="922"/>
    <x v="1159"/>
    <x v="5"/>
    <x v="3"/>
  </r>
  <r>
    <n v="9375"/>
    <x v="4684"/>
    <x v="410"/>
    <d v="2017-06-09T00:00:00"/>
    <s v="Standard Class"/>
    <x v="33"/>
    <s v="Ken Brennan"/>
    <x v="1"/>
    <s v="United States"/>
    <s v="Seattle"/>
    <x v="4"/>
    <n v="98105"/>
    <x v="1"/>
    <x v="682"/>
    <x v="1"/>
    <x v="14"/>
    <x v="682"/>
    <x v="5582"/>
    <x v="1"/>
    <x v="0"/>
  </r>
  <r>
    <n v="9376"/>
    <x v="4685"/>
    <x v="639"/>
    <d v="2016-12-19T00:00:00"/>
    <s v="Second Class"/>
    <x v="219"/>
    <s v="Ashley Jarboe"/>
    <x v="0"/>
    <s v="United States"/>
    <s v="Los Angeles"/>
    <x v="1"/>
    <n v="90045"/>
    <x v="1"/>
    <x v="1072"/>
    <x v="2"/>
    <x v="11"/>
    <x v="1061"/>
    <x v="1406"/>
    <x v="4"/>
    <x v="1"/>
  </r>
  <r>
    <n v="9377"/>
    <x v="4686"/>
    <x v="53"/>
    <d v="2018-12-29T00:00:00"/>
    <s v="Standard Class"/>
    <x v="22"/>
    <s v="Patrick O'Donnell"/>
    <x v="0"/>
    <s v="United States"/>
    <s v="East Orange"/>
    <x v="30"/>
    <n v="7017"/>
    <x v="3"/>
    <x v="1651"/>
    <x v="2"/>
    <x v="11"/>
    <x v="1640"/>
    <x v="5583"/>
    <x v="4"/>
    <x v="3"/>
  </r>
  <r>
    <n v="9378"/>
    <x v="4687"/>
    <x v="94"/>
    <d v="2018-12-21T00:00:00"/>
    <s v="Standard Class"/>
    <x v="317"/>
    <s v="Dave Poirier"/>
    <x v="1"/>
    <s v="United States"/>
    <s v="Eau Claire"/>
    <x v="6"/>
    <n v="54703"/>
    <x v="2"/>
    <x v="1569"/>
    <x v="1"/>
    <x v="4"/>
    <x v="1560"/>
    <x v="5584"/>
    <x v="4"/>
    <x v="3"/>
  </r>
  <r>
    <n v="9379"/>
    <x v="4688"/>
    <x v="1120"/>
    <d v="2017-05-15T00:00:00"/>
    <s v="Standard Class"/>
    <x v="421"/>
    <s v="Gene McClure"/>
    <x v="0"/>
    <s v="United States"/>
    <s v="Chicago"/>
    <x v="10"/>
    <n v="60610"/>
    <x v="2"/>
    <x v="1854"/>
    <x v="1"/>
    <x v="12"/>
    <x v="1842"/>
    <x v="5585"/>
    <x v="5"/>
    <x v="0"/>
  </r>
  <r>
    <n v="9380"/>
    <x v="4689"/>
    <x v="851"/>
    <d v="2015-12-27T00:00:00"/>
    <s v="Second Class"/>
    <x v="113"/>
    <s v="Craig Carreira"/>
    <x v="0"/>
    <s v="United States"/>
    <s v="Tampa"/>
    <x v="2"/>
    <n v="33614"/>
    <x v="0"/>
    <x v="1237"/>
    <x v="1"/>
    <x v="10"/>
    <x v="1220"/>
    <x v="2748"/>
    <x v="4"/>
    <x v="2"/>
  </r>
  <r>
    <n v="9381"/>
    <x v="4689"/>
    <x v="851"/>
    <d v="2015-12-27T00:00:00"/>
    <s v="Second Class"/>
    <x v="113"/>
    <s v="Craig Carreira"/>
    <x v="0"/>
    <s v="United States"/>
    <s v="Tampa"/>
    <x v="2"/>
    <n v="33614"/>
    <x v="0"/>
    <x v="167"/>
    <x v="0"/>
    <x v="1"/>
    <x v="168"/>
    <x v="1445"/>
    <x v="4"/>
    <x v="2"/>
  </r>
  <r>
    <n v="9382"/>
    <x v="4689"/>
    <x v="851"/>
    <d v="2015-12-27T00:00:00"/>
    <s v="Second Class"/>
    <x v="113"/>
    <s v="Craig Carreira"/>
    <x v="0"/>
    <s v="United States"/>
    <s v="Tampa"/>
    <x v="2"/>
    <n v="33614"/>
    <x v="0"/>
    <x v="1244"/>
    <x v="1"/>
    <x v="4"/>
    <x v="1227"/>
    <x v="5586"/>
    <x v="4"/>
    <x v="2"/>
  </r>
  <r>
    <n v="9383"/>
    <x v="4689"/>
    <x v="851"/>
    <d v="2015-12-27T00:00:00"/>
    <s v="Second Class"/>
    <x v="113"/>
    <s v="Craig Carreira"/>
    <x v="0"/>
    <s v="United States"/>
    <s v="Tampa"/>
    <x v="2"/>
    <n v="33614"/>
    <x v="0"/>
    <x v="59"/>
    <x v="1"/>
    <x v="6"/>
    <x v="59"/>
    <x v="2000"/>
    <x v="4"/>
    <x v="2"/>
  </r>
  <r>
    <n v="9384"/>
    <x v="4689"/>
    <x v="851"/>
    <d v="2015-12-27T00:00:00"/>
    <s v="Second Class"/>
    <x v="113"/>
    <s v="Craig Carreira"/>
    <x v="0"/>
    <s v="United States"/>
    <s v="Tampa"/>
    <x v="2"/>
    <n v="33614"/>
    <x v="0"/>
    <x v="1018"/>
    <x v="1"/>
    <x v="4"/>
    <x v="1009"/>
    <x v="202"/>
    <x v="4"/>
    <x v="2"/>
  </r>
  <r>
    <n v="9385"/>
    <x v="4690"/>
    <x v="938"/>
    <d v="2018-08-16T00:00:00"/>
    <s v="Standard Class"/>
    <x v="319"/>
    <s v="Sanjit Jacobs"/>
    <x v="2"/>
    <s v="United States"/>
    <s v="New York City"/>
    <x v="15"/>
    <n v="10009"/>
    <x v="3"/>
    <x v="490"/>
    <x v="1"/>
    <x v="10"/>
    <x v="490"/>
    <x v="233"/>
    <x v="6"/>
    <x v="3"/>
  </r>
  <r>
    <n v="9386"/>
    <x v="4691"/>
    <x v="151"/>
    <d v="2018-08-31T00:00:00"/>
    <s v="Standard Class"/>
    <x v="227"/>
    <s v="Sarah Foster"/>
    <x v="0"/>
    <s v="United States"/>
    <s v="Mesa"/>
    <x v="16"/>
    <n v="85204"/>
    <x v="1"/>
    <x v="1155"/>
    <x v="0"/>
    <x v="5"/>
    <x v="1143"/>
    <x v="5587"/>
    <x v="6"/>
    <x v="3"/>
  </r>
  <r>
    <n v="9387"/>
    <x v="4692"/>
    <x v="617"/>
    <d v="2018-01-23T00:00:00"/>
    <s v="Standard Class"/>
    <x v="528"/>
    <s v="Raymond Messe"/>
    <x v="0"/>
    <s v="United States"/>
    <s v="Burlington"/>
    <x v="42"/>
    <m/>
    <x v="3"/>
    <x v="368"/>
    <x v="1"/>
    <x v="10"/>
    <x v="369"/>
    <x v="705"/>
    <x v="9"/>
    <x v="3"/>
  </r>
  <r>
    <n v="9388"/>
    <x v="4692"/>
    <x v="617"/>
    <d v="2018-01-23T00:00:00"/>
    <s v="Standard Class"/>
    <x v="528"/>
    <s v="Raymond Messe"/>
    <x v="0"/>
    <s v="United States"/>
    <s v="Burlington"/>
    <x v="42"/>
    <m/>
    <x v="3"/>
    <x v="314"/>
    <x v="1"/>
    <x v="10"/>
    <x v="314"/>
    <x v="5588"/>
    <x v="9"/>
    <x v="3"/>
  </r>
  <r>
    <n v="9389"/>
    <x v="4692"/>
    <x v="617"/>
    <d v="2018-01-23T00:00:00"/>
    <s v="Standard Class"/>
    <x v="528"/>
    <s v="Raymond Messe"/>
    <x v="0"/>
    <s v="United States"/>
    <s v="Burlington"/>
    <x v="42"/>
    <m/>
    <x v="3"/>
    <x v="1107"/>
    <x v="1"/>
    <x v="9"/>
    <x v="1096"/>
    <x v="3036"/>
    <x v="9"/>
    <x v="3"/>
  </r>
  <r>
    <n v="9390"/>
    <x v="4692"/>
    <x v="617"/>
    <d v="2018-01-23T00:00:00"/>
    <s v="Standard Class"/>
    <x v="528"/>
    <s v="Raymond Messe"/>
    <x v="0"/>
    <s v="United States"/>
    <s v="Burlington"/>
    <x v="42"/>
    <m/>
    <x v="3"/>
    <x v="29"/>
    <x v="1"/>
    <x v="12"/>
    <x v="29"/>
    <x v="5589"/>
    <x v="9"/>
    <x v="3"/>
  </r>
  <r>
    <n v="9391"/>
    <x v="4693"/>
    <x v="974"/>
    <d v="2016-06-24T00:00:00"/>
    <s v="Standard Class"/>
    <x v="454"/>
    <s v="Katherine Murray"/>
    <x v="2"/>
    <s v="United States"/>
    <s v="Houston"/>
    <x v="5"/>
    <n v="77070"/>
    <x v="2"/>
    <x v="1277"/>
    <x v="1"/>
    <x v="4"/>
    <x v="1262"/>
    <x v="1863"/>
    <x v="1"/>
    <x v="1"/>
  </r>
  <r>
    <n v="9392"/>
    <x v="4694"/>
    <x v="677"/>
    <d v="2018-03-16T00:00:00"/>
    <s v="First Class"/>
    <x v="395"/>
    <s v="Frank Hawley"/>
    <x v="1"/>
    <s v="United States"/>
    <s v="Aurora"/>
    <x v="10"/>
    <n v="60505"/>
    <x v="2"/>
    <x v="857"/>
    <x v="2"/>
    <x v="7"/>
    <x v="851"/>
    <x v="462"/>
    <x v="10"/>
    <x v="3"/>
  </r>
  <r>
    <n v="9393"/>
    <x v="4695"/>
    <x v="969"/>
    <d v="2016-10-25T00:00:00"/>
    <s v="Same Day"/>
    <x v="375"/>
    <s v="Deirdre Greer"/>
    <x v="1"/>
    <s v="United States"/>
    <s v="Denver"/>
    <x v="22"/>
    <n v="80219"/>
    <x v="1"/>
    <x v="1455"/>
    <x v="0"/>
    <x v="1"/>
    <x v="1441"/>
    <x v="5590"/>
    <x v="2"/>
    <x v="1"/>
  </r>
  <r>
    <n v="9394"/>
    <x v="4696"/>
    <x v="59"/>
    <d v="2015-09-23T00:00:00"/>
    <s v="First Class"/>
    <x v="596"/>
    <s v="Mitch Webber"/>
    <x v="0"/>
    <s v="United States"/>
    <s v="New York City"/>
    <x v="15"/>
    <n v="10011"/>
    <x v="3"/>
    <x v="1551"/>
    <x v="2"/>
    <x v="7"/>
    <x v="1539"/>
    <x v="3125"/>
    <x v="8"/>
    <x v="2"/>
  </r>
  <r>
    <n v="9395"/>
    <x v="4696"/>
    <x v="59"/>
    <d v="2015-09-23T00:00:00"/>
    <s v="First Class"/>
    <x v="596"/>
    <s v="Mitch Webber"/>
    <x v="0"/>
    <s v="United States"/>
    <s v="New York City"/>
    <x v="15"/>
    <n v="10011"/>
    <x v="3"/>
    <x v="654"/>
    <x v="0"/>
    <x v="1"/>
    <x v="654"/>
    <x v="3223"/>
    <x v="8"/>
    <x v="2"/>
  </r>
  <r>
    <n v="9396"/>
    <x v="4696"/>
    <x v="59"/>
    <d v="2015-09-23T00:00:00"/>
    <s v="First Class"/>
    <x v="596"/>
    <s v="Mitch Webber"/>
    <x v="0"/>
    <s v="United States"/>
    <s v="New York City"/>
    <x v="15"/>
    <n v="10011"/>
    <x v="3"/>
    <x v="1248"/>
    <x v="0"/>
    <x v="0"/>
    <x v="1232"/>
    <x v="476"/>
    <x v="8"/>
    <x v="2"/>
  </r>
  <r>
    <n v="9397"/>
    <x v="4696"/>
    <x v="59"/>
    <d v="2015-09-23T00:00:00"/>
    <s v="First Class"/>
    <x v="596"/>
    <s v="Mitch Webber"/>
    <x v="0"/>
    <s v="United States"/>
    <s v="New York City"/>
    <x v="15"/>
    <n v="10011"/>
    <x v="3"/>
    <x v="49"/>
    <x v="1"/>
    <x v="2"/>
    <x v="49"/>
    <x v="50"/>
    <x v="8"/>
    <x v="2"/>
  </r>
  <r>
    <n v="9398"/>
    <x v="4696"/>
    <x v="59"/>
    <d v="2015-09-23T00:00:00"/>
    <s v="First Class"/>
    <x v="596"/>
    <s v="Mitch Webber"/>
    <x v="0"/>
    <s v="United States"/>
    <s v="New York City"/>
    <x v="15"/>
    <n v="10011"/>
    <x v="3"/>
    <x v="1271"/>
    <x v="1"/>
    <x v="9"/>
    <x v="1256"/>
    <x v="4583"/>
    <x v="8"/>
    <x v="2"/>
  </r>
  <r>
    <n v="9399"/>
    <x v="4696"/>
    <x v="59"/>
    <d v="2015-09-23T00:00:00"/>
    <s v="First Class"/>
    <x v="596"/>
    <s v="Mitch Webber"/>
    <x v="0"/>
    <s v="United States"/>
    <s v="New York City"/>
    <x v="15"/>
    <n v="10011"/>
    <x v="3"/>
    <x v="1334"/>
    <x v="2"/>
    <x v="7"/>
    <x v="1319"/>
    <x v="5591"/>
    <x v="8"/>
    <x v="2"/>
  </r>
  <r>
    <n v="9400"/>
    <x v="4697"/>
    <x v="583"/>
    <d v="2017-11-15T00:00:00"/>
    <s v="Standard Class"/>
    <x v="790"/>
    <s v="Sung Chung"/>
    <x v="0"/>
    <s v="United States"/>
    <s v="Arlington Heights"/>
    <x v="10"/>
    <n v="60004"/>
    <x v="2"/>
    <x v="501"/>
    <x v="1"/>
    <x v="6"/>
    <x v="501"/>
    <x v="492"/>
    <x v="0"/>
    <x v="0"/>
  </r>
  <r>
    <n v="9401"/>
    <x v="4698"/>
    <x v="1216"/>
    <d v="2016-09-21T00:00:00"/>
    <s v="Standard Class"/>
    <x v="214"/>
    <s v="Bradley Drucker"/>
    <x v="0"/>
    <s v="United States"/>
    <s v="Newport News"/>
    <x v="17"/>
    <n v="23602"/>
    <x v="0"/>
    <x v="837"/>
    <x v="1"/>
    <x v="12"/>
    <x v="153"/>
    <x v="4791"/>
    <x v="8"/>
    <x v="1"/>
  </r>
  <r>
    <n v="9402"/>
    <x v="4699"/>
    <x v="1217"/>
    <d v="2015-06-28T00:00:00"/>
    <s v="Standard Class"/>
    <x v="221"/>
    <s v="Liz Pelletier"/>
    <x v="0"/>
    <s v="United States"/>
    <s v="Tucson"/>
    <x v="16"/>
    <n v="85705"/>
    <x v="1"/>
    <x v="1565"/>
    <x v="0"/>
    <x v="5"/>
    <x v="1556"/>
    <x v="5592"/>
    <x v="1"/>
    <x v="2"/>
  </r>
  <r>
    <n v="9403"/>
    <x v="4700"/>
    <x v="399"/>
    <d v="2017-08-17T00:00:00"/>
    <s v="Second Class"/>
    <x v="413"/>
    <s v="Nora Preis"/>
    <x v="0"/>
    <s v="United States"/>
    <s v="New York City"/>
    <x v="15"/>
    <n v="10024"/>
    <x v="3"/>
    <x v="616"/>
    <x v="0"/>
    <x v="3"/>
    <x v="616"/>
    <x v="5593"/>
    <x v="6"/>
    <x v="0"/>
  </r>
  <r>
    <n v="9404"/>
    <x v="4700"/>
    <x v="399"/>
    <d v="2017-08-17T00:00:00"/>
    <s v="Second Class"/>
    <x v="413"/>
    <s v="Nora Preis"/>
    <x v="0"/>
    <s v="United States"/>
    <s v="New York City"/>
    <x v="15"/>
    <n v="10024"/>
    <x v="3"/>
    <x v="1244"/>
    <x v="1"/>
    <x v="4"/>
    <x v="1227"/>
    <x v="5594"/>
    <x v="6"/>
    <x v="0"/>
  </r>
  <r>
    <n v="9405"/>
    <x v="4701"/>
    <x v="669"/>
    <d v="2018-04-17T00:00:00"/>
    <s v="Standard Class"/>
    <x v="317"/>
    <s v="Dave Poirier"/>
    <x v="1"/>
    <s v="United States"/>
    <s v="Philadelphia"/>
    <x v="9"/>
    <n v="19134"/>
    <x v="3"/>
    <x v="1239"/>
    <x v="1"/>
    <x v="13"/>
    <x v="1222"/>
    <x v="1054"/>
    <x v="3"/>
    <x v="3"/>
  </r>
  <r>
    <n v="9406"/>
    <x v="4702"/>
    <x v="619"/>
    <d v="2015-03-17T00:00:00"/>
    <s v="First Class"/>
    <x v="46"/>
    <s v="Rick Bensley"/>
    <x v="2"/>
    <s v="United States"/>
    <s v="Chicago"/>
    <x v="10"/>
    <n v="60653"/>
    <x v="2"/>
    <x v="1410"/>
    <x v="2"/>
    <x v="15"/>
    <x v="1397"/>
    <x v="5595"/>
    <x v="10"/>
    <x v="2"/>
  </r>
  <r>
    <n v="9407"/>
    <x v="4702"/>
    <x v="619"/>
    <d v="2015-03-17T00:00:00"/>
    <s v="First Class"/>
    <x v="46"/>
    <s v="Rick Bensley"/>
    <x v="2"/>
    <s v="United States"/>
    <s v="Chicago"/>
    <x v="10"/>
    <n v="60653"/>
    <x v="2"/>
    <x v="1737"/>
    <x v="1"/>
    <x v="10"/>
    <x v="1726"/>
    <x v="578"/>
    <x v="10"/>
    <x v="2"/>
  </r>
  <r>
    <n v="9408"/>
    <x v="4703"/>
    <x v="585"/>
    <d v="2018-09-24T00:00:00"/>
    <s v="Second Class"/>
    <x v="95"/>
    <s v="Logan Currie"/>
    <x v="0"/>
    <s v="United States"/>
    <s v="New York City"/>
    <x v="15"/>
    <n v="10035"/>
    <x v="3"/>
    <x v="1200"/>
    <x v="2"/>
    <x v="11"/>
    <x v="1185"/>
    <x v="5596"/>
    <x v="8"/>
    <x v="3"/>
  </r>
  <r>
    <n v="9409"/>
    <x v="4703"/>
    <x v="585"/>
    <d v="2018-09-24T00:00:00"/>
    <s v="Second Class"/>
    <x v="95"/>
    <s v="Logan Currie"/>
    <x v="0"/>
    <s v="United States"/>
    <s v="New York City"/>
    <x v="15"/>
    <n v="10035"/>
    <x v="3"/>
    <x v="441"/>
    <x v="0"/>
    <x v="5"/>
    <x v="1719"/>
    <x v="5597"/>
    <x v="8"/>
    <x v="3"/>
  </r>
  <r>
    <n v="9410"/>
    <x v="4704"/>
    <x v="389"/>
    <d v="2018-12-13T00:00:00"/>
    <s v="First Class"/>
    <x v="576"/>
    <s v="William Brown"/>
    <x v="0"/>
    <s v="United States"/>
    <s v="Philadelphia"/>
    <x v="9"/>
    <n v="19143"/>
    <x v="3"/>
    <x v="634"/>
    <x v="1"/>
    <x v="8"/>
    <x v="634"/>
    <x v="5598"/>
    <x v="4"/>
    <x v="3"/>
  </r>
  <r>
    <n v="9411"/>
    <x v="4704"/>
    <x v="389"/>
    <d v="2018-12-13T00:00:00"/>
    <s v="First Class"/>
    <x v="576"/>
    <s v="William Brown"/>
    <x v="0"/>
    <s v="United States"/>
    <s v="Philadelphia"/>
    <x v="9"/>
    <n v="19143"/>
    <x v="3"/>
    <x v="504"/>
    <x v="0"/>
    <x v="5"/>
    <x v="504"/>
    <x v="1177"/>
    <x v="4"/>
    <x v="3"/>
  </r>
  <r>
    <n v="9412"/>
    <x v="4705"/>
    <x v="612"/>
    <d v="2017-03-14T00:00:00"/>
    <s v="Second Class"/>
    <x v="186"/>
    <s v="Maya Herman"/>
    <x v="1"/>
    <s v="United States"/>
    <s v="Glendale"/>
    <x v="16"/>
    <n v="85301"/>
    <x v="1"/>
    <x v="533"/>
    <x v="1"/>
    <x v="4"/>
    <x v="533"/>
    <x v="5599"/>
    <x v="10"/>
    <x v="0"/>
  </r>
  <r>
    <n v="9413"/>
    <x v="4706"/>
    <x v="746"/>
    <d v="2016-01-29T00:00:00"/>
    <s v="First Class"/>
    <x v="253"/>
    <s v="Sean Christensen"/>
    <x v="0"/>
    <s v="United States"/>
    <s v="Los Angeles"/>
    <x v="1"/>
    <n v="90036"/>
    <x v="1"/>
    <x v="483"/>
    <x v="0"/>
    <x v="1"/>
    <x v="483"/>
    <x v="5118"/>
    <x v="9"/>
    <x v="1"/>
  </r>
  <r>
    <n v="9414"/>
    <x v="4707"/>
    <x v="182"/>
    <d v="2017-09-27T00:00:00"/>
    <s v="First Class"/>
    <x v="588"/>
    <s v="Matt Hagelstein"/>
    <x v="1"/>
    <s v="United States"/>
    <s v="Houston"/>
    <x v="5"/>
    <n v="77041"/>
    <x v="2"/>
    <x v="822"/>
    <x v="1"/>
    <x v="8"/>
    <x v="818"/>
    <x v="5600"/>
    <x v="8"/>
    <x v="0"/>
  </r>
  <r>
    <n v="9415"/>
    <x v="4708"/>
    <x v="1090"/>
    <d v="2016-10-22T00:00:00"/>
    <s v="Standard Class"/>
    <x v="547"/>
    <s v="John Castell"/>
    <x v="0"/>
    <s v="United States"/>
    <s v="Seattle"/>
    <x v="4"/>
    <n v="98115"/>
    <x v="1"/>
    <x v="1807"/>
    <x v="2"/>
    <x v="7"/>
    <x v="1797"/>
    <x v="2475"/>
    <x v="2"/>
    <x v="1"/>
  </r>
  <r>
    <n v="9416"/>
    <x v="4708"/>
    <x v="1090"/>
    <d v="2016-10-22T00:00:00"/>
    <s v="Standard Class"/>
    <x v="547"/>
    <s v="John Castell"/>
    <x v="0"/>
    <s v="United States"/>
    <s v="Seattle"/>
    <x v="4"/>
    <n v="98115"/>
    <x v="1"/>
    <x v="1331"/>
    <x v="1"/>
    <x v="10"/>
    <x v="1316"/>
    <x v="1444"/>
    <x v="2"/>
    <x v="1"/>
  </r>
  <r>
    <n v="9417"/>
    <x v="4708"/>
    <x v="1090"/>
    <d v="2016-10-22T00:00:00"/>
    <s v="Standard Class"/>
    <x v="547"/>
    <s v="John Castell"/>
    <x v="0"/>
    <s v="United States"/>
    <s v="Seattle"/>
    <x v="4"/>
    <n v="98115"/>
    <x v="1"/>
    <x v="224"/>
    <x v="0"/>
    <x v="5"/>
    <x v="225"/>
    <x v="3601"/>
    <x v="2"/>
    <x v="1"/>
  </r>
  <r>
    <n v="9418"/>
    <x v="4709"/>
    <x v="1218"/>
    <d v="2015-11-01T00:00:00"/>
    <s v="Standard Class"/>
    <x v="279"/>
    <s v="Ross DeVincentis"/>
    <x v="2"/>
    <s v="United States"/>
    <s v="Fayetteville"/>
    <x v="3"/>
    <n v="28314"/>
    <x v="0"/>
    <x v="778"/>
    <x v="1"/>
    <x v="10"/>
    <x v="777"/>
    <x v="559"/>
    <x v="2"/>
    <x v="2"/>
  </r>
  <r>
    <n v="9419"/>
    <x v="4709"/>
    <x v="1218"/>
    <d v="2015-11-01T00:00:00"/>
    <s v="Standard Class"/>
    <x v="279"/>
    <s v="Ross DeVincentis"/>
    <x v="2"/>
    <s v="United States"/>
    <s v="Fayetteville"/>
    <x v="3"/>
    <n v="28314"/>
    <x v="0"/>
    <x v="811"/>
    <x v="1"/>
    <x v="10"/>
    <x v="33"/>
    <x v="1627"/>
    <x v="2"/>
    <x v="2"/>
  </r>
  <r>
    <n v="9420"/>
    <x v="4710"/>
    <x v="280"/>
    <d v="2018-10-04T00:00:00"/>
    <s v="Second Class"/>
    <x v="281"/>
    <s v="Steve Chapman"/>
    <x v="1"/>
    <s v="United States"/>
    <s v="Houston"/>
    <x v="5"/>
    <n v="77041"/>
    <x v="2"/>
    <x v="513"/>
    <x v="1"/>
    <x v="9"/>
    <x v="513"/>
    <x v="5052"/>
    <x v="2"/>
    <x v="3"/>
  </r>
  <r>
    <n v="9421"/>
    <x v="4710"/>
    <x v="280"/>
    <d v="2018-10-04T00:00:00"/>
    <s v="Second Class"/>
    <x v="281"/>
    <s v="Steve Chapman"/>
    <x v="1"/>
    <s v="United States"/>
    <s v="Houston"/>
    <x v="5"/>
    <n v="77041"/>
    <x v="2"/>
    <x v="1549"/>
    <x v="1"/>
    <x v="9"/>
    <x v="1537"/>
    <x v="5601"/>
    <x v="2"/>
    <x v="3"/>
  </r>
  <r>
    <n v="9422"/>
    <x v="4711"/>
    <x v="149"/>
    <d v="2015-07-27T00:00:00"/>
    <s v="Standard Class"/>
    <x v="714"/>
    <s v="Nick Crebassa"/>
    <x v="1"/>
    <s v="United States"/>
    <s v="San Francisco"/>
    <x v="1"/>
    <n v="94122"/>
    <x v="1"/>
    <x v="1066"/>
    <x v="2"/>
    <x v="7"/>
    <x v="1055"/>
    <x v="2752"/>
    <x v="7"/>
    <x v="2"/>
  </r>
  <r>
    <n v="9423"/>
    <x v="4711"/>
    <x v="149"/>
    <d v="2015-07-27T00:00:00"/>
    <s v="Standard Class"/>
    <x v="714"/>
    <s v="Nick Crebassa"/>
    <x v="1"/>
    <s v="United States"/>
    <s v="San Francisco"/>
    <x v="1"/>
    <n v="94122"/>
    <x v="1"/>
    <x v="597"/>
    <x v="1"/>
    <x v="14"/>
    <x v="597"/>
    <x v="5300"/>
    <x v="7"/>
    <x v="2"/>
  </r>
  <r>
    <n v="9424"/>
    <x v="4711"/>
    <x v="149"/>
    <d v="2015-07-27T00:00:00"/>
    <s v="Standard Class"/>
    <x v="714"/>
    <s v="Nick Crebassa"/>
    <x v="1"/>
    <s v="United States"/>
    <s v="San Francisco"/>
    <x v="1"/>
    <n v="94122"/>
    <x v="1"/>
    <x v="722"/>
    <x v="2"/>
    <x v="7"/>
    <x v="1404"/>
    <x v="214"/>
    <x v="7"/>
    <x v="2"/>
  </r>
  <r>
    <n v="9425"/>
    <x v="4711"/>
    <x v="149"/>
    <d v="2015-07-27T00:00:00"/>
    <s v="Standard Class"/>
    <x v="714"/>
    <s v="Nick Crebassa"/>
    <x v="1"/>
    <s v="United States"/>
    <s v="San Francisco"/>
    <x v="1"/>
    <n v="94122"/>
    <x v="1"/>
    <x v="46"/>
    <x v="2"/>
    <x v="11"/>
    <x v="46"/>
    <x v="47"/>
    <x v="7"/>
    <x v="2"/>
  </r>
  <r>
    <n v="9426"/>
    <x v="4712"/>
    <x v="171"/>
    <d v="2015-09-17T00:00:00"/>
    <s v="Second Class"/>
    <x v="560"/>
    <s v="Luke Weiss"/>
    <x v="0"/>
    <s v="United States"/>
    <s v="New York City"/>
    <x v="15"/>
    <n v="10035"/>
    <x v="3"/>
    <x v="483"/>
    <x v="0"/>
    <x v="1"/>
    <x v="483"/>
    <x v="5602"/>
    <x v="8"/>
    <x v="2"/>
  </r>
  <r>
    <n v="9427"/>
    <x v="4713"/>
    <x v="306"/>
    <d v="2017-09-20T00:00:00"/>
    <s v="Standard Class"/>
    <x v="738"/>
    <s v="Angele Hood"/>
    <x v="0"/>
    <s v="United States"/>
    <s v="Seattle"/>
    <x v="4"/>
    <n v="98105"/>
    <x v="1"/>
    <x v="1658"/>
    <x v="1"/>
    <x v="6"/>
    <x v="1646"/>
    <x v="3704"/>
    <x v="8"/>
    <x v="0"/>
  </r>
  <r>
    <n v="9428"/>
    <x v="4714"/>
    <x v="501"/>
    <d v="2015-12-01T00:00:00"/>
    <s v="Standard Class"/>
    <x v="705"/>
    <s v="Jack O'Briant"/>
    <x v="1"/>
    <s v="United States"/>
    <s v="Buffalo"/>
    <x v="15"/>
    <n v="14215"/>
    <x v="3"/>
    <x v="892"/>
    <x v="0"/>
    <x v="5"/>
    <x v="885"/>
    <x v="3255"/>
    <x v="0"/>
    <x v="2"/>
  </r>
  <r>
    <n v="9429"/>
    <x v="4715"/>
    <x v="218"/>
    <d v="2015-05-16T00:00:00"/>
    <s v="Standard Class"/>
    <x v="100"/>
    <s v="Victoria Wilson"/>
    <x v="1"/>
    <s v="United States"/>
    <s v="Huntsville"/>
    <x v="5"/>
    <n v="77340"/>
    <x v="2"/>
    <x v="377"/>
    <x v="0"/>
    <x v="1"/>
    <x v="378"/>
    <x v="1877"/>
    <x v="5"/>
    <x v="2"/>
  </r>
  <r>
    <n v="9430"/>
    <x v="4716"/>
    <x v="834"/>
    <d v="2016-09-01T00:00:00"/>
    <s v="Standard Class"/>
    <x v="130"/>
    <s v="Ben Peterman"/>
    <x v="1"/>
    <s v="United States"/>
    <s v="Dallas"/>
    <x v="5"/>
    <n v="75081"/>
    <x v="2"/>
    <x v="903"/>
    <x v="2"/>
    <x v="7"/>
    <x v="895"/>
    <x v="1113"/>
    <x v="6"/>
    <x v="1"/>
  </r>
  <r>
    <n v="9431"/>
    <x v="4716"/>
    <x v="834"/>
    <d v="2016-09-01T00:00:00"/>
    <s v="Standard Class"/>
    <x v="130"/>
    <s v="Ben Peterman"/>
    <x v="1"/>
    <s v="United States"/>
    <s v="Dallas"/>
    <x v="5"/>
    <n v="75081"/>
    <x v="2"/>
    <x v="1116"/>
    <x v="0"/>
    <x v="3"/>
    <x v="1104"/>
    <x v="5603"/>
    <x v="6"/>
    <x v="1"/>
  </r>
  <r>
    <n v="9432"/>
    <x v="4717"/>
    <x v="974"/>
    <d v="2016-06-19T00:00:00"/>
    <s v="Same Day"/>
    <x v="452"/>
    <s v="Paul Prost"/>
    <x v="2"/>
    <s v="United States"/>
    <s v="Philadelphia"/>
    <x v="9"/>
    <n v="19134"/>
    <x v="3"/>
    <x v="1852"/>
    <x v="1"/>
    <x v="2"/>
    <x v="1840"/>
    <x v="2144"/>
    <x v="1"/>
    <x v="1"/>
  </r>
  <r>
    <n v="9433"/>
    <x v="4718"/>
    <x v="493"/>
    <d v="2016-08-23T00:00:00"/>
    <s v="Standard Class"/>
    <x v="56"/>
    <s v="Steven Cartwright"/>
    <x v="0"/>
    <s v="United States"/>
    <s v="Peoria"/>
    <x v="16"/>
    <n v="85345"/>
    <x v="1"/>
    <x v="1202"/>
    <x v="2"/>
    <x v="11"/>
    <x v="1187"/>
    <x v="5268"/>
    <x v="6"/>
    <x v="1"/>
  </r>
  <r>
    <n v="9434"/>
    <x v="4718"/>
    <x v="493"/>
    <d v="2016-08-23T00:00:00"/>
    <s v="Standard Class"/>
    <x v="56"/>
    <s v="Steven Cartwright"/>
    <x v="0"/>
    <s v="United States"/>
    <s v="Peoria"/>
    <x v="16"/>
    <n v="85345"/>
    <x v="1"/>
    <x v="289"/>
    <x v="1"/>
    <x v="10"/>
    <x v="289"/>
    <x v="1566"/>
    <x v="6"/>
    <x v="1"/>
  </r>
  <r>
    <n v="9435"/>
    <x v="4718"/>
    <x v="493"/>
    <d v="2016-08-23T00:00:00"/>
    <s v="Standard Class"/>
    <x v="56"/>
    <s v="Steven Cartwright"/>
    <x v="0"/>
    <s v="United States"/>
    <s v="Peoria"/>
    <x v="16"/>
    <n v="85345"/>
    <x v="1"/>
    <x v="786"/>
    <x v="1"/>
    <x v="6"/>
    <x v="785"/>
    <x v="1495"/>
    <x v="6"/>
    <x v="1"/>
  </r>
  <r>
    <n v="9436"/>
    <x v="4718"/>
    <x v="493"/>
    <d v="2016-08-23T00:00:00"/>
    <s v="Standard Class"/>
    <x v="56"/>
    <s v="Steven Cartwright"/>
    <x v="0"/>
    <s v="United States"/>
    <s v="Peoria"/>
    <x v="16"/>
    <n v="85345"/>
    <x v="1"/>
    <x v="552"/>
    <x v="2"/>
    <x v="11"/>
    <x v="551"/>
    <x v="5604"/>
    <x v="6"/>
    <x v="1"/>
  </r>
  <r>
    <n v="9437"/>
    <x v="4719"/>
    <x v="12"/>
    <d v="2016-09-25T00:00:00"/>
    <s v="Same Day"/>
    <x v="298"/>
    <s v="Bryan Mills"/>
    <x v="0"/>
    <s v="United States"/>
    <s v="Philadelphia"/>
    <x v="9"/>
    <n v="19143"/>
    <x v="3"/>
    <x v="696"/>
    <x v="1"/>
    <x v="8"/>
    <x v="696"/>
    <x v="194"/>
    <x v="8"/>
    <x v="1"/>
  </r>
  <r>
    <n v="9438"/>
    <x v="4720"/>
    <x v="1143"/>
    <d v="2018-05-31T00:00:00"/>
    <s v="Standard Class"/>
    <x v="303"/>
    <s v="Carlos Daly"/>
    <x v="0"/>
    <s v="United States"/>
    <s v="Oceanside"/>
    <x v="1"/>
    <n v="92054"/>
    <x v="1"/>
    <x v="1440"/>
    <x v="1"/>
    <x v="10"/>
    <x v="1428"/>
    <x v="91"/>
    <x v="5"/>
    <x v="3"/>
  </r>
  <r>
    <n v="9439"/>
    <x v="4721"/>
    <x v="689"/>
    <d v="2018-08-05T00:00:00"/>
    <s v="Standard Class"/>
    <x v="411"/>
    <s v="Greg Matthias"/>
    <x v="0"/>
    <s v="United States"/>
    <s v="Philadelphia"/>
    <x v="9"/>
    <n v="19134"/>
    <x v="3"/>
    <x v="1270"/>
    <x v="2"/>
    <x v="7"/>
    <x v="1255"/>
    <x v="5605"/>
    <x v="7"/>
    <x v="3"/>
  </r>
  <r>
    <n v="9440"/>
    <x v="4722"/>
    <x v="36"/>
    <d v="2015-10-17T00:00:00"/>
    <s v="Standard Class"/>
    <x v="771"/>
    <s v="Barry Pond"/>
    <x v="1"/>
    <s v="United States"/>
    <s v="Chicago"/>
    <x v="10"/>
    <n v="60623"/>
    <x v="2"/>
    <x v="1205"/>
    <x v="1"/>
    <x v="14"/>
    <x v="1190"/>
    <x v="5606"/>
    <x v="2"/>
    <x v="2"/>
  </r>
  <r>
    <n v="9441"/>
    <x v="4723"/>
    <x v="594"/>
    <d v="2015-05-29T00:00:00"/>
    <s v="Standard Class"/>
    <x v="768"/>
    <s v="Barry Weirich"/>
    <x v="0"/>
    <s v="United States"/>
    <s v="New York City"/>
    <x v="15"/>
    <n v="10035"/>
    <x v="3"/>
    <x v="1490"/>
    <x v="1"/>
    <x v="10"/>
    <x v="1477"/>
    <x v="2"/>
    <x v="5"/>
    <x v="2"/>
  </r>
  <r>
    <n v="9442"/>
    <x v="4724"/>
    <x v="282"/>
    <d v="2015-12-31T00:00:00"/>
    <s v="Second Class"/>
    <x v="791"/>
    <s v="Ricardo Emerson"/>
    <x v="0"/>
    <s v="United States"/>
    <s v="Kent"/>
    <x v="24"/>
    <n v="44240"/>
    <x v="3"/>
    <x v="1204"/>
    <x v="1"/>
    <x v="9"/>
    <x v="1189"/>
    <x v="5607"/>
    <x v="4"/>
    <x v="2"/>
  </r>
  <r>
    <n v="9443"/>
    <x v="4725"/>
    <x v="104"/>
    <d v="2018-04-11T00:00:00"/>
    <s v="Standard Class"/>
    <x v="367"/>
    <s v="Hallie Redmond"/>
    <x v="2"/>
    <s v="United States"/>
    <s v="Jacksonville"/>
    <x v="2"/>
    <n v="32216"/>
    <x v="0"/>
    <x v="400"/>
    <x v="1"/>
    <x v="6"/>
    <x v="401"/>
    <x v="5608"/>
    <x v="3"/>
    <x v="3"/>
  </r>
  <r>
    <n v="9444"/>
    <x v="4725"/>
    <x v="104"/>
    <d v="2018-04-11T00:00:00"/>
    <s v="Standard Class"/>
    <x v="367"/>
    <s v="Hallie Redmond"/>
    <x v="2"/>
    <s v="United States"/>
    <s v="Jacksonville"/>
    <x v="2"/>
    <n v="32216"/>
    <x v="0"/>
    <x v="819"/>
    <x v="2"/>
    <x v="7"/>
    <x v="815"/>
    <x v="977"/>
    <x v="3"/>
    <x v="3"/>
  </r>
  <r>
    <n v="9445"/>
    <x v="4726"/>
    <x v="879"/>
    <d v="2016-03-02T00:00:00"/>
    <s v="First Class"/>
    <x v="734"/>
    <s v="Tracy Poddar"/>
    <x v="1"/>
    <s v="United States"/>
    <s v="Coppell"/>
    <x v="5"/>
    <n v="75019"/>
    <x v="2"/>
    <x v="1620"/>
    <x v="2"/>
    <x v="7"/>
    <x v="1611"/>
    <x v="3044"/>
    <x v="10"/>
    <x v="1"/>
  </r>
  <r>
    <n v="9446"/>
    <x v="4727"/>
    <x v="352"/>
    <d v="2016-06-03T00:00:00"/>
    <s v="Standard Class"/>
    <x v="41"/>
    <s v="Karl Braun"/>
    <x v="0"/>
    <s v="United States"/>
    <s v="Indianapolis"/>
    <x v="14"/>
    <n v="46203"/>
    <x v="2"/>
    <x v="617"/>
    <x v="1"/>
    <x v="2"/>
    <x v="617"/>
    <x v="708"/>
    <x v="5"/>
    <x v="1"/>
  </r>
  <r>
    <n v="9447"/>
    <x v="4728"/>
    <x v="897"/>
    <d v="2017-09-28T00:00:00"/>
    <s v="Standard Class"/>
    <x v="663"/>
    <s v="Anna Chung"/>
    <x v="0"/>
    <s v="United States"/>
    <s v="Lawrence"/>
    <x v="14"/>
    <n v="46226"/>
    <x v="2"/>
    <x v="1357"/>
    <x v="1"/>
    <x v="10"/>
    <x v="1343"/>
    <x v="1197"/>
    <x v="8"/>
    <x v="0"/>
  </r>
  <r>
    <n v="9448"/>
    <x v="4729"/>
    <x v="837"/>
    <d v="2018-06-03T00:00:00"/>
    <s v="Standard Class"/>
    <x v="35"/>
    <s v="Duane Noonan"/>
    <x v="0"/>
    <s v="United States"/>
    <s v="Tulsa"/>
    <x v="26"/>
    <n v="74133"/>
    <x v="2"/>
    <x v="35"/>
    <x v="0"/>
    <x v="5"/>
    <x v="35"/>
    <x v="5609"/>
    <x v="5"/>
    <x v="3"/>
  </r>
  <r>
    <n v="9449"/>
    <x v="4730"/>
    <x v="42"/>
    <d v="2017-09-23T00:00:00"/>
    <s v="Standard Class"/>
    <x v="254"/>
    <s v="Chuck Clark"/>
    <x v="2"/>
    <s v="United States"/>
    <s v="Redmond"/>
    <x v="4"/>
    <n v="98052"/>
    <x v="1"/>
    <x v="1038"/>
    <x v="1"/>
    <x v="2"/>
    <x v="1028"/>
    <x v="3987"/>
    <x v="8"/>
    <x v="0"/>
  </r>
  <r>
    <n v="9450"/>
    <x v="4731"/>
    <x v="78"/>
    <d v="2015-09-13T00:00:00"/>
    <s v="Standard Class"/>
    <x v="358"/>
    <s v="Toby Swindell"/>
    <x v="0"/>
    <s v="United States"/>
    <s v="San Francisco"/>
    <x v="1"/>
    <n v="94109"/>
    <x v="1"/>
    <x v="973"/>
    <x v="1"/>
    <x v="8"/>
    <x v="967"/>
    <x v="5298"/>
    <x v="8"/>
    <x v="2"/>
  </r>
  <r>
    <n v="9451"/>
    <x v="4732"/>
    <x v="95"/>
    <d v="2018-06-07T00:00:00"/>
    <s v="Standard Class"/>
    <x v="246"/>
    <s v="Meg O'Connel"/>
    <x v="2"/>
    <s v="United States"/>
    <s v="Spokane"/>
    <x v="4"/>
    <n v="99207"/>
    <x v="1"/>
    <x v="464"/>
    <x v="1"/>
    <x v="4"/>
    <x v="465"/>
    <x v="5610"/>
    <x v="1"/>
    <x v="3"/>
  </r>
  <r>
    <n v="9452"/>
    <x v="4733"/>
    <x v="694"/>
    <d v="2016-10-05T00:00:00"/>
    <s v="Standard Class"/>
    <x v="532"/>
    <s v="Roy Phan"/>
    <x v="1"/>
    <s v="United States"/>
    <s v="Los Angeles"/>
    <x v="1"/>
    <n v="90032"/>
    <x v="1"/>
    <x v="1094"/>
    <x v="1"/>
    <x v="9"/>
    <x v="1084"/>
    <x v="5611"/>
    <x v="8"/>
    <x v="1"/>
  </r>
  <r>
    <n v="9453"/>
    <x v="4733"/>
    <x v="694"/>
    <d v="2016-10-05T00:00:00"/>
    <s v="Standard Class"/>
    <x v="532"/>
    <s v="Roy Phan"/>
    <x v="1"/>
    <s v="United States"/>
    <s v="Los Angeles"/>
    <x v="1"/>
    <n v="90032"/>
    <x v="1"/>
    <x v="822"/>
    <x v="1"/>
    <x v="8"/>
    <x v="818"/>
    <x v="5612"/>
    <x v="8"/>
    <x v="1"/>
  </r>
  <r>
    <n v="9454"/>
    <x v="4733"/>
    <x v="694"/>
    <d v="2016-10-05T00:00:00"/>
    <s v="Standard Class"/>
    <x v="532"/>
    <s v="Roy Phan"/>
    <x v="1"/>
    <s v="United States"/>
    <s v="Los Angeles"/>
    <x v="1"/>
    <n v="90032"/>
    <x v="1"/>
    <x v="1799"/>
    <x v="1"/>
    <x v="14"/>
    <x v="1789"/>
    <x v="5613"/>
    <x v="8"/>
    <x v="1"/>
  </r>
  <r>
    <n v="9455"/>
    <x v="4733"/>
    <x v="694"/>
    <d v="2016-10-05T00:00:00"/>
    <s v="Standard Class"/>
    <x v="532"/>
    <s v="Roy Phan"/>
    <x v="1"/>
    <s v="United States"/>
    <s v="Los Angeles"/>
    <x v="1"/>
    <n v="90032"/>
    <x v="1"/>
    <x v="461"/>
    <x v="2"/>
    <x v="7"/>
    <x v="462"/>
    <x v="2790"/>
    <x v="8"/>
    <x v="1"/>
  </r>
  <r>
    <n v="9456"/>
    <x v="4734"/>
    <x v="950"/>
    <d v="2017-06-19T00:00:00"/>
    <s v="Second Class"/>
    <x v="311"/>
    <s v="James Lanier"/>
    <x v="2"/>
    <s v="United States"/>
    <s v="Chattanooga"/>
    <x v="18"/>
    <n v="37421"/>
    <x v="0"/>
    <x v="1855"/>
    <x v="2"/>
    <x v="15"/>
    <x v="1843"/>
    <x v="5614"/>
    <x v="1"/>
    <x v="0"/>
  </r>
  <r>
    <n v="9457"/>
    <x v="4735"/>
    <x v="837"/>
    <d v="2018-06-03T00:00:00"/>
    <s v="Standard Class"/>
    <x v="308"/>
    <s v="Bart Watters"/>
    <x v="1"/>
    <s v="United States"/>
    <s v="Greensboro"/>
    <x v="3"/>
    <n v="27405"/>
    <x v="0"/>
    <x v="1856"/>
    <x v="2"/>
    <x v="11"/>
    <x v="1844"/>
    <x v="5615"/>
    <x v="5"/>
    <x v="3"/>
  </r>
  <r>
    <n v="9458"/>
    <x v="4735"/>
    <x v="837"/>
    <d v="2018-06-03T00:00:00"/>
    <s v="Standard Class"/>
    <x v="308"/>
    <s v="Bart Watters"/>
    <x v="1"/>
    <s v="United States"/>
    <s v="Greensboro"/>
    <x v="3"/>
    <n v="27405"/>
    <x v="0"/>
    <x v="1232"/>
    <x v="1"/>
    <x v="8"/>
    <x v="1215"/>
    <x v="5616"/>
    <x v="5"/>
    <x v="3"/>
  </r>
  <r>
    <n v="9459"/>
    <x v="4736"/>
    <x v="1148"/>
    <d v="2015-10-14T00:00:00"/>
    <s v="Standard Class"/>
    <x v="81"/>
    <s v="Shirley Jackson"/>
    <x v="0"/>
    <s v="United States"/>
    <s v="San Francisco"/>
    <x v="1"/>
    <n v="94122"/>
    <x v="1"/>
    <x v="281"/>
    <x v="1"/>
    <x v="6"/>
    <x v="281"/>
    <x v="5617"/>
    <x v="2"/>
    <x v="2"/>
  </r>
  <r>
    <n v="9460"/>
    <x v="4736"/>
    <x v="1148"/>
    <d v="2015-10-14T00:00:00"/>
    <s v="Standard Class"/>
    <x v="81"/>
    <s v="Shirley Jackson"/>
    <x v="0"/>
    <s v="United States"/>
    <s v="San Francisco"/>
    <x v="1"/>
    <n v="94122"/>
    <x v="1"/>
    <x v="1730"/>
    <x v="2"/>
    <x v="7"/>
    <x v="1717"/>
    <x v="312"/>
    <x v="2"/>
    <x v="2"/>
  </r>
  <r>
    <n v="9461"/>
    <x v="4737"/>
    <x v="664"/>
    <d v="2015-11-22T00:00:00"/>
    <s v="Second Class"/>
    <x v="435"/>
    <s v="Frank Gastineau"/>
    <x v="2"/>
    <s v="United States"/>
    <s v="New York City"/>
    <x v="15"/>
    <n v="10024"/>
    <x v="3"/>
    <x v="693"/>
    <x v="1"/>
    <x v="10"/>
    <x v="693"/>
    <x v="799"/>
    <x v="0"/>
    <x v="2"/>
  </r>
  <r>
    <n v="9462"/>
    <x v="4738"/>
    <x v="538"/>
    <d v="2015-10-24T00:00:00"/>
    <s v="Standard Class"/>
    <x v="258"/>
    <s v="Eugene Hildebrand"/>
    <x v="2"/>
    <s v="United States"/>
    <s v="Lakewood"/>
    <x v="1"/>
    <n v="90712"/>
    <x v="1"/>
    <x v="1086"/>
    <x v="2"/>
    <x v="7"/>
    <x v="1076"/>
    <x v="5618"/>
    <x v="2"/>
    <x v="2"/>
  </r>
  <r>
    <n v="9463"/>
    <x v="4739"/>
    <x v="920"/>
    <d v="2018-11-30T00:00:00"/>
    <s v="Second Class"/>
    <x v="29"/>
    <s v="Brendan Sweed"/>
    <x v="1"/>
    <s v="United States"/>
    <s v="Louisville"/>
    <x v="0"/>
    <n v="40214"/>
    <x v="0"/>
    <x v="1131"/>
    <x v="0"/>
    <x v="1"/>
    <x v="1119"/>
    <x v="4233"/>
    <x v="0"/>
    <x v="3"/>
  </r>
  <r>
    <n v="9464"/>
    <x v="4740"/>
    <x v="1219"/>
    <d v="2015-03-03T00:00:00"/>
    <s v="First Class"/>
    <x v="559"/>
    <s v="Joy Smith"/>
    <x v="0"/>
    <s v="United States"/>
    <s v="Columbus"/>
    <x v="24"/>
    <n v="43229"/>
    <x v="3"/>
    <x v="487"/>
    <x v="1"/>
    <x v="6"/>
    <x v="487"/>
    <x v="526"/>
    <x v="11"/>
    <x v="2"/>
  </r>
  <r>
    <n v="9465"/>
    <x v="4741"/>
    <x v="1059"/>
    <d v="2015-12-25T00:00:00"/>
    <s v="Standard Class"/>
    <x v="547"/>
    <s v="John Castell"/>
    <x v="0"/>
    <s v="United States"/>
    <s v="Newark"/>
    <x v="13"/>
    <n v="19711"/>
    <x v="3"/>
    <x v="1568"/>
    <x v="1"/>
    <x v="2"/>
    <x v="1559"/>
    <x v="1300"/>
    <x v="4"/>
    <x v="2"/>
  </r>
  <r>
    <n v="9466"/>
    <x v="4742"/>
    <x v="258"/>
    <d v="2017-11-23T00:00:00"/>
    <s v="Standard Class"/>
    <x v="25"/>
    <s v="Janet Molinari"/>
    <x v="1"/>
    <s v="United States"/>
    <s v="Seattle"/>
    <x v="4"/>
    <n v="98115"/>
    <x v="1"/>
    <x v="468"/>
    <x v="0"/>
    <x v="5"/>
    <x v="469"/>
    <x v="5504"/>
    <x v="0"/>
    <x v="0"/>
  </r>
  <r>
    <n v="9467"/>
    <x v="4743"/>
    <x v="60"/>
    <d v="2018-11-10T00:00:00"/>
    <s v="Second Class"/>
    <x v="512"/>
    <s v="Christina DeMoss"/>
    <x v="0"/>
    <s v="United States"/>
    <s v="New York City"/>
    <x v="15"/>
    <n v="10024"/>
    <x v="3"/>
    <x v="141"/>
    <x v="1"/>
    <x v="8"/>
    <x v="142"/>
    <x v="5619"/>
    <x v="0"/>
    <x v="3"/>
  </r>
  <r>
    <n v="9468"/>
    <x v="4743"/>
    <x v="60"/>
    <d v="2018-11-10T00:00:00"/>
    <s v="Second Class"/>
    <x v="512"/>
    <s v="Christina DeMoss"/>
    <x v="0"/>
    <s v="United States"/>
    <s v="New York City"/>
    <x v="15"/>
    <n v="10024"/>
    <x v="3"/>
    <x v="1582"/>
    <x v="0"/>
    <x v="3"/>
    <x v="1573"/>
    <x v="4207"/>
    <x v="0"/>
    <x v="3"/>
  </r>
  <r>
    <n v="9469"/>
    <x v="4743"/>
    <x v="60"/>
    <d v="2018-11-10T00:00:00"/>
    <s v="Second Class"/>
    <x v="512"/>
    <s v="Christina DeMoss"/>
    <x v="0"/>
    <s v="United States"/>
    <s v="New York City"/>
    <x v="15"/>
    <n v="10024"/>
    <x v="3"/>
    <x v="680"/>
    <x v="1"/>
    <x v="10"/>
    <x v="680"/>
    <x v="91"/>
    <x v="0"/>
    <x v="3"/>
  </r>
  <r>
    <n v="9470"/>
    <x v="4743"/>
    <x v="60"/>
    <d v="2018-11-10T00:00:00"/>
    <s v="Second Class"/>
    <x v="512"/>
    <s v="Christina DeMoss"/>
    <x v="0"/>
    <s v="United States"/>
    <s v="New York City"/>
    <x v="15"/>
    <n v="10024"/>
    <x v="3"/>
    <x v="417"/>
    <x v="1"/>
    <x v="10"/>
    <x v="417"/>
    <x v="168"/>
    <x v="0"/>
    <x v="3"/>
  </r>
  <r>
    <n v="9471"/>
    <x v="4743"/>
    <x v="60"/>
    <d v="2018-11-10T00:00:00"/>
    <s v="Second Class"/>
    <x v="512"/>
    <s v="Christina DeMoss"/>
    <x v="0"/>
    <s v="United States"/>
    <s v="New York City"/>
    <x v="15"/>
    <n v="10024"/>
    <x v="3"/>
    <x v="140"/>
    <x v="2"/>
    <x v="7"/>
    <x v="141"/>
    <x v="2564"/>
    <x v="0"/>
    <x v="3"/>
  </r>
  <r>
    <n v="9472"/>
    <x v="4743"/>
    <x v="60"/>
    <d v="2018-11-10T00:00:00"/>
    <s v="Second Class"/>
    <x v="512"/>
    <s v="Christina DeMoss"/>
    <x v="0"/>
    <s v="United States"/>
    <s v="New York City"/>
    <x v="15"/>
    <n v="10024"/>
    <x v="3"/>
    <x v="276"/>
    <x v="1"/>
    <x v="8"/>
    <x v="276"/>
    <x v="5574"/>
    <x v="0"/>
    <x v="3"/>
  </r>
  <r>
    <n v="9473"/>
    <x v="4743"/>
    <x v="60"/>
    <d v="2018-11-10T00:00:00"/>
    <s v="Second Class"/>
    <x v="512"/>
    <s v="Christina DeMoss"/>
    <x v="0"/>
    <s v="United States"/>
    <s v="New York City"/>
    <x v="15"/>
    <n v="10024"/>
    <x v="3"/>
    <x v="1459"/>
    <x v="0"/>
    <x v="1"/>
    <x v="1445"/>
    <x v="5620"/>
    <x v="0"/>
    <x v="3"/>
  </r>
  <r>
    <n v="9474"/>
    <x v="4743"/>
    <x v="60"/>
    <d v="2018-11-10T00:00:00"/>
    <s v="Second Class"/>
    <x v="512"/>
    <s v="Christina DeMoss"/>
    <x v="0"/>
    <s v="United States"/>
    <s v="New York City"/>
    <x v="15"/>
    <n v="10024"/>
    <x v="3"/>
    <x v="1757"/>
    <x v="0"/>
    <x v="5"/>
    <x v="1747"/>
    <x v="5621"/>
    <x v="0"/>
    <x v="3"/>
  </r>
  <r>
    <n v="9475"/>
    <x v="4744"/>
    <x v="70"/>
    <d v="2016-06-05T00:00:00"/>
    <s v="Second Class"/>
    <x v="25"/>
    <s v="Janet Molinari"/>
    <x v="1"/>
    <s v="United States"/>
    <s v="Chicago"/>
    <x v="10"/>
    <n v="60653"/>
    <x v="2"/>
    <x v="1139"/>
    <x v="1"/>
    <x v="2"/>
    <x v="1127"/>
    <x v="2144"/>
    <x v="5"/>
    <x v="1"/>
  </r>
  <r>
    <n v="9476"/>
    <x v="4744"/>
    <x v="70"/>
    <d v="2016-06-05T00:00:00"/>
    <s v="Second Class"/>
    <x v="25"/>
    <s v="Janet Molinari"/>
    <x v="1"/>
    <s v="United States"/>
    <s v="Chicago"/>
    <x v="10"/>
    <n v="60653"/>
    <x v="2"/>
    <x v="1030"/>
    <x v="1"/>
    <x v="10"/>
    <x v="1021"/>
    <x v="4107"/>
    <x v="5"/>
    <x v="1"/>
  </r>
  <r>
    <n v="9477"/>
    <x v="4744"/>
    <x v="70"/>
    <d v="2016-06-05T00:00:00"/>
    <s v="Second Class"/>
    <x v="25"/>
    <s v="Janet Molinari"/>
    <x v="1"/>
    <s v="United States"/>
    <s v="Chicago"/>
    <x v="10"/>
    <n v="60653"/>
    <x v="2"/>
    <x v="1537"/>
    <x v="0"/>
    <x v="5"/>
    <x v="1525"/>
    <x v="5622"/>
    <x v="5"/>
    <x v="1"/>
  </r>
  <r>
    <n v="9478"/>
    <x v="4744"/>
    <x v="70"/>
    <d v="2016-06-05T00:00:00"/>
    <s v="Second Class"/>
    <x v="25"/>
    <s v="Janet Molinari"/>
    <x v="1"/>
    <s v="United States"/>
    <s v="Chicago"/>
    <x v="10"/>
    <n v="60653"/>
    <x v="2"/>
    <x v="990"/>
    <x v="1"/>
    <x v="8"/>
    <x v="305"/>
    <x v="2940"/>
    <x v="5"/>
    <x v="1"/>
  </r>
  <r>
    <n v="9479"/>
    <x v="4745"/>
    <x v="557"/>
    <d v="2015-09-14T00:00:00"/>
    <s v="Standard Class"/>
    <x v="757"/>
    <s v="Shahid Shariari"/>
    <x v="0"/>
    <s v="United States"/>
    <s v="Oswego"/>
    <x v="10"/>
    <n v="60543"/>
    <x v="2"/>
    <x v="1321"/>
    <x v="1"/>
    <x v="13"/>
    <x v="1307"/>
    <x v="5623"/>
    <x v="8"/>
    <x v="2"/>
  </r>
  <r>
    <n v="9480"/>
    <x v="4745"/>
    <x v="557"/>
    <d v="2015-09-14T00:00:00"/>
    <s v="Standard Class"/>
    <x v="757"/>
    <s v="Shahid Shariari"/>
    <x v="0"/>
    <s v="United States"/>
    <s v="Oswego"/>
    <x v="10"/>
    <n v="60543"/>
    <x v="2"/>
    <x v="1206"/>
    <x v="1"/>
    <x v="8"/>
    <x v="1191"/>
    <x v="5624"/>
    <x v="8"/>
    <x v="2"/>
  </r>
  <r>
    <n v="9481"/>
    <x v="4745"/>
    <x v="557"/>
    <d v="2015-09-14T00:00:00"/>
    <s v="Standard Class"/>
    <x v="757"/>
    <s v="Shahid Shariari"/>
    <x v="0"/>
    <s v="United States"/>
    <s v="Oswego"/>
    <x v="10"/>
    <n v="60543"/>
    <x v="2"/>
    <x v="569"/>
    <x v="1"/>
    <x v="8"/>
    <x v="569"/>
    <x v="5625"/>
    <x v="8"/>
    <x v="2"/>
  </r>
  <r>
    <n v="9482"/>
    <x v="4746"/>
    <x v="44"/>
    <d v="2018-11-12T00:00:00"/>
    <s v="Standard Class"/>
    <x v="668"/>
    <s v="Harry Greene"/>
    <x v="0"/>
    <s v="United States"/>
    <s v="Dallas"/>
    <x v="5"/>
    <n v="75220"/>
    <x v="2"/>
    <x v="75"/>
    <x v="1"/>
    <x v="4"/>
    <x v="75"/>
    <x v="1318"/>
    <x v="0"/>
    <x v="3"/>
  </r>
  <r>
    <n v="9483"/>
    <x v="4747"/>
    <x v="782"/>
    <d v="2016-06-24T00:00:00"/>
    <s v="Second Class"/>
    <x v="604"/>
    <s v="Becky Castell"/>
    <x v="2"/>
    <s v="United States"/>
    <s v="Philadelphia"/>
    <x v="9"/>
    <n v="19134"/>
    <x v="3"/>
    <x v="651"/>
    <x v="2"/>
    <x v="11"/>
    <x v="651"/>
    <x v="4398"/>
    <x v="1"/>
    <x v="1"/>
  </r>
  <r>
    <n v="9484"/>
    <x v="4748"/>
    <x v="192"/>
    <d v="2015-07-28T00:00:00"/>
    <s v="Standard Class"/>
    <x v="437"/>
    <s v="Alejandro Ballentine"/>
    <x v="2"/>
    <s v="United States"/>
    <s v="Los Angeles"/>
    <x v="1"/>
    <n v="90008"/>
    <x v="1"/>
    <x v="346"/>
    <x v="1"/>
    <x v="6"/>
    <x v="346"/>
    <x v="1195"/>
    <x v="7"/>
    <x v="2"/>
  </r>
  <r>
    <n v="9485"/>
    <x v="4749"/>
    <x v="499"/>
    <d v="2017-12-04T00:00:00"/>
    <s v="Second Class"/>
    <x v="501"/>
    <s v="Muhammed Yedwab"/>
    <x v="1"/>
    <s v="United States"/>
    <s v="Houston"/>
    <x v="5"/>
    <n v="77036"/>
    <x v="2"/>
    <x v="1686"/>
    <x v="0"/>
    <x v="0"/>
    <x v="1674"/>
    <x v="5626"/>
    <x v="4"/>
    <x v="0"/>
  </r>
  <r>
    <n v="9486"/>
    <x v="4749"/>
    <x v="499"/>
    <d v="2017-12-04T00:00:00"/>
    <s v="Second Class"/>
    <x v="501"/>
    <s v="Muhammed Yedwab"/>
    <x v="1"/>
    <s v="United States"/>
    <s v="Houston"/>
    <x v="5"/>
    <n v="77036"/>
    <x v="2"/>
    <x v="1117"/>
    <x v="1"/>
    <x v="10"/>
    <x v="1105"/>
    <x v="2723"/>
    <x v="4"/>
    <x v="0"/>
  </r>
  <r>
    <n v="9487"/>
    <x v="4750"/>
    <x v="386"/>
    <d v="2018-10-12T00:00:00"/>
    <s v="Same Day"/>
    <x v="173"/>
    <s v="Natalie Fritzler"/>
    <x v="0"/>
    <s v="United States"/>
    <s v="Wheeling"/>
    <x v="48"/>
    <n v="26003"/>
    <x v="3"/>
    <x v="855"/>
    <x v="0"/>
    <x v="3"/>
    <x v="848"/>
    <x v="5627"/>
    <x v="2"/>
    <x v="3"/>
  </r>
  <r>
    <n v="9488"/>
    <x v="4751"/>
    <x v="157"/>
    <d v="2018-12-13T00:00:00"/>
    <s v="First Class"/>
    <x v="240"/>
    <s v="Nona Balk"/>
    <x v="1"/>
    <s v="United States"/>
    <s v="Paterson"/>
    <x v="30"/>
    <n v="7501"/>
    <x v="3"/>
    <x v="845"/>
    <x v="1"/>
    <x v="13"/>
    <x v="839"/>
    <x v="2571"/>
    <x v="4"/>
    <x v="3"/>
  </r>
  <r>
    <n v="9489"/>
    <x v="4752"/>
    <x v="486"/>
    <d v="2016-10-04T00:00:00"/>
    <s v="First Class"/>
    <x v="75"/>
    <s v="Eric Murdock"/>
    <x v="0"/>
    <s v="United States"/>
    <s v="Portland"/>
    <x v="21"/>
    <n v="97206"/>
    <x v="1"/>
    <x v="1118"/>
    <x v="2"/>
    <x v="7"/>
    <x v="1106"/>
    <x v="5628"/>
    <x v="2"/>
    <x v="1"/>
  </r>
  <r>
    <n v="9490"/>
    <x v="4753"/>
    <x v="1220"/>
    <d v="2017-08-11T00:00:00"/>
    <s v="Standard Class"/>
    <x v="716"/>
    <s v="Maureen Fritzler"/>
    <x v="1"/>
    <s v="United States"/>
    <s v="Huntsville"/>
    <x v="19"/>
    <n v="35810"/>
    <x v="0"/>
    <x v="1269"/>
    <x v="1"/>
    <x v="6"/>
    <x v="1254"/>
    <x v="5629"/>
    <x v="6"/>
    <x v="0"/>
  </r>
  <r>
    <n v="9491"/>
    <x v="4754"/>
    <x v="1032"/>
    <d v="2018-01-07T00:00:00"/>
    <s v="Standard Class"/>
    <x v="200"/>
    <s v="Christopher Martinez"/>
    <x v="0"/>
    <s v="United States"/>
    <s v="San Francisco"/>
    <x v="1"/>
    <n v="94110"/>
    <x v="1"/>
    <x v="382"/>
    <x v="1"/>
    <x v="8"/>
    <x v="383"/>
    <x v="5630"/>
    <x v="9"/>
    <x v="3"/>
  </r>
  <r>
    <n v="9492"/>
    <x v="4754"/>
    <x v="1032"/>
    <d v="2018-01-07T00:00:00"/>
    <s v="Standard Class"/>
    <x v="200"/>
    <s v="Christopher Martinez"/>
    <x v="0"/>
    <s v="United States"/>
    <s v="San Francisco"/>
    <x v="1"/>
    <n v="94110"/>
    <x v="1"/>
    <x v="1279"/>
    <x v="1"/>
    <x v="6"/>
    <x v="1264"/>
    <x v="5631"/>
    <x v="9"/>
    <x v="3"/>
  </r>
  <r>
    <n v="9493"/>
    <x v="4755"/>
    <x v="659"/>
    <d v="2018-11-07T00:00:00"/>
    <s v="Same Day"/>
    <x v="685"/>
    <s v="Erin Creighton"/>
    <x v="0"/>
    <s v="United States"/>
    <s v="Oklahoma City"/>
    <x v="26"/>
    <n v="73120"/>
    <x v="2"/>
    <x v="15"/>
    <x v="1"/>
    <x v="8"/>
    <x v="15"/>
    <x v="5632"/>
    <x v="0"/>
    <x v="3"/>
  </r>
  <r>
    <n v="9494"/>
    <x v="4756"/>
    <x v="835"/>
    <d v="2017-01-08T00:00:00"/>
    <s v="Standard Class"/>
    <x v="635"/>
    <s v="Bill Overfelt"/>
    <x v="1"/>
    <s v="United States"/>
    <s v="Broken Arrow"/>
    <x v="26"/>
    <n v="74012"/>
    <x v="2"/>
    <x v="342"/>
    <x v="0"/>
    <x v="3"/>
    <x v="342"/>
    <x v="5633"/>
    <x v="9"/>
    <x v="0"/>
  </r>
  <r>
    <n v="9495"/>
    <x v="4756"/>
    <x v="835"/>
    <d v="2017-01-08T00:00:00"/>
    <s v="Standard Class"/>
    <x v="635"/>
    <s v="Bill Overfelt"/>
    <x v="1"/>
    <s v="United States"/>
    <s v="Broken Arrow"/>
    <x v="26"/>
    <n v="74012"/>
    <x v="2"/>
    <x v="990"/>
    <x v="1"/>
    <x v="8"/>
    <x v="305"/>
    <x v="5264"/>
    <x v="9"/>
    <x v="0"/>
  </r>
  <r>
    <n v="9496"/>
    <x v="4757"/>
    <x v="536"/>
    <d v="2017-05-16T00:00:00"/>
    <s v="Standard Class"/>
    <x v="718"/>
    <s v="Vivian Mathis"/>
    <x v="0"/>
    <s v="United States"/>
    <s v="Mission Viejo"/>
    <x v="1"/>
    <n v="92691"/>
    <x v="1"/>
    <x v="1824"/>
    <x v="2"/>
    <x v="11"/>
    <x v="1812"/>
    <x v="5028"/>
    <x v="5"/>
    <x v="0"/>
  </r>
  <r>
    <n v="9497"/>
    <x v="4757"/>
    <x v="536"/>
    <d v="2017-05-16T00:00:00"/>
    <s v="Standard Class"/>
    <x v="718"/>
    <s v="Vivian Mathis"/>
    <x v="0"/>
    <s v="United States"/>
    <s v="Mission Viejo"/>
    <x v="1"/>
    <n v="92691"/>
    <x v="1"/>
    <x v="1295"/>
    <x v="1"/>
    <x v="9"/>
    <x v="360"/>
    <x v="1298"/>
    <x v="5"/>
    <x v="0"/>
  </r>
  <r>
    <n v="9498"/>
    <x v="4758"/>
    <x v="60"/>
    <d v="2018-11-07T00:00:00"/>
    <s v="First Class"/>
    <x v="144"/>
    <s v="Adam Bellavance"/>
    <x v="2"/>
    <s v="United States"/>
    <s v="Greenwood"/>
    <x v="14"/>
    <n v="46142"/>
    <x v="2"/>
    <x v="249"/>
    <x v="1"/>
    <x v="10"/>
    <x v="250"/>
    <x v="5634"/>
    <x v="0"/>
    <x v="3"/>
  </r>
  <r>
    <n v="9499"/>
    <x v="4758"/>
    <x v="60"/>
    <d v="2018-11-07T00:00:00"/>
    <s v="First Class"/>
    <x v="144"/>
    <s v="Adam Bellavance"/>
    <x v="2"/>
    <s v="United States"/>
    <s v="Greenwood"/>
    <x v="14"/>
    <n v="46142"/>
    <x v="2"/>
    <x v="1654"/>
    <x v="1"/>
    <x v="10"/>
    <x v="33"/>
    <x v="3730"/>
    <x v="0"/>
    <x v="3"/>
  </r>
  <r>
    <n v="9500"/>
    <x v="4758"/>
    <x v="60"/>
    <d v="2018-11-07T00:00:00"/>
    <s v="First Class"/>
    <x v="144"/>
    <s v="Adam Bellavance"/>
    <x v="2"/>
    <s v="United States"/>
    <s v="Greenwood"/>
    <x v="14"/>
    <n v="46142"/>
    <x v="2"/>
    <x v="987"/>
    <x v="1"/>
    <x v="10"/>
    <x v="980"/>
    <x v="760"/>
    <x v="0"/>
    <x v="3"/>
  </r>
  <r>
    <n v="9501"/>
    <x v="4759"/>
    <x v="439"/>
    <d v="2017-05-30T00:00:00"/>
    <s v="Standard Class"/>
    <x v="632"/>
    <s v="Chris McAfee"/>
    <x v="0"/>
    <s v="United States"/>
    <s v="Milwaukee"/>
    <x v="6"/>
    <n v="53209"/>
    <x v="2"/>
    <x v="1104"/>
    <x v="0"/>
    <x v="5"/>
    <x v="1093"/>
    <x v="5635"/>
    <x v="5"/>
    <x v="0"/>
  </r>
  <r>
    <n v="9502"/>
    <x v="4760"/>
    <x v="312"/>
    <d v="2016-11-24T00:00:00"/>
    <s v="Standard Class"/>
    <x v="608"/>
    <s v="Kelly Williams"/>
    <x v="0"/>
    <s v="United States"/>
    <s v="San Francisco"/>
    <x v="1"/>
    <n v="94109"/>
    <x v="1"/>
    <x v="1445"/>
    <x v="0"/>
    <x v="5"/>
    <x v="1432"/>
    <x v="4492"/>
    <x v="0"/>
    <x v="1"/>
  </r>
  <r>
    <n v="9503"/>
    <x v="4761"/>
    <x v="183"/>
    <d v="2017-04-29T00:00:00"/>
    <s v="Standard Class"/>
    <x v="462"/>
    <s v="Michael Moore"/>
    <x v="0"/>
    <s v="United States"/>
    <s v="Rome"/>
    <x v="15"/>
    <n v="13440"/>
    <x v="3"/>
    <x v="1742"/>
    <x v="1"/>
    <x v="6"/>
    <x v="1731"/>
    <x v="5636"/>
    <x v="3"/>
    <x v="0"/>
  </r>
  <r>
    <n v="9504"/>
    <x v="4761"/>
    <x v="183"/>
    <d v="2017-04-29T00:00:00"/>
    <s v="Standard Class"/>
    <x v="462"/>
    <s v="Michael Moore"/>
    <x v="0"/>
    <s v="United States"/>
    <s v="Rome"/>
    <x v="15"/>
    <n v="13440"/>
    <x v="3"/>
    <x v="649"/>
    <x v="1"/>
    <x v="6"/>
    <x v="649"/>
    <x v="704"/>
    <x v="3"/>
    <x v="0"/>
  </r>
  <r>
    <n v="9505"/>
    <x v="4762"/>
    <x v="500"/>
    <d v="2017-10-18T00:00:00"/>
    <s v="Standard Class"/>
    <x v="463"/>
    <s v="Pauline Webber"/>
    <x v="1"/>
    <s v="United States"/>
    <s v="New York City"/>
    <x v="15"/>
    <n v="10009"/>
    <x v="3"/>
    <x v="1807"/>
    <x v="2"/>
    <x v="7"/>
    <x v="1797"/>
    <x v="5637"/>
    <x v="2"/>
    <x v="0"/>
  </r>
  <r>
    <n v="9506"/>
    <x v="4762"/>
    <x v="500"/>
    <d v="2017-10-18T00:00:00"/>
    <s v="Standard Class"/>
    <x v="463"/>
    <s v="Pauline Webber"/>
    <x v="1"/>
    <s v="United States"/>
    <s v="New York City"/>
    <x v="15"/>
    <n v="10009"/>
    <x v="3"/>
    <x v="314"/>
    <x v="1"/>
    <x v="10"/>
    <x v="366"/>
    <x v="1359"/>
    <x v="2"/>
    <x v="0"/>
  </r>
  <r>
    <n v="9507"/>
    <x v="4763"/>
    <x v="267"/>
    <d v="2015-04-07T00:00:00"/>
    <s v="Second Class"/>
    <x v="76"/>
    <s v="Ruben Dartt"/>
    <x v="0"/>
    <s v="United States"/>
    <s v="Dearborn Heights"/>
    <x v="12"/>
    <n v="48127"/>
    <x v="2"/>
    <x v="818"/>
    <x v="1"/>
    <x v="6"/>
    <x v="814"/>
    <x v="4170"/>
    <x v="3"/>
    <x v="2"/>
  </r>
  <r>
    <n v="9508"/>
    <x v="4763"/>
    <x v="267"/>
    <d v="2015-04-07T00:00:00"/>
    <s v="Second Class"/>
    <x v="76"/>
    <s v="Ruben Dartt"/>
    <x v="0"/>
    <s v="United States"/>
    <s v="Dearborn Heights"/>
    <x v="12"/>
    <n v="48127"/>
    <x v="2"/>
    <x v="1232"/>
    <x v="1"/>
    <x v="8"/>
    <x v="1215"/>
    <x v="452"/>
    <x v="3"/>
    <x v="2"/>
  </r>
  <r>
    <n v="9509"/>
    <x v="4763"/>
    <x v="267"/>
    <d v="2015-04-07T00:00:00"/>
    <s v="Second Class"/>
    <x v="76"/>
    <s v="Ruben Dartt"/>
    <x v="0"/>
    <s v="United States"/>
    <s v="Dearborn Heights"/>
    <x v="12"/>
    <n v="48127"/>
    <x v="2"/>
    <x v="182"/>
    <x v="1"/>
    <x v="6"/>
    <x v="183"/>
    <x v="4614"/>
    <x v="3"/>
    <x v="2"/>
  </r>
  <r>
    <n v="9510"/>
    <x v="4763"/>
    <x v="267"/>
    <d v="2015-04-07T00:00:00"/>
    <s v="Second Class"/>
    <x v="76"/>
    <s v="Ruben Dartt"/>
    <x v="0"/>
    <s v="United States"/>
    <s v="Dearborn Heights"/>
    <x v="12"/>
    <n v="48127"/>
    <x v="2"/>
    <x v="156"/>
    <x v="1"/>
    <x v="4"/>
    <x v="157"/>
    <x v="5638"/>
    <x v="3"/>
    <x v="2"/>
  </r>
  <r>
    <n v="9511"/>
    <x v="4764"/>
    <x v="876"/>
    <d v="2017-08-11T00:00:00"/>
    <s v="Standard Class"/>
    <x v="215"/>
    <s v="Liz MacKendrick"/>
    <x v="0"/>
    <s v="United States"/>
    <s v="New York City"/>
    <x v="15"/>
    <n v="10024"/>
    <x v="3"/>
    <x v="319"/>
    <x v="1"/>
    <x v="6"/>
    <x v="319"/>
    <x v="3631"/>
    <x v="6"/>
    <x v="0"/>
  </r>
  <r>
    <n v="9512"/>
    <x v="4765"/>
    <x v="637"/>
    <d v="2015-12-16T00:00:00"/>
    <s v="First Class"/>
    <x v="688"/>
    <s v="Cari Sayre"/>
    <x v="1"/>
    <s v="United States"/>
    <s v="Chicago"/>
    <x v="10"/>
    <n v="60623"/>
    <x v="2"/>
    <x v="1087"/>
    <x v="1"/>
    <x v="8"/>
    <x v="1077"/>
    <x v="1814"/>
    <x v="4"/>
    <x v="2"/>
  </r>
  <r>
    <n v="9513"/>
    <x v="4766"/>
    <x v="1109"/>
    <d v="2018-06-03T00:00:00"/>
    <s v="Second Class"/>
    <x v="409"/>
    <s v="Kean Thornton"/>
    <x v="0"/>
    <s v="United States"/>
    <s v="Dallas"/>
    <x v="5"/>
    <n v="75217"/>
    <x v="2"/>
    <x v="789"/>
    <x v="0"/>
    <x v="0"/>
    <x v="787"/>
    <x v="5639"/>
    <x v="5"/>
    <x v="3"/>
  </r>
  <r>
    <n v="9514"/>
    <x v="4767"/>
    <x v="500"/>
    <d v="2017-10-19T00:00:00"/>
    <s v="Standard Class"/>
    <x v="648"/>
    <s v="Bobby Elias"/>
    <x v="0"/>
    <s v="United States"/>
    <s v="Appleton"/>
    <x v="6"/>
    <n v="54915"/>
    <x v="2"/>
    <x v="764"/>
    <x v="2"/>
    <x v="11"/>
    <x v="763"/>
    <x v="5640"/>
    <x v="2"/>
    <x v="0"/>
  </r>
  <r>
    <n v="9515"/>
    <x v="4768"/>
    <x v="619"/>
    <d v="2015-03-18T00:00:00"/>
    <s v="Standard Class"/>
    <x v="739"/>
    <s v="Neil Französisch"/>
    <x v="2"/>
    <s v="United States"/>
    <s v="Jacksonville"/>
    <x v="2"/>
    <n v="32216"/>
    <x v="0"/>
    <x v="640"/>
    <x v="1"/>
    <x v="10"/>
    <x v="640"/>
    <x v="5641"/>
    <x v="10"/>
    <x v="2"/>
  </r>
  <r>
    <n v="9516"/>
    <x v="4769"/>
    <x v="1221"/>
    <d v="2015-02-24T00:00:00"/>
    <s v="Standard Class"/>
    <x v="111"/>
    <s v="Delfina Latchford"/>
    <x v="0"/>
    <s v="United States"/>
    <s v="Chicago"/>
    <x v="10"/>
    <n v="60653"/>
    <x v="2"/>
    <x v="1159"/>
    <x v="1"/>
    <x v="6"/>
    <x v="772"/>
    <x v="5642"/>
    <x v="11"/>
    <x v="2"/>
  </r>
  <r>
    <n v="9517"/>
    <x v="4770"/>
    <x v="252"/>
    <d v="2016-08-26T00:00:00"/>
    <s v="Second Class"/>
    <x v="384"/>
    <s v="Maurice Satty"/>
    <x v="0"/>
    <s v="United States"/>
    <s v="Bowling Green"/>
    <x v="24"/>
    <n v="43402"/>
    <x v="3"/>
    <x v="1250"/>
    <x v="2"/>
    <x v="7"/>
    <x v="1234"/>
    <x v="5643"/>
    <x v="6"/>
    <x v="1"/>
  </r>
  <r>
    <n v="9518"/>
    <x v="4770"/>
    <x v="252"/>
    <d v="2016-08-26T00:00:00"/>
    <s v="Second Class"/>
    <x v="384"/>
    <s v="Maurice Satty"/>
    <x v="0"/>
    <s v="United States"/>
    <s v="Bowling Green"/>
    <x v="24"/>
    <n v="43402"/>
    <x v="3"/>
    <x v="1186"/>
    <x v="1"/>
    <x v="2"/>
    <x v="1172"/>
    <x v="2721"/>
    <x v="6"/>
    <x v="1"/>
  </r>
  <r>
    <n v="9519"/>
    <x v="4770"/>
    <x v="252"/>
    <d v="2016-08-26T00:00:00"/>
    <s v="Second Class"/>
    <x v="384"/>
    <s v="Maurice Satty"/>
    <x v="0"/>
    <s v="United States"/>
    <s v="Bowling Green"/>
    <x v="24"/>
    <n v="43402"/>
    <x v="3"/>
    <x v="245"/>
    <x v="1"/>
    <x v="4"/>
    <x v="246"/>
    <x v="2708"/>
    <x v="6"/>
    <x v="1"/>
  </r>
  <r>
    <n v="9520"/>
    <x v="4771"/>
    <x v="540"/>
    <d v="2018-05-12T00:00:00"/>
    <s v="Second Class"/>
    <x v="514"/>
    <s v="Michelle Moray"/>
    <x v="0"/>
    <s v="United States"/>
    <s v="San Francisco"/>
    <x v="1"/>
    <n v="94110"/>
    <x v="1"/>
    <x v="1266"/>
    <x v="1"/>
    <x v="9"/>
    <x v="1250"/>
    <x v="5644"/>
    <x v="5"/>
    <x v="3"/>
  </r>
  <r>
    <n v="9521"/>
    <x v="4772"/>
    <x v="1084"/>
    <d v="2017-02-09T00:00:00"/>
    <s v="Standard Class"/>
    <x v="80"/>
    <s v="Jennifer Braxton"/>
    <x v="1"/>
    <s v="United States"/>
    <s v="Los Angeles"/>
    <x v="1"/>
    <n v="90049"/>
    <x v="1"/>
    <x v="243"/>
    <x v="1"/>
    <x v="4"/>
    <x v="244"/>
    <x v="5645"/>
    <x v="11"/>
    <x v="0"/>
  </r>
  <r>
    <n v="9522"/>
    <x v="4773"/>
    <x v="174"/>
    <d v="2015-12-25T00:00:00"/>
    <s v="Standard Class"/>
    <x v="611"/>
    <s v="Speros Goranitis"/>
    <x v="0"/>
    <s v="United States"/>
    <s v="Chicago"/>
    <x v="10"/>
    <n v="60623"/>
    <x v="2"/>
    <x v="1857"/>
    <x v="2"/>
    <x v="7"/>
    <x v="1845"/>
    <x v="824"/>
    <x v="4"/>
    <x v="2"/>
  </r>
  <r>
    <n v="9523"/>
    <x v="4773"/>
    <x v="174"/>
    <d v="2015-12-25T00:00:00"/>
    <s v="Standard Class"/>
    <x v="611"/>
    <s v="Speros Goranitis"/>
    <x v="0"/>
    <s v="United States"/>
    <s v="Chicago"/>
    <x v="10"/>
    <n v="60623"/>
    <x v="2"/>
    <x v="1798"/>
    <x v="1"/>
    <x v="10"/>
    <x v="1788"/>
    <x v="12"/>
    <x v="4"/>
    <x v="2"/>
  </r>
  <r>
    <n v="9524"/>
    <x v="4773"/>
    <x v="174"/>
    <d v="2015-12-25T00:00:00"/>
    <s v="Standard Class"/>
    <x v="611"/>
    <s v="Speros Goranitis"/>
    <x v="0"/>
    <s v="United States"/>
    <s v="Chicago"/>
    <x v="10"/>
    <n v="60623"/>
    <x v="2"/>
    <x v="1033"/>
    <x v="1"/>
    <x v="4"/>
    <x v="1024"/>
    <x v="5646"/>
    <x v="4"/>
    <x v="2"/>
  </r>
  <r>
    <n v="9525"/>
    <x v="4774"/>
    <x v="256"/>
    <d v="2018-12-06T00:00:00"/>
    <s v="First Class"/>
    <x v="583"/>
    <s v="Patrick Bzostek"/>
    <x v="2"/>
    <s v="United States"/>
    <s v="Seattle"/>
    <x v="4"/>
    <n v="98115"/>
    <x v="1"/>
    <x v="301"/>
    <x v="1"/>
    <x v="8"/>
    <x v="301"/>
    <x v="202"/>
    <x v="4"/>
    <x v="3"/>
  </r>
  <r>
    <n v="9526"/>
    <x v="4774"/>
    <x v="256"/>
    <d v="2018-12-06T00:00:00"/>
    <s v="First Class"/>
    <x v="583"/>
    <s v="Patrick Bzostek"/>
    <x v="2"/>
    <s v="United States"/>
    <s v="Seattle"/>
    <x v="4"/>
    <n v="98115"/>
    <x v="1"/>
    <x v="892"/>
    <x v="0"/>
    <x v="5"/>
    <x v="885"/>
    <x v="3255"/>
    <x v="4"/>
    <x v="3"/>
  </r>
  <r>
    <n v="9527"/>
    <x v="4774"/>
    <x v="256"/>
    <d v="2018-12-06T00:00:00"/>
    <s v="First Class"/>
    <x v="583"/>
    <s v="Patrick Bzostek"/>
    <x v="2"/>
    <s v="United States"/>
    <s v="Seattle"/>
    <x v="4"/>
    <n v="98115"/>
    <x v="1"/>
    <x v="780"/>
    <x v="2"/>
    <x v="7"/>
    <x v="779"/>
    <x v="5009"/>
    <x v="4"/>
    <x v="3"/>
  </r>
  <r>
    <n v="9528"/>
    <x v="4774"/>
    <x v="256"/>
    <d v="2018-12-06T00:00:00"/>
    <s v="First Class"/>
    <x v="583"/>
    <s v="Patrick Bzostek"/>
    <x v="2"/>
    <s v="United States"/>
    <s v="Seattle"/>
    <x v="4"/>
    <n v="98115"/>
    <x v="1"/>
    <x v="379"/>
    <x v="1"/>
    <x v="8"/>
    <x v="380"/>
    <x v="5647"/>
    <x v="4"/>
    <x v="3"/>
  </r>
  <r>
    <n v="9529"/>
    <x v="4774"/>
    <x v="256"/>
    <d v="2018-12-06T00:00:00"/>
    <s v="First Class"/>
    <x v="583"/>
    <s v="Patrick Bzostek"/>
    <x v="2"/>
    <s v="United States"/>
    <s v="Seattle"/>
    <x v="4"/>
    <n v="98115"/>
    <x v="1"/>
    <x v="699"/>
    <x v="1"/>
    <x v="8"/>
    <x v="699"/>
    <x v="3299"/>
    <x v="4"/>
    <x v="3"/>
  </r>
  <r>
    <n v="9530"/>
    <x v="4775"/>
    <x v="668"/>
    <d v="2018-03-25T00:00:00"/>
    <s v="Same Day"/>
    <x v="556"/>
    <s v="Ann Chong"/>
    <x v="1"/>
    <s v="United States"/>
    <s v="Beaumont"/>
    <x v="5"/>
    <n v="77705"/>
    <x v="2"/>
    <x v="861"/>
    <x v="1"/>
    <x v="4"/>
    <x v="855"/>
    <x v="2543"/>
    <x v="10"/>
    <x v="3"/>
  </r>
  <r>
    <n v="9531"/>
    <x v="4776"/>
    <x v="141"/>
    <d v="2018-07-12T00:00:00"/>
    <s v="Standard Class"/>
    <x v="280"/>
    <s v="Mathew Reese"/>
    <x v="2"/>
    <s v="United States"/>
    <s v="Seattle"/>
    <x v="4"/>
    <n v="98103"/>
    <x v="1"/>
    <x v="813"/>
    <x v="1"/>
    <x v="10"/>
    <x v="33"/>
    <x v="4780"/>
    <x v="7"/>
    <x v="3"/>
  </r>
  <r>
    <n v="9532"/>
    <x v="4777"/>
    <x v="40"/>
    <d v="2018-10-31T00:00:00"/>
    <s v="Standard Class"/>
    <x v="682"/>
    <s v="Benjamin Farhat"/>
    <x v="2"/>
    <s v="United States"/>
    <s v="Dallas"/>
    <x v="5"/>
    <n v="75217"/>
    <x v="2"/>
    <x v="1156"/>
    <x v="1"/>
    <x v="4"/>
    <x v="1144"/>
    <x v="5648"/>
    <x v="2"/>
    <x v="3"/>
  </r>
  <r>
    <n v="9533"/>
    <x v="4778"/>
    <x v="189"/>
    <d v="2017-10-31T00:00:00"/>
    <s v="Standard Class"/>
    <x v="572"/>
    <s v="Ben Wallace"/>
    <x v="0"/>
    <s v="United States"/>
    <s v="New York City"/>
    <x v="15"/>
    <n v="10011"/>
    <x v="3"/>
    <x v="1272"/>
    <x v="0"/>
    <x v="1"/>
    <x v="1257"/>
    <x v="5649"/>
    <x v="2"/>
    <x v="0"/>
  </r>
  <r>
    <n v="9534"/>
    <x v="4778"/>
    <x v="189"/>
    <d v="2017-10-31T00:00:00"/>
    <s v="Standard Class"/>
    <x v="572"/>
    <s v="Ben Wallace"/>
    <x v="0"/>
    <s v="United States"/>
    <s v="New York City"/>
    <x v="15"/>
    <n v="10011"/>
    <x v="3"/>
    <x v="195"/>
    <x v="1"/>
    <x v="13"/>
    <x v="196"/>
    <x v="5650"/>
    <x v="2"/>
    <x v="0"/>
  </r>
  <r>
    <n v="9535"/>
    <x v="4778"/>
    <x v="189"/>
    <d v="2017-10-31T00:00:00"/>
    <s v="Standard Class"/>
    <x v="572"/>
    <s v="Ben Wallace"/>
    <x v="0"/>
    <s v="United States"/>
    <s v="New York City"/>
    <x v="15"/>
    <n v="10011"/>
    <x v="3"/>
    <x v="1764"/>
    <x v="1"/>
    <x v="4"/>
    <x v="1753"/>
    <x v="3347"/>
    <x v="2"/>
    <x v="0"/>
  </r>
  <r>
    <n v="9536"/>
    <x v="4778"/>
    <x v="189"/>
    <d v="2017-10-31T00:00:00"/>
    <s v="Standard Class"/>
    <x v="572"/>
    <s v="Ben Wallace"/>
    <x v="0"/>
    <s v="United States"/>
    <s v="New York City"/>
    <x v="15"/>
    <n v="10011"/>
    <x v="3"/>
    <x v="525"/>
    <x v="1"/>
    <x v="8"/>
    <x v="525"/>
    <x v="1261"/>
    <x v="2"/>
    <x v="0"/>
  </r>
  <r>
    <n v="9537"/>
    <x v="4779"/>
    <x v="492"/>
    <d v="2018-06-14T00:00:00"/>
    <s v="Second Class"/>
    <x v="59"/>
    <s v="Troy Staebel"/>
    <x v="0"/>
    <s v="United States"/>
    <s v="Chicago"/>
    <x v="10"/>
    <n v="60610"/>
    <x v="2"/>
    <x v="1256"/>
    <x v="0"/>
    <x v="5"/>
    <x v="1240"/>
    <x v="3096"/>
    <x v="1"/>
    <x v="3"/>
  </r>
  <r>
    <n v="9538"/>
    <x v="4780"/>
    <x v="477"/>
    <d v="2017-09-27T00:00:00"/>
    <s v="First Class"/>
    <x v="442"/>
    <s v="Aaron Smayling"/>
    <x v="1"/>
    <s v="United States"/>
    <s v="San Francisco"/>
    <x v="1"/>
    <n v="94110"/>
    <x v="1"/>
    <x v="178"/>
    <x v="0"/>
    <x v="0"/>
    <x v="179"/>
    <x v="5651"/>
    <x v="8"/>
    <x v="0"/>
  </r>
  <r>
    <n v="9539"/>
    <x v="4781"/>
    <x v="210"/>
    <d v="2018-09-09T00:00:00"/>
    <s v="First Class"/>
    <x v="211"/>
    <s v="Allen Armold"/>
    <x v="0"/>
    <s v="United States"/>
    <s v="Providence"/>
    <x v="34"/>
    <n v="2908"/>
    <x v="3"/>
    <x v="938"/>
    <x v="1"/>
    <x v="10"/>
    <x v="931"/>
    <x v="2877"/>
    <x v="8"/>
    <x v="3"/>
  </r>
  <r>
    <n v="9540"/>
    <x v="4781"/>
    <x v="210"/>
    <d v="2018-09-09T00:00:00"/>
    <s v="First Class"/>
    <x v="211"/>
    <s v="Allen Armold"/>
    <x v="0"/>
    <s v="United States"/>
    <s v="Providence"/>
    <x v="34"/>
    <n v="2908"/>
    <x v="3"/>
    <x v="368"/>
    <x v="1"/>
    <x v="10"/>
    <x v="369"/>
    <x v="786"/>
    <x v="8"/>
    <x v="3"/>
  </r>
  <r>
    <n v="9541"/>
    <x v="4782"/>
    <x v="1222"/>
    <d v="2016-05-16T00:00:00"/>
    <s v="Second Class"/>
    <x v="28"/>
    <s v="Paul Stevenson"/>
    <x v="2"/>
    <s v="United States"/>
    <s v="Phoenix"/>
    <x v="16"/>
    <n v="85023"/>
    <x v="1"/>
    <x v="877"/>
    <x v="0"/>
    <x v="1"/>
    <x v="871"/>
    <x v="2950"/>
    <x v="5"/>
    <x v="1"/>
  </r>
  <r>
    <n v="9542"/>
    <x v="4783"/>
    <x v="705"/>
    <d v="2016-08-10T00:00:00"/>
    <s v="Standard Class"/>
    <x v="345"/>
    <s v="Rachel Payne"/>
    <x v="1"/>
    <s v="United States"/>
    <s v="Houston"/>
    <x v="5"/>
    <n v="77095"/>
    <x v="2"/>
    <x v="198"/>
    <x v="1"/>
    <x v="2"/>
    <x v="199"/>
    <x v="5652"/>
    <x v="6"/>
    <x v="1"/>
  </r>
  <r>
    <n v="9543"/>
    <x v="4783"/>
    <x v="705"/>
    <d v="2016-08-10T00:00:00"/>
    <s v="Standard Class"/>
    <x v="345"/>
    <s v="Rachel Payne"/>
    <x v="1"/>
    <s v="United States"/>
    <s v="Houston"/>
    <x v="5"/>
    <n v="77095"/>
    <x v="2"/>
    <x v="799"/>
    <x v="1"/>
    <x v="8"/>
    <x v="797"/>
    <x v="5653"/>
    <x v="6"/>
    <x v="1"/>
  </r>
  <r>
    <n v="9544"/>
    <x v="4783"/>
    <x v="705"/>
    <d v="2016-08-10T00:00:00"/>
    <s v="Standard Class"/>
    <x v="345"/>
    <s v="Rachel Payne"/>
    <x v="1"/>
    <s v="United States"/>
    <s v="Houston"/>
    <x v="5"/>
    <n v="77095"/>
    <x v="2"/>
    <x v="1733"/>
    <x v="1"/>
    <x v="10"/>
    <x v="1721"/>
    <x v="3849"/>
    <x v="6"/>
    <x v="1"/>
  </r>
  <r>
    <n v="9545"/>
    <x v="4783"/>
    <x v="705"/>
    <d v="2016-08-10T00:00:00"/>
    <s v="Standard Class"/>
    <x v="345"/>
    <s v="Rachel Payne"/>
    <x v="1"/>
    <s v="United States"/>
    <s v="Houston"/>
    <x v="5"/>
    <n v="77095"/>
    <x v="2"/>
    <x v="1103"/>
    <x v="0"/>
    <x v="0"/>
    <x v="1092"/>
    <x v="5654"/>
    <x v="6"/>
    <x v="1"/>
  </r>
  <r>
    <n v="9546"/>
    <x v="4784"/>
    <x v="194"/>
    <d v="2015-11-02T00:00:00"/>
    <s v="Standard Class"/>
    <x v="544"/>
    <s v="Noah Childs"/>
    <x v="1"/>
    <s v="United States"/>
    <s v="Columbus"/>
    <x v="14"/>
    <n v="47201"/>
    <x v="2"/>
    <x v="1430"/>
    <x v="2"/>
    <x v="11"/>
    <x v="1418"/>
    <x v="5013"/>
    <x v="2"/>
    <x v="2"/>
  </r>
  <r>
    <n v="9547"/>
    <x v="4784"/>
    <x v="194"/>
    <d v="2015-11-02T00:00:00"/>
    <s v="Standard Class"/>
    <x v="544"/>
    <s v="Noah Childs"/>
    <x v="1"/>
    <s v="United States"/>
    <s v="Columbus"/>
    <x v="14"/>
    <n v="47201"/>
    <x v="2"/>
    <x v="67"/>
    <x v="1"/>
    <x v="10"/>
    <x v="67"/>
    <x v="69"/>
    <x v="2"/>
    <x v="2"/>
  </r>
  <r>
    <n v="9548"/>
    <x v="4785"/>
    <x v="1133"/>
    <d v="2017-06-20T00:00:00"/>
    <s v="Second Class"/>
    <x v="34"/>
    <s v="Stewart Carmichael"/>
    <x v="1"/>
    <s v="United States"/>
    <s v="Philadelphia"/>
    <x v="9"/>
    <n v="19134"/>
    <x v="3"/>
    <x v="1532"/>
    <x v="1"/>
    <x v="10"/>
    <x v="1520"/>
    <x v="1297"/>
    <x v="1"/>
    <x v="0"/>
  </r>
  <r>
    <n v="9549"/>
    <x v="4785"/>
    <x v="1133"/>
    <d v="2017-06-20T00:00:00"/>
    <s v="Second Class"/>
    <x v="34"/>
    <s v="Stewart Carmichael"/>
    <x v="1"/>
    <s v="United States"/>
    <s v="Philadelphia"/>
    <x v="9"/>
    <n v="19134"/>
    <x v="3"/>
    <x v="8"/>
    <x v="1"/>
    <x v="8"/>
    <x v="8"/>
    <x v="5655"/>
    <x v="1"/>
    <x v="0"/>
  </r>
  <r>
    <n v="9550"/>
    <x v="4785"/>
    <x v="1133"/>
    <d v="2017-06-20T00:00:00"/>
    <s v="Second Class"/>
    <x v="34"/>
    <s v="Stewart Carmichael"/>
    <x v="1"/>
    <s v="United States"/>
    <s v="Philadelphia"/>
    <x v="9"/>
    <n v="19134"/>
    <x v="3"/>
    <x v="1141"/>
    <x v="1"/>
    <x v="9"/>
    <x v="1129"/>
    <x v="5656"/>
    <x v="1"/>
    <x v="0"/>
  </r>
  <r>
    <n v="9551"/>
    <x v="4786"/>
    <x v="910"/>
    <d v="2016-05-06T00:00:00"/>
    <s v="First Class"/>
    <x v="376"/>
    <s v="Nicole Fjeld"/>
    <x v="2"/>
    <s v="United States"/>
    <s v="San Jose"/>
    <x v="1"/>
    <n v="95123"/>
    <x v="1"/>
    <x v="68"/>
    <x v="1"/>
    <x v="8"/>
    <x v="68"/>
    <x v="5657"/>
    <x v="5"/>
    <x v="1"/>
  </r>
  <r>
    <n v="9552"/>
    <x v="4787"/>
    <x v="113"/>
    <d v="2016-11-14T00:00:00"/>
    <s v="Standard Class"/>
    <x v="710"/>
    <s v="Sam Craven"/>
    <x v="0"/>
    <s v="United States"/>
    <s v="Philadelphia"/>
    <x v="9"/>
    <n v="19140"/>
    <x v="3"/>
    <x v="772"/>
    <x v="1"/>
    <x v="4"/>
    <x v="771"/>
    <x v="5658"/>
    <x v="0"/>
    <x v="1"/>
  </r>
  <r>
    <n v="9553"/>
    <x v="4788"/>
    <x v="1051"/>
    <d v="2016-06-03T00:00:00"/>
    <s v="Standard Class"/>
    <x v="786"/>
    <s v="Brendan Dodson"/>
    <x v="2"/>
    <s v="United States"/>
    <s v="Springfield"/>
    <x v="17"/>
    <n v="22153"/>
    <x v="0"/>
    <x v="1302"/>
    <x v="2"/>
    <x v="11"/>
    <x v="1287"/>
    <x v="2946"/>
    <x v="5"/>
    <x v="1"/>
  </r>
  <r>
    <n v="9554"/>
    <x v="4789"/>
    <x v="897"/>
    <d v="2017-09-27T00:00:00"/>
    <s v="Standard Class"/>
    <x v="416"/>
    <s v="Suzanne McNair"/>
    <x v="1"/>
    <s v="United States"/>
    <s v="Broomfield"/>
    <x v="22"/>
    <n v="80020"/>
    <x v="1"/>
    <x v="390"/>
    <x v="0"/>
    <x v="5"/>
    <x v="391"/>
    <x v="5659"/>
    <x v="8"/>
    <x v="0"/>
  </r>
  <r>
    <n v="9555"/>
    <x v="4790"/>
    <x v="109"/>
    <d v="2016-12-02T00:00:00"/>
    <s v="Standard Class"/>
    <x v="686"/>
    <s v="Eugene Barchas"/>
    <x v="0"/>
    <s v="United States"/>
    <s v="Columbus"/>
    <x v="24"/>
    <n v="43229"/>
    <x v="3"/>
    <x v="90"/>
    <x v="0"/>
    <x v="5"/>
    <x v="90"/>
    <x v="4042"/>
    <x v="0"/>
    <x v="1"/>
  </r>
  <r>
    <n v="9556"/>
    <x v="4790"/>
    <x v="109"/>
    <d v="2016-12-02T00:00:00"/>
    <s v="Standard Class"/>
    <x v="686"/>
    <s v="Eugene Barchas"/>
    <x v="0"/>
    <s v="United States"/>
    <s v="Columbus"/>
    <x v="24"/>
    <n v="43229"/>
    <x v="3"/>
    <x v="1014"/>
    <x v="1"/>
    <x v="13"/>
    <x v="128"/>
    <x v="4917"/>
    <x v="0"/>
    <x v="1"/>
  </r>
  <r>
    <n v="9557"/>
    <x v="4791"/>
    <x v="155"/>
    <d v="2016-12-05T00:00:00"/>
    <s v="Second Class"/>
    <x v="6"/>
    <s v="Harold Pawlan"/>
    <x v="2"/>
    <s v="United States"/>
    <s v="Concord"/>
    <x v="38"/>
    <n v="3301"/>
    <x v="3"/>
    <x v="779"/>
    <x v="1"/>
    <x v="10"/>
    <x v="778"/>
    <x v="2337"/>
    <x v="4"/>
    <x v="1"/>
  </r>
  <r>
    <n v="9558"/>
    <x v="4792"/>
    <x v="1136"/>
    <d v="2015-10-19T00:00:00"/>
    <s v="Second Class"/>
    <x v="432"/>
    <s v="Evan Bailliet"/>
    <x v="0"/>
    <s v="United States"/>
    <s v="Houston"/>
    <x v="5"/>
    <n v="77095"/>
    <x v="2"/>
    <x v="1494"/>
    <x v="0"/>
    <x v="5"/>
    <x v="1482"/>
    <x v="5660"/>
    <x v="2"/>
    <x v="2"/>
  </r>
  <r>
    <n v="9559"/>
    <x v="4793"/>
    <x v="973"/>
    <d v="2017-05-05T00:00:00"/>
    <s v="First Class"/>
    <x v="792"/>
    <s v="Susan MacKendrick"/>
    <x v="0"/>
    <s v="United States"/>
    <s v="Newark"/>
    <x v="24"/>
    <n v="43055"/>
    <x v="3"/>
    <x v="217"/>
    <x v="2"/>
    <x v="11"/>
    <x v="463"/>
    <x v="608"/>
    <x v="5"/>
    <x v="0"/>
  </r>
  <r>
    <n v="9560"/>
    <x v="4793"/>
    <x v="973"/>
    <d v="2017-05-05T00:00:00"/>
    <s v="First Class"/>
    <x v="792"/>
    <s v="Susan MacKendrick"/>
    <x v="0"/>
    <s v="United States"/>
    <s v="Newark"/>
    <x v="24"/>
    <n v="43055"/>
    <x v="3"/>
    <x v="1166"/>
    <x v="1"/>
    <x v="4"/>
    <x v="1153"/>
    <x v="3483"/>
    <x v="5"/>
    <x v="0"/>
  </r>
  <r>
    <n v="9561"/>
    <x v="4793"/>
    <x v="973"/>
    <d v="2017-05-05T00:00:00"/>
    <s v="First Class"/>
    <x v="792"/>
    <s v="Susan MacKendrick"/>
    <x v="0"/>
    <s v="United States"/>
    <s v="Newark"/>
    <x v="24"/>
    <n v="43055"/>
    <x v="3"/>
    <x v="1416"/>
    <x v="0"/>
    <x v="5"/>
    <x v="1403"/>
    <x v="3417"/>
    <x v="5"/>
    <x v="0"/>
  </r>
  <r>
    <n v="9562"/>
    <x v="4793"/>
    <x v="973"/>
    <d v="2017-05-05T00:00:00"/>
    <s v="First Class"/>
    <x v="792"/>
    <s v="Susan MacKendrick"/>
    <x v="0"/>
    <s v="United States"/>
    <s v="Newark"/>
    <x v="24"/>
    <n v="43055"/>
    <x v="3"/>
    <x v="1332"/>
    <x v="2"/>
    <x v="11"/>
    <x v="1317"/>
    <x v="2087"/>
    <x v="5"/>
    <x v="0"/>
  </r>
  <r>
    <n v="9563"/>
    <x v="4793"/>
    <x v="973"/>
    <d v="2017-05-05T00:00:00"/>
    <s v="First Class"/>
    <x v="792"/>
    <s v="Susan MacKendrick"/>
    <x v="0"/>
    <s v="United States"/>
    <s v="Newark"/>
    <x v="24"/>
    <n v="43055"/>
    <x v="3"/>
    <x v="1858"/>
    <x v="2"/>
    <x v="15"/>
    <x v="1846"/>
    <x v="5661"/>
    <x v="5"/>
    <x v="0"/>
  </r>
  <r>
    <n v="9564"/>
    <x v="4793"/>
    <x v="973"/>
    <d v="2017-05-05T00:00:00"/>
    <s v="First Class"/>
    <x v="792"/>
    <s v="Susan MacKendrick"/>
    <x v="0"/>
    <s v="United States"/>
    <s v="Newark"/>
    <x v="24"/>
    <n v="43055"/>
    <x v="3"/>
    <x v="1345"/>
    <x v="1"/>
    <x v="2"/>
    <x v="1330"/>
    <x v="1603"/>
    <x v="5"/>
    <x v="0"/>
  </r>
  <r>
    <n v="9565"/>
    <x v="4794"/>
    <x v="932"/>
    <d v="2016-06-08T00:00:00"/>
    <s v="Standard Class"/>
    <x v="344"/>
    <s v="Catherine Glotzbach"/>
    <x v="2"/>
    <s v="United States"/>
    <s v="Los Angeles"/>
    <x v="1"/>
    <n v="90045"/>
    <x v="1"/>
    <x v="1017"/>
    <x v="1"/>
    <x v="10"/>
    <x v="1008"/>
    <x v="2660"/>
    <x v="1"/>
    <x v="1"/>
  </r>
  <r>
    <n v="9566"/>
    <x v="4795"/>
    <x v="691"/>
    <d v="2015-03-31T00:00:00"/>
    <s v="Same Day"/>
    <x v="228"/>
    <s v="Trudy Glocke"/>
    <x v="0"/>
    <s v="United States"/>
    <s v="Tampa"/>
    <x v="2"/>
    <n v="33614"/>
    <x v="0"/>
    <x v="228"/>
    <x v="0"/>
    <x v="1"/>
    <x v="229"/>
    <x v="5662"/>
    <x v="10"/>
    <x v="2"/>
  </r>
  <r>
    <n v="9567"/>
    <x v="4795"/>
    <x v="691"/>
    <d v="2015-03-31T00:00:00"/>
    <s v="Same Day"/>
    <x v="228"/>
    <s v="Trudy Glocke"/>
    <x v="0"/>
    <s v="United States"/>
    <s v="Tampa"/>
    <x v="2"/>
    <n v="33614"/>
    <x v="0"/>
    <x v="674"/>
    <x v="1"/>
    <x v="8"/>
    <x v="674"/>
    <x v="5663"/>
    <x v="10"/>
    <x v="2"/>
  </r>
  <r>
    <n v="9568"/>
    <x v="4795"/>
    <x v="691"/>
    <d v="2015-03-31T00:00:00"/>
    <s v="Same Day"/>
    <x v="228"/>
    <s v="Trudy Glocke"/>
    <x v="0"/>
    <s v="United States"/>
    <s v="Tampa"/>
    <x v="2"/>
    <n v="33614"/>
    <x v="0"/>
    <x v="183"/>
    <x v="1"/>
    <x v="6"/>
    <x v="184"/>
    <x v="5664"/>
    <x v="10"/>
    <x v="2"/>
  </r>
  <r>
    <n v="9569"/>
    <x v="4796"/>
    <x v="957"/>
    <d v="2018-07-07T00:00:00"/>
    <s v="First Class"/>
    <x v="460"/>
    <s v="Damala Kotsonis"/>
    <x v="1"/>
    <s v="United States"/>
    <s v="Fremont"/>
    <x v="8"/>
    <n v="68025"/>
    <x v="2"/>
    <x v="125"/>
    <x v="2"/>
    <x v="7"/>
    <x v="126"/>
    <x v="1095"/>
    <x v="7"/>
    <x v="3"/>
  </r>
  <r>
    <n v="9570"/>
    <x v="4797"/>
    <x v="496"/>
    <d v="2016-09-24T00:00:00"/>
    <s v="Same Day"/>
    <x v="93"/>
    <s v="Maria Bertelson"/>
    <x v="0"/>
    <s v="United States"/>
    <s v="Columbus"/>
    <x v="24"/>
    <n v="43229"/>
    <x v="3"/>
    <x v="1390"/>
    <x v="1"/>
    <x v="8"/>
    <x v="1376"/>
    <x v="5665"/>
    <x v="8"/>
    <x v="1"/>
  </r>
  <r>
    <n v="9571"/>
    <x v="4797"/>
    <x v="496"/>
    <d v="2016-09-24T00:00:00"/>
    <s v="Same Day"/>
    <x v="93"/>
    <s v="Maria Bertelson"/>
    <x v="0"/>
    <s v="United States"/>
    <s v="Columbus"/>
    <x v="24"/>
    <n v="43229"/>
    <x v="3"/>
    <x v="1222"/>
    <x v="1"/>
    <x v="4"/>
    <x v="1206"/>
    <x v="2939"/>
    <x v="8"/>
    <x v="1"/>
  </r>
  <r>
    <n v="9572"/>
    <x v="4797"/>
    <x v="496"/>
    <d v="2016-09-24T00:00:00"/>
    <s v="Same Day"/>
    <x v="93"/>
    <s v="Maria Bertelson"/>
    <x v="0"/>
    <s v="United States"/>
    <s v="Columbus"/>
    <x v="24"/>
    <n v="43229"/>
    <x v="3"/>
    <x v="1652"/>
    <x v="1"/>
    <x v="12"/>
    <x v="1641"/>
    <x v="3329"/>
    <x v="8"/>
    <x v="1"/>
  </r>
  <r>
    <n v="9573"/>
    <x v="4797"/>
    <x v="496"/>
    <d v="2016-09-24T00:00:00"/>
    <s v="Same Day"/>
    <x v="93"/>
    <s v="Maria Bertelson"/>
    <x v="0"/>
    <s v="United States"/>
    <s v="Columbus"/>
    <x v="24"/>
    <n v="43229"/>
    <x v="3"/>
    <x v="580"/>
    <x v="1"/>
    <x v="2"/>
    <x v="580"/>
    <x v="4362"/>
    <x v="8"/>
    <x v="1"/>
  </r>
  <r>
    <n v="9574"/>
    <x v="4797"/>
    <x v="496"/>
    <d v="2016-09-24T00:00:00"/>
    <s v="Same Day"/>
    <x v="93"/>
    <s v="Maria Bertelson"/>
    <x v="0"/>
    <s v="United States"/>
    <s v="Columbus"/>
    <x v="24"/>
    <n v="43229"/>
    <x v="3"/>
    <x v="1046"/>
    <x v="1"/>
    <x v="6"/>
    <x v="1035"/>
    <x v="854"/>
    <x v="8"/>
    <x v="1"/>
  </r>
  <r>
    <n v="9575"/>
    <x v="4798"/>
    <x v="863"/>
    <d v="2016-08-13T00:00:00"/>
    <s v="Same Day"/>
    <x v="11"/>
    <s v="Sandra Flanagan"/>
    <x v="0"/>
    <s v="United States"/>
    <s v="Pomona"/>
    <x v="1"/>
    <n v="91767"/>
    <x v="1"/>
    <x v="1172"/>
    <x v="0"/>
    <x v="5"/>
    <x v="1158"/>
    <x v="610"/>
    <x v="6"/>
    <x v="1"/>
  </r>
  <r>
    <n v="9576"/>
    <x v="4799"/>
    <x v="989"/>
    <d v="2016-05-28T00:00:00"/>
    <s v="Second Class"/>
    <x v="519"/>
    <s v="Pamela Stobb"/>
    <x v="0"/>
    <s v="United States"/>
    <s v="San Antonio"/>
    <x v="5"/>
    <n v="78207"/>
    <x v="2"/>
    <x v="83"/>
    <x v="0"/>
    <x v="1"/>
    <x v="83"/>
    <x v="5666"/>
    <x v="5"/>
    <x v="1"/>
  </r>
  <r>
    <n v="9577"/>
    <x v="4799"/>
    <x v="989"/>
    <d v="2016-05-28T00:00:00"/>
    <s v="Second Class"/>
    <x v="519"/>
    <s v="Pamela Stobb"/>
    <x v="0"/>
    <s v="United States"/>
    <s v="San Antonio"/>
    <x v="5"/>
    <n v="78207"/>
    <x v="2"/>
    <x v="1093"/>
    <x v="2"/>
    <x v="15"/>
    <x v="1083"/>
    <x v="1448"/>
    <x v="5"/>
    <x v="1"/>
  </r>
  <r>
    <n v="9578"/>
    <x v="4799"/>
    <x v="989"/>
    <d v="2016-05-28T00:00:00"/>
    <s v="Second Class"/>
    <x v="519"/>
    <s v="Pamela Stobb"/>
    <x v="0"/>
    <s v="United States"/>
    <s v="San Antonio"/>
    <x v="5"/>
    <n v="78207"/>
    <x v="2"/>
    <x v="1144"/>
    <x v="0"/>
    <x v="1"/>
    <x v="1132"/>
    <x v="5667"/>
    <x v="5"/>
    <x v="1"/>
  </r>
  <r>
    <n v="9579"/>
    <x v="4800"/>
    <x v="32"/>
    <d v="2018-09-16T00:00:00"/>
    <s v="First Class"/>
    <x v="42"/>
    <s v="Roger Barcio"/>
    <x v="2"/>
    <s v="United States"/>
    <s v="New York City"/>
    <x v="15"/>
    <n v="10035"/>
    <x v="3"/>
    <x v="907"/>
    <x v="2"/>
    <x v="7"/>
    <x v="899"/>
    <x v="5668"/>
    <x v="8"/>
    <x v="3"/>
  </r>
  <r>
    <n v="9580"/>
    <x v="4800"/>
    <x v="32"/>
    <d v="2018-09-16T00:00:00"/>
    <s v="First Class"/>
    <x v="42"/>
    <s v="Roger Barcio"/>
    <x v="2"/>
    <s v="United States"/>
    <s v="New York City"/>
    <x v="15"/>
    <n v="10035"/>
    <x v="3"/>
    <x v="1043"/>
    <x v="1"/>
    <x v="4"/>
    <x v="1032"/>
    <x v="554"/>
    <x v="8"/>
    <x v="3"/>
  </r>
  <r>
    <n v="9581"/>
    <x v="4800"/>
    <x v="32"/>
    <d v="2018-09-16T00:00:00"/>
    <s v="First Class"/>
    <x v="42"/>
    <s v="Roger Barcio"/>
    <x v="2"/>
    <s v="United States"/>
    <s v="New York City"/>
    <x v="15"/>
    <n v="10035"/>
    <x v="3"/>
    <x v="758"/>
    <x v="1"/>
    <x v="6"/>
    <x v="756"/>
    <x v="5453"/>
    <x v="8"/>
    <x v="3"/>
  </r>
  <r>
    <n v="9582"/>
    <x v="4800"/>
    <x v="32"/>
    <d v="2018-09-16T00:00:00"/>
    <s v="First Class"/>
    <x v="42"/>
    <s v="Roger Barcio"/>
    <x v="2"/>
    <s v="United States"/>
    <s v="New York City"/>
    <x v="15"/>
    <n v="10035"/>
    <x v="3"/>
    <x v="1585"/>
    <x v="0"/>
    <x v="1"/>
    <x v="1576"/>
    <x v="4302"/>
    <x v="8"/>
    <x v="3"/>
  </r>
  <r>
    <n v="9583"/>
    <x v="4801"/>
    <x v="843"/>
    <d v="2017-06-11T00:00:00"/>
    <s v="Standard Class"/>
    <x v="789"/>
    <s v="Roy Skaria"/>
    <x v="2"/>
    <s v="United States"/>
    <s v="Philadelphia"/>
    <x v="9"/>
    <n v="19120"/>
    <x v="3"/>
    <x v="131"/>
    <x v="1"/>
    <x v="13"/>
    <x v="132"/>
    <x v="2081"/>
    <x v="1"/>
    <x v="0"/>
  </r>
  <r>
    <n v="9584"/>
    <x v="4802"/>
    <x v="643"/>
    <d v="2018-06-27T00:00:00"/>
    <s v="Second Class"/>
    <x v="766"/>
    <s v="Sarah Brown"/>
    <x v="0"/>
    <s v="United States"/>
    <s v="New York City"/>
    <x v="15"/>
    <n v="10024"/>
    <x v="3"/>
    <x v="1248"/>
    <x v="0"/>
    <x v="0"/>
    <x v="1232"/>
    <x v="5669"/>
    <x v="1"/>
    <x v="3"/>
  </r>
  <r>
    <n v="9585"/>
    <x v="4803"/>
    <x v="775"/>
    <d v="2018-08-27T00:00:00"/>
    <s v="First Class"/>
    <x v="707"/>
    <s v="Heather Jas"/>
    <x v="2"/>
    <s v="United States"/>
    <s v="Detroit"/>
    <x v="12"/>
    <n v="48234"/>
    <x v="2"/>
    <x v="1031"/>
    <x v="1"/>
    <x v="4"/>
    <x v="1022"/>
    <x v="2062"/>
    <x v="6"/>
    <x v="3"/>
  </r>
  <r>
    <n v="9586"/>
    <x v="4804"/>
    <x v="370"/>
    <d v="2017-08-28T00:00:00"/>
    <s v="First Class"/>
    <x v="458"/>
    <s v="Stuart Van"/>
    <x v="1"/>
    <s v="United States"/>
    <s v="Miami"/>
    <x v="2"/>
    <n v="33142"/>
    <x v="0"/>
    <x v="1413"/>
    <x v="1"/>
    <x v="10"/>
    <x v="1400"/>
    <x v="5670"/>
    <x v="6"/>
    <x v="0"/>
  </r>
  <r>
    <n v="9587"/>
    <x v="4805"/>
    <x v="741"/>
    <d v="2017-11-18T00:00:00"/>
    <s v="Same Day"/>
    <x v="648"/>
    <s v="Bobby Elias"/>
    <x v="0"/>
    <s v="United States"/>
    <s v="Concord"/>
    <x v="1"/>
    <n v="94521"/>
    <x v="1"/>
    <x v="1329"/>
    <x v="1"/>
    <x v="8"/>
    <x v="1314"/>
    <x v="2139"/>
    <x v="0"/>
    <x v="0"/>
  </r>
  <r>
    <n v="9588"/>
    <x v="4806"/>
    <x v="827"/>
    <d v="2018-04-22T00:00:00"/>
    <s v="Standard Class"/>
    <x v="606"/>
    <s v="Brendan Murry"/>
    <x v="1"/>
    <s v="United States"/>
    <s v="Chicago"/>
    <x v="10"/>
    <n v="60653"/>
    <x v="2"/>
    <x v="886"/>
    <x v="1"/>
    <x v="4"/>
    <x v="879"/>
    <x v="2417"/>
    <x v="3"/>
    <x v="3"/>
  </r>
  <r>
    <n v="9589"/>
    <x v="4807"/>
    <x v="283"/>
    <d v="2018-07-28T00:00:00"/>
    <s v="Standard Class"/>
    <x v="616"/>
    <s v="Annie Zypern"/>
    <x v="0"/>
    <s v="United States"/>
    <s v="Wheeling"/>
    <x v="10"/>
    <n v="60090"/>
    <x v="2"/>
    <x v="108"/>
    <x v="1"/>
    <x v="6"/>
    <x v="108"/>
    <x v="5671"/>
    <x v="7"/>
    <x v="3"/>
  </r>
  <r>
    <n v="9590"/>
    <x v="4808"/>
    <x v="218"/>
    <d v="2015-05-15T00:00:00"/>
    <s v="Standard Class"/>
    <x v="787"/>
    <s v="Harold Dahlen"/>
    <x v="2"/>
    <s v="United States"/>
    <s v="Chicago"/>
    <x v="10"/>
    <n v="60610"/>
    <x v="2"/>
    <x v="1749"/>
    <x v="1"/>
    <x v="10"/>
    <x v="1739"/>
    <x v="1121"/>
    <x v="5"/>
    <x v="2"/>
  </r>
  <r>
    <n v="9591"/>
    <x v="4808"/>
    <x v="218"/>
    <d v="2015-05-15T00:00:00"/>
    <s v="Standard Class"/>
    <x v="787"/>
    <s v="Harold Dahlen"/>
    <x v="2"/>
    <s v="United States"/>
    <s v="Chicago"/>
    <x v="10"/>
    <n v="60610"/>
    <x v="2"/>
    <x v="920"/>
    <x v="1"/>
    <x v="8"/>
    <x v="912"/>
    <x v="4028"/>
    <x v="5"/>
    <x v="2"/>
  </r>
  <r>
    <n v="9592"/>
    <x v="4809"/>
    <x v="1062"/>
    <d v="2017-08-01T00:00:00"/>
    <s v="Standard Class"/>
    <x v="593"/>
    <s v="Barry Franz"/>
    <x v="2"/>
    <s v="United States"/>
    <s v="Pasadena"/>
    <x v="5"/>
    <n v="77506"/>
    <x v="2"/>
    <x v="893"/>
    <x v="0"/>
    <x v="5"/>
    <x v="886"/>
    <x v="3137"/>
    <x v="7"/>
    <x v="0"/>
  </r>
  <r>
    <n v="9593"/>
    <x v="4809"/>
    <x v="1062"/>
    <d v="2017-08-01T00:00:00"/>
    <s v="Standard Class"/>
    <x v="593"/>
    <s v="Barry Franz"/>
    <x v="2"/>
    <s v="United States"/>
    <s v="Pasadena"/>
    <x v="5"/>
    <n v="77506"/>
    <x v="2"/>
    <x v="1814"/>
    <x v="0"/>
    <x v="5"/>
    <x v="1804"/>
    <x v="5672"/>
    <x v="7"/>
    <x v="0"/>
  </r>
  <r>
    <n v="9594"/>
    <x v="4810"/>
    <x v="32"/>
    <d v="2018-09-19T00:00:00"/>
    <s v="Standard Class"/>
    <x v="521"/>
    <s v="Henia Zydlo"/>
    <x v="0"/>
    <s v="United States"/>
    <s v="New York City"/>
    <x v="15"/>
    <n v="10024"/>
    <x v="3"/>
    <x v="1489"/>
    <x v="1"/>
    <x v="10"/>
    <x v="1476"/>
    <x v="18"/>
    <x v="8"/>
    <x v="3"/>
  </r>
  <r>
    <n v="9595"/>
    <x v="4810"/>
    <x v="32"/>
    <d v="2018-09-19T00:00:00"/>
    <s v="Standard Class"/>
    <x v="521"/>
    <s v="Henia Zydlo"/>
    <x v="0"/>
    <s v="United States"/>
    <s v="New York City"/>
    <x v="15"/>
    <n v="10024"/>
    <x v="3"/>
    <x v="371"/>
    <x v="1"/>
    <x v="10"/>
    <x v="372"/>
    <x v="1049"/>
    <x v="8"/>
    <x v="3"/>
  </r>
  <r>
    <n v="9596"/>
    <x v="4811"/>
    <x v="714"/>
    <d v="2018-01-29T00:00:00"/>
    <s v="Standard Class"/>
    <x v="470"/>
    <s v="Keith Dawkins"/>
    <x v="1"/>
    <s v="United States"/>
    <s v="San Jose"/>
    <x v="1"/>
    <n v="95123"/>
    <x v="1"/>
    <x v="22"/>
    <x v="1"/>
    <x v="9"/>
    <x v="22"/>
    <x v="3039"/>
    <x v="9"/>
    <x v="3"/>
  </r>
  <r>
    <n v="9597"/>
    <x v="4811"/>
    <x v="714"/>
    <d v="2018-01-29T00:00:00"/>
    <s v="Standard Class"/>
    <x v="470"/>
    <s v="Keith Dawkins"/>
    <x v="1"/>
    <s v="United States"/>
    <s v="San Jose"/>
    <x v="1"/>
    <n v="95123"/>
    <x v="1"/>
    <x v="1591"/>
    <x v="1"/>
    <x v="8"/>
    <x v="1583"/>
    <x v="4604"/>
    <x v="9"/>
    <x v="3"/>
  </r>
  <r>
    <n v="9598"/>
    <x v="4811"/>
    <x v="714"/>
    <d v="2018-01-29T00:00:00"/>
    <s v="Standard Class"/>
    <x v="470"/>
    <s v="Keith Dawkins"/>
    <x v="1"/>
    <s v="United States"/>
    <s v="San Jose"/>
    <x v="1"/>
    <n v="95123"/>
    <x v="1"/>
    <x v="1676"/>
    <x v="2"/>
    <x v="7"/>
    <x v="1664"/>
    <x v="3342"/>
    <x v="9"/>
    <x v="3"/>
  </r>
  <r>
    <n v="9599"/>
    <x v="4812"/>
    <x v="444"/>
    <d v="2016-09-23T00:00:00"/>
    <s v="Standard Class"/>
    <x v="763"/>
    <s v="Frank Carlisle"/>
    <x v="2"/>
    <s v="United States"/>
    <s v="Sacramento"/>
    <x v="1"/>
    <n v="95823"/>
    <x v="1"/>
    <x v="1492"/>
    <x v="0"/>
    <x v="5"/>
    <x v="1479"/>
    <x v="3909"/>
    <x v="8"/>
    <x v="1"/>
  </r>
  <r>
    <n v="9600"/>
    <x v="4813"/>
    <x v="1223"/>
    <d v="2016-04-18T00:00:00"/>
    <s v="Standard Class"/>
    <x v="236"/>
    <s v="Theone Pippenger"/>
    <x v="0"/>
    <s v="United States"/>
    <s v="Springfield"/>
    <x v="21"/>
    <n v="97477"/>
    <x v="1"/>
    <x v="1324"/>
    <x v="1"/>
    <x v="9"/>
    <x v="1311"/>
    <x v="5673"/>
    <x v="3"/>
    <x v="1"/>
  </r>
  <r>
    <n v="9601"/>
    <x v="4814"/>
    <x v="540"/>
    <d v="2018-05-11T00:00:00"/>
    <s v="Second Class"/>
    <x v="182"/>
    <s v="Ed Braxton"/>
    <x v="1"/>
    <s v="United States"/>
    <s v="Mansfield"/>
    <x v="5"/>
    <n v="76063"/>
    <x v="2"/>
    <x v="1465"/>
    <x v="1"/>
    <x v="10"/>
    <x v="1451"/>
    <x v="753"/>
    <x v="5"/>
    <x v="3"/>
  </r>
  <r>
    <n v="9602"/>
    <x v="4815"/>
    <x v="913"/>
    <d v="2017-09-09T00:00:00"/>
    <s v="Standard Class"/>
    <x v="187"/>
    <s v="Jeremy Pistek"/>
    <x v="0"/>
    <s v="United States"/>
    <s v="Jonesboro"/>
    <x v="36"/>
    <n v="72401"/>
    <x v="0"/>
    <x v="1052"/>
    <x v="1"/>
    <x v="10"/>
    <x v="1041"/>
    <x v="5674"/>
    <x v="8"/>
    <x v="0"/>
  </r>
  <r>
    <n v="9603"/>
    <x v="4816"/>
    <x v="946"/>
    <d v="2015-05-22T00:00:00"/>
    <s v="First Class"/>
    <x v="143"/>
    <s v="Tamara Dahlen"/>
    <x v="0"/>
    <s v="United States"/>
    <s v="Virginia Beach"/>
    <x v="17"/>
    <n v="23464"/>
    <x v="0"/>
    <x v="1726"/>
    <x v="1"/>
    <x v="14"/>
    <x v="1713"/>
    <x v="5675"/>
    <x v="5"/>
    <x v="2"/>
  </r>
  <r>
    <n v="9604"/>
    <x v="4817"/>
    <x v="26"/>
    <d v="2017-06-23T00:00:00"/>
    <s v="Standard Class"/>
    <x v="664"/>
    <s v="Denise Monton"/>
    <x v="1"/>
    <s v="United States"/>
    <s v="Rochester"/>
    <x v="15"/>
    <n v="14609"/>
    <x v="3"/>
    <x v="1021"/>
    <x v="0"/>
    <x v="3"/>
    <x v="1012"/>
    <x v="5676"/>
    <x v="1"/>
    <x v="0"/>
  </r>
  <r>
    <n v="9605"/>
    <x v="4818"/>
    <x v="121"/>
    <d v="2016-11-05T00:00:00"/>
    <s v="First Class"/>
    <x v="283"/>
    <s v="Emily Grady"/>
    <x v="0"/>
    <s v="United States"/>
    <s v="Chesapeake"/>
    <x v="17"/>
    <n v="23320"/>
    <x v="0"/>
    <x v="1859"/>
    <x v="1"/>
    <x v="9"/>
    <x v="1847"/>
    <x v="5677"/>
    <x v="0"/>
    <x v="1"/>
  </r>
  <r>
    <n v="9606"/>
    <x v="4819"/>
    <x v="259"/>
    <d v="2018-11-09T00:00:00"/>
    <s v="Standard Class"/>
    <x v="428"/>
    <s v="Henry Goldwyn"/>
    <x v="1"/>
    <s v="United States"/>
    <s v="Lancaster"/>
    <x v="24"/>
    <n v="43130"/>
    <x v="3"/>
    <x v="176"/>
    <x v="2"/>
    <x v="11"/>
    <x v="177"/>
    <x v="5678"/>
    <x v="0"/>
    <x v="3"/>
  </r>
  <r>
    <n v="9607"/>
    <x v="4819"/>
    <x v="259"/>
    <d v="2018-11-09T00:00:00"/>
    <s v="Standard Class"/>
    <x v="428"/>
    <s v="Henry Goldwyn"/>
    <x v="1"/>
    <s v="United States"/>
    <s v="Lancaster"/>
    <x v="24"/>
    <n v="43130"/>
    <x v="3"/>
    <x v="871"/>
    <x v="1"/>
    <x v="4"/>
    <x v="865"/>
    <x v="4732"/>
    <x v="0"/>
    <x v="3"/>
  </r>
  <r>
    <n v="9608"/>
    <x v="4820"/>
    <x v="256"/>
    <d v="2018-12-08T00:00:00"/>
    <s v="Second Class"/>
    <x v="569"/>
    <s v="Bart Folk"/>
    <x v="0"/>
    <s v="United States"/>
    <s v="New York City"/>
    <x v="15"/>
    <n v="10024"/>
    <x v="3"/>
    <x v="1552"/>
    <x v="1"/>
    <x v="10"/>
    <x v="1540"/>
    <x v="5679"/>
    <x v="4"/>
    <x v="3"/>
  </r>
  <r>
    <n v="9609"/>
    <x v="4820"/>
    <x v="256"/>
    <d v="2018-12-08T00:00:00"/>
    <s v="Second Class"/>
    <x v="569"/>
    <s v="Bart Folk"/>
    <x v="0"/>
    <s v="United States"/>
    <s v="New York City"/>
    <x v="15"/>
    <n v="10024"/>
    <x v="3"/>
    <x v="1238"/>
    <x v="1"/>
    <x v="2"/>
    <x v="1221"/>
    <x v="466"/>
    <x v="4"/>
    <x v="3"/>
  </r>
  <r>
    <n v="9610"/>
    <x v="4821"/>
    <x v="458"/>
    <d v="2017-05-19T00:00:00"/>
    <s v="Second Class"/>
    <x v="183"/>
    <s v="Sanjit Chand"/>
    <x v="0"/>
    <s v="United States"/>
    <s v="Los Angeles"/>
    <x v="1"/>
    <n v="90045"/>
    <x v="1"/>
    <x v="1454"/>
    <x v="0"/>
    <x v="5"/>
    <x v="1440"/>
    <x v="5680"/>
    <x v="5"/>
    <x v="0"/>
  </r>
  <r>
    <n v="9611"/>
    <x v="4821"/>
    <x v="458"/>
    <d v="2017-05-19T00:00:00"/>
    <s v="Second Class"/>
    <x v="183"/>
    <s v="Sanjit Chand"/>
    <x v="0"/>
    <s v="United States"/>
    <s v="Los Angeles"/>
    <x v="1"/>
    <n v="90045"/>
    <x v="1"/>
    <x v="1038"/>
    <x v="1"/>
    <x v="2"/>
    <x v="1028"/>
    <x v="1777"/>
    <x v="5"/>
    <x v="0"/>
  </r>
  <r>
    <n v="9612"/>
    <x v="4822"/>
    <x v="1200"/>
    <d v="2018-10-30T00:00:00"/>
    <s v="Standard Class"/>
    <x v="229"/>
    <s v="Carlos Soltero"/>
    <x v="0"/>
    <s v="United States"/>
    <s v="Jackson"/>
    <x v="35"/>
    <n v="39212"/>
    <x v="0"/>
    <x v="848"/>
    <x v="1"/>
    <x v="13"/>
    <x v="128"/>
    <x v="2582"/>
    <x v="2"/>
    <x v="3"/>
  </r>
  <r>
    <n v="9613"/>
    <x v="4823"/>
    <x v="31"/>
    <d v="2017-09-22T00:00:00"/>
    <s v="Standard Class"/>
    <x v="217"/>
    <s v="Bill Donatelli"/>
    <x v="0"/>
    <s v="United States"/>
    <s v="Woodland"/>
    <x v="1"/>
    <n v="95695"/>
    <x v="1"/>
    <x v="1501"/>
    <x v="2"/>
    <x v="7"/>
    <x v="1489"/>
    <x v="2507"/>
    <x v="8"/>
    <x v="0"/>
  </r>
  <r>
    <n v="9614"/>
    <x v="4824"/>
    <x v="7"/>
    <d v="2015-11-13T00:00:00"/>
    <s v="First Class"/>
    <x v="89"/>
    <s v="Mary Zewe"/>
    <x v="1"/>
    <s v="United States"/>
    <s v="Seattle"/>
    <x v="4"/>
    <n v="98115"/>
    <x v="1"/>
    <x v="9"/>
    <x v="1"/>
    <x v="9"/>
    <x v="9"/>
    <x v="5681"/>
    <x v="0"/>
    <x v="2"/>
  </r>
  <r>
    <n v="9615"/>
    <x v="4824"/>
    <x v="7"/>
    <d v="2015-11-13T00:00:00"/>
    <s v="First Class"/>
    <x v="89"/>
    <s v="Mary Zewe"/>
    <x v="1"/>
    <s v="United States"/>
    <s v="Seattle"/>
    <x v="4"/>
    <n v="98115"/>
    <x v="1"/>
    <x v="1207"/>
    <x v="2"/>
    <x v="11"/>
    <x v="1192"/>
    <x v="5682"/>
    <x v="0"/>
    <x v="2"/>
  </r>
  <r>
    <n v="9616"/>
    <x v="4824"/>
    <x v="7"/>
    <d v="2015-11-13T00:00:00"/>
    <s v="First Class"/>
    <x v="89"/>
    <s v="Mary Zewe"/>
    <x v="1"/>
    <s v="United States"/>
    <s v="Seattle"/>
    <x v="4"/>
    <n v="98115"/>
    <x v="1"/>
    <x v="450"/>
    <x v="1"/>
    <x v="8"/>
    <x v="451"/>
    <x v="5683"/>
    <x v="0"/>
    <x v="2"/>
  </r>
  <r>
    <n v="9617"/>
    <x v="4825"/>
    <x v="250"/>
    <d v="2017-08-29T00:00:00"/>
    <s v="Standard Class"/>
    <x v="463"/>
    <s v="Pauline Webber"/>
    <x v="1"/>
    <s v="United States"/>
    <s v="Los Angeles"/>
    <x v="1"/>
    <n v="90049"/>
    <x v="1"/>
    <x v="826"/>
    <x v="1"/>
    <x v="6"/>
    <x v="822"/>
    <x v="1755"/>
    <x v="6"/>
    <x v="0"/>
  </r>
  <r>
    <n v="9618"/>
    <x v="4826"/>
    <x v="673"/>
    <d v="2018-11-21T00:00:00"/>
    <s v="Standard Class"/>
    <x v="510"/>
    <s v="Bill Stewart"/>
    <x v="1"/>
    <s v="United States"/>
    <s v="Bowling Green"/>
    <x v="24"/>
    <n v="43402"/>
    <x v="3"/>
    <x v="615"/>
    <x v="2"/>
    <x v="16"/>
    <x v="615"/>
    <x v="5684"/>
    <x v="0"/>
    <x v="3"/>
  </r>
  <r>
    <n v="9619"/>
    <x v="4826"/>
    <x v="673"/>
    <d v="2018-11-21T00:00:00"/>
    <s v="Standard Class"/>
    <x v="510"/>
    <s v="Bill Stewart"/>
    <x v="1"/>
    <s v="United States"/>
    <s v="Bowling Green"/>
    <x v="24"/>
    <n v="43402"/>
    <x v="3"/>
    <x v="915"/>
    <x v="1"/>
    <x v="6"/>
    <x v="907"/>
    <x v="1134"/>
    <x v="0"/>
    <x v="3"/>
  </r>
  <r>
    <n v="9620"/>
    <x v="4826"/>
    <x v="673"/>
    <d v="2018-11-21T00:00:00"/>
    <s v="Standard Class"/>
    <x v="510"/>
    <s v="Bill Stewart"/>
    <x v="1"/>
    <s v="United States"/>
    <s v="Bowling Green"/>
    <x v="24"/>
    <n v="43402"/>
    <x v="3"/>
    <x v="343"/>
    <x v="2"/>
    <x v="11"/>
    <x v="343"/>
    <x v="3943"/>
    <x v="0"/>
    <x v="3"/>
  </r>
  <r>
    <n v="9621"/>
    <x v="4827"/>
    <x v="467"/>
    <d v="2015-09-30T00:00:00"/>
    <s v="Standard Class"/>
    <x v="526"/>
    <s v="Dianna Arnett"/>
    <x v="2"/>
    <s v="United States"/>
    <s v="Lancaster"/>
    <x v="24"/>
    <n v="43130"/>
    <x v="3"/>
    <x v="1809"/>
    <x v="1"/>
    <x v="9"/>
    <x v="1799"/>
    <x v="5685"/>
    <x v="8"/>
    <x v="2"/>
  </r>
  <r>
    <n v="9622"/>
    <x v="4827"/>
    <x v="467"/>
    <d v="2015-09-30T00:00:00"/>
    <s v="Standard Class"/>
    <x v="526"/>
    <s v="Dianna Arnett"/>
    <x v="2"/>
    <s v="United States"/>
    <s v="Lancaster"/>
    <x v="24"/>
    <n v="43130"/>
    <x v="3"/>
    <x v="1837"/>
    <x v="2"/>
    <x v="11"/>
    <x v="1825"/>
    <x v="5686"/>
    <x v="8"/>
    <x v="2"/>
  </r>
  <r>
    <n v="9623"/>
    <x v="4827"/>
    <x v="467"/>
    <d v="2015-09-30T00:00:00"/>
    <s v="Standard Class"/>
    <x v="526"/>
    <s v="Dianna Arnett"/>
    <x v="2"/>
    <s v="United States"/>
    <s v="Lancaster"/>
    <x v="24"/>
    <n v="43130"/>
    <x v="3"/>
    <x v="1536"/>
    <x v="1"/>
    <x v="10"/>
    <x v="1524"/>
    <x v="2668"/>
    <x v="8"/>
    <x v="2"/>
  </r>
  <r>
    <n v="9624"/>
    <x v="4828"/>
    <x v="222"/>
    <d v="2018-06-30T00:00:00"/>
    <s v="First Class"/>
    <x v="250"/>
    <s v="Max Engle"/>
    <x v="0"/>
    <s v="United States"/>
    <s v="Dallas"/>
    <x v="5"/>
    <n v="75220"/>
    <x v="2"/>
    <x v="650"/>
    <x v="1"/>
    <x v="9"/>
    <x v="650"/>
    <x v="5687"/>
    <x v="1"/>
    <x v="3"/>
  </r>
  <r>
    <n v="9625"/>
    <x v="4828"/>
    <x v="222"/>
    <d v="2018-06-30T00:00:00"/>
    <s v="First Class"/>
    <x v="250"/>
    <s v="Max Engle"/>
    <x v="0"/>
    <s v="United States"/>
    <s v="Dallas"/>
    <x v="5"/>
    <n v="75220"/>
    <x v="2"/>
    <x v="1213"/>
    <x v="0"/>
    <x v="3"/>
    <x v="1198"/>
    <x v="5688"/>
    <x v="1"/>
    <x v="3"/>
  </r>
  <r>
    <n v="9626"/>
    <x v="4828"/>
    <x v="222"/>
    <d v="2018-06-30T00:00:00"/>
    <s v="First Class"/>
    <x v="250"/>
    <s v="Max Engle"/>
    <x v="0"/>
    <s v="United States"/>
    <s v="Dallas"/>
    <x v="5"/>
    <n v="75220"/>
    <x v="2"/>
    <x v="1333"/>
    <x v="0"/>
    <x v="0"/>
    <x v="1318"/>
    <x v="5689"/>
    <x v="1"/>
    <x v="3"/>
  </r>
  <r>
    <n v="9627"/>
    <x v="4829"/>
    <x v="397"/>
    <d v="2018-09-25T00:00:00"/>
    <s v="First Class"/>
    <x v="186"/>
    <s v="Maya Herman"/>
    <x v="1"/>
    <s v="United States"/>
    <s v="Lubbock"/>
    <x v="5"/>
    <n v="79424"/>
    <x v="2"/>
    <x v="1828"/>
    <x v="1"/>
    <x v="10"/>
    <x v="1816"/>
    <x v="4579"/>
    <x v="8"/>
    <x v="3"/>
  </r>
  <r>
    <n v="9628"/>
    <x v="4830"/>
    <x v="533"/>
    <d v="2015-11-27T00:00:00"/>
    <s v="Standard Class"/>
    <x v="590"/>
    <s v="Bobby Trafton"/>
    <x v="0"/>
    <s v="United States"/>
    <s v="Detroit"/>
    <x v="12"/>
    <n v="48227"/>
    <x v="2"/>
    <x v="766"/>
    <x v="1"/>
    <x v="8"/>
    <x v="765"/>
    <x v="1835"/>
    <x v="0"/>
    <x v="2"/>
  </r>
  <r>
    <n v="9629"/>
    <x v="4831"/>
    <x v="286"/>
    <d v="2015-01-18T00:00:00"/>
    <s v="Standard Class"/>
    <x v="462"/>
    <s v="Michael Moore"/>
    <x v="0"/>
    <s v="United States"/>
    <s v="Newark"/>
    <x v="24"/>
    <n v="43055"/>
    <x v="3"/>
    <x v="711"/>
    <x v="1"/>
    <x v="10"/>
    <x v="710"/>
    <x v="5317"/>
    <x v="9"/>
    <x v="2"/>
  </r>
  <r>
    <n v="9630"/>
    <x v="4831"/>
    <x v="286"/>
    <d v="2015-01-18T00:00:00"/>
    <s v="Standard Class"/>
    <x v="462"/>
    <s v="Michael Moore"/>
    <x v="0"/>
    <s v="United States"/>
    <s v="Newark"/>
    <x v="24"/>
    <n v="43055"/>
    <x v="3"/>
    <x v="1547"/>
    <x v="1"/>
    <x v="8"/>
    <x v="1535"/>
    <x v="5690"/>
    <x v="9"/>
    <x v="2"/>
  </r>
  <r>
    <n v="9631"/>
    <x v="4832"/>
    <x v="1206"/>
    <d v="2017-06-06T00:00:00"/>
    <s v="Standard Class"/>
    <x v="392"/>
    <s v="Neoma Murray"/>
    <x v="0"/>
    <s v="United States"/>
    <s v="New York City"/>
    <x v="15"/>
    <n v="10011"/>
    <x v="3"/>
    <x v="98"/>
    <x v="1"/>
    <x v="8"/>
    <x v="98"/>
    <x v="485"/>
    <x v="5"/>
    <x v="0"/>
  </r>
  <r>
    <n v="9632"/>
    <x v="4832"/>
    <x v="1206"/>
    <d v="2017-06-06T00:00:00"/>
    <s v="Standard Class"/>
    <x v="392"/>
    <s v="Neoma Murray"/>
    <x v="0"/>
    <s v="United States"/>
    <s v="New York City"/>
    <x v="15"/>
    <n v="10011"/>
    <x v="3"/>
    <x v="1620"/>
    <x v="2"/>
    <x v="7"/>
    <x v="1611"/>
    <x v="5691"/>
    <x v="5"/>
    <x v="0"/>
  </r>
  <r>
    <n v="9633"/>
    <x v="4833"/>
    <x v="778"/>
    <d v="2018-02-17T00:00:00"/>
    <s v="Standard Class"/>
    <x v="708"/>
    <s v="Mark Hamilton"/>
    <x v="0"/>
    <s v="United States"/>
    <s v="Minneapolis"/>
    <x v="11"/>
    <n v="55407"/>
    <x v="2"/>
    <x v="1201"/>
    <x v="1"/>
    <x v="9"/>
    <x v="1186"/>
    <x v="5692"/>
    <x v="11"/>
    <x v="3"/>
  </r>
  <r>
    <n v="9634"/>
    <x v="4834"/>
    <x v="1005"/>
    <d v="2015-10-17T00:00:00"/>
    <s v="First Class"/>
    <x v="646"/>
    <s v="Toby Carlisle"/>
    <x v="0"/>
    <s v="United States"/>
    <s v="Everett"/>
    <x v="31"/>
    <n v="2149"/>
    <x v="3"/>
    <x v="1013"/>
    <x v="2"/>
    <x v="11"/>
    <x v="1005"/>
    <x v="1307"/>
    <x v="2"/>
    <x v="2"/>
  </r>
  <r>
    <n v="9635"/>
    <x v="4834"/>
    <x v="1005"/>
    <d v="2015-10-17T00:00:00"/>
    <s v="First Class"/>
    <x v="646"/>
    <s v="Toby Carlisle"/>
    <x v="0"/>
    <s v="United States"/>
    <s v="Everett"/>
    <x v="31"/>
    <n v="2149"/>
    <x v="3"/>
    <x v="75"/>
    <x v="1"/>
    <x v="4"/>
    <x v="75"/>
    <x v="5693"/>
    <x v="2"/>
    <x v="2"/>
  </r>
  <r>
    <n v="9636"/>
    <x v="4834"/>
    <x v="1005"/>
    <d v="2015-10-17T00:00:00"/>
    <s v="First Class"/>
    <x v="646"/>
    <s v="Toby Carlisle"/>
    <x v="0"/>
    <s v="United States"/>
    <s v="Everett"/>
    <x v="31"/>
    <n v="2149"/>
    <x v="3"/>
    <x v="1688"/>
    <x v="0"/>
    <x v="1"/>
    <x v="1676"/>
    <x v="2312"/>
    <x v="2"/>
    <x v="2"/>
  </r>
  <r>
    <n v="9637"/>
    <x v="4835"/>
    <x v="728"/>
    <d v="2015-11-25T00:00:00"/>
    <s v="Standard Class"/>
    <x v="186"/>
    <s v="Maya Herman"/>
    <x v="1"/>
    <s v="United States"/>
    <s v="Seattle"/>
    <x v="4"/>
    <n v="98105"/>
    <x v="1"/>
    <x v="568"/>
    <x v="0"/>
    <x v="5"/>
    <x v="568"/>
    <x v="5694"/>
    <x v="0"/>
    <x v="2"/>
  </r>
  <r>
    <n v="9638"/>
    <x v="4835"/>
    <x v="728"/>
    <d v="2015-11-25T00:00:00"/>
    <s v="Standard Class"/>
    <x v="186"/>
    <s v="Maya Herman"/>
    <x v="1"/>
    <s v="United States"/>
    <s v="Seattle"/>
    <x v="4"/>
    <n v="98105"/>
    <x v="1"/>
    <x v="962"/>
    <x v="0"/>
    <x v="3"/>
    <x v="955"/>
    <x v="5695"/>
    <x v="0"/>
    <x v="2"/>
  </r>
  <r>
    <n v="9639"/>
    <x v="4836"/>
    <x v="105"/>
    <d v="2018-11-15T00:00:00"/>
    <s v="Second Class"/>
    <x v="212"/>
    <s v="Emily Phan"/>
    <x v="0"/>
    <s v="United States"/>
    <s v="Los Angeles"/>
    <x v="1"/>
    <n v="90032"/>
    <x v="1"/>
    <x v="1828"/>
    <x v="1"/>
    <x v="10"/>
    <x v="1816"/>
    <x v="1049"/>
    <x v="0"/>
    <x v="3"/>
  </r>
  <r>
    <n v="9640"/>
    <x v="4837"/>
    <x v="1224"/>
    <d v="2016-01-31T00:00:00"/>
    <s v="Second Class"/>
    <x v="98"/>
    <s v="Joseph Holt"/>
    <x v="0"/>
    <s v="United States"/>
    <s v="Concord"/>
    <x v="3"/>
    <n v="28027"/>
    <x v="0"/>
    <x v="594"/>
    <x v="0"/>
    <x v="3"/>
    <x v="594"/>
    <x v="5696"/>
    <x v="9"/>
    <x v="1"/>
  </r>
  <r>
    <n v="9641"/>
    <x v="4838"/>
    <x v="1009"/>
    <d v="2015-03-12T00:00:00"/>
    <s v="Standard Class"/>
    <x v="782"/>
    <s v="Craig Molinari"/>
    <x v="1"/>
    <s v="United States"/>
    <s v="Seattle"/>
    <x v="4"/>
    <n v="98103"/>
    <x v="1"/>
    <x v="105"/>
    <x v="1"/>
    <x v="6"/>
    <x v="105"/>
    <x v="2740"/>
    <x v="10"/>
    <x v="2"/>
  </r>
  <r>
    <n v="9642"/>
    <x v="4838"/>
    <x v="1009"/>
    <d v="2015-03-12T00:00:00"/>
    <s v="Standard Class"/>
    <x v="782"/>
    <s v="Craig Molinari"/>
    <x v="1"/>
    <s v="United States"/>
    <s v="Seattle"/>
    <x v="4"/>
    <n v="98103"/>
    <x v="1"/>
    <x v="356"/>
    <x v="1"/>
    <x v="4"/>
    <x v="356"/>
    <x v="5697"/>
    <x v="10"/>
    <x v="2"/>
  </r>
  <r>
    <n v="9643"/>
    <x v="4838"/>
    <x v="1009"/>
    <d v="2015-03-12T00:00:00"/>
    <s v="Standard Class"/>
    <x v="782"/>
    <s v="Craig Molinari"/>
    <x v="1"/>
    <s v="United States"/>
    <s v="Seattle"/>
    <x v="4"/>
    <n v="98103"/>
    <x v="1"/>
    <x v="1853"/>
    <x v="0"/>
    <x v="1"/>
    <x v="1841"/>
    <x v="5163"/>
    <x v="10"/>
    <x v="2"/>
  </r>
  <r>
    <n v="9644"/>
    <x v="4838"/>
    <x v="1009"/>
    <d v="2015-03-12T00:00:00"/>
    <s v="Standard Class"/>
    <x v="782"/>
    <s v="Craig Molinari"/>
    <x v="1"/>
    <s v="United States"/>
    <s v="Seattle"/>
    <x v="4"/>
    <n v="98103"/>
    <x v="1"/>
    <x v="1496"/>
    <x v="0"/>
    <x v="1"/>
    <x v="1484"/>
    <x v="5698"/>
    <x v="10"/>
    <x v="2"/>
  </r>
  <r>
    <n v="9645"/>
    <x v="4839"/>
    <x v="110"/>
    <d v="2018-06-13T00:00:00"/>
    <s v="Standard Class"/>
    <x v="383"/>
    <s v="Frank Olsen"/>
    <x v="0"/>
    <s v="United States"/>
    <s v="Glendale"/>
    <x v="16"/>
    <n v="85301"/>
    <x v="1"/>
    <x v="1097"/>
    <x v="2"/>
    <x v="11"/>
    <x v="1087"/>
    <x v="5699"/>
    <x v="1"/>
    <x v="3"/>
  </r>
  <r>
    <n v="9646"/>
    <x v="4839"/>
    <x v="110"/>
    <d v="2018-06-13T00:00:00"/>
    <s v="Standard Class"/>
    <x v="383"/>
    <s v="Frank Olsen"/>
    <x v="0"/>
    <s v="United States"/>
    <s v="Glendale"/>
    <x v="16"/>
    <n v="85301"/>
    <x v="1"/>
    <x v="210"/>
    <x v="1"/>
    <x v="4"/>
    <x v="211"/>
    <x v="200"/>
    <x v="1"/>
    <x v="3"/>
  </r>
  <r>
    <n v="9647"/>
    <x v="4839"/>
    <x v="110"/>
    <d v="2018-06-13T00:00:00"/>
    <s v="Standard Class"/>
    <x v="383"/>
    <s v="Frank Olsen"/>
    <x v="0"/>
    <s v="United States"/>
    <s v="Glendale"/>
    <x v="16"/>
    <n v="85301"/>
    <x v="1"/>
    <x v="261"/>
    <x v="1"/>
    <x v="8"/>
    <x v="261"/>
    <x v="1255"/>
    <x v="1"/>
    <x v="3"/>
  </r>
  <r>
    <n v="9648"/>
    <x v="4840"/>
    <x v="84"/>
    <d v="2015-11-24T00:00:00"/>
    <s v="Standard Class"/>
    <x v="596"/>
    <s v="Mitch Webber"/>
    <x v="0"/>
    <s v="United States"/>
    <s v="Coon Rapids"/>
    <x v="11"/>
    <n v="55433"/>
    <x v="2"/>
    <x v="1125"/>
    <x v="1"/>
    <x v="4"/>
    <x v="1113"/>
    <x v="3449"/>
    <x v="0"/>
    <x v="2"/>
  </r>
  <r>
    <n v="9649"/>
    <x v="4840"/>
    <x v="84"/>
    <d v="2015-11-24T00:00:00"/>
    <s v="Standard Class"/>
    <x v="596"/>
    <s v="Mitch Webber"/>
    <x v="0"/>
    <s v="United States"/>
    <s v="Coon Rapids"/>
    <x v="11"/>
    <n v="55433"/>
    <x v="2"/>
    <x v="539"/>
    <x v="2"/>
    <x v="7"/>
    <x v="539"/>
    <x v="1666"/>
    <x v="0"/>
    <x v="2"/>
  </r>
  <r>
    <n v="9650"/>
    <x v="4841"/>
    <x v="491"/>
    <d v="2017-11-30T00:00:00"/>
    <s v="Standard Class"/>
    <x v="333"/>
    <s v="Maribeth Schnelling"/>
    <x v="0"/>
    <s v="United States"/>
    <s v="Los Angeles"/>
    <x v="1"/>
    <n v="90045"/>
    <x v="1"/>
    <x v="1248"/>
    <x v="0"/>
    <x v="0"/>
    <x v="1232"/>
    <x v="5700"/>
    <x v="0"/>
    <x v="0"/>
  </r>
  <r>
    <n v="9651"/>
    <x v="4841"/>
    <x v="491"/>
    <d v="2017-11-30T00:00:00"/>
    <s v="Standard Class"/>
    <x v="333"/>
    <s v="Maribeth Schnelling"/>
    <x v="0"/>
    <s v="United States"/>
    <s v="Los Angeles"/>
    <x v="1"/>
    <n v="90045"/>
    <x v="1"/>
    <x v="1560"/>
    <x v="1"/>
    <x v="6"/>
    <x v="1550"/>
    <x v="5148"/>
    <x v="0"/>
    <x v="0"/>
  </r>
  <r>
    <n v="9652"/>
    <x v="4841"/>
    <x v="491"/>
    <d v="2017-11-30T00:00:00"/>
    <s v="Standard Class"/>
    <x v="333"/>
    <s v="Maribeth Schnelling"/>
    <x v="0"/>
    <s v="United States"/>
    <s v="Los Angeles"/>
    <x v="1"/>
    <n v="90045"/>
    <x v="1"/>
    <x v="791"/>
    <x v="1"/>
    <x v="9"/>
    <x v="789"/>
    <x v="643"/>
    <x v="0"/>
    <x v="0"/>
  </r>
  <r>
    <n v="9653"/>
    <x v="4841"/>
    <x v="491"/>
    <d v="2017-11-30T00:00:00"/>
    <s v="Standard Class"/>
    <x v="333"/>
    <s v="Maribeth Schnelling"/>
    <x v="0"/>
    <s v="United States"/>
    <s v="Los Angeles"/>
    <x v="1"/>
    <n v="90045"/>
    <x v="1"/>
    <x v="1071"/>
    <x v="0"/>
    <x v="5"/>
    <x v="1060"/>
    <x v="1899"/>
    <x v="0"/>
    <x v="0"/>
  </r>
  <r>
    <n v="9654"/>
    <x v="4842"/>
    <x v="205"/>
    <d v="2018-01-27T00:00:00"/>
    <s v="Standard Class"/>
    <x v="6"/>
    <s v="Harold Pawlan"/>
    <x v="2"/>
    <s v="United States"/>
    <s v="Tucson"/>
    <x v="16"/>
    <n v="85705"/>
    <x v="1"/>
    <x v="1580"/>
    <x v="2"/>
    <x v="11"/>
    <x v="1571"/>
    <x v="909"/>
    <x v="9"/>
    <x v="3"/>
  </r>
  <r>
    <n v="9655"/>
    <x v="4842"/>
    <x v="205"/>
    <d v="2018-01-27T00:00:00"/>
    <s v="Standard Class"/>
    <x v="6"/>
    <s v="Harold Pawlan"/>
    <x v="2"/>
    <s v="United States"/>
    <s v="Tucson"/>
    <x v="16"/>
    <n v="85705"/>
    <x v="1"/>
    <x v="1263"/>
    <x v="1"/>
    <x v="8"/>
    <x v="1247"/>
    <x v="5701"/>
    <x v="9"/>
    <x v="3"/>
  </r>
  <r>
    <n v="9656"/>
    <x v="4843"/>
    <x v="358"/>
    <d v="2015-09-29T00:00:00"/>
    <s v="Standard Class"/>
    <x v="548"/>
    <s v="Adam Shillingsburg"/>
    <x v="0"/>
    <s v="United States"/>
    <s v="New York City"/>
    <x v="15"/>
    <n v="10035"/>
    <x v="3"/>
    <x v="1416"/>
    <x v="0"/>
    <x v="5"/>
    <x v="1403"/>
    <x v="5702"/>
    <x v="8"/>
    <x v="2"/>
  </r>
  <r>
    <n v="9657"/>
    <x v="4843"/>
    <x v="358"/>
    <d v="2015-09-29T00:00:00"/>
    <s v="Standard Class"/>
    <x v="548"/>
    <s v="Adam Shillingsburg"/>
    <x v="0"/>
    <s v="United States"/>
    <s v="New York City"/>
    <x v="15"/>
    <n v="10035"/>
    <x v="3"/>
    <x v="591"/>
    <x v="1"/>
    <x v="8"/>
    <x v="591"/>
    <x v="2176"/>
    <x v="8"/>
    <x v="2"/>
  </r>
  <r>
    <n v="9658"/>
    <x v="4843"/>
    <x v="358"/>
    <d v="2015-09-29T00:00:00"/>
    <s v="Standard Class"/>
    <x v="548"/>
    <s v="Adam Shillingsburg"/>
    <x v="0"/>
    <s v="United States"/>
    <s v="New York City"/>
    <x v="15"/>
    <n v="10035"/>
    <x v="3"/>
    <x v="1731"/>
    <x v="1"/>
    <x v="6"/>
    <x v="1718"/>
    <x v="3754"/>
    <x v="8"/>
    <x v="2"/>
  </r>
  <r>
    <n v="9659"/>
    <x v="4843"/>
    <x v="358"/>
    <d v="2015-09-29T00:00:00"/>
    <s v="Standard Class"/>
    <x v="548"/>
    <s v="Adam Shillingsburg"/>
    <x v="0"/>
    <s v="United States"/>
    <s v="New York City"/>
    <x v="15"/>
    <n v="10035"/>
    <x v="3"/>
    <x v="1578"/>
    <x v="0"/>
    <x v="1"/>
    <x v="1569"/>
    <x v="5703"/>
    <x v="8"/>
    <x v="2"/>
  </r>
  <r>
    <n v="9660"/>
    <x v="4844"/>
    <x v="959"/>
    <d v="2015-03-30T00:00:00"/>
    <s v="Second Class"/>
    <x v="473"/>
    <s v="Cindy Stewart"/>
    <x v="0"/>
    <s v="United States"/>
    <s v="Pomona"/>
    <x v="1"/>
    <n v="91767"/>
    <x v="1"/>
    <x v="1550"/>
    <x v="1"/>
    <x v="2"/>
    <x v="1538"/>
    <x v="2022"/>
    <x v="10"/>
    <x v="2"/>
  </r>
  <r>
    <n v="9661"/>
    <x v="4845"/>
    <x v="112"/>
    <d v="2017-06-11T00:00:00"/>
    <s v="Standard Class"/>
    <x v="467"/>
    <s v="Maria Etezadi"/>
    <x v="2"/>
    <s v="United States"/>
    <s v="Santa Barbara"/>
    <x v="1"/>
    <n v="93101"/>
    <x v="1"/>
    <x v="1461"/>
    <x v="2"/>
    <x v="7"/>
    <x v="1447"/>
    <x v="5704"/>
    <x v="1"/>
    <x v="0"/>
  </r>
  <r>
    <n v="9662"/>
    <x v="4845"/>
    <x v="112"/>
    <d v="2017-06-11T00:00:00"/>
    <s v="Standard Class"/>
    <x v="467"/>
    <s v="Maria Etezadi"/>
    <x v="2"/>
    <s v="United States"/>
    <s v="Santa Barbara"/>
    <x v="1"/>
    <n v="93101"/>
    <x v="1"/>
    <x v="1556"/>
    <x v="2"/>
    <x v="11"/>
    <x v="1545"/>
    <x v="1153"/>
    <x v="1"/>
    <x v="0"/>
  </r>
  <r>
    <n v="9663"/>
    <x v="4845"/>
    <x v="112"/>
    <d v="2017-06-11T00:00:00"/>
    <s v="Standard Class"/>
    <x v="467"/>
    <s v="Maria Etezadi"/>
    <x v="2"/>
    <s v="United States"/>
    <s v="Santa Barbara"/>
    <x v="1"/>
    <n v="93101"/>
    <x v="1"/>
    <x v="256"/>
    <x v="2"/>
    <x v="7"/>
    <x v="257"/>
    <x v="5705"/>
    <x v="1"/>
    <x v="0"/>
  </r>
  <r>
    <n v="9664"/>
    <x v="4846"/>
    <x v="515"/>
    <d v="2018-09-05T00:00:00"/>
    <s v="Standard Class"/>
    <x v="474"/>
    <s v="Maxwell Schwartz"/>
    <x v="0"/>
    <s v="United States"/>
    <s v="San Francisco"/>
    <x v="1"/>
    <n v="94109"/>
    <x v="1"/>
    <x v="557"/>
    <x v="1"/>
    <x v="4"/>
    <x v="556"/>
    <x v="2652"/>
    <x v="6"/>
    <x v="3"/>
  </r>
  <r>
    <n v="9665"/>
    <x v="4847"/>
    <x v="214"/>
    <d v="2016-12-07T00:00:00"/>
    <s v="Same Day"/>
    <x v="120"/>
    <s v="Kristen Hastings"/>
    <x v="1"/>
    <s v="United States"/>
    <s v="Riverside"/>
    <x v="1"/>
    <n v="92503"/>
    <x v="1"/>
    <x v="644"/>
    <x v="1"/>
    <x v="10"/>
    <x v="644"/>
    <x v="91"/>
    <x v="4"/>
    <x v="1"/>
  </r>
  <r>
    <n v="9666"/>
    <x v="4848"/>
    <x v="673"/>
    <d v="2018-11-20T00:00:00"/>
    <s v="Standard Class"/>
    <x v="62"/>
    <s v="Lena Creighton"/>
    <x v="0"/>
    <s v="United States"/>
    <s v="Los Angeles"/>
    <x v="1"/>
    <n v="90049"/>
    <x v="1"/>
    <x v="892"/>
    <x v="0"/>
    <x v="5"/>
    <x v="885"/>
    <x v="580"/>
    <x v="0"/>
    <x v="3"/>
  </r>
  <r>
    <n v="9667"/>
    <x v="4848"/>
    <x v="673"/>
    <d v="2018-11-20T00:00:00"/>
    <s v="Standard Class"/>
    <x v="62"/>
    <s v="Lena Creighton"/>
    <x v="0"/>
    <s v="United States"/>
    <s v="Los Angeles"/>
    <x v="1"/>
    <n v="90049"/>
    <x v="1"/>
    <x v="1379"/>
    <x v="0"/>
    <x v="5"/>
    <x v="1364"/>
    <x v="2122"/>
    <x v="0"/>
    <x v="3"/>
  </r>
  <r>
    <n v="9668"/>
    <x v="4849"/>
    <x v="131"/>
    <d v="2017-04-27T00:00:00"/>
    <s v="Standard Class"/>
    <x v="578"/>
    <s v="Art Ferguson"/>
    <x v="0"/>
    <s v="United States"/>
    <s v="San Clemente"/>
    <x v="1"/>
    <n v="92672"/>
    <x v="1"/>
    <x v="507"/>
    <x v="1"/>
    <x v="8"/>
    <x v="507"/>
    <x v="2270"/>
    <x v="3"/>
    <x v="0"/>
  </r>
  <r>
    <n v="9669"/>
    <x v="4849"/>
    <x v="131"/>
    <d v="2017-04-27T00:00:00"/>
    <s v="Standard Class"/>
    <x v="578"/>
    <s v="Art Ferguson"/>
    <x v="0"/>
    <s v="United States"/>
    <s v="San Clemente"/>
    <x v="1"/>
    <n v="92672"/>
    <x v="1"/>
    <x v="244"/>
    <x v="1"/>
    <x v="12"/>
    <x v="245"/>
    <x v="2866"/>
    <x v="3"/>
    <x v="0"/>
  </r>
  <r>
    <n v="9670"/>
    <x v="4850"/>
    <x v="459"/>
    <d v="2018-04-06T00:00:00"/>
    <s v="Standard Class"/>
    <x v="733"/>
    <s v="Amy Hunt"/>
    <x v="0"/>
    <s v="United States"/>
    <s v="Decatur"/>
    <x v="19"/>
    <n v="35601"/>
    <x v="0"/>
    <x v="639"/>
    <x v="1"/>
    <x v="2"/>
    <x v="639"/>
    <x v="1801"/>
    <x v="3"/>
    <x v="3"/>
  </r>
  <r>
    <n v="9671"/>
    <x v="4851"/>
    <x v="863"/>
    <d v="2016-08-15T00:00:00"/>
    <s v="First Class"/>
    <x v="136"/>
    <s v="Grace Kelly"/>
    <x v="1"/>
    <s v="United States"/>
    <s v="Greensboro"/>
    <x v="3"/>
    <n v="27405"/>
    <x v="0"/>
    <x v="1175"/>
    <x v="1"/>
    <x v="6"/>
    <x v="1161"/>
    <x v="5706"/>
    <x v="6"/>
    <x v="1"/>
  </r>
  <r>
    <n v="9672"/>
    <x v="4852"/>
    <x v="38"/>
    <d v="2018-11-19T00:00:00"/>
    <s v="Standard Class"/>
    <x v="107"/>
    <s v="Ken Lonsdale"/>
    <x v="0"/>
    <s v="United States"/>
    <s v="Dublin"/>
    <x v="1"/>
    <n v="94568"/>
    <x v="1"/>
    <x v="895"/>
    <x v="2"/>
    <x v="7"/>
    <x v="888"/>
    <x v="1103"/>
    <x v="0"/>
    <x v="3"/>
  </r>
  <r>
    <n v="9673"/>
    <x v="4853"/>
    <x v="443"/>
    <d v="2017-12-28T00:00:00"/>
    <s v="Standard Class"/>
    <x v="86"/>
    <s v="Frank Merwin"/>
    <x v="2"/>
    <s v="United States"/>
    <s v="Philadelphia"/>
    <x v="9"/>
    <n v="19143"/>
    <x v="3"/>
    <x v="1231"/>
    <x v="1"/>
    <x v="10"/>
    <x v="1214"/>
    <x v="885"/>
    <x v="4"/>
    <x v="0"/>
  </r>
  <r>
    <n v="9674"/>
    <x v="4853"/>
    <x v="443"/>
    <d v="2017-12-28T00:00:00"/>
    <s v="Standard Class"/>
    <x v="86"/>
    <s v="Frank Merwin"/>
    <x v="2"/>
    <s v="United States"/>
    <s v="Philadelphia"/>
    <x v="9"/>
    <n v="19143"/>
    <x v="3"/>
    <x v="1860"/>
    <x v="2"/>
    <x v="7"/>
    <x v="1848"/>
    <x v="5707"/>
    <x v="4"/>
    <x v="0"/>
  </r>
  <r>
    <n v="9675"/>
    <x v="4854"/>
    <x v="192"/>
    <d v="2015-07-24T00:00:00"/>
    <s v="Second Class"/>
    <x v="139"/>
    <s v="John Lucas"/>
    <x v="0"/>
    <s v="United States"/>
    <s v="Houston"/>
    <x v="5"/>
    <n v="77095"/>
    <x v="2"/>
    <x v="1291"/>
    <x v="1"/>
    <x v="4"/>
    <x v="1277"/>
    <x v="5708"/>
    <x v="7"/>
    <x v="2"/>
  </r>
  <r>
    <n v="9676"/>
    <x v="4855"/>
    <x v="715"/>
    <d v="2017-05-10T00:00:00"/>
    <s v="Standard Class"/>
    <x v="421"/>
    <s v="Gene McClure"/>
    <x v="0"/>
    <s v="United States"/>
    <s v="Bakersfield"/>
    <x v="1"/>
    <n v="93309"/>
    <x v="1"/>
    <x v="1163"/>
    <x v="0"/>
    <x v="5"/>
    <x v="1150"/>
    <x v="2368"/>
    <x v="5"/>
    <x v="0"/>
  </r>
  <r>
    <n v="9677"/>
    <x v="4856"/>
    <x v="683"/>
    <d v="2015-12-03T00:00:00"/>
    <s v="Standard Class"/>
    <x v="637"/>
    <s v="Matthew Clasen"/>
    <x v="1"/>
    <s v="United States"/>
    <s v="Richmond"/>
    <x v="14"/>
    <n v="47374"/>
    <x v="2"/>
    <x v="761"/>
    <x v="1"/>
    <x v="12"/>
    <x v="760"/>
    <x v="5709"/>
    <x v="0"/>
    <x v="2"/>
  </r>
  <r>
    <n v="9678"/>
    <x v="4857"/>
    <x v="724"/>
    <d v="2017-04-23T00:00:00"/>
    <s v="Standard Class"/>
    <x v="703"/>
    <s v="Cindy Schnelling"/>
    <x v="1"/>
    <s v="United States"/>
    <s v="New York City"/>
    <x v="15"/>
    <n v="10009"/>
    <x v="3"/>
    <x v="372"/>
    <x v="1"/>
    <x v="6"/>
    <x v="373"/>
    <x v="4391"/>
    <x v="3"/>
    <x v="0"/>
  </r>
  <r>
    <n v="9679"/>
    <x v="4857"/>
    <x v="724"/>
    <d v="2017-04-23T00:00:00"/>
    <s v="Standard Class"/>
    <x v="703"/>
    <s v="Cindy Schnelling"/>
    <x v="1"/>
    <s v="United States"/>
    <s v="New York City"/>
    <x v="15"/>
    <n v="10009"/>
    <x v="3"/>
    <x v="1839"/>
    <x v="1"/>
    <x v="14"/>
    <x v="1827"/>
    <x v="5710"/>
    <x v="3"/>
    <x v="0"/>
  </r>
  <r>
    <n v="9680"/>
    <x v="4858"/>
    <x v="17"/>
    <d v="2016-12-31T00:00:00"/>
    <s v="Standard Class"/>
    <x v="692"/>
    <s v="Aaron Hawkins"/>
    <x v="1"/>
    <s v="United States"/>
    <s v="San Francisco"/>
    <x v="1"/>
    <n v="94122"/>
    <x v="1"/>
    <x v="765"/>
    <x v="1"/>
    <x v="4"/>
    <x v="764"/>
    <x v="2105"/>
    <x v="4"/>
    <x v="1"/>
  </r>
  <r>
    <n v="9681"/>
    <x v="4858"/>
    <x v="17"/>
    <d v="2016-12-31T00:00:00"/>
    <s v="Standard Class"/>
    <x v="692"/>
    <s v="Aaron Hawkins"/>
    <x v="1"/>
    <s v="United States"/>
    <s v="San Francisco"/>
    <x v="1"/>
    <n v="94122"/>
    <x v="1"/>
    <x v="918"/>
    <x v="2"/>
    <x v="7"/>
    <x v="910"/>
    <x v="5711"/>
    <x v="4"/>
    <x v="1"/>
  </r>
  <r>
    <n v="9682"/>
    <x v="4859"/>
    <x v="1096"/>
    <d v="2018-12-18T00:00:00"/>
    <s v="Standard Class"/>
    <x v="212"/>
    <s v="Emily Phan"/>
    <x v="0"/>
    <s v="United States"/>
    <s v="San Francisco"/>
    <x v="1"/>
    <n v="94122"/>
    <x v="1"/>
    <x v="1363"/>
    <x v="1"/>
    <x v="2"/>
    <x v="1349"/>
    <x v="874"/>
    <x v="4"/>
    <x v="3"/>
  </r>
  <r>
    <n v="9683"/>
    <x v="4859"/>
    <x v="1096"/>
    <d v="2018-12-18T00:00:00"/>
    <s v="Standard Class"/>
    <x v="212"/>
    <s v="Emily Phan"/>
    <x v="0"/>
    <s v="United States"/>
    <s v="San Francisco"/>
    <x v="1"/>
    <n v="94122"/>
    <x v="1"/>
    <x v="860"/>
    <x v="1"/>
    <x v="10"/>
    <x v="854"/>
    <x v="783"/>
    <x v="4"/>
    <x v="3"/>
  </r>
  <r>
    <n v="9684"/>
    <x v="4859"/>
    <x v="1096"/>
    <d v="2018-12-18T00:00:00"/>
    <s v="Standard Class"/>
    <x v="212"/>
    <s v="Emily Phan"/>
    <x v="0"/>
    <s v="United States"/>
    <s v="San Francisco"/>
    <x v="1"/>
    <n v="94122"/>
    <x v="1"/>
    <x v="1001"/>
    <x v="0"/>
    <x v="5"/>
    <x v="1253"/>
    <x v="5712"/>
    <x v="4"/>
    <x v="3"/>
  </r>
  <r>
    <n v="9685"/>
    <x v="4859"/>
    <x v="1096"/>
    <d v="2018-12-18T00:00:00"/>
    <s v="Standard Class"/>
    <x v="212"/>
    <s v="Emily Phan"/>
    <x v="0"/>
    <s v="United States"/>
    <s v="San Francisco"/>
    <x v="1"/>
    <n v="94122"/>
    <x v="1"/>
    <x v="1641"/>
    <x v="1"/>
    <x v="10"/>
    <x v="1631"/>
    <x v="91"/>
    <x v="4"/>
    <x v="3"/>
  </r>
  <r>
    <n v="9686"/>
    <x v="4860"/>
    <x v="460"/>
    <d v="2018-01-04T00:00:00"/>
    <s v="Second Class"/>
    <x v="783"/>
    <s v="Fred Wasserman"/>
    <x v="1"/>
    <s v="United States"/>
    <s v="Los Angeles"/>
    <x v="1"/>
    <n v="90032"/>
    <x v="1"/>
    <x v="1350"/>
    <x v="2"/>
    <x v="11"/>
    <x v="1336"/>
    <x v="5713"/>
    <x v="9"/>
    <x v="3"/>
  </r>
  <r>
    <n v="9687"/>
    <x v="4861"/>
    <x v="1109"/>
    <d v="2018-06-03T00:00:00"/>
    <s v="Standard Class"/>
    <x v="567"/>
    <s v="Kelly Andreada"/>
    <x v="0"/>
    <s v="United States"/>
    <s v="San Diego"/>
    <x v="1"/>
    <n v="92037"/>
    <x v="1"/>
    <x v="628"/>
    <x v="1"/>
    <x v="6"/>
    <x v="628"/>
    <x v="1833"/>
    <x v="5"/>
    <x v="3"/>
  </r>
  <r>
    <n v="9688"/>
    <x v="4862"/>
    <x v="1033"/>
    <d v="2018-10-06T00:00:00"/>
    <s v="Standard Class"/>
    <x v="337"/>
    <s v="Sample Company A"/>
    <x v="2"/>
    <s v="United States"/>
    <s v="Arlington"/>
    <x v="5"/>
    <n v="76017"/>
    <x v="2"/>
    <x v="625"/>
    <x v="1"/>
    <x v="8"/>
    <x v="625"/>
    <x v="5714"/>
    <x v="8"/>
    <x v="3"/>
  </r>
  <r>
    <n v="9689"/>
    <x v="4863"/>
    <x v="308"/>
    <d v="2018-06-27T00:00:00"/>
    <s v="Standard Class"/>
    <x v="38"/>
    <s v="Paul Gonzalez"/>
    <x v="0"/>
    <s v="United States"/>
    <s v="Richmond"/>
    <x v="17"/>
    <n v="23223"/>
    <x v="0"/>
    <x v="1483"/>
    <x v="1"/>
    <x v="10"/>
    <x v="1470"/>
    <x v="56"/>
    <x v="1"/>
    <x v="3"/>
  </r>
  <r>
    <n v="9690"/>
    <x v="4863"/>
    <x v="308"/>
    <d v="2018-06-27T00:00:00"/>
    <s v="Standard Class"/>
    <x v="38"/>
    <s v="Paul Gonzalez"/>
    <x v="0"/>
    <s v="United States"/>
    <s v="Richmond"/>
    <x v="17"/>
    <n v="23223"/>
    <x v="0"/>
    <x v="1419"/>
    <x v="2"/>
    <x v="7"/>
    <x v="1407"/>
    <x v="178"/>
    <x v="1"/>
    <x v="3"/>
  </r>
  <r>
    <n v="9691"/>
    <x v="4864"/>
    <x v="1095"/>
    <d v="2018-04-05T00:00:00"/>
    <s v="First Class"/>
    <x v="638"/>
    <s v="Tom Ashbrook"/>
    <x v="2"/>
    <s v="United States"/>
    <s v="New York City"/>
    <x v="15"/>
    <n v="10035"/>
    <x v="3"/>
    <x v="824"/>
    <x v="1"/>
    <x v="6"/>
    <x v="820"/>
    <x v="983"/>
    <x v="3"/>
    <x v="3"/>
  </r>
  <r>
    <n v="9692"/>
    <x v="4865"/>
    <x v="50"/>
    <d v="2016-11-17T00:00:00"/>
    <s v="Standard Class"/>
    <x v="138"/>
    <s v="Patrick O'Brill"/>
    <x v="0"/>
    <s v="United States"/>
    <s v="Houston"/>
    <x v="5"/>
    <n v="77041"/>
    <x v="2"/>
    <x v="789"/>
    <x v="0"/>
    <x v="0"/>
    <x v="787"/>
    <x v="5715"/>
    <x v="0"/>
    <x v="1"/>
  </r>
  <r>
    <n v="9693"/>
    <x v="4866"/>
    <x v="834"/>
    <d v="2016-09-02T00:00:00"/>
    <s v="Standard Class"/>
    <x v="416"/>
    <s v="Suzanne McNair"/>
    <x v="1"/>
    <s v="United States"/>
    <s v="Fairfield"/>
    <x v="29"/>
    <n v="6824"/>
    <x v="3"/>
    <x v="1354"/>
    <x v="1"/>
    <x v="4"/>
    <x v="1340"/>
    <x v="5716"/>
    <x v="6"/>
    <x v="1"/>
  </r>
  <r>
    <n v="9694"/>
    <x v="4867"/>
    <x v="241"/>
    <d v="2018-09-28T00:00:00"/>
    <s v="Second Class"/>
    <x v="71"/>
    <s v="Neil Knudson"/>
    <x v="2"/>
    <s v="United States"/>
    <s v="San Francisco"/>
    <x v="1"/>
    <n v="94110"/>
    <x v="1"/>
    <x v="1262"/>
    <x v="1"/>
    <x v="10"/>
    <x v="1246"/>
    <x v="4560"/>
    <x v="8"/>
    <x v="3"/>
  </r>
  <r>
    <n v="9695"/>
    <x v="4867"/>
    <x v="241"/>
    <d v="2018-09-28T00:00:00"/>
    <s v="Second Class"/>
    <x v="71"/>
    <s v="Neil Knudson"/>
    <x v="2"/>
    <s v="United States"/>
    <s v="San Francisco"/>
    <x v="1"/>
    <n v="94110"/>
    <x v="1"/>
    <x v="503"/>
    <x v="1"/>
    <x v="14"/>
    <x v="503"/>
    <x v="545"/>
    <x v="8"/>
    <x v="3"/>
  </r>
  <r>
    <n v="9696"/>
    <x v="4868"/>
    <x v="25"/>
    <d v="2017-12-14T00:00:00"/>
    <s v="First Class"/>
    <x v="281"/>
    <s v="Steve Chapman"/>
    <x v="1"/>
    <s v="United States"/>
    <s v="Springfield"/>
    <x v="24"/>
    <n v="45503"/>
    <x v="3"/>
    <x v="9"/>
    <x v="1"/>
    <x v="9"/>
    <x v="9"/>
    <x v="5717"/>
    <x v="4"/>
    <x v="0"/>
  </r>
  <r>
    <n v="9697"/>
    <x v="4869"/>
    <x v="1225"/>
    <d v="2015-06-15T00:00:00"/>
    <s v="Second Class"/>
    <x v="96"/>
    <s v="Heather Kirkland"/>
    <x v="1"/>
    <s v="United States"/>
    <s v="Detroit"/>
    <x v="12"/>
    <n v="48234"/>
    <x v="2"/>
    <x v="508"/>
    <x v="1"/>
    <x v="2"/>
    <x v="508"/>
    <x v="4526"/>
    <x v="1"/>
    <x v="2"/>
  </r>
  <r>
    <n v="9698"/>
    <x v="4870"/>
    <x v="21"/>
    <d v="2017-03-11T00:00:00"/>
    <s v="Same Day"/>
    <x v="389"/>
    <s v="Brad Thomas"/>
    <x v="2"/>
    <s v="United States"/>
    <s v="Philadelphia"/>
    <x v="9"/>
    <n v="19140"/>
    <x v="3"/>
    <x v="1183"/>
    <x v="0"/>
    <x v="5"/>
    <x v="1169"/>
    <x v="5238"/>
    <x v="10"/>
    <x v="0"/>
  </r>
  <r>
    <n v="9699"/>
    <x v="4871"/>
    <x v="934"/>
    <d v="2018-12-19T00:00:00"/>
    <s v="Standard Class"/>
    <x v="730"/>
    <s v="Khloe Miller"/>
    <x v="0"/>
    <s v="United States"/>
    <s v="Inglewood"/>
    <x v="1"/>
    <n v="90301"/>
    <x v="1"/>
    <x v="229"/>
    <x v="1"/>
    <x v="10"/>
    <x v="230"/>
    <x v="4663"/>
    <x v="4"/>
    <x v="3"/>
  </r>
  <r>
    <n v="9700"/>
    <x v="4871"/>
    <x v="934"/>
    <d v="2018-12-19T00:00:00"/>
    <s v="Standard Class"/>
    <x v="730"/>
    <s v="Khloe Miller"/>
    <x v="0"/>
    <s v="United States"/>
    <s v="Inglewood"/>
    <x v="1"/>
    <n v="90301"/>
    <x v="1"/>
    <x v="1825"/>
    <x v="1"/>
    <x v="9"/>
    <x v="1813"/>
    <x v="3196"/>
    <x v="4"/>
    <x v="3"/>
  </r>
  <r>
    <n v="9701"/>
    <x v="4871"/>
    <x v="934"/>
    <d v="2018-12-19T00:00:00"/>
    <s v="Standard Class"/>
    <x v="730"/>
    <s v="Khloe Miller"/>
    <x v="0"/>
    <s v="United States"/>
    <s v="Inglewood"/>
    <x v="1"/>
    <n v="90301"/>
    <x v="1"/>
    <x v="1361"/>
    <x v="2"/>
    <x v="7"/>
    <x v="1347"/>
    <x v="2066"/>
    <x v="4"/>
    <x v="3"/>
  </r>
  <r>
    <n v="9702"/>
    <x v="4872"/>
    <x v="859"/>
    <d v="2017-11-04T00:00:00"/>
    <s v="Standard Class"/>
    <x v="727"/>
    <s v="Susan Pistek"/>
    <x v="0"/>
    <s v="United States"/>
    <s v="San Luis Obispo"/>
    <x v="1"/>
    <n v="93405"/>
    <x v="1"/>
    <x v="804"/>
    <x v="1"/>
    <x v="13"/>
    <x v="802"/>
    <x v="3543"/>
    <x v="2"/>
    <x v="0"/>
  </r>
  <r>
    <n v="9703"/>
    <x v="4873"/>
    <x v="689"/>
    <d v="2018-08-04T00:00:00"/>
    <s v="Standard Class"/>
    <x v="697"/>
    <s v="Laurel Beltran"/>
    <x v="2"/>
    <s v="United States"/>
    <s v="Wilmington"/>
    <x v="13"/>
    <n v="19805"/>
    <x v="3"/>
    <x v="96"/>
    <x v="1"/>
    <x v="10"/>
    <x v="96"/>
    <x v="1034"/>
    <x v="7"/>
    <x v="3"/>
  </r>
  <r>
    <n v="9704"/>
    <x v="4873"/>
    <x v="689"/>
    <d v="2018-08-04T00:00:00"/>
    <s v="Standard Class"/>
    <x v="697"/>
    <s v="Laurel Beltran"/>
    <x v="2"/>
    <s v="United States"/>
    <s v="Wilmington"/>
    <x v="13"/>
    <n v="19805"/>
    <x v="3"/>
    <x v="13"/>
    <x v="1"/>
    <x v="8"/>
    <x v="13"/>
    <x v="5718"/>
    <x v="7"/>
    <x v="3"/>
  </r>
  <r>
    <n v="9705"/>
    <x v="4873"/>
    <x v="689"/>
    <d v="2018-08-04T00:00:00"/>
    <s v="Standard Class"/>
    <x v="697"/>
    <s v="Laurel Beltran"/>
    <x v="2"/>
    <s v="United States"/>
    <s v="Wilmington"/>
    <x v="13"/>
    <n v="19805"/>
    <x v="3"/>
    <x v="1812"/>
    <x v="1"/>
    <x v="8"/>
    <x v="1802"/>
    <x v="5719"/>
    <x v="7"/>
    <x v="3"/>
  </r>
  <r>
    <n v="9706"/>
    <x v="4874"/>
    <x v="15"/>
    <d v="2018-10-23T00:00:00"/>
    <s v="Standard Class"/>
    <x v="559"/>
    <s v="Joy Smith"/>
    <x v="0"/>
    <s v="United States"/>
    <s v="San Francisco"/>
    <x v="1"/>
    <n v="94122"/>
    <x v="1"/>
    <x v="729"/>
    <x v="1"/>
    <x v="8"/>
    <x v="728"/>
    <x v="5272"/>
    <x v="2"/>
    <x v="3"/>
  </r>
  <r>
    <n v="9707"/>
    <x v="4875"/>
    <x v="147"/>
    <d v="2017-10-27T00:00:00"/>
    <s v="Standard Class"/>
    <x v="229"/>
    <s v="Carlos Soltero"/>
    <x v="0"/>
    <s v="United States"/>
    <s v="Los Angeles"/>
    <x v="1"/>
    <n v="90045"/>
    <x v="1"/>
    <x v="1719"/>
    <x v="0"/>
    <x v="1"/>
    <x v="1706"/>
    <x v="5720"/>
    <x v="2"/>
    <x v="0"/>
  </r>
  <r>
    <n v="9708"/>
    <x v="4875"/>
    <x v="147"/>
    <d v="2017-10-27T00:00:00"/>
    <s v="Standard Class"/>
    <x v="229"/>
    <s v="Carlos Soltero"/>
    <x v="0"/>
    <s v="United States"/>
    <s v="Los Angeles"/>
    <x v="1"/>
    <n v="90045"/>
    <x v="1"/>
    <x v="105"/>
    <x v="1"/>
    <x v="6"/>
    <x v="105"/>
    <x v="708"/>
    <x v="2"/>
    <x v="0"/>
  </r>
  <r>
    <n v="9709"/>
    <x v="4875"/>
    <x v="147"/>
    <d v="2017-10-27T00:00:00"/>
    <s v="Standard Class"/>
    <x v="229"/>
    <s v="Carlos Soltero"/>
    <x v="0"/>
    <s v="United States"/>
    <s v="Los Angeles"/>
    <x v="1"/>
    <n v="90045"/>
    <x v="1"/>
    <x v="1611"/>
    <x v="0"/>
    <x v="5"/>
    <x v="1602"/>
    <x v="2923"/>
    <x v="2"/>
    <x v="0"/>
  </r>
  <r>
    <n v="9710"/>
    <x v="4875"/>
    <x v="147"/>
    <d v="2017-10-27T00:00:00"/>
    <s v="Standard Class"/>
    <x v="229"/>
    <s v="Carlos Soltero"/>
    <x v="0"/>
    <s v="United States"/>
    <s v="Los Angeles"/>
    <x v="1"/>
    <n v="90045"/>
    <x v="1"/>
    <x v="418"/>
    <x v="1"/>
    <x v="4"/>
    <x v="418"/>
    <x v="445"/>
    <x v="2"/>
    <x v="0"/>
  </r>
  <r>
    <n v="9711"/>
    <x v="4876"/>
    <x v="1127"/>
    <d v="2015-11-10T00:00:00"/>
    <s v="Standard Class"/>
    <x v="198"/>
    <s v="Maribeth Dona"/>
    <x v="0"/>
    <s v="United States"/>
    <s v="Philadelphia"/>
    <x v="9"/>
    <n v="19143"/>
    <x v="3"/>
    <x v="1304"/>
    <x v="0"/>
    <x v="5"/>
    <x v="1289"/>
    <x v="5721"/>
    <x v="0"/>
    <x v="2"/>
  </r>
  <r>
    <n v="9712"/>
    <x v="4876"/>
    <x v="1127"/>
    <d v="2015-11-10T00:00:00"/>
    <s v="Standard Class"/>
    <x v="198"/>
    <s v="Maribeth Dona"/>
    <x v="0"/>
    <s v="United States"/>
    <s v="Philadelphia"/>
    <x v="9"/>
    <n v="19143"/>
    <x v="3"/>
    <x v="715"/>
    <x v="1"/>
    <x v="8"/>
    <x v="714"/>
    <x v="5722"/>
    <x v="0"/>
    <x v="2"/>
  </r>
  <r>
    <n v="9713"/>
    <x v="4876"/>
    <x v="1127"/>
    <d v="2015-11-10T00:00:00"/>
    <s v="Standard Class"/>
    <x v="198"/>
    <s v="Maribeth Dona"/>
    <x v="0"/>
    <s v="United States"/>
    <s v="Philadelphia"/>
    <x v="9"/>
    <n v="19143"/>
    <x v="3"/>
    <x v="906"/>
    <x v="1"/>
    <x v="4"/>
    <x v="898"/>
    <x v="5723"/>
    <x v="0"/>
    <x v="2"/>
  </r>
  <r>
    <n v="9714"/>
    <x v="4876"/>
    <x v="1127"/>
    <d v="2015-11-10T00:00:00"/>
    <s v="Standard Class"/>
    <x v="198"/>
    <s v="Maribeth Dona"/>
    <x v="0"/>
    <s v="United States"/>
    <s v="Philadelphia"/>
    <x v="9"/>
    <n v="19143"/>
    <x v="3"/>
    <x v="553"/>
    <x v="2"/>
    <x v="11"/>
    <x v="552"/>
    <x v="5622"/>
    <x v="0"/>
    <x v="2"/>
  </r>
  <r>
    <n v="9715"/>
    <x v="4876"/>
    <x v="1127"/>
    <d v="2015-11-10T00:00:00"/>
    <s v="Standard Class"/>
    <x v="198"/>
    <s v="Maribeth Dona"/>
    <x v="0"/>
    <s v="United States"/>
    <s v="Philadelphia"/>
    <x v="9"/>
    <n v="19143"/>
    <x v="3"/>
    <x v="1312"/>
    <x v="2"/>
    <x v="11"/>
    <x v="1298"/>
    <x v="2788"/>
    <x v="0"/>
    <x v="2"/>
  </r>
  <r>
    <n v="9716"/>
    <x v="4877"/>
    <x v="77"/>
    <d v="2017-11-12T00:00:00"/>
    <s v="Standard Class"/>
    <x v="436"/>
    <s v="Lisa DeCherney"/>
    <x v="0"/>
    <s v="United States"/>
    <s v="San Francisco"/>
    <x v="1"/>
    <n v="94122"/>
    <x v="1"/>
    <x v="379"/>
    <x v="1"/>
    <x v="8"/>
    <x v="380"/>
    <x v="379"/>
    <x v="0"/>
    <x v="0"/>
  </r>
  <r>
    <n v="9717"/>
    <x v="4878"/>
    <x v="399"/>
    <d v="2017-08-14T00:00:00"/>
    <s v="Second Class"/>
    <x v="489"/>
    <s v="Deborah Brumfield"/>
    <x v="2"/>
    <s v="United States"/>
    <s v="Philadelphia"/>
    <x v="9"/>
    <n v="19134"/>
    <x v="3"/>
    <x v="1759"/>
    <x v="1"/>
    <x v="6"/>
    <x v="1748"/>
    <x v="5724"/>
    <x v="6"/>
    <x v="0"/>
  </r>
  <r>
    <n v="9718"/>
    <x v="4879"/>
    <x v="198"/>
    <d v="2017-05-31T00:00:00"/>
    <s v="Same Day"/>
    <x v="247"/>
    <s v="Annie Thurman"/>
    <x v="0"/>
    <s v="United States"/>
    <s v="Houston"/>
    <x v="5"/>
    <n v="77041"/>
    <x v="2"/>
    <x v="125"/>
    <x v="2"/>
    <x v="7"/>
    <x v="126"/>
    <x v="1095"/>
    <x v="5"/>
    <x v="0"/>
  </r>
  <r>
    <n v="9719"/>
    <x v="4879"/>
    <x v="198"/>
    <d v="2017-05-31T00:00:00"/>
    <s v="Same Day"/>
    <x v="247"/>
    <s v="Annie Thurman"/>
    <x v="0"/>
    <s v="United States"/>
    <s v="Houston"/>
    <x v="5"/>
    <n v="77041"/>
    <x v="2"/>
    <x v="201"/>
    <x v="2"/>
    <x v="11"/>
    <x v="202"/>
    <x v="1891"/>
    <x v="5"/>
    <x v="0"/>
  </r>
  <r>
    <n v="9720"/>
    <x v="4880"/>
    <x v="105"/>
    <d v="2018-11-14T00:00:00"/>
    <s v="Second Class"/>
    <x v="589"/>
    <s v="Dennis Kane"/>
    <x v="0"/>
    <s v="United States"/>
    <s v="Lancaster"/>
    <x v="9"/>
    <n v="17602"/>
    <x v="3"/>
    <x v="942"/>
    <x v="1"/>
    <x v="4"/>
    <x v="935"/>
    <x v="3084"/>
    <x v="0"/>
    <x v="3"/>
  </r>
  <r>
    <n v="9721"/>
    <x v="4881"/>
    <x v="897"/>
    <d v="2017-09-26T00:00:00"/>
    <s v="Standard Class"/>
    <x v="294"/>
    <s v="Chris Selesnick"/>
    <x v="1"/>
    <s v="United States"/>
    <s v="Green Bay"/>
    <x v="6"/>
    <n v="54302"/>
    <x v="2"/>
    <x v="1462"/>
    <x v="0"/>
    <x v="5"/>
    <x v="1448"/>
    <x v="1623"/>
    <x v="8"/>
    <x v="0"/>
  </r>
  <r>
    <n v="9722"/>
    <x v="4882"/>
    <x v="595"/>
    <d v="2017-02-20T00:00:00"/>
    <s v="Standard Class"/>
    <x v="535"/>
    <s v="Jill Fjeld"/>
    <x v="0"/>
    <s v="United States"/>
    <s v="New York City"/>
    <x v="15"/>
    <n v="10024"/>
    <x v="3"/>
    <x v="1708"/>
    <x v="0"/>
    <x v="1"/>
    <x v="1697"/>
    <x v="5725"/>
    <x v="11"/>
    <x v="0"/>
  </r>
  <r>
    <n v="9723"/>
    <x v="4882"/>
    <x v="595"/>
    <d v="2017-02-20T00:00:00"/>
    <s v="Standard Class"/>
    <x v="535"/>
    <s v="Jill Fjeld"/>
    <x v="0"/>
    <s v="United States"/>
    <s v="New York City"/>
    <x v="15"/>
    <n v="10024"/>
    <x v="3"/>
    <x v="246"/>
    <x v="2"/>
    <x v="11"/>
    <x v="247"/>
    <x v="1309"/>
    <x v="11"/>
    <x v="0"/>
  </r>
  <r>
    <n v="9724"/>
    <x v="4883"/>
    <x v="1091"/>
    <d v="2015-12-26T00:00:00"/>
    <s v="Standard Class"/>
    <x v="69"/>
    <s v="Tamara Willingham"/>
    <x v="2"/>
    <s v="United States"/>
    <s v="New York City"/>
    <x v="15"/>
    <n v="10011"/>
    <x v="3"/>
    <x v="697"/>
    <x v="1"/>
    <x v="8"/>
    <x v="697"/>
    <x v="5726"/>
    <x v="4"/>
    <x v="2"/>
  </r>
  <r>
    <n v="9725"/>
    <x v="4884"/>
    <x v="901"/>
    <d v="2016-12-11T00:00:00"/>
    <s v="Standard Class"/>
    <x v="621"/>
    <s v="Tim Brockman"/>
    <x v="0"/>
    <s v="United States"/>
    <s v="Bloomington"/>
    <x v="10"/>
    <n v="61701"/>
    <x v="2"/>
    <x v="661"/>
    <x v="1"/>
    <x v="12"/>
    <x v="661"/>
    <x v="2059"/>
    <x v="4"/>
    <x v="1"/>
  </r>
  <r>
    <n v="9726"/>
    <x v="4885"/>
    <x v="697"/>
    <d v="2018-09-20T00:00:00"/>
    <s v="First Class"/>
    <x v="618"/>
    <s v="Shahid Collister"/>
    <x v="0"/>
    <s v="United States"/>
    <s v="Boise"/>
    <x v="45"/>
    <n v="83704"/>
    <x v="1"/>
    <x v="1016"/>
    <x v="2"/>
    <x v="11"/>
    <x v="1007"/>
    <x v="1309"/>
    <x v="8"/>
    <x v="3"/>
  </r>
  <r>
    <n v="9727"/>
    <x v="4886"/>
    <x v="574"/>
    <d v="2018-12-04T00:00:00"/>
    <s v="First Class"/>
    <x v="27"/>
    <s v="Kunst Miller"/>
    <x v="0"/>
    <s v="United States"/>
    <s v="Lowell"/>
    <x v="31"/>
    <n v="1852"/>
    <x v="3"/>
    <x v="1360"/>
    <x v="1"/>
    <x v="9"/>
    <x v="1346"/>
    <x v="5727"/>
    <x v="4"/>
    <x v="3"/>
  </r>
  <r>
    <n v="9728"/>
    <x v="4886"/>
    <x v="574"/>
    <d v="2018-12-04T00:00:00"/>
    <s v="First Class"/>
    <x v="27"/>
    <s v="Kunst Miller"/>
    <x v="0"/>
    <s v="United States"/>
    <s v="Lowell"/>
    <x v="31"/>
    <n v="1852"/>
    <x v="3"/>
    <x v="34"/>
    <x v="2"/>
    <x v="7"/>
    <x v="34"/>
    <x v="504"/>
    <x v="4"/>
    <x v="3"/>
  </r>
  <r>
    <n v="9729"/>
    <x v="4886"/>
    <x v="574"/>
    <d v="2018-12-04T00:00:00"/>
    <s v="First Class"/>
    <x v="27"/>
    <s v="Kunst Miller"/>
    <x v="0"/>
    <s v="United States"/>
    <s v="Lowell"/>
    <x v="31"/>
    <n v="1852"/>
    <x v="3"/>
    <x v="482"/>
    <x v="1"/>
    <x v="14"/>
    <x v="327"/>
    <x v="1001"/>
    <x v="4"/>
    <x v="3"/>
  </r>
  <r>
    <n v="9730"/>
    <x v="4887"/>
    <x v="411"/>
    <d v="2015-10-04T00:00:00"/>
    <s v="Standard Class"/>
    <x v="432"/>
    <s v="Evan Bailliet"/>
    <x v="0"/>
    <s v="United States"/>
    <s v="Seattle"/>
    <x v="4"/>
    <n v="98115"/>
    <x v="1"/>
    <x v="1375"/>
    <x v="1"/>
    <x v="8"/>
    <x v="1360"/>
    <x v="3651"/>
    <x v="8"/>
    <x v="2"/>
  </r>
  <r>
    <n v="9731"/>
    <x v="4887"/>
    <x v="411"/>
    <d v="2015-10-04T00:00:00"/>
    <s v="Standard Class"/>
    <x v="432"/>
    <s v="Evan Bailliet"/>
    <x v="0"/>
    <s v="United States"/>
    <s v="Seattle"/>
    <x v="4"/>
    <n v="98115"/>
    <x v="1"/>
    <x v="765"/>
    <x v="1"/>
    <x v="4"/>
    <x v="764"/>
    <x v="5728"/>
    <x v="8"/>
    <x v="2"/>
  </r>
  <r>
    <n v="9732"/>
    <x v="4888"/>
    <x v="237"/>
    <d v="2018-11-19T00:00:00"/>
    <s v="Standard Class"/>
    <x v="555"/>
    <s v="Joe Elijah"/>
    <x v="0"/>
    <s v="United States"/>
    <s v="Los Angeles"/>
    <x v="1"/>
    <n v="90049"/>
    <x v="1"/>
    <x v="1046"/>
    <x v="1"/>
    <x v="6"/>
    <x v="1035"/>
    <x v="1353"/>
    <x v="0"/>
    <x v="3"/>
  </r>
  <r>
    <n v="9733"/>
    <x v="4889"/>
    <x v="1071"/>
    <d v="2015-08-25T00:00:00"/>
    <s v="Standard Class"/>
    <x v="714"/>
    <s v="Nick Crebassa"/>
    <x v="1"/>
    <s v="United States"/>
    <s v="Hampton"/>
    <x v="17"/>
    <n v="23666"/>
    <x v="0"/>
    <x v="1464"/>
    <x v="0"/>
    <x v="1"/>
    <x v="1450"/>
    <x v="5729"/>
    <x v="6"/>
    <x v="2"/>
  </r>
  <r>
    <n v="9734"/>
    <x v="4889"/>
    <x v="1071"/>
    <d v="2015-08-25T00:00:00"/>
    <s v="Standard Class"/>
    <x v="714"/>
    <s v="Nick Crebassa"/>
    <x v="1"/>
    <s v="United States"/>
    <s v="Hampton"/>
    <x v="17"/>
    <n v="23666"/>
    <x v="0"/>
    <x v="1603"/>
    <x v="1"/>
    <x v="10"/>
    <x v="1595"/>
    <x v="5730"/>
    <x v="6"/>
    <x v="2"/>
  </r>
  <r>
    <n v="9735"/>
    <x v="4889"/>
    <x v="1071"/>
    <d v="2015-08-25T00:00:00"/>
    <s v="Standard Class"/>
    <x v="714"/>
    <s v="Nick Crebassa"/>
    <x v="1"/>
    <s v="United States"/>
    <s v="Hampton"/>
    <x v="17"/>
    <n v="23666"/>
    <x v="0"/>
    <x v="1176"/>
    <x v="1"/>
    <x v="8"/>
    <x v="1162"/>
    <x v="2605"/>
    <x v="6"/>
    <x v="2"/>
  </r>
  <r>
    <n v="9736"/>
    <x v="4890"/>
    <x v="84"/>
    <d v="2015-11-22T00:00:00"/>
    <s v="Second Class"/>
    <x v="57"/>
    <s v="Alan Dominguez"/>
    <x v="2"/>
    <s v="United States"/>
    <s v="Philadelphia"/>
    <x v="9"/>
    <n v="19134"/>
    <x v="3"/>
    <x v="1843"/>
    <x v="1"/>
    <x v="10"/>
    <x v="1831"/>
    <x v="486"/>
    <x v="0"/>
    <x v="2"/>
  </r>
  <r>
    <n v="9737"/>
    <x v="4891"/>
    <x v="685"/>
    <d v="2016-07-03T00:00:00"/>
    <s v="Standard Class"/>
    <x v="739"/>
    <s v="Neil Französisch"/>
    <x v="2"/>
    <s v="United States"/>
    <s v="Omaha"/>
    <x v="8"/>
    <n v="68104"/>
    <x v="2"/>
    <x v="524"/>
    <x v="2"/>
    <x v="7"/>
    <x v="524"/>
    <x v="3323"/>
    <x v="1"/>
    <x v="1"/>
  </r>
  <r>
    <n v="9738"/>
    <x v="4892"/>
    <x v="633"/>
    <d v="2018-03-21T00:00:00"/>
    <s v="Standard Class"/>
    <x v="629"/>
    <s v="Ken Dana"/>
    <x v="1"/>
    <s v="United States"/>
    <s v="Los Angeles"/>
    <x v="1"/>
    <n v="90032"/>
    <x v="1"/>
    <x v="1449"/>
    <x v="1"/>
    <x v="4"/>
    <x v="1436"/>
    <x v="2340"/>
    <x v="10"/>
    <x v="3"/>
  </r>
  <r>
    <n v="9739"/>
    <x v="4892"/>
    <x v="633"/>
    <d v="2018-03-21T00:00:00"/>
    <s v="Standard Class"/>
    <x v="629"/>
    <s v="Ken Dana"/>
    <x v="1"/>
    <s v="United States"/>
    <s v="Los Angeles"/>
    <x v="1"/>
    <n v="90032"/>
    <x v="1"/>
    <x v="908"/>
    <x v="1"/>
    <x v="8"/>
    <x v="900"/>
    <x v="5731"/>
    <x v="10"/>
    <x v="3"/>
  </r>
  <r>
    <n v="9740"/>
    <x v="4892"/>
    <x v="633"/>
    <d v="2018-03-21T00:00:00"/>
    <s v="Standard Class"/>
    <x v="629"/>
    <s v="Ken Dana"/>
    <x v="1"/>
    <s v="United States"/>
    <s v="Los Angeles"/>
    <x v="1"/>
    <n v="90032"/>
    <x v="1"/>
    <x v="1181"/>
    <x v="1"/>
    <x v="8"/>
    <x v="1167"/>
    <x v="1195"/>
    <x v="10"/>
    <x v="3"/>
  </r>
  <r>
    <n v="9741"/>
    <x v="4892"/>
    <x v="633"/>
    <d v="2018-03-21T00:00:00"/>
    <s v="Standard Class"/>
    <x v="629"/>
    <s v="Ken Dana"/>
    <x v="1"/>
    <s v="United States"/>
    <s v="Los Angeles"/>
    <x v="1"/>
    <n v="90032"/>
    <x v="1"/>
    <x v="589"/>
    <x v="1"/>
    <x v="9"/>
    <x v="589"/>
    <x v="5732"/>
    <x v="10"/>
    <x v="3"/>
  </r>
  <r>
    <n v="9742"/>
    <x v="4893"/>
    <x v="627"/>
    <d v="2016-11-12T00:00:00"/>
    <s v="Standard Class"/>
    <x v="425"/>
    <s v="Quincy Jones"/>
    <x v="1"/>
    <s v="United States"/>
    <s v="Burlington"/>
    <x v="42"/>
    <m/>
    <x v="3"/>
    <x v="26"/>
    <x v="0"/>
    <x v="0"/>
    <x v="26"/>
    <x v="5733"/>
    <x v="0"/>
    <x v="1"/>
  </r>
  <r>
    <n v="9743"/>
    <x v="4894"/>
    <x v="354"/>
    <d v="2018-12-02T00:00:00"/>
    <s v="Standard Class"/>
    <x v="212"/>
    <s v="Emily Phan"/>
    <x v="0"/>
    <s v="United States"/>
    <s v="San Diego"/>
    <x v="1"/>
    <n v="92037"/>
    <x v="1"/>
    <x v="300"/>
    <x v="1"/>
    <x v="2"/>
    <x v="300"/>
    <x v="449"/>
    <x v="0"/>
    <x v="3"/>
  </r>
  <r>
    <n v="9744"/>
    <x v="4895"/>
    <x v="950"/>
    <d v="2017-06-22T00:00:00"/>
    <s v="Standard Class"/>
    <x v="370"/>
    <s v="Jennifer Jackson"/>
    <x v="0"/>
    <s v="United States"/>
    <s v="Newark"/>
    <x v="13"/>
    <n v="19711"/>
    <x v="3"/>
    <x v="1042"/>
    <x v="1"/>
    <x v="2"/>
    <x v="1031"/>
    <x v="1227"/>
    <x v="1"/>
    <x v="0"/>
  </r>
  <r>
    <n v="9745"/>
    <x v="4896"/>
    <x v="276"/>
    <d v="2018-01-25T00:00:00"/>
    <s v="Standard Class"/>
    <x v="648"/>
    <s v="Bobby Elias"/>
    <x v="0"/>
    <s v="United States"/>
    <s v="Aurora"/>
    <x v="10"/>
    <n v="60505"/>
    <x v="2"/>
    <x v="556"/>
    <x v="1"/>
    <x v="12"/>
    <x v="555"/>
    <x v="5734"/>
    <x v="9"/>
    <x v="3"/>
  </r>
  <r>
    <n v="9746"/>
    <x v="4897"/>
    <x v="221"/>
    <d v="2018-11-24T00:00:00"/>
    <s v="Same Day"/>
    <x v="443"/>
    <s v="Beth Paige"/>
    <x v="0"/>
    <s v="United States"/>
    <s v="Los Angeles"/>
    <x v="1"/>
    <n v="90008"/>
    <x v="1"/>
    <x v="342"/>
    <x v="0"/>
    <x v="3"/>
    <x v="342"/>
    <x v="5735"/>
    <x v="0"/>
    <x v="3"/>
  </r>
  <r>
    <n v="9747"/>
    <x v="4897"/>
    <x v="221"/>
    <d v="2018-11-24T00:00:00"/>
    <s v="Same Day"/>
    <x v="443"/>
    <s v="Beth Paige"/>
    <x v="0"/>
    <s v="United States"/>
    <s v="Los Angeles"/>
    <x v="1"/>
    <n v="90008"/>
    <x v="1"/>
    <x v="972"/>
    <x v="0"/>
    <x v="3"/>
    <x v="966"/>
    <x v="3939"/>
    <x v="0"/>
    <x v="3"/>
  </r>
  <r>
    <n v="9748"/>
    <x v="4898"/>
    <x v="7"/>
    <d v="2015-11-15T00:00:00"/>
    <s v="Standard Class"/>
    <x v="3"/>
    <s v="Brosina Hoffman"/>
    <x v="0"/>
    <s v="United States"/>
    <s v="Chicago"/>
    <x v="10"/>
    <n v="60653"/>
    <x v="2"/>
    <x v="1649"/>
    <x v="0"/>
    <x v="5"/>
    <x v="1638"/>
    <x v="5736"/>
    <x v="0"/>
    <x v="2"/>
  </r>
  <r>
    <n v="9749"/>
    <x v="4898"/>
    <x v="7"/>
    <d v="2015-11-15T00:00:00"/>
    <s v="Standard Class"/>
    <x v="3"/>
    <s v="Brosina Hoffman"/>
    <x v="0"/>
    <s v="United States"/>
    <s v="Chicago"/>
    <x v="10"/>
    <n v="60653"/>
    <x v="2"/>
    <x v="463"/>
    <x v="0"/>
    <x v="1"/>
    <x v="464"/>
    <x v="834"/>
    <x v="0"/>
    <x v="2"/>
  </r>
  <r>
    <n v="9750"/>
    <x v="4899"/>
    <x v="758"/>
    <d v="2017-03-08T00:00:00"/>
    <s v="Standard Class"/>
    <x v="613"/>
    <s v="Eleni McCrary"/>
    <x v="1"/>
    <s v="United States"/>
    <s v="Dover"/>
    <x v="38"/>
    <n v="3820"/>
    <x v="3"/>
    <x v="428"/>
    <x v="2"/>
    <x v="11"/>
    <x v="428"/>
    <x v="457"/>
    <x v="10"/>
    <x v="0"/>
  </r>
  <r>
    <n v="9751"/>
    <x v="4900"/>
    <x v="1226"/>
    <d v="2017-10-15T00:00:00"/>
    <s v="Standard Class"/>
    <x v="212"/>
    <s v="Emily Phan"/>
    <x v="0"/>
    <s v="United States"/>
    <s v="Chicago"/>
    <x v="10"/>
    <n v="60610"/>
    <x v="2"/>
    <x v="1412"/>
    <x v="1"/>
    <x v="6"/>
    <x v="1399"/>
    <x v="752"/>
    <x v="2"/>
    <x v="0"/>
  </r>
  <r>
    <n v="9752"/>
    <x v="4900"/>
    <x v="1226"/>
    <d v="2017-10-15T00:00:00"/>
    <s v="Standard Class"/>
    <x v="212"/>
    <s v="Emily Phan"/>
    <x v="0"/>
    <s v="United States"/>
    <s v="Chicago"/>
    <x v="10"/>
    <n v="60610"/>
    <x v="2"/>
    <x v="1175"/>
    <x v="1"/>
    <x v="6"/>
    <x v="1161"/>
    <x v="1777"/>
    <x v="2"/>
    <x v="0"/>
  </r>
  <r>
    <n v="9753"/>
    <x v="4901"/>
    <x v="949"/>
    <d v="2017-07-02T00:00:00"/>
    <s v="First Class"/>
    <x v="125"/>
    <s v="Nick Zandusky"/>
    <x v="2"/>
    <s v="United States"/>
    <s v="Seattle"/>
    <x v="4"/>
    <n v="98115"/>
    <x v="1"/>
    <x v="744"/>
    <x v="1"/>
    <x v="8"/>
    <x v="742"/>
    <x v="5737"/>
    <x v="7"/>
    <x v="0"/>
  </r>
  <r>
    <n v="9754"/>
    <x v="4902"/>
    <x v="996"/>
    <d v="2018-03-29T00:00:00"/>
    <s v="Second Class"/>
    <x v="48"/>
    <s v="Lena Cacioppo"/>
    <x v="0"/>
    <s v="United States"/>
    <s v="Richmond"/>
    <x v="17"/>
    <n v="23223"/>
    <x v="0"/>
    <x v="1570"/>
    <x v="1"/>
    <x v="2"/>
    <x v="1561"/>
    <x v="338"/>
    <x v="10"/>
    <x v="3"/>
  </r>
  <r>
    <n v="9755"/>
    <x v="4902"/>
    <x v="996"/>
    <d v="2018-03-29T00:00:00"/>
    <s v="Second Class"/>
    <x v="48"/>
    <s v="Lena Cacioppo"/>
    <x v="0"/>
    <s v="United States"/>
    <s v="Richmond"/>
    <x v="17"/>
    <n v="23223"/>
    <x v="0"/>
    <x v="213"/>
    <x v="1"/>
    <x v="8"/>
    <x v="214"/>
    <x v="2720"/>
    <x v="10"/>
    <x v="3"/>
  </r>
  <r>
    <n v="9756"/>
    <x v="4902"/>
    <x v="996"/>
    <d v="2018-03-29T00:00:00"/>
    <s v="Second Class"/>
    <x v="48"/>
    <s v="Lena Cacioppo"/>
    <x v="0"/>
    <s v="United States"/>
    <s v="Richmond"/>
    <x v="17"/>
    <n v="23223"/>
    <x v="0"/>
    <x v="1439"/>
    <x v="1"/>
    <x v="4"/>
    <x v="1427"/>
    <x v="737"/>
    <x v="10"/>
    <x v="3"/>
  </r>
  <r>
    <n v="9757"/>
    <x v="4902"/>
    <x v="996"/>
    <d v="2018-03-29T00:00:00"/>
    <s v="Second Class"/>
    <x v="48"/>
    <s v="Lena Cacioppo"/>
    <x v="0"/>
    <s v="United States"/>
    <s v="Richmond"/>
    <x v="17"/>
    <n v="23223"/>
    <x v="0"/>
    <x v="277"/>
    <x v="0"/>
    <x v="3"/>
    <x v="277"/>
    <x v="4696"/>
    <x v="10"/>
    <x v="3"/>
  </r>
  <r>
    <n v="9758"/>
    <x v="4902"/>
    <x v="996"/>
    <d v="2018-03-29T00:00:00"/>
    <s v="Second Class"/>
    <x v="48"/>
    <s v="Lena Cacioppo"/>
    <x v="0"/>
    <s v="United States"/>
    <s v="Richmond"/>
    <x v="17"/>
    <n v="23223"/>
    <x v="0"/>
    <x v="1783"/>
    <x v="2"/>
    <x v="7"/>
    <x v="1773"/>
    <x v="5738"/>
    <x v="10"/>
    <x v="3"/>
  </r>
  <r>
    <n v="9759"/>
    <x v="4902"/>
    <x v="996"/>
    <d v="2018-03-29T00:00:00"/>
    <s v="Second Class"/>
    <x v="48"/>
    <s v="Lena Cacioppo"/>
    <x v="0"/>
    <s v="United States"/>
    <s v="Richmond"/>
    <x v="17"/>
    <n v="23223"/>
    <x v="0"/>
    <x v="249"/>
    <x v="1"/>
    <x v="10"/>
    <x v="250"/>
    <x v="4459"/>
    <x v="10"/>
    <x v="3"/>
  </r>
  <r>
    <n v="9760"/>
    <x v="4903"/>
    <x v="731"/>
    <d v="2017-11-05T00:00:00"/>
    <s v="Standard Class"/>
    <x v="245"/>
    <s v="Sylvia Foulston"/>
    <x v="1"/>
    <s v="United States"/>
    <s v="San Francisco"/>
    <x v="1"/>
    <n v="94109"/>
    <x v="1"/>
    <x v="1131"/>
    <x v="0"/>
    <x v="1"/>
    <x v="1119"/>
    <x v="4523"/>
    <x v="2"/>
    <x v="0"/>
  </r>
  <r>
    <n v="9761"/>
    <x v="4904"/>
    <x v="259"/>
    <d v="2018-11-08T00:00:00"/>
    <s v="Standard Class"/>
    <x v="454"/>
    <s v="Katherine Murray"/>
    <x v="2"/>
    <s v="United States"/>
    <s v="Springdale"/>
    <x v="36"/>
    <n v="72762"/>
    <x v="0"/>
    <x v="1539"/>
    <x v="1"/>
    <x v="6"/>
    <x v="1527"/>
    <x v="5739"/>
    <x v="0"/>
    <x v="3"/>
  </r>
  <r>
    <n v="9762"/>
    <x v="4905"/>
    <x v="1047"/>
    <d v="2015-02-18T00:00:00"/>
    <s v="Standard Class"/>
    <x v="504"/>
    <s v="Marina Lichtenstein"/>
    <x v="1"/>
    <s v="United States"/>
    <s v="Seattle"/>
    <x v="4"/>
    <n v="98103"/>
    <x v="1"/>
    <x v="1105"/>
    <x v="2"/>
    <x v="11"/>
    <x v="1094"/>
    <x v="758"/>
    <x v="11"/>
    <x v="2"/>
  </r>
  <r>
    <n v="9763"/>
    <x v="4905"/>
    <x v="1047"/>
    <d v="2015-02-18T00:00:00"/>
    <s v="Standard Class"/>
    <x v="504"/>
    <s v="Marina Lichtenstein"/>
    <x v="1"/>
    <s v="United States"/>
    <s v="Seattle"/>
    <x v="4"/>
    <n v="98103"/>
    <x v="1"/>
    <x v="1360"/>
    <x v="1"/>
    <x v="9"/>
    <x v="1346"/>
    <x v="3314"/>
    <x v="11"/>
    <x v="2"/>
  </r>
  <r>
    <n v="9764"/>
    <x v="4905"/>
    <x v="1047"/>
    <d v="2015-02-18T00:00:00"/>
    <s v="Standard Class"/>
    <x v="504"/>
    <s v="Marina Lichtenstein"/>
    <x v="1"/>
    <s v="United States"/>
    <s v="Seattle"/>
    <x v="4"/>
    <n v="98103"/>
    <x v="1"/>
    <x v="1420"/>
    <x v="1"/>
    <x v="14"/>
    <x v="1408"/>
    <x v="3999"/>
    <x v="11"/>
    <x v="2"/>
  </r>
  <r>
    <n v="9765"/>
    <x v="4906"/>
    <x v="1227"/>
    <d v="2015-06-23T00:00:00"/>
    <s v="Standard Class"/>
    <x v="498"/>
    <s v="Mick Crebagga"/>
    <x v="0"/>
    <s v="United States"/>
    <s v="Los Angeles"/>
    <x v="1"/>
    <n v="90036"/>
    <x v="1"/>
    <x v="139"/>
    <x v="2"/>
    <x v="7"/>
    <x v="140"/>
    <x v="5740"/>
    <x v="1"/>
    <x v="2"/>
  </r>
  <r>
    <n v="9766"/>
    <x v="4907"/>
    <x v="1228"/>
    <d v="2018-03-06T00:00:00"/>
    <s v="Standard Class"/>
    <x v="551"/>
    <s v="Duane Benoit"/>
    <x v="0"/>
    <s v="United States"/>
    <s v="Middletown"/>
    <x v="29"/>
    <n v="6457"/>
    <x v="3"/>
    <x v="1181"/>
    <x v="1"/>
    <x v="8"/>
    <x v="1167"/>
    <x v="294"/>
    <x v="11"/>
    <x v="3"/>
  </r>
  <r>
    <n v="9767"/>
    <x v="4907"/>
    <x v="1228"/>
    <d v="2018-03-06T00:00:00"/>
    <s v="Standard Class"/>
    <x v="551"/>
    <s v="Duane Benoit"/>
    <x v="0"/>
    <s v="United States"/>
    <s v="Middletown"/>
    <x v="29"/>
    <n v="6457"/>
    <x v="3"/>
    <x v="565"/>
    <x v="1"/>
    <x v="10"/>
    <x v="565"/>
    <x v="3890"/>
    <x v="11"/>
    <x v="3"/>
  </r>
  <r>
    <n v="9768"/>
    <x v="4908"/>
    <x v="34"/>
    <d v="2018-12-15T00:00:00"/>
    <s v="Standard Class"/>
    <x v="560"/>
    <s v="Luke Weiss"/>
    <x v="0"/>
    <s v="United States"/>
    <s v="Grand Rapids"/>
    <x v="12"/>
    <n v="49505"/>
    <x v="2"/>
    <x v="1045"/>
    <x v="1"/>
    <x v="8"/>
    <x v="1034"/>
    <x v="2735"/>
    <x v="4"/>
    <x v="3"/>
  </r>
  <r>
    <n v="9769"/>
    <x v="4909"/>
    <x v="226"/>
    <d v="2018-12-14T00:00:00"/>
    <s v="Standard Class"/>
    <x v="426"/>
    <s v="Tracy Collins"/>
    <x v="2"/>
    <s v="United States"/>
    <s v="San Francisco"/>
    <x v="1"/>
    <n v="94122"/>
    <x v="1"/>
    <x v="1305"/>
    <x v="1"/>
    <x v="10"/>
    <x v="1290"/>
    <x v="5741"/>
    <x v="4"/>
    <x v="3"/>
  </r>
  <r>
    <n v="9770"/>
    <x v="4910"/>
    <x v="390"/>
    <d v="2017-11-30T00:00:00"/>
    <s v="Standard Class"/>
    <x v="337"/>
    <s v="Sample Company A"/>
    <x v="2"/>
    <s v="United States"/>
    <s v="Hialeah"/>
    <x v="2"/>
    <n v="33012"/>
    <x v="0"/>
    <x v="604"/>
    <x v="0"/>
    <x v="0"/>
    <x v="604"/>
    <x v="5742"/>
    <x v="0"/>
    <x v="0"/>
  </r>
  <r>
    <n v="9771"/>
    <x v="4910"/>
    <x v="390"/>
    <d v="2017-11-30T00:00:00"/>
    <s v="Standard Class"/>
    <x v="337"/>
    <s v="Sample Company A"/>
    <x v="2"/>
    <s v="United States"/>
    <s v="Hialeah"/>
    <x v="2"/>
    <n v="33012"/>
    <x v="0"/>
    <x v="1128"/>
    <x v="1"/>
    <x v="10"/>
    <x v="1116"/>
    <x v="3235"/>
    <x v="0"/>
    <x v="0"/>
  </r>
  <r>
    <n v="9772"/>
    <x v="4910"/>
    <x v="390"/>
    <d v="2017-11-30T00:00:00"/>
    <s v="Standard Class"/>
    <x v="337"/>
    <s v="Sample Company A"/>
    <x v="2"/>
    <s v="United States"/>
    <s v="Hialeah"/>
    <x v="2"/>
    <n v="33012"/>
    <x v="0"/>
    <x v="1276"/>
    <x v="1"/>
    <x v="9"/>
    <x v="1261"/>
    <x v="5743"/>
    <x v="0"/>
    <x v="0"/>
  </r>
  <r>
    <n v="9773"/>
    <x v="4911"/>
    <x v="894"/>
    <d v="2017-07-03T00:00:00"/>
    <s v="Same Day"/>
    <x v="524"/>
    <s v="Filia McAdams"/>
    <x v="1"/>
    <s v="United States"/>
    <s v="Philadelphia"/>
    <x v="9"/>
    <n v="19143"/>
    <x v="3"/>
    <x v="1090"/>
    <x v="1"/>
    <x v="10"/>
    <x v="1080"/>
    <x v="1832"/>
    <x v="7"/>
    <x v="0"/>
  </r>
  <r>
    <n v="9774"/>
    <x v="4912"/>
    <x v="190"/>
    <d v="2017-07-03T00:00:00"/>
    <s v="Standard Class"/>
    <x v="418"/>
    <s v="Phillip Flathmann"/>
    <x v="0"/>
    <s v="United States"/>
    <s v="Atlanta"/>
    <x v="32"/>
    <n v="30318"/>
    <x v="0"/>
    <x v="1623"/>
    <x v="2"/>
    <x v="7"/>
    <x v="1613"/>
    <x v="5744"/>
    <x v="1"/>
    <x v="0"/>
  </r>
  <r>
    <n v="9775"/>
    <x v="4913"/>
    <x v="711"/>
    <d v="2015-07-30T00:00:00"/>
    <s v="Standard Class"/>
    <x v="166"/>
    <s v="Luke Foster"/>
    <x v="0"/>
    <s v="United States"/>
    <s v="San Antonio"/>
    <x v="5"/>
    <n v="78207"/>
    <x v="2"/>
    <x v="316"/>
    <x v="1"/>
    <x v="8"/>
    <x v="316"/>
    <x v="5745"/>
    <x v="7"/>
    <x v="2"/>
  </r>
  <r>
    <n v="9776"/>
    <x v="4913"/>
    <x v="711"/>
    <d v="2015-07-30T00:00:00"/>
    <s v="Standard Class"/>
    <x v="166"/>
    <s v="Luke Foster"/>
    <x v="0"/>
    <s v="United States"/>
    <s v="San Antonio"/>
    <x v="5"/>
    <n v="78207"/>
    <x v="2"/>
    <x v="1474"/>
    <x v="0"/>
    <x v="5"/>
    <x v="1461"/>
    <x v="3652"/>
    <x v="7"/>
    <x v="2"/>
  </r>
  <r>
    <n v="9777"/>
    <x v="4913"/>
    <x v="711"/>
    <d v="2015-07-30T00:00:00"/>
    <s v="Standard Class"/>
    <x v="166"/>
    <s v="Luke Foster"/>
    <x v="0"/>
    <s v="United States"/>
    <s v="San Antonio"/>
    <x v="5"/>
    <n v="78207"/>
    <x v="2"/>
    <x v="301"/>
    <x v="1"/>
    <x v="8"/>
    <x v="301"/>
    <x v="1316"/>
    <x v="7"/>
    <x v="2"/>
  </r>
  <r>
    <n v="9778"/>
    <x v="4913"/>
    <x v="711"/>
    <d v="2015-07-30T00:00:00"/>
    <s v="Standard Class"/>
    <x v="166"/>
    <s v="Luke Foster"/>
    <x v="0"/>
    <s v="United States"/>
    <s v="San Antonio"/>
    <x v="5"/>
    <n v="78207"/>
    <x v="2"/>
    <x v="333"/>
    <x v="2"/>
    <x v="11"/>
    <x v="333"/>
    <x v="5746"/>
    <x v="7"/>
    <x v="2"/>
  </r>
  <r>
    <n v="9779"/>
    <x v="4913"/>
    <x v="711"/>
    <d v="2015-07-30T00:00:00"/>
    <s v="Standard Class"/>
    <x v="166"/>
    <s v="Luke Foster"/>
    <x v="0"/>
    <s v="United States"/>
    <s v="San Antonio"/>
    <x v="5"/>
    <n v="78207"/>
    <x v="2"/>
    <x v="213"/>
    <x v="1"/>
    <x v="8"/>
    <x v="214"/>
    <x v="5747"/>
    <x v="7"/>
    <x v="2"/>
  </r>
  <r>
    <n v="9780"/>
    <x v="4913"/>
    <x v="711"/>
    <d v="2015-07-30T00:00:00"/>
    <s v="Standard Class"/>
    <x v="166"/>
    <s v="Luke Foster"/>
    <x v="0"/>
    <s v="United States"/>
    <s v="San Antonio"/>
    <x v="5"/>
    <n v="78207"/>
    <x v="2"/>
    <x v="1204"/>
    <x v="1"/>
    <x v="9"/>
    <x v="1189"/>
    <x v="5748"/>
    <x v="7"/>
    <x v="2"/>
  </r>
  <r>
    <n v="9781"/>
    <x v="4914"/>
    <x v="749"/>
    <d v="2017-09-18T00:00:00"/>
    <s v="Standard Class"/>
    <x v="52"/>
    <s v="Clay Ludtke"/>
    <x v="0"/>
    <s v="United States"/>
    <s v="Long Beach"/>
    <x v="15"/>
    <n v="11561"/>
    <x v="3"/>
    <x v="1285"/>
    <x v="2"/>
    <x v="7"/>
    <x v="1271"/>
    <x v="1876"/>
    <x v="8"/>
    <x v="0"/>
  </r>
  <r>
    <n v="9782"/>
    <x v="4914"/>
    <x v="749"/>
    <d v="2017-09-18T00:00:00"/>
    <s v="Standard Class"/>
    <x v="52"/>
    <s v="Clay Ludtke"/>
    <x v="0"/>
    <s v="United States"/>
    <s v="Long Beach"/>
    <x v="15"/>
    <n v="11561"/>
    <x v="3"/>
    <x v="1178"/>
    <x v="1"/>
    <x v="8"/>
    <x v="1164"/>
    <x v="1860"/>
    <x v="8"/>
    <x v="0"/>
  </r>
  <r>
    <n v="9783"/>
    <x v="4915"/>
    <x v="70"/>
    <d v="2016-06-02T00:00:00"/>
    <s v="Second Class"/>
    <x v="605"/>
    <s v="Elizabeth Moffitt"/>
    <x v="1"/>
    <s v="United States"/>
    <s v="Paterson"/>
    <x v="30"/>
    <n v="7501"/>
    <x v="3"/>
    <x v="519"/>
    <x v="1"/>
    <x v="10"/>
    <x v="519"/>
    <x v="4155"/>
    <x v="5"/>
    <x v="1"/>
  </r>
  <r>
    <n v="9784"/>
    <x v="4915"/>
    <x v="70"/>
    <d v="2016-06-02T00:00:00"/>
    <s v="Second Class"/>
    <x v="605"/>
    <s v="Elizabeth Moffitt"/>
    <x v="1"/>
    <s v="United States"/>
    <s v="Paterson"/>
    <x v="30"/>
    <n v="7501"/>
    <x v="3"/>
    <x v="821"/>
    <x v="1"/>
    <x v="4"/>
    <x v="817"/>
    <x v="1020"/>
    <x v="5"/>
    <x v="1"/>
  </r>
  <r>
    <n v="9785"/>
    <x v="4915"/>
    <x v="70"/>
    <d v="2016-06-02T00:00:00"/>
    <s v="Second Class"/>
    <x v="605"/>
    <s v="Elizabeth Moffitt"/>
    <x v="1"/>
    <s v="United States"/>
    <s v="Paterson"/>
    <x v="30"/>
    <n v="7501"/>
    <x v="3"/>
    <x v="1379"/>
    <x v="0"/>
    <x v="5"/>
    <x v="1364"/>
    <x v="5482"/>
    <x v="5"/>
    <x v="1"/>
  </r>
  <r>
    <n v="9786"/>
    <x v="4916"/>
    <x v="1229"/>
    <d v="2016-05-13T00:00:00"/>
    <s v="Standard Class"/>
    <x v="250"/>
    <s v="Max Engle"/>
    <x v="0"/>
    <s v="United States"/>
    <s v="Louisville"/>
    <x v="0"/>
    <n v="40214"/>
    <x v="0"/>
    <x v="1526"/>
    <x v="1"/>
    <x v="8"/>
    <x v="1513"/>
    <x v="5749"/>
    <x v="5"/>
    <x v="1"/>
  </r>
  <r>
    <n v="9787"/>
    <x v="4917"/>
    <x v="1127"/>
    <d v="2015-11-05T00:00:00"/>
    <s v="Same Day"/>
    <x v="767"/>
    <s v="Barry Gonzalez"/>
    <x v="0"/>
    <s v="United States"/>
    <s v="Hampton"/>
    <x v="17"/>
    <n v="23666"/>
    <x v="0"/>
    <x v="1144"/>
    <x v="0"/>
    <x v="1"/>
    <x v="1132"/>
    <x v="5750"/>
    <x v="0"/>
    <x v="2"/>
  </r>
  <r>
    <n v="9788"/>
    <x v="4918"/>
    <x v="996"/>
    <d v="2018-04-01T00:00:00"/>
    <s v="Standard Class"/>
    <x v="170"/>
    <s v="Caroline Jumper"/>
    <x v="0"/>
    <s v="United States"/>
    <s v="Houston"/>
    <x v="5"/>
    <n v="77070"/>
    <x v="2"/>
    <x v="789"/>
    <x v="0"/>
    <x v="0"/>
    <x v="787"/>
    <x v="5751"/>
    <x v="10"/>
    <x v="3"/>
  </r>
  <r>
    <n v="9789"/>
    <x v="4918"/>
    <x v="996"/>
    <d v="2018-04-01T00:00:00"/>
    <s v="Standard Class"/>
    <x v="170"/>
    <s v="Caroline Jumper"/>
    <x v="0"/>
    <s v="United States"/>
    <s v="Houston"/>
    <x v="5"/>
    <n v="77070"/>
    <x v="2"/>
    <x v="120"/>
    <x v="0"/>
    <x v="1"/>
    <x v="120"/>
    <x v="121"/>
    <x v="10"/>
    <x v="3"/>
  </r>
  <r>
    <n v="9790"/>
    <x v="4918"/>
    <x v="996"/>
    <d v="2018-04-01T00:00:00"/>
    <s v="Standard Class"/>
    <x v="170"/>
    <s v="Caroline Jumper"/>
    <x v="0"/>
    <s v="United States"/>
    <s v="Houston"/>
    <x v="5"/>
    <n v="77070"/>
    <x v="2"/>
    <x v="648"/>
    <x v="2"/>
    <x v="11"/>
    <x v="648"/>
    <x v="3067"/>
    <x v="10"/>
    <x v="3"/>
  </r>
  <r>
    <n v="9791"/>
    <x v="4918"/>
    <x v="996"/>
    <d v="2018-04-01T00:00:00"/>
    <s v="Standard Class"/>
    <x v="170"/>
    <s v="Caroline Jumper"/>
    <x v="0"/>
    <s v="United States"/>
    <s v="Houston"/>
    <x v="5"/>
    <n v="77070"/>
    <x v="2"/>
    <x v="1318"/>
    <x v="0"/>
    <x v="1"/>
    <x v="1304"/>
    <x v="5752"/>
    <x v="10"/>
    <x v="3"/>
  </r>
  <r>
    <n v="9792"/>
    <x v="4919"/>
    <x v="371"/>
    <d v="2015-05-23T00:00:00"/>
    <s v="Second Class"/>
    <x v="347"/>
    <s v="Katherine Hughes"/>
    <x v="0"/>
    <s v="United States"/>
    <s v="Houston"/>
    <x v="5"/>
    <n v="77070"/>
    <x v="2"/>
    <x v="1040"/>
    <x v="1"/>
    <x v="12"/>
    <x v="153"/>
    <x v="3835"/>
    <x v="5"/>
    <x v="2"/>
  </r>
  <r>
    <n v="9793"/>
    <x v="4919"/>
    <x v="371"/>
    <d v="2015-05-23T00:00:00"/>
    <s v="Second Class"/>
    <x v="347"/>
    <s v="Katherine Hughes"/>
    <x v="0"/>
    <s v="United States"/>
    <s v="Houston"/>
    <x v="5"/>
    <n v="77070"/>
    <x v="2"/>
    <x v="389"/>
    <x v="0"/>
    <x v="1"/>
    <x v="390"/>
    <x v="953"/>
    <x v="5"/>
    <x v="2"/>
  </r>
  <r>
    <n v="9794"/>
    <x v="4919"/>
    <x v="371"/>
    <d v="2015-05-23T00:00:00"/>
    <s v="Second Class"/>
    <x v="347"/>
    <s v="Katherine Hughes"/>
    <x v="0"/>
    <s v="United States"/>
    <s v="Houston"/>
    <x v="5"/>
    <n v="77070"/>
    <x v="2"/>
    <x v="670"/>
    <x v="1"/>
    <x v="10"/>
    <x v="670"/>
    <x v="5753"/>
    <x v="5"/>
    <x v="2"/>
  </r>
  <r>
    <n v="9795"/>
    <x v="4919"/>
    <x v="371"/>
    <d v="2015-05-23T00:00:00"/>
    <s v="Second Class"/>
    <x v="347"/>
    <s v="Katherine Hughes"/>
    <x v="0"/>
    <s v="United States"/>
    <s v="Houston"/>
    <x v="5"/>
    <n v="77070"/>
    <x v="2"/>
    <x v="999"/>
    <x v="1"/>
    <x v="8"/>
    <x v="991"/>
    <x v="2556"/>
    <x v="5"/>
    <x v="2"/>
  </r>
  <r>
    <n v="9796"/>
    <x v="4920"/>
    <x v="206"/>
    <d v="2017-05-28T00:00:00"/>
    <s v="Standard Class"/>
    <x v="64"/>
    <s v="Sally Hughsby"/>
    <x v="1"/>
    <s v="United States"/>
    <s v="Chicago"/>
    <x v="10"/>
    <n v="60610"/>
    <x v="2"/>
    <x v="858"/>
    <x v="1"/>
    <x v="8"/>
    <x v="852"/>
    <x v="3497"/>
    <x v="5"/>
    <x v="0"/>
  </r>
  <r>
    <n v="9797"/>
    <x v="4921"/>
    <x v="1026"/>
    <d v="2016-01-17T00:00:00"/>
    <s v="Standard Class"/>
    <x v="703"/>
    <s v="Cindy Schnelling"/>
    <x v="1"/>
    <s v="United States"/>
    <s v="Toledo"/>
    <x v="24"/>
    <n v="43615"/>
    <x v="3"/>
    <x v="313"/>
    <x v="1"/>
    <x v="6"/>
    <x v="313"/>
    <x v="559"/>
    <x v="9"/>
    <x v="1"/>
  </r>
  <r>
    <n v="9798"/>
    <x v="4921"/>
    <x v="1026"/>
    <d v="2016-01-17T00:00:00"/>
    <s v="Standard Class"/>
    <x v="703"/>
    <s v="Cindy Schnelling"/>
    <x v="1"/>
    <s v="United States"/>
    <s v="Toledo"/>
    <x v="24"/>
    <n v="43615"/>
    <x v="3"/>
    <x v="34"/>
    <x v="2"/>
    <x v="7"/>
    <x v="34"/>
    <x v="5754"/>
    <x v="9"/>
    <x v="1"/>
  </r>
  <r>
    <n v="9799"/>
    <x v="4921"/>
    <x v="1026"/>
    <d v="2016-01-17T00:00:00"/>
    <s v="Standard Class"/>
    <x v="703"/>
    <s v="Cindy Schnelling"/>
    <x v="1"/>
    <s v="United States"/>
    <s v="Toledo"/>
    <x v="24"/>
    <n v="43615"/>
    <x v="3"/>
    <x v="1353"/>
    <x v="2"/>
    <x v="7"/>
    <x v="1339"/>
    <x v="5755"/>
    <x v="9"/>
    <x v="1"/>
  </r>
  <r>
    <n v="9800"/>
    <x v="4921"/>
    <x v="1026"/>
    <d v="2016-01-17T00:00:00"/>
    <s v="Standard Class"/>
    <x v="703"/>
    <s v="Cindy Schnelling"/>
    <x v="1"/>
    <s v="United States"/>
    <s v="Toledo"/>
    <x v="24"/>
    <n v="43615"/>
    <x v="3"/>
    <x v="1694"/>
    <x v="2"/>
    <x v="11"/>
    <x v="1682"/>
    <x v="5756"/>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F61FE3-C264-451C-BEA6-B6C9414F80D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tate">
  <location ref="E24:F69"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items count="5">
        <item x="2"/>
        <item h="1" x="1"/>
        <item h="1" x="0"/>
        <item h="1" x="3"/>
        <item t="default"/>
      </items>
    </pivotField>
    <pivotField showAll="0" defaultSubtotal="0"/>
    <pivotField showAll="0" defaultSubtotal="0">
      <items count="6">
        <item x="0"/>
        <item x="1"/>
        <item x="2"/>
        <item x="3"/>
        <item x="4"/>
        <item x="5"/>
      </items>
    </pivotField>
  </pivotFields>
  <rowFields count="1">
    <field x="10"/>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62"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3A584E-DDAF-4376-BFE4-1F3CD8ED229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Region">
  <location ref="B9:C14"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items count="5">
        <item x="2"/>
        <item h="1" x="1"/>
        <item h="1" x="0"/>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2" type="dateBetween" evalOrder="-1" id="162"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5C0CEC-0356-4A78-AE94-67499415D81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O4:O5" firstHeaderRow="1" firstDataRow="1" firstDataCol="0"/>
  <pivotFields count="22">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items count="5">
        <item x="2"/>
        <item h="1" x="1"/>
        <item h="1" x="0"/>
        <item h="1" x="3"/>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filters count="1">
    <filter fld="2" type="dateBetween" evalOrder="-1" id="162"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9530C5-B758-4944-AC4D-EB3C4A18DD9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TOP 10 Product ">
  <location ref="E3:F14"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0">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x="2"/>
        <item h="1" x="1"/>
        <item h="1" x="0"/>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1">
    <i>
      <x v="1705"/>
    </i>
    <i>
      <x v="1166"/>
    </i>
    <i>
      <x v="299"/>
    </i>
    <i>
      <x v="1106"/>
    </i>
    <i>
      <x v="1163"/>
    </i>
    <i>
      <x v="1044"/>
    </i>
    <i>
      <x v="954"/>
    </i>
    <i>
      <x v="971"/>
    </i>
    <i>
      <x v="862"/>
    </i>
    <i>
      <x v="1408"/>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163"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5B3C21-A7E6-4223-9B42-DFE3F980C9E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I26:J40"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3">
        <item x="9"/>
        <item x="11"/>
        <item x="10"/>
        <item x="3"/>
        <item x="5"/>
        <item x="1"/>
        <item x="7"/>
        <item x="6"/>
        <item x="8"/>
        <item x="2"/>
        <item x="0"/>
        <item x="4"/>
        <item t="default"/>
      </items>
    </pivotField>
    <pivotField axis="axisRow" showAll="0">
      <items count="5">
        <item x="2"/>
        <item h="1" x="1"/>
        <item h="1" x="0"/>
        <item h="1" x="3"/>
        <item t="default"/>
      </items>
    </pivotField>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2">
    <field x="19"/>
    <field x="20"/>
  </rowFields>
  <rowItems count="14">
    <i>
      <x/>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D49C5F-EF80-47DC-8DC1-2127C415CEB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sub-category">
  <location ref="I3:J21"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items count="5">
        <item x="2"/>
        <item h="1" x="1"/>
        <item h="1" x="0"/>
        <item h="1" x="3"/>
        <item t="default"/>
      </items>
    </pivotField>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62"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C0F422-6C53-4841-9BA3-F54D36CC233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ales Trend by Year and Month">
  <location ref="A17:B32"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h="1" x="9"/>
        <item x="11"/>
        <item h="1" x="10"/>
        <item h="1" x="3"/>
        <item h="1" x="5"/>
        <item h="1" x="1"/>
        <item h="1" x="7"/>
        <item h="1" x="6"/>
        <item h="1" x="8"/>
        <item h="1" x="2"/>
        <item h="1" x="0"/>
        <item h="1" x="4"/>
        <item t="default"/>
      </items>
    </pivotField>
    <pivotField axis="axisRow" showAll="0">
      <items count="5">
        <item x="2"/>
        <item h="1" x="1"/>
        <item h="1" x="0"/>
        <item h="1" x="3"/>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3">
    <field x="19"/>
    <field x="21"/>
    <field x="20"/>
  </rowFields>
  <rowItems count="15">
    <i>
      <x/>
    </i>
    <i r="1">
      <x v="1"/>
    </i>
    <i r="2">
      <x v="1"/>
    </i>
    <i r="2">
      <x v="2"/>
    </i>
    <i r="2">
      <x v="3"/>
    </i>
    <i r="2">
      <x v="4"/>
    </i>
    <i r="2">
      <x v="5"/>
    </i>
    <i r="2">
      <x v="6"/>
    </i>
    <i r="2">
      <x v="7"/>
    </i>
    <i r="2">
      <x v="8"/>
    </i>
    <i r="2">
      <x v="9"/>
    </i>
    <i r="2">
      <x v="10"/>
    </i>
    <i r="2">
      <x v="11"/>
    </i>
    <i r="2">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EDE010-21AB-44D0-B746-A655965E445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ategory">
  <location ref="A3:B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5">
        <item x="2"/>
        <item h="1" x="1"/>
        <item h="1" x="0"/>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filters count="1">
    <filter fld="2" type="dateBetween" evalOrder="-1" id="162"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7A8229-EE6A-406A-9900-3FF0F41E8FF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segment">
  <location ref="E17:F21"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items count="5">
        <item x="2"/>
        <item h="1" x="1"/>
        <item h="1" x="0"/>
        <item h="1" x="3"/>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2" type="dateBetween" evalOrder="-1" id="162" name="Order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3234B3-8CA2-4709-AC39-7CEB26E7210F}" autoFormatId="16" applyNumberFormats="0" applyBorderFormats="0" applyFontFormats="0" applyPatternFormats="0" applyAlignmentFormats="0" applyWidthHeightFormats="0">
  <queryTableRefresh nextId="25" unboundColumnsRight="4">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 id="22" dataBound="0" tableColumnId="21"/>
      <queryTableField id="24"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942F082-70CB-44AC-8FC1-4AAE61550002}" sourceName="Segment">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tabular pivotCacheId="214577031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688549-5985-477F-A9A7-CF7542250E1D}" sourceName="Region">
  <pivotTables>
    <pivotTable tabId="3" name="PivotTable4"/>
    <pivotTable tabId="3" name="PivotTable1"/>
    <pivotTable tabId="3" name="PivotTable2"/>
    <pivotTable tabId="3" name="PivotTable3"/>
    <pivotTable tabId="3" name="PivotTable6"/>
    <pivotTable tabId="3" name="PivotTable7"/>
    <pivotTable tabId="3" name="PivotTable8"/>
    <pivotTable tabId="3" name="PivotTable9"/>
    <pivotTable tabId="3" name="PivotTable5"/>
  </pivotTables>
  <data>
    <tabular pivotCacheId="214577031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E65B08-1F47-4340-8D7D-E32FA98DCAB4}" sourceName="Category">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tabular pivotCacheId="214577031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B14A9A7E-93E1-42B5-A40C-974E8EAE19E9}" sourceName="order year">
  <pivotTables>
    <pivotTable tabId="3" name="PivotTable6"/>
    <pivotTable tabId="3" name="PivotTable1"/>
    <pivotTable tabId="3" name="PivotTable2"/>
    <pivotTable tabId="3" name="PivotTable3"/>
    <pivotTable tabId="3" name="PivotTable4"/>
    <pivotTable tabId="3" name="PivotTable7"/>
    <pivotTable tabId="3" name="PivotTable8"/>
    <pivotTable tabId="3" name="PivotTable9"/>
    <pivotTable tabId="3" name="PivotTable5"/>
  </pivotTables>
  <data>
    <tabular pivotCacheId="2145770318">
      <items count="4">
        <i x="2" s="1"/>
        <i x="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9801989-8ADD-4D1B-900B-297D87BFE066}" cache="Slicer_Segment" caption="Segment" style="SlicerStyleLight6" rowHeight="241300"/>
  <slicer name="Region" xr10:uid="{CD07ED43-40F3-4EEC-B2C1-8B75A9934E4B}" cache="Slicer_Region" caption="Region" rowHeight="241300"/>
  <slicer name="Category" xr10:uid="{45DF0CAE-2AF9-44E5-BA7C-76FBE91EF5EC}" cache="Slicer_Category" caption="Category" style="SlicerStyleOther1" rowHeight="241300"/>
  <slicer name="order year" xr10:uid="{CBBAF471-5122-4CFF-94A1-025042DFC678}" cache="Slicer_order_year" caption="order year"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3CD8A9-6AC3-4F87-995D-D04D1AE2A74E}" name="sales_data" displayName="sales_data" ref="A1:V1863" tableType="queryTable" totalsRowShown="0">
  <autoFilter ref="A1:V1863" xr:uid="{7C3CD8A9-6AC3-4F87-995D-D04D1AE2A74E}"/>
  <tableColumns count="22">
    <tableColumn id="1" xr3:uid="{F444C90B-F784-4F5F-9CE1-95A07C767E91}" uniqueName="1" name="Row ID" queryTableFieldId="1"/>
    <tableColumn id="2" xr3:uid="{AD04EC1F-C435-456A-8061-C361F70D7E0A}" uniqueName="2" name="Order ID" queryTableFieldId="2" dataDxfId="18"/>
    <tableColumn id="3" xr3:uid="{3C224C48-3249-4407-9155-912887CE223B}" uniqueName="3" name="Order Date" queryTableFieldId="3" dataDxfId="17"/>
    <tableColumn id="4" xr3:uid="{71315FA7-D5C1-43EB-BC6B-FF4D3254383E}" uniqueName="4" name="Ship Date" queryTableFieldId="4" dataDxfId="16"/>
    <tableColumn id="5" xr3:uid="{46ACE6F3-7BD6-409E-BEBB-F242D07F863A}" uniqueName="5" name="Ship Mode" queryTableFieldId="5" dataDxfId="15"/>
    <tableColumn id="6" xr3:uid="{664B30C5-3E8B-4301-BCFA-0C9727154F40}" uniqueName="6" name="Customer ID" queryTableFieldId="6" dataDxfId="14"/>
    <tableColumn id="7" xr3:uid="{8F68AC3A-2AF3-4A5B-8658-46D1DE07CEBA}" uniqueName="7" name="Customer Name" queryTableFieldId="7" dataDxfId="13"/>
    <tableColumn id="8" xr3:uid="{5B052E9A-A81A-4E7E-B6AB-038295ABB0E2}" uniqueName="8" name="Segment" queryTableFieldId="8" dataDxfId="12"/>
    <tableColumn id="9" xr3:uid="{D01465B9-C11A-46A9-835F-85329E9959B6}" uniqueName="9" name="Country" queryTableFieldId="9" dataDxfId="11"/>
    <tableColumn id="10" xr3:uid="{F6B819FF-1058-4FAB-8A18-7246E2FA5C9D}" uniqueName="10" name="City" queryTableFieldId="10" dataDxfId="10"/>
    <tableColumn id="11" xr3:uid="{DFFBD3CC-F9AC-4D75-A57E-01AC02479E9C}" uniqueName="11" name="State" queryTableFieldId="11" dataDxfId="9"/>
    <tableColumn id="12" xr3:uid="{88439230-3C2D-48A0-B1C6-6E1AFE426EB5}" uniqueName="12" name="Postal Code" queryTableFieldId="12"/>
    <tableColumn id="13" xr3:uid="{5764AD95-8F12-4ED4-A382-21D16F770B8D}" uniqueName="13" name="Region" queryTableFieldId="13" dataDxfId="8"/>
    <tableColumn id="14" xr3:uid="{B209D95D-151E-497F-B380-5A79A4F8BFD4}" uniqueName="14" name="Product ID" queryTableFieldId="14" dataDxfId="7"/>
    <tableColumn id="15" xr3:uid="{AD2C33F2-634F-40D5-B96B-022F3FC95C0F}" uniqueName="15" name="Category" queryTableFieldId="15" dataDxfId="6"/>
    <tableColumn id="16" xr3:uid="{D6159577-E0D7-4024-B7E5-5E660D5A8A32}" uniqueName="16" name="Sub-Category" queryTableFieldId="16" dataDxfId="5"/>
    <tableColumn id="17" xr3:uid="{899998B6-70FB-4D0E-AFEA-D0ECFD281237}" uniqueName="17" name="Product Name" queryTableFieldId="17" dataDxfId="4"/>
    <tableColumn id="18" xr3:uid="{335AE4AF-47A0-4328-A537-0AAAB85959D0}" uniqueName="18" name="Sales" queryTableFieldId="18"/>
    <tableColumn id="19" xr3:uid="{20126E04-6C09-422A-8268-FF99FD867CD3}" uniqueName="19" name="Month" queryTableFieldId="19" dataDxfId="3">
      <calculatedColumnFormula>TEXT(sales_data[[#This Row],[Order Date]],"mm")</calculatedColumnFormula>
    </tableColumn>
    <tableColumn id="20" xr3:uid="{49D1E477-E648-4A3A-895A-950B90BC9988}" uniqueName="20" name="order year" queryTableFieldId="20" dataDxfId="2">
      <calculatedColumnFormula>YEAR(sales_data[[#This Row],[Order Date]])</calculatedColumnFormula>
    </tableColumn>
    <tableColumn id="21" xr3:uid="{BB1A985C-2190-43A3-955F-333D9715FC26}" uniqueName="21" name="Unique Customer " queryTableFieldId="22" dataDxfId="1"/>
    <tableColumn id="23" xr3:uid="{DC584F27-77FF-4AE3-BB6B-A35BFE00E288}" uniqueName="23" name="unique product"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02B145A-0519-4575-916E-EF62321BF955}" sourceName="Order Date">
  <pivotTables>
    <pivotTable tabId="3" name="PivotTable5"/>
  </pivotTables>
  <state minimalRefreshVersion="6" lastRefreshVersion="6" pivotCacheId="2145770318"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D997161-E24B-424E-928E-3A11B82DED2E}" cache="NativeTimeline_Order_Date" caption="Order Date" level="2" selectionLevel="2" scrollPosition="2018-06-0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5890-71B4-4C8F-8F64-C259B12F3D90}">
  <dimension ref="A3:O69"/>
  <sheetViews>
    <sheetView topLeftCell="A20" zoomScale="84" workbookViewId="0">
      <selection activeCell="J29" sqref="J29"/>
    </sheetView>
  </sheetViews>
  <sheetFormatPr defaultRowHeight="14.5" x14ac:dyDescent="0.35"/>
  <cols>
    <col min="1" max="1" width="13.26953125" bestFit="1" customWidth="1"/>
    <col min="2" max="2" width="10.90625" bestFit="1" customWidth="1"/>
    <col min="3" max="3" width="12.81640625" bestFit="1" customWidth="1"/>
    <col min="4" max="4" width="5.81640625" bestFit="1" customWidth="1"/>
    <col min="5" max="5" width="14.36328125" bestFit="1" customWidth="1"/>
    <col min="6" max="6" width="12.81640625" bestFit="1" customWidth="1"/>
    <col min="7" max="8" width="5.81640625" bestFit="1" customWidth="1"/>
    <col min="9" max="9" width="13.26953125" bestFit="1" customWidth="1"/>
    <col min="10" max="11" width="12.81640625" bestFit="1" customWidth="1"/>
    <col min="12" max="12" width="17.6328125" bestFit="1" customWidth="1"/>
    <col min="13" max="14" width="5.81640625" bestFit="1" customWidth="1"/>
    <col min="15" max="15" width="16.08984375" bestFit="1" customWidth="1"/>
    <col min="16" max="22" width="5.81640625" bestFit="1" customWidth="1"/>
    <col min="23" max="23" width="4.81640625" bestFit="1" customWidth="1"/>
    <col min="24" max="32" width="5.81640625" bestFit="1" customWidth="1"/>
    <col min="33" max="33" width="4.81640625" bestFit="1" customWidth="1"/>
    <col min="34" max="34" width="5.81640625" bestFit="1" customWidth="1"/>
    <col min="35" max="35" width="4.81640625" bestFit="1" customWidth="1"/>
    <col min="36" max="36" width="5.81640625" bestFit="1" customWidth="1"/>
    <col min="37" max="37" width="4.81640625" bestFit="1" customWidth="1"/>
    <col min="38" max="40" width="5.81640625" bestFit="1" customWidth="1"/>
    <col min="41" max="41" width="4.81640625" bestFit="1" customWidth="1"/>
    <col min="42" max="42" width="5.81640625" bestFit="1" customWidth="1"/>
    <col min="43" max="43" width="3.81640625" bestFit="1" customWidth="1"/>
    <col min="44" max="44" width="4.81640625" bestFit="1" customWidth="1"/>
    <col min="45" max="54" width="5.81640625" bestFit="1" customWidth="1"/>
    <col min="55" max="55" width="4.81640625" bestFit="1" customWidth="1"/>
    <col min="56" max="60" width="5.81640625" bestFit="1" customWidth="1"/>
    <col min="61" max="61" width="4.81640625" bestFit="1" customWidth="1"/>
    <col min="62" max="65" width="5.81640625" bestFit="1" customWidth="1"/>
    <col min="66" max="66" width="4.81640625" bestFit="1" customWidth="1"/>
    <col min="67" max="68" width="5.81640625" bestFit="1" customWidth="1"/>
    <col min="69" max="69" width="3.81640625" bestFit="1" customWidth="1"/>
    <col min="70" max="70" width="5.81640625" bestFit="1" customWidth="1"/>
    <col min="71" max="71" width="4.81640625" bestFit="1" customWidth="1"/>
    <col min="72" max="72" width="5.81640625" bestFit="1" customWidth="1"/>
    <col min="73" max="73" width="4.81640625" bestFit="1" customWidth="1"/>
    <col min="74" max="89" width="5.81640625" bestFit="1" customWidth="1"/>
    <col min="90" max="90" width="4.81640625" bestFit="1" customWidth="1"/>
    <col min="91" max="94" width="5.81640625" bestFit="1" customWidth="1"/>
    <col min="95" max="95" width="4.81640625" bestFit="1" customWidth="1"/>
    <col min="96" max="97" width="5.81640625" bestFit="1" customWidth="1"/>
    <col min="98" max="98" width="3.81640625" bestFit="1" customWidth="1"/>
    <col min="99" max="99" width="4.81640625" bestFit="1" customWidth="1"/>
    <col min="100" max="108" width="5.81640625" bestFit="1" customWidth="1"/>
    <col min="109" max="109" width="4.81640625" bestFit="1" customWidth="1"/>
    <col min="110" max="111" width="5.81640625" bestFit="1" customWidth="1"/>
    <col min="112" max="112" width="4.81640625" bestFit="1" customWidth="1"/>
    <col min="113" max="115" width="5.81640625" bestFit="1" customWidth="1"/>
    <col min="116" max="116" width="4.81640625" bestFit="1" customWidth="1"/>
    <col min="117" max="118" width="5.81640625" bestFit="1" customWidth="1"/>
    <col min="119" max="120" width="4.81640625" bestFit="1" customWidth="1"/>
    <col min="121" max="123" width="5.81640625" bestFit="1" customWidth="1"/>
    <col min="124" max="124" width="4.81640625" bestFit="1" customWidth="1"/>
    <col min="125" max="125" width="5.81640625" bestFit="1" customWidth="1"/>
    <col min="126" max="126" width="4.81640625" bestFit="1" customWidth="1"/>
    <col min="127" max="127" width="5.81640625" bestFit="1" customWidth="1"/>
    <col min="128" max="128" width="4.81640625" bestFit="1" customWidth="1"/>
    <col min="129" max="131" width="5.81640625" bestFit="1" customWidth="1"/>
    <col min="132" max="133" width="4.81640625" bestFit="1" customWidth="1"/>
    <col min="134" max="134" width="5.81640625" bestFit="1" customWidth="1"/>
    <col min="135" max="135" width="1.81640625" bestFit="1" customWidth="1"/>
    <col min="136" max="138" width="5.81640625" bestFit="1" customWidth="1"/>
    <col min="139" max="139" width="4.81640625" bestFit="1" customWidth="1"/>
    <col min="140" max="140" width="5.81640625" bestFit="1" customWidth="1"/>
    <col min="141" max="141" width="4.81640625" bestFit="1" customWidth="1"/>
    <col min="142" max="145" width="5.81640625" bestFit="1" customWidth="1"/>
    <col min="146" max="146" width="4.81640625" bestFit="1" customWidth="1"/>
    <col min="147" max="147" width="5.81640625" bestFit="1" customWidth="1"/>
    <col min="148" max="148" width="4.81640625" bestFit="1" customWidth="1"/>
    <col min="149" max="149" width="5.81640625" bestFit="1" customWidth="1"/>
    <col min="150" max="150" width="3.81640625" bestFit="1" customWidth="1"/>
    <col min="151" max="152" width="5.81640625" bestFit="1" customWidth="1"/>
    <col min="153" max="153" width="4.81640625" bestFit="1" customWidth="1"/>
    <col min="154" max="155" width="5.81640625" bestFit="1" customWidth="1"/>
    <col min="156" max="156" width="4.81640625" bestFit="1" customWidth="1"/>
    <col min="157" max="157" width="5.81640625" bestFit="1" customWidth="1"/>
    <col min="158" max="158" width="4.81640625" bestFit="1" customWidth="1"/>
    <col min="159" max="162" width="5.81640625" bestFit="1" customWidth="1"/>
    <col min="163" max="163" width="4.81640625" bestFit="1" customWidth="1"/>
    <col min="164" max="164" width="5.81640625" bestFit="1" customWidth="1"/>
    <col min="165" max="165" width="4.81640625" bestFit="1" customWidth="1"/>
    <col min="166" max="169" width="5.81640625" bestFit="1" customWidth="1"/>
    <col min="170" max="170" width="4.81640625" bestFit="1" customWidth="1"/>
    <col min="171" max="171" width="5.81640625" bestFit="1" customWidth="1"/>
    <col min="172" max="172" width="4.81640625" bestFit="1" customWidth="1"/>
    <col min="173" max="174" width="5.81640625" bestFit="1" customWidth="1"/>
    <col min="175" max="175" width="4.81640625" bestFit="1" customWidth="1"/>
    <col min="176" max="177" width="5.81640625" bestFit="1" customWidth="1"/>
    <col min="178" max="178" width="4.81640625" bestFit="1" customWidth="1"/>
    <col min="179" max="182" width="5.81640625" bestFit="1" customWidth="1"/>
    <col min="183" max="183" width="3.81640625" bestFit="1" customWidth="1"/>
    <col min="184" max="185" width="4.81640625" bestFit="1" customWidth="1"/>
    <col min="186" max="187" width="5.81640625" bestFit="1" customWidth="1"/>
    <col min="188" max="189" width="4.81640625" bestFit="1" customWidth="1"/>
    <col min="190" max="190" width="5.81640625" bestFit="1" customWidth="1"/>
    <col min="191" max="192" width="4.81640625" bestFit="1" customWidth="1"/>
    <col min="193" max="196" width="5.81640625" bestFit="1" customWidth="1"/>
    <col min="197" max="197" width="4.81640625" bestFit="1" customWidth="1"/>
    <col min="198" max="201" width="5.81640625" bestFit="1" customWidth="1"/>
    <col min="202" max="202" width="4.81640625" bestFit="1" customWidth="1"/>
    <col min="203" max="203" width="3.81640625" bestFit="1" customWidth="1"/>
    <col min="204" max="205" width="5.81640625" bestFit="1" customWidth="1"/>
    <col min="206" max="207" width="4.81640625" bestFit="1" customWidth="1"/>
    <col min="208" max="208" width="5.81640625" bestFit="1" customWidth="1"/>
    <col min="209" max="209" width="4.81640625" bestFit="1" customWidth="1"/>
    <col min="210" max="212" width="5.81640625" bestFit="1" customWidth="1"/>
    <col min="213" max="213" width="4.81640625" bestFit="1" customWidth="1"/>
    <col min="214" max="215" width="5.81640625" bestFit="1" customWidth="1"/>
    <col min="216" max="216" width="4.81640625" bestFit="1" customWidth="1"/>
    <col min="217" max="218" width="5.81640625" bestFit="1" customWidth="1"/>
    <col min="219" max="220" width="4.81640625" bestFit="1" customWidth="1"/>
    <col min="221" max="221" width="5.81640625" bestFit="1" customWidth="1"/>
    <col min="222" max="222" width="4.81640625" bestFit="1" customWidth="1"/>
    <col min="223" max="223" width="3.81640625" bestFit="1" customWidth="1"/>
    <col min="224" max="224" width="5.81640625" bestFit="1" customWidth="1"/>
    <col min="225" max="226" width="4.81640625" bestFit="1" customWidth="1"/>
    <col min="227" max="228" width="5.81640625" bestFit="1" customWidth="1"/>
    <col min="229" max="229" width="4.81640625" bestFit="1" customWidth="1"/>
    <col min="230" max="230" width="3.81640625" bestFit="1" customWidth="1"/>
    <col min="231" max="232" width="5.81640625" bestFit="1" customWidth="1"/>
    <col min="233" max="233" width="4.81640625" bestFit="1" customWidth="1"/>
    <col min="234" max="236" width="5.81640625" bestFit="1" customWidth="1"/>
    <col min="237" max="237" width="4.81640625" bestFit="1" customWidth="1"/>
    <col min="238" max="239" width="5.81640625" bestFit="1" customWidth="1"/>
    <col min="240" max="240" width="4.81640625" bestFit="1" customWidth="1"/>
    <col min="241" max="245" width="5.81640625" bestFit="1" customWidth="1"/>
    <col min="246" max="246" width="4.81640625" bestFit="1" customWidth="1"/>
    <col min="247" max="250" width="5.81640625" bestFit="1" customWidth="1"/>
    <col min="251" max="251" width="4.81640625" bestFit="1" customWidth="1"/>
    <col min="252" max="253" width="5.81640625" bestFit="1" customWidth="1"/>
    <col min="254" max="254" width="4.81640625" bestFit="1" customWidth="1"/>
    <col min="255" max="255" width="5.81640625" bestFit="1" customWidth="1"/>
    <col min="256" max="256" width="3.81640625" bestFit="1" customWidth="1"/>
    <col min="257" max="261" width="5.81640625" bestFit="1" customWidth="1"/>
    <col min="262" max="262" width="4.81640625" bestFit="1" customWidth="1"/>
    <col min="263" max="265" width="5.81640625" bestFit="1" customWidth="1"/>
    <col min="266" max="266" width="4.81640625" bestFit="1" customWidth="1"/>
    <col min="267" max="267" width="5.81640625" bestFit="1" customWidth="1"/>
    <col min="268" max="268" width="4.81640625" bestFit="1" customWidth="1"/>
    <col min="269" max="269" width="5.81640625" bestFit="1" customWidth="1"/>
    <col min="270" max="270" width="4.81640625" bestFit="1" customWidth="1"/>
    <col min="271" max="272" width="5.81640625" bestFit="1" customWidth="1"/>
    <col min="273" max="273" width="4.81640625" bestFit="1" customWidth="1"/>
    <col min="274" max="280" width="5.81640625" bestFit="1" customWidth="1"/>
    <col min="281" max="282" width="4.81640625" bestFit="1" customWidth="1"/>
    <col min="283" max="283" width="5.81640625" bestFit="1" customWidth="1"/>
    <col min="284" max="284" width="4.81640625" bestFit="1" customWidth="1"/>
    <col min="285" max="285" width="5.81640625" bestFit="1" customWidth="1"/>
    <col min="286" max="286" width="4.81640625" bestFit="1" customWidth="1"/>
    <col min="287" max="289" width="5.81640625" bestFit="1" customWidth="1"/>
    <col min="290" max="290" width="4.81640625" bestFit="1" customWidth="1"/>
    <col min="291" max="291" width="5.81640625" bestFit="1" customWidth="1"/>
    <col min="292" max="293" width="4.81640625" bestFit="1" customWidth="1"/>
    <col min="294" max="295" width="5.81640625" bestFit="1" customWidth="1"/>
    <col min="296" max="296" width="1.81640625" bestFit="1" customWidth="1"/>
    <col min="297" max="297" width="5.81640625" bestFit="1" customWidth="1"/>
    <col min="298" max="299" width="4.81640625" bestFit="1" customWidth="1"/>
    <col min="300" max="300" width="5.81640625" bestFit="1" customWidth="1"/>
    <col min="301" max="301" width="4.81640625" bestFit="1" customWidth="1"/>
    <col min="302" max="302" width="5.81640625" bestFit="1" customWidth="1"/>
    <col min="303" max="303" width="4.81640625" bestFit="1" customWidth="1"/>
    <col min="304" max="305" width="5.81640625" bestFit="1" customWidth="1"/>
    <col min="306" max="306" width="3.81640625" bestFit="1" customWidth="1"/>
    <col min="307" max="307" width="5.81640625" bestFit="1" customWidth="1"/>
    <col min="308" max="308" width="4.81640625" bestFit="1" customWidth="1"/>
    <col min="309" max="312" width="5.81640625" bestFit="1" customWidth="1"/>
    <col min="313" max="313" width="4.81640625" bestFit="1" customWidth="1"/>
    <col min="314" max="315" width="5.81640625" bestFit="1" customWidth="1"/>
    <col min="316" max="316" width="4.81640625" bestFit="1" customWidth="1"/>
    <col min="317" max="317" width="5.81640625" bestFit="1" customWidth="1"/>
    <col min="318" max="318" width="4.81640625" bestFit="1" customWidth="1"/>
    <col min="319" max="322" width="5.81640625" bestFit="1" customWidth="1"/>
    <col min="323" max="323" width="3.81640625" bestFit="1" customWidth="1"/>
    <col min="324" max="324" width="4.81640625" bestFit="1" customWidth="1"/>
    <col min="325" max="325" width="5.81640625" bestFit="1" customWidth="1"/>
    <col min="326" max="327" width="4.81640625" bestFit="1" customWidth="1"/>
    <col min="328" max="328" width="5.81640625" bestFit="1" customWidth="1"/>
    <col min="329" max="329" width="4.81640625" bestFit="1" customWidth="1"/>
    <col min="330" max="330" width="5.81640625" bestFit="1" customWidth="1"/>
    <col min="331" max="331" width="3.81640625" bestFit="1" customWidth="1"/>
    <col min="332" max="334" width="5.81640625" bestFit="1" customWidth="1"/>
    <col min="335" max="336" width="4.81640625" bestFit="1" customWidth="1"/>
    <col min="337" max="339" width="5.81640625" bestFit="1" customWidth="1"/>
    <col min="340" max="342" width="4.81640625" bestFit="1" customWidth="1"/>
    <col min="343" max="343" width="5.81640625" bestFit="1" customWidth="1"/>
    <col min="344" max="344" width="3.81640625" bestFit="1" customWidth="1"/>
    <col min="345" max="346" width="5.81640625" bestFit="1" customWidth="1"/>
    <col min="347" max="347" width="4.81640625" bestFit="1" customWidth="1"/>
    <col min="348" max="348" width="5.81640625" bestFit="1" customWidth="1"/>
    <col min="349" max="349" width="4.81640625" bestFit="1" customWidth="1"/>
    <col min="350" max="350" width="5.81640625" bestFit="1" customWidth="1"/>
    <col min="351" max="351" width="3.81640625" bestFit="1" customWidth="1"/>
    <col min="352" max="354" width="4.81640625" bestFit="1" customWidth="1"/>
    <col min="355" max="355" width="5.81640625" bestFit="1" customWidth="1"/>
    <col min="356" max="356" width="4.81640625" bestFit="1" customWidth="1"/>
    <col min="357" max="359" width="5.81640625" bestFit="1" customWidth="1"/>
    <col min="360" max="360" width="4.81640625" bestFit="1" customWidth="1"/>
    <col min="361" max="361" width="5.81640625" bestFit="1" customWidth="1"/>
    <col min="362" max="363" width="4.81640625" bestFit="1" customWidth="1"/>
    <col min="364" max="364" width="5.81640625" bestFit="1" customWidth="1"/>
    <col min="365" max="367" width="4.81640625" bestFit="1" customWidth="1"/>
    <col min="368" max="368" width="5.81640625" bestFit="1" customWidth="1"/>
    <col min="369" max="369" width="1.81640625" bestFit="1" customWidth="1"/>
    <col min="370" max="370" width="4.81640625" bestFit="1" customWidth="1"/>
    <col min="371" max="371" width="5.81640625" bestFit="1" customWidth="1"/>
    <col min="372" max="372" width="4.81640625" bestFit="1" customWidth="1"/>
    <col min="373" max="374" width="5.81640625" bestFit="1" customWidth="1"/>
    <col min="375" max="375" width="4.81640625" bestFit="1" customWidth="1"/>
    <col min="376" max="376" width="5.81640625" bestFit="1" customWidth="1"/>
    <col min="377" max="377" width="4.81640625" bestFit="1" customWidth="1"/>
    <col min="378" max="380" width="5.81640625" bestFit="1" customWidth="1"/>
    <col min="381" max="382" width="4.81640625" bestFit="1" customWidth="1"/>
    <col min="383" max="384" width="5.81640625" bestFit="1" customWidth="1"/>
    <col min="385" max="386" width="4.81640625" bestFit="1" customWidth="1"/>
    <col min="387" max="388" width="5.81640625" bestFit="1" customWidth="1"/>
    <col min="389" max="389" width="3.81640625" bestFit="1" customWidth="1"/>
    <col min="390" max="390" width="5.81640625" bestFit="1" customWidth="1"/>
    <col min="391" max="391" width="4.81640625" bestFit="1" customWidth="1"/>
    <col min="392" max="393" width="5.81640625" bestFit="1" customWidth="1"/>
    <col min="394" max="395" width="4.81640625" bestFit="1" customWidth="1"/>
    <col min="396" max="398" width="5.81640625" bestFit="1" customWidth="1"/>
    <col min="399" max="399" width="4.81640625" bestFit="1" customWidth="1"/>
    <col min="400" max="400" width="5.81640625" bestFit="1" customWidth="1"/>
    <col min="401" max="402" width="4.81640625" bestFit="1" customWidth="1"/>
    <col min="403" max="403" width="5.81640625" bestFit="1" customWidth="1"/>
    <col min="404" max="406" width="4.81640625" bestFit="1" customWidth="1"/>
    <col min="407" max="407" width="5.81640625" bestFit="1" customWidth="1"/>
    <col min="408" max="408" width="4.81640625" bestFit="1" customWidth="1"/>
    <col min="409" max="409" width="5.81640625" bestFit="1" customWidth="1"/>
    <col min="410" max="410" width="3.81640625" bestFit="1" customWidth="1"/>
    <col min="411" max="411" width="5.81640625" bestFit="1" customWidth="1"/>
    <col min="412" max="412" width="4.81640625" bestFit="1" customWidth="1"/>
    <col min="413" max="414" width="5.81640625" bestFit="1" customWidth="1"/>
    <col min="415" max="415" width="4.81640625" bestFit="1" customWidth="1"/>
    <col min="416" max="416" width="5.81640625" bestFit="1" customWidth="1"/>
    <col min="417" max="417" width="4.81640625" bestFit="1" customWidth="1"/>
    <col min="418" max="418" width="5.81640625" bestFit="1" customWidth="1"/>
    <col min="419" max="419" width="3.81640625" bestFit="1" customWidth="1"/>
    <col min="420" max="420" width="4.81640625" bestFit="1" customWidth="1"/>
    <col min="421" max="423" width="5.81640625" bestFit="1" customWidth="1"/>
    <col min="424" max="424" width="4.81640625" bestFit="1" customWidth="1"/>
    <col min="425" max="425" width="3.81640625" bestFit="1" customWidth="1"/>
    <col min="426" max="426" width="5.81640625" bestFit="1" customWidth="1"/>
    <col min="427" max="427" width="4.81640625" bestFit="1" customWidth="1"/>
    <col min="428" max="430" width="5.81640625" bestFit="1" customWidth="1"/>
    <col min="431" max="431" width="4.81640625" bestFit="1" customWidth="1"/>
    <col min="432" max="432" width="5.81640625" bestFit="1" customWidth="1"/>
    <col min="433" max="433" width="3.81640625" bestFit="1" customWidth="1"/>
    <col min="434" max="437" width="5.81640625" bestFit="1" customWidth="1"/>
    <col min="438" max="438" width="4.81640625" bestFit="1" customWidth="1"/>
    <col min="439" max="439" width="5.81640625" bestFit="1" customWidth="1"/>
    <col min="440" max="440" width="4.81640625" bestFit="1" customWidth="1"/>
    <col min="441" max="441" width="5.81640625" bestFit="1" customWidth="1"/>
    <col min="442" max="442" width="4.81640625" bestFit="1" customWidth="1"/>
    <col min="443" max="443" width="5.81640625" bestFit="1" customWidth="1"/>
    <col min="444" max="444" width="4.81640625" bestFit="1" customWidth="1"/>
    <col min="445" max="447" width="5.81640625" bestFit="1" customWidth="1"/>
    <col min="448" max="448" width="4.81640625" bestFit="1" customWidth="1"/>
    <col min="449" max="449" width="5.81640625" bestFit="1" customWidth="1"/>
    <col min="450" max="450" width="4.81640625" bestFit="1" customWidth="1"/>
    <col min="451" max="451" width="5.81640625" bestFit="1" customWidth="1"/>
    <col min="452" max="452" width="4.81640625" bestFit="1" customWidth="1"/>
    <col min="453" max="456" width="5.81640625" bestFit="1" customWidth="1"/>
    <col min="457" max="457" width="4.81640625" bestFit="1" customWidth="1"/>
    <col min="458" max="458" width="5.81640625" bestFit="1" customWidth="1"/>
    <col min="459" max="461" width="4.81640625" bestFit="1" customWidth="1"/>
    <col min="462" max="462" width="3.81640625" bestFit="1" customWidth="1"/>
    <col min="463" max="463" width="4.81640625" bestFit="1" customWidth="1"/>
    <col min="464" max="464" width="5.81640625" bestFit="1" customWidth="1"/>
    <col min="465" max="466" width="4.81640625" bestFit="1" customWidth="1"/>
    <col min="467" max="467" width="3.81640625" bestFit="1" customWidth="1"/>
    <col min="468" max="468" width="5.81640625" bestFit="1" customWidth="1"/>
    <col min="469" max="470" width="4.81640625" bestFit="1" customWidth="1"/>
    <col min="471" max="471" width="5.81640625" bestFit="1" customWidth="1"/>
    <col min="472" max="472" width="4.81640625" bestFit="1" customWidth="1"/>
    <col min="473" max="474" width="5.81640625" bestFit="1" customWidth="1"/>
    <col min="475" max="475" width="3.81640625" bestFit="1" customWidth="1"/>
    <col min="476" max="477" width="5.81640625" bestFit="1" customWidth="1"/>
    <col min="478" max="478" width="4.81640625" bestFit="1" customWidth="1"/>
    <col min="479" max="479" width="5.81640625" bestFit="1" customWidth="1"/>
    <col min="480" max="481" width="4.81640625" bestFit="1" customWidth="1"/>
    <col min="482" max="482" width="5.81640625" bestFit="1" customWidth="1"/>
    <col min="483" max="483" width="4.81640625" bestFit="1" customWidth="1"/>
    <col min="484" max="484" width="5.81640625" bestFit="1" customWidth="1"/>
    <col min="485" max="485" width="4.81640625" bestFit="1" customWidth="1"/>
    <col min="486" max="487" width="5.81640625" bestFit="1" customWidth="1"/>
    <col min="488" max="488" width="4.81640625" bestFit="1" customWidth="1"/>
    <col min="489" max="489" width="5.81640625" bestFit="1" customWidth="1"/>
    <col min="490" max="490" width="3.81640625" bestFit="1" customWidth="1"/>
    <col min="491" max="491" width="4.81640625" bestFit="1" customWidth="1"/>
    <col min="492" max="493" width="5.81640625" bestFit="1" customWidth="1"/>
    <col min="494" max="494" width="4.81640625" bestFit="1" customWidth="1"/>
    <col min="495" max="495" width="5.81640625" bestFit="1" customWidth="1"/>
    <col min="496" max="497" width="4.81640625" bestFit="1" customWidth="1"/>
    <col min="498" max="498" width="3.81640625" bestFit="1" customWidth="1"/>
    <col min="499" max="499" width="5.81640625" bestFit="1" customWidth="1"/>
    <col min="500" max="500" width="4.81640625" bestFit="1" customWidth="1"/>
    <col min="501" max="502" width="5.81640625" bestFit="1" customWidth="1"/>
    <col min="503" max="503" width="4.81640625" bestFit="1" customWidth="1"/>
    <col min="504" max="504" width="5.81640625" bestFit="1" customWidth="1"/>
    <col min="505" max="506" width="4.81640625" bestFit="1" customWidth="1"/>
    <col min="507" max="507" width="5.81640625" bestFit="1" customWidth="1"/>
    <col min="508" max="508" width="3.81640625" bestFit="1" customWidth="1"/>
    <col min="509" max="509" width="5.81640625" bestFit="1" customWidth="1"/>
    <col min="510" max="511" width="4.81640625" bestFit="1" customWidth="1"/>
    <col min="512" max="512" width="5.81640625" bestFit="1" customWidth="1"/>
    <col min="513" max="513" width="4.81640625" bestFit="1" customWidth="1"/>
    <col min="514" max="515" width="5.81640625" bestFit="1" customWidth="1"/>
    <col min="516" max="516" width="1.81640625" bestFit="1" customWidth="1"/>
    <col min="517" max="517" width="5.81640625" bestFit="1" customWidth="1"/>
    <col min="518" max="518" width="4.81640625" bestFit="1" customWidth="1"/>
    <col min="519" max="519" width="5.81640625" bestFit="1" customWidth="1"/>
    <col min="520" max="521" width="4.81640625" bestFit="1" customWidth="1"/>
    <col min="522" max="522" width="5.81640625" bestFit="1" customWidth="1"/>
    <col min="523" max="523" width="3.81640625" bestFit="1" customWidth="1"/>
    <col min="524" max="525" width="5.81640625" bestFit="1" customWidth="1"/>
    <col min="526" max="527" width="4.81640625" bestFit="1" customWidth="1"/>
    <col min="528" max="529" width="5.81640625" bestFit="1" customWidth="1"/>
    <col min="530" max="530" width="4.81640625" bestFit="1" customWidth="1"/>
    <col min="531" max="531" width="5.81640625" bestFit="1" customWidth="1"/>
    <col min="532" max="532" width="4.81640625" bestFit="1" customWidth="1"/>
    <col min="533" max="533" width="5.81640625" bestFit="1" customWidth="1"/>
    <col min="534" max="535" width="4.81640625" bestFit="1" customWidth="1"/>
    <col min="536" max="536" width="5.81640625" bestFit="1" customWidth="1"/>
    <col min="537" max="537" width="4.81640625" bestFit="1" customWidth="1"/>
    <col min="538" max="539" width="5.81640625" bestFit="1" customWidth="1"/>
    <col min="540" max="540" width="4.81640625" bestFit="1" customWidth="1"/>
    <col min="541" max="541" width="3.81640625" bestFit="1" customWidth="1"/>
    <col min="542" max="542" width="5.81640625" bestFit="1" customWidth="1"/>
    <col min="543" max="543" width="4.81640625" bestFit="1" customWidth="1"/>
    <col min="544" max="546" width="5.81640625" bestFit="1" customWidth="1"/>
    <col min="547" max="547" width="4.81640625" bestFit="1" customWidth="1"/>
    <col min="548" max="548" width="5.81640625" bestFit="1" customWidth="1"/>
    <col min="549" max="549" width="4.81640625" bestFit="1" customWidth="1"/>
    <col min="550" max="550" width="5.81640625" bestFit="1" customWidth="1"/>
    <col min="551" max="551" width="3.81640625" bestFit="1" customWidth="1"/>
    <col min="552" max="552" width="5.81640625" bestFit="1" customWidth="1"/>
    <col min="553" max="554" width="4.81640625" bestFit="1" customWidth="1"/>
    <col min="555" max="555" width="5.81640625" bestFit="1" customWidth="1"/>
    <col min="556" max="556" width="4.81640625" bestFit="1" customWidth="1"/>
    <col min="557" max="558" width="5.81640625" bestFit="1" customWidth="1"/>
    <col min="559" max="559" width="4.81640625" bestFit="1" customWidth="1"/>
    <col min="560" max="561" width="5.81640625" bestFit="1" customWidth="1"/>
    <col min="562" max="563" width="4.81640625" bestFit="1" customWidth="1"/>
    <col min="564" max="564" width="5.81640625" bestFit="1" customWidth="1"/>
    <col min="565" max="566" width="4.81640625" bestFit="1" customWidth="1"/>
    <col min="567" max="567" width="5.81640625" bestFit="1" customWidth="1"/>
    <col min="568" max="569" width="4.81640625" bestFit="1" customWidth="1"/>
    <col min="570" max="571" width="5.81640625" bestFit="1" customWidth="1"/>
    <col min="572" max="572" width="3.81640625" bestFit="1" customWidth="1"/>
    <col min="573" max="573" width="5.81640625" bestFit="1" customWidth="1"/>
    <col min="574" max="574" width="4.81640625" bestFit="1" customWidth="1"/>
    <col min="575" max="575" width="5.81640625" bestFit="1" customWidth="1"/>
    <col min="576" max="577" width="4.81640625" bestFit="1" customWidth="1"/>
    <col min="578" max="579" width="5.81640625" bestFit="1" customWidth="1"/>
    <col min="580" max="580" width="4.81640625" bestFit="1" customWidth="1"/>
    <col min="581" max="582" width="5.81640625" bestFit="1" customWidth="1"/>
    <col min="583" max="583" width="4.81640625" bestFit="1" customWidth="1"/>
    <col min="584" max="584" width="5.81640625" bestFit="1" customWidth="1"/>
    <col min="585" max="585" width="4.81640625" bestFit="1" customWidth="1"/>
    <col min="586" max="586" width="5.81640625" bestFit="1" customWidth="1"/>
    <col min="587" max="587" width="4.81640625" bestFit="1" customWidth="1"/>
    <col min="588" max="589" width="5.81640625" bestFit="1" customWidth="1"/>
    <col min="590" max="590" width="4.81640625" bestFit="1" customWidth="1"/>
    <col min="591" max="591" width="5.81640625" bestFit="1" customWidth="1"/>
    <col min="592" max="592" width="4.81640625" bestFit="1" customWidth="1"/>
    <col min="593" max="593" width="5.81640625" bestFit="1" customWidth="1"/>
    <col min="594" max="594" width="4.81640625" bestFit="1" customWidth="1"/>
    <col min="595" max="595" width="5.81640625" bestFit="1" customWidth="1"/>
    <col min="596" max="598" width="4.81640625" bestFit="1" customWidth="1"/>
    <col min="599" max="601" width="5.81640625" bestFit="1" customWidth="1"/>
    <col min="602" max="602" width="4.81640625" bestFit="1" customWidth="1"/>
    <col min="603" max="603" width="5.81640625" bestFit="1" customWidth="1"/>
    <col min="604" max="604" width="4.81640625" bestFit="1" customWidth="1"/>
    <col min="605" max="605" width="5.81640625" bestFit="1" customWidth="1"/>
    <col min="606" max="606" width="4.81640625" bestFit="1" customWidth="1"/>
    <col min="607" max="607" width="5.81640625" bestFit="1" customWidth="1"/>
    <col min="608" max="608" width="4.81640625" bestFit="1" customWidth="1"/>
    <col min="609" max="609" width="5.81640625" bestFit="1" customWidth="1"/>
    <col min="610" max="610" width="4.81640625" bestFit="1" customWidth="1"/>
    <col min="611" max="615" width="5.81640625" bestFit="1" customWidth="1"/>
    <col min="616" max="616" width="4.81640625" bestFit="1" customWidth="1"/>
    <col min="617" max="618" width="5.81640625" bestFit="1" customWidth="1"/>
    <col min="619" max="619" width="3.81640625" bestFit="1" customWidth="1"/>
    <col min="620" max="620" width="5.81640625" bestFit="1" customWidth="1"/>
    <col min="621" max="621" width="4.81640625" bestFit="1" customWidth="1"/>
    <col min="622" max="622" width="5.81640625" bestFit="1" customWidth="1"/>
    <col min="623" max="625" width="4.81640625" bestFit="1" customWidth="1"/>
    <col min="626" max="626" width="5.81640625" bestFit="1" customWidth="1"/>
    <col min="627" max="627" width="4.81640625" bestFit="1" customWidth="1"/>
    <col min="628" max="634" width="5.81640625" bestFit="1" customWidth="1"/>
    <col min="635" max="635" width="4.81640625" bestFit="1" customWidth="1"/>
    <col min="636" max="638" width="5.81640625" bestFit="1" customWidth="1"/>
    <col min="639" max="639" width="4.81640625" bestFit="1" customWidth="1"/>
    <col min="640" max="643" width="5.81640625" bestFit="1" customWidth="1"/>
    <col min="644" max="647" width="4.81640625" bestFit="1" customWidth="1"/>
    <col min="648" max="648" width="5.81640625" bestFit="1" customWidth="1"/>
    <col min="649" max="649" width="4.81640625" bestFit="1" customWidth="1"/>
    <col min="650" max="652" width="5.81640625" bestFit="1" customWidth="1"/>
    <col min="653" max="653" width="4.81640625" bestFit="1" customWidth="1"/>
    <col min="654" max="654" width="5.81640625" bestFit="1" customWidth="1"/>
    <col min="655" max="656" width="4.81640625" bestFit="1" customWidth="1"/>
    <col min="657" max="657" width="5.81640625" bestFit="1" customWidth="1"/>
    <col min="658" max="658" width="4.81640625" bestFit="1" customWidth="1"/>
    <col min="659" max="659" width="5.81640625" bestFit="1" customWidth="1"/>
    <col min="660" max="661" width="6.81640625" bestFit="1" customWidth="1"/>
    <col min="662" max="663" width="5.81640625" bestFit="1" customWidth="1"/>
    <col min="664" max="664" width="6.81640625" bestFit="1" customWidth="1"/>
    <col min="665" max="665" width="5.81640625" bestFit="1" customWidth="1"/>
    <col min="666" max="666" width="6.81640625" bestFit="1" customWidth="1"/>
    <col min="667" max="667" width="4.81640625" bestFit="1" customWidth="1"/>
    <col min="668" max="668" width="5.81640625" bestFit="1" customWidth="1"/>
    <col min="669" max="671" width="6.81640625" bestFit="1" customWidth="1"/>
    <col min="672" max="672" width="5.81640625" bestFit="1" customWidth="1"/>
    <col min="673" max="673" width="6.81640625" bestFit="1" customWidth="1"/>
    <col min="674" max="674" width="5.81640625" bestFit="1" customWidth="1"/>
    <col min="675" max="675" width="6.81640625" bestFit="1" customWidth="1"/>
    <col min="676" max="676" width="5.81640625" bestFit="1" customWidth="1"/>
    <col min="677" max="677" width="6.81640625" bestFit="1" customWidth="1"/>
    <col min="678" max="678" width="4.81640625" bestFit="1" customWidth="1"/>
    <col min="679" max="680" width="6.81640625" bestFit="1" customWidth="1"/>
    <col min="681" max="682" width="5.81640625" bestFit="1" customWidth="1"/>
    <col min="683" max="683" width="6.81640625" bestFit="1" customWidth="1"/>
    <col min="684" max="684" width="5.81640625" bestFit="1" customWidth="1"/>
    <col min="685" max="685" width="6.81640625" bestFit="1" customWidth="1"/>
    <col min="686" max="686" width="5.81640625" bestFit="1" customWidth="1"/>
    <col min="687" max="687" width="6.81640625" bestFit="1" customWidth="1"/>
    <col min="688" max="688" width="4.81640625" bestFit="1" customWidth="1"/>
    <col min="689" max="690" width="6.81640625" bestFit="1" customWidth="1"/>
    <col min="691" max="691" width="5.81640625" bestFit="1" customWidth="1"/>
    <col min="692" max="693" width="6.81640625" bestFit="1" customWidth="1"/>
    <col min="694" max="697" width="5.81640625" bestFit="1" customWidth="1"/>
    <col min="698" max="698" width="6.81640625" bestFit="1" customWidth="1"/>
    <col min="699" max="701" width="5.81640625" bestFit="1" customWidth="1"/>
    <col min="702" max="702" width="6.81640625" bestFit="1" customWidth="1"/>
    <col min="703" max="703" width="5.81640625" bestFit="1" customWidth="1"/>
    <col min="704" max="704" width="6.81640625" bestFit="1" customWidth="1"/>
    <col min="705" max="705" width="5.81640625" bestFit="1" customWidth="1"/>
    <col min="706" max="706" width="6.81640625" bestFit="1" customWidth="1"/>
    <col min="707" max="707" width="5.81640625" bestFit="1" customWidth="1"/>
    <col min="708" max="709" width="6.81640625" bestFit="1" customWidth="1"/>
    <col min="710" max="710" width="4.81640625" bestFit="1" customWidth="1"/>
    <col min="711" max="713" width="6.81640625" bestFit="1" customWidth="1"/>
    <col min="714" max="715" width="5.81640625" bestFit="1" customWidth="1"/>
    <col min="716" max="716" width="6.81640625" bestFit="1" customWidth="1"/>
    <col min="717" max="717" width="4.81640625" bestFit="1" customWidth="1"/>
    <col min="718" max="718" width="5.81640625" bestFit="1" customWidth="1"/>
    <col min="719" max="719" width="6.81640625" bestFit="1" customWidth="1"/>
    <col min="720" max="722" width="5.81640625" bestFit="1" customWidth="1"/>
    <col min="723" max="723" width="6.81640625" bestFit="1" customWidth="1"/>
    <col min="724" max="725" width="5.81640625" bestFit="1" customWidth="1"/>
    <col min="726" max="726" width="6.81640625" bestFit="1" customWidth="1"/>
    <col min="727" max="729" width="5.81640625" bestFit="1" customWidth="1"/>
    <col min="730" max="730" width="6.81640625" bestFit="1" customWidth="1"/>
    <col min="731" max="733" width="5.81640625" bestFit="1" customWidth="1"/>
    <col min="734" max="736" width="6.81640625" bestFit="1" customWidth="1"/>
    <col min="737" max="737" width="5.81640625" bestFit="1" customWidth="1"/>
    <col min="738" max="739" width="6.81640625" bestFit="1" customWidth="1"/>
    <col min="740" max="740" width="5.81640625" bestFit="1" customWidth="1"/>
    <col min="741" max="746" width="6.81640625" bestFit="1" customWidth="1"/>
    <col min="747" max="747" width="5.81640625" bestFit="1" customWidth="1"/>
    <col min="748" max="748" width="6.81640625" bestFit="1" customWidth="1"/>
    <col min="749" max="749" width="5.81640625" bestFit="1" customWidth="1"/>
    <col min="750" max="754" width="6.81640625" bestFit="1" customWidth="1"/>
    <col min="755" max="758" width="5.81640625" bestFit="1" customWidth="1"/>
    <col min="759" max="759" width="6.81640625" bestFit="1" customWidth="1"/>
    <col min="760" max="761" width="5.81640625" bestFit="1" customWidth="1"/>
    <col min="762" max="762" width="6.81640625" bestFit="1" customWidth="1"/>
    <col min="763" max="763" width="5.81640625" bestFit="1" customWidth="1"/>
    <col min="764" max="765" width="6.81640625" bestFit="1" customWidth="1"/>
    <col min="766" max="766" width="5.81640625" bestFit="1" customWidth="1"/>
    <col min="767" max="767" width="6.81640625" bestFit="1" customWidth="1"/>
    <col min="768" max="768" width="5.81640625" bestFit="1" customWidth="1"/>
    <col min="769" max="770" width="6.81640625" bestFit="1" customWidth="1"/>
    <col min="771" max="771" width="5.81640625" bestFit="1" customWidth="1"/>
    <col min="772" max="775" width="6.81640625" bestFit="1" customWidth="1"/>
    <col min="776" max="776" width="5.81640625" bestFit="1" customWidth="1"/>
    <col min="777" max="777" width="6.81640625" bestFit="1" customWidth="1"/>
    <col min="778" max="778" width="4.81640625" bestFit="1" customWidth="1"/>
    <col min="779" max="779" width="6.81640625" bestFit="1" customWidth="1"/>
    <col min="780" max="780" width="5.81640625" bestFit="1" customWidth="1"/>
    <col min="781" max="781" width="6.81640625" bestFit="1" customWidth="1"/>
    <col min="782" max="786" width="5.81640625" bestFit="1" customWidth="1"/>
    <col min="787" max="787" width="6.81640625" bestFit="1" customWidth="1"/>
    <col min="788" max="788" width="5.81640625" bestFit="1" customWidth="1"/>
    <col min="789" max="789" width="6.81640625" bestFit="1" customWidth="1"/>
    <col min="790" max="790" width="5.81640625" bestFit="1" customWidth="1"/>
    <col min="791" max="791" width="6.81640625" bestFit="1" customWidth="1"/>
    <col min="792" max="792" width="2.81640625" bestFit="1" customWidth="1"/>
    <col min="793" max="793" width="5.81640625" bestFit="1" customWidth="1"/>
    <col min="794" max="794" width="6.81640625" bestFit="1" customWidth="1"/>
    <col min="795" max="796" width="5.81640625" bestFit="1" customWidth="1"/>
    <col min="797" max="800" width="6.81640625" bestFit="1" customWidth="1"/>
    <col min="801" max="801" width="5.81640625" bestFit="1" customWidth="1"/>
    <col min="802" max="802" width="6.81640625" bestFit="1" customWidth="1"/>
    <col min="803" max="803" width="5.81640625" bestFit="1" customWidth="1"/>
    <col min="804" max="805" width="6.81640625" bestFit="1" customWidth="1"/>
    <col min="806" max="806" width="5.81640625" bestFit="1" customWidth="1"/>
    <col min="807" max="808" width="6.81640625" bestFit="1" customWidth="1"/>
    <col min="809" max="809" width="5.81640625" bestFit="1" customWidth="1"/>
    <col min="810" max="810" width="6.81640625" bestFit="1" customWidth="1"/>
    <col min="811" max="811" width="5.81640625" bestFit="1" customWidth="1"/>
    <col min="812" max="812" width="6.81640625" bestFit="1" customWidth="1"/>
    <col min="813" max="813" width="4.81640625" bestFit="1" customWidth="1"/>
    <col min="814" max="815" width="5.81640625" bestFit="1" customWidth="1"/>
    <col min="816" max="816" width="6.81640625" bestFit="1" customWidth="1"/>
    <col min="817" max="818" width="5.81640625" bestFit="1" customWidth="1"/>
    <col min="819" max="820" width="6.81640625" bestFit="1" customWidth="1"/>
    <col min="821" max="822" width="5.81640625" bestFit="1" customWidth="1"/>
    <col min="823" max="823" width="6.81640625" bestFit="1" customWidth="1"/>
    <col min="824" max="824" width="5.81640625" bestFit="1" customWidth="1"/>
    <col min="825" max="825" width="6.81640625" bestFit="1" customWidth="1"/>
    <col min="826" max="826" width="5.81640625" bestFit="1" customWidth="1"/>
    <col min="827" max="829" width="6.81640625" bestFit="1" customWidth="1"/>
    <col min="830" max="830" width="4.81640625" bestFit="1" customWidth="1"/>
    <col min="831" max="832" width="6.81640625" bestFit="1" customWidth="1"/>
    <col min="833" max="833" width="5.81640625" bestFit="1" customWidth="1"/>
    <col min="834" max="834" width="6.81640625" bestFit="1" customWidth="1"/>
    <col min="835" max="835" width="4.81640625" bestFit="1" customWidth="1"/>
    <col min="836" max="836" width="5.81640625" bestFit="1" customWidth="1"/>
    <col min="837" max="837" width="6.81640625" bestFit="1" customWidth="1"/>
    <col min="838" max="839" width="5.81640625" bestFit="1" customWidth="1"/>
    <col min="840" max="840" width="6.81640625" bestFit="1" customWidth="1"/>
    <col min="841" max="841" width="5.81640625" bestFit="1" customWidth="1"/>
    <col min="842" max="844" width="6.81640625" bestFit="1" customWidth="1"/>
    <col min="845" max="845" width="5.81640625" bestFit="1" customWidth="1"/>
    <col min="846" max="847" width="6.81640625" bestFit="1" customWidth="1"/>
    <col min="848" max="848" width="5.81640625" bestFit="1" customWidth="1"/>
    <col min="849" max="849" width="4.81640625" bestFit="1" customWidth="1"/>
    <col min="850" max="850" width="6.81640625" bestFit="1" customWidth="1"/>
    <col min="851" max="851" width="5.81640625" bestFit="1" customWidth="1"/>
    <col min="852" max="852" width="6.81640625" bestFit="1" customWidth="1"/>
    <col min="853" max="854" width="5.81640625" bestFit="1" customWidth="1"/>
    <col min="855" max="855" width="6.81640625" bestFit="1" customWidth="1"/>
    <col min="856" max="856" width="5.81640625" bestFit="1" customWidth="1"/>
    <col min="857" max="857" width="6.81640625" bestFit="1" customWidth="1"/>
    <col min="858" max="858" width="2.81640625" bestFit="1" customWidth="1"/>
    <col min="859" max="859" width="6.81640625" bestFit="1" customWidth="1"/>
    <col min="860" max="860" width="5.81640625" bestFit="1" customWidth="1"/>
    <col min="861" max="861" width="6.81640625" bestFit="1" customWidth="1"/>
    <col min="862" max="864" width="5.81640625" bestFit="1" customWidth="1"/>
    <col min="865" max="865" width="6.81640625" bestFit="1" customWidth="1"/>
    <col min="866" max="867" width="5.81640625" bestFit="1" customWidth="1"/>
    <col min="868" max="868" width="6.81640625" bestFit="1" customWidth="1"/>
    <col min="869" max="870" width="5.81640625" bestFit="1" customWidth="1"/>
    <col min="871" max="875" width="6.81640625" bestFit="1" customWidth="1"/>
    <col min="876" max="876" width="5.81640625" bestFit="1" customWidth="1"/>
    <col min="877" max="878" width="6.81640625" bestFit="1" customWidth="1"/>
    <col min="879" max="879" width="5.81640625" bestFit="1" customWidth="1"/>
    <col min="880" max="880" width="6.81640625" bestFit="1" customWidth="1"/>
    <col min="881" max="882" width="5.81640625" bestFit="1" customWidth="1"/>
    <col min="883" max="884" width="6.81640625" bestFit="1" customWidth="1"/>
    <col min="885" max="885" width="5.81640625" bestFit="1" customWidth="1"/>
    <col min="886" max="887" width="6.81640625" bestFit="1" customWidth="1"/>
    <col min="888" max="888" width="5.81640625" bestFit="1" customWidth="1"/>
    <col min="889" max="890" width="6.81640625" bestFit="1" customWidth="1"/>
    <col min="891" max="892" width="5.81640625" bestFit="1" customWidth="1"/>
    <col min="893" max="896" width="6.81640625" bestFit="1" customWidth="1"/>
    <col min="897" max="897" width="5.81640625" bestFit="1" customWidth="1"/>
    <col min="898" max="898" width="6.81640625" bestFit="1" customWidth="1"/>
    <col min="899" max="899" width="5.81640625" bestFit="1" customWidth="1"/>
    <col min="900" max="900" width="6.81640625" bestFit="1" customWidth="1"/>
    <col min="901" max="901" width="5.81640625" bestFit="1" customWidth="1"/>
    <col min="902" max="902" width="6.81640625" bestFit="1" customWidth="1"/>
    <col min="903" max="903" width="5.81640625" bestFit="1" customWidth="1"/>
    <col min="904" max="904" width="6.81640625" bestFit="1" customWidth="1"/>
    <col min="905" max="905" width="5.81640625" bestFit="1" customWidth="1"/>
    <col min="906" max="907" width="6.81640625" bestFit="1" customWidth="1"/>
    <col min="908" max="908" width="5.81640625" bestFit="1" customWidth="1"/>
    <col min="909" max="910" width="6.81640625" bestFit="1" customWidth="1"/>
    <col min="911" max="912" width="5.81640625" bestFit="1" customWidth="1"/>
    <col min="913" max="913" width="6.81640625" bestFit="1" customWidth="1"/>
    <col min="914" max="914" width="4.81640625" bestFit="1" customWidth="1"/>
    <col min="915" max="915" width="6.81640625" bestFit="1" customWidth="1"/>
    <col min="916" max="916" width="5.81640625" bestFit="1" customWidth="1"/>
    <col min="917" max="917" width="6.81640625" bestFit="1" customWidth="1"/>
    <col min="918" max="920" width="5.81640625" bestFit="1" customWidth="1"/>
    <col min="921" max="922" width="6.81640625" bestFit="1" customWidth="1"/>
    <col min="923" max="925" width="5.81640625" bestFit="1" customWidth="1"/>
    <col min="926" max="927" width="6.81640625" bestFit="1" customWidth="1"/>
    <col min="928" max="928" width="5.81640625" bestFit="1" customWidth="1"/>
    <col min="929" max="929" width="6.81640625" bestFit="1" customWidth="1"/>
    <col min="930" max="931" width="5.81640625" bestFit="1" customWidth="1"/>
    <col min="932" max="932" width="4.81640625" bestFit="1" customWidth="1"/>
    <col min="933" max="935" width="6.81640625" bestFit="1" customWidth="1"/>
    <col min="936" max="936" width="5.81640625" bestFit="1" customWidth="1"/>
    <col min="937" max="938" width="6.81640625" bestFit="1" customWidth="1"/>
    <col min="939" max="939" width="5.81640625" bestFit="1" customWidth="1"/>
    <col min="940" max="943" width="6.81640625" bestFit="1" customWidth="1"/>
    <col min="944" max="944" width="4.81640625" bestFit="1" customWidth="1"/>
    <col min="945" max="946" width="6.81640625" bestFit="1" customWidth="1"/>
    <col min="947" max="949" width="5.81640625" bestFit="1" customWidth="1"/>
    <col min="950" max="950" width="6.81640625" bestFit="1" customWidth="1"/>
    <col min="951" max="952" width="5.81640625" bestFit="1" customWidth="1"/>
    <col min="953" max="954" width="6.81640625" bestFit="1" customWidth="1"/>
    <col min="955" max="955" width="4.81640625" bestFit="1" customWidth="1"/>
    <col min="956" max="956" width="5.81640625" bestFit="1" customWidth="1"/>
    <col min="957" max="957" width="6.81640625" bestFit="1" customWidth="1"/>
    <col min="958" max="958" width="5.81640625" bestFit="1" customWidth="1"/>
    <col min="959" max="959" width="4.81640625" bestFit="1" customWidth="1"/>
    <col min="960" max="964" width="5.81640625" bestFit="1" customWidth="1"/>
    <col min="965" max="965" width="4.81640625" bestFit="1" customWidth="1"/>
    <col min="966" max="966" width="5.81640625" bestFit="1" customWidth="1"/>
    <col min="967" max="967" width="6.81640625" bestFit="1" customWidth="1"/>
    <col min="968" max="970" width="5.81640625" bestFit="1" customWidth="1"/>
    <col min="971" max="971" width="4.81640625" bestFit="1" customWidth="1"/>
    <col min="972" max="973" width="5.81640625" bestFit="1" customWidth="1"/>
    <col min="974" max="974" width="6.81640625" bestFit="1" customWidth="1"/>
    <col min="975" max="976" width="5.81640625" bestFit="1" customWidth="1"/>
    <col min="977" max="977" width="6.81640625" bestFit="1" customWidth="1"/>
    <col min="978" max="979" width="5.81640625" bestFit="1" customWidth="1"/>
    <col min="980" max="980" width="2.81640625" bestFit="1" customWidth="1"/>
    <col min="981" max="981" width="6.81640625" bestFit="1" customWidth="1"/>
    <col min="982" max="982" width="5.81640625" bestFit="1" customWidth="1"/>
    <col min="983" max="983" width="6.81640625" bestFit="1" customWidth="1"/>
    <col min="984" max="985" width="5.81640625" bestFit="1" customWidth="1"/>
    <col min="986" max="986" width="6.81640625" bestFit="1" customWidth="1"/>
    <col min="987" max="987" width="5.81640625" bestFit="1" customWidth="1"/>
    <col min="988" max="989" width="6.81640625" bestFit="1" customWidth="1"/>
    <col min="990" max="990" width="5.81640625" bestFit="1" customWidth="1"/>
    <col min="991" max="994" width="6.81640625" bestFit="1" customWidth="1"/>
    <col min="995" max="999" width="5.81640625" bestFit="1" customWidth="1"/>
    <col min="1000" max="1000" width="6.81640625" bestFit="1" customWidth="1"/>
    <col min="1001" max="1001" width="4.81640625" bestFit="1" customWidth="1"/>
    <col min="1002" max="1002" width="5.81640625" bestFit="1" customWidth="1"/>
    <col min="1003" max="1003" width="6.81640625" bestFit="1" customWidth="1"/>
    <col min="1004" max="1005" width="5.81640625" bestFit="1" customWidth="1"/>
    <col min="1006" max="1006" width="6.81640625" bestFit="1" customWidth="1"/>
    <col min="1007" max="1008" width="5.81640625" bestFit="1" customWidth="1"/>
    <col min="1009" max="1009" width="6.81640625" bestFit="1" customWidth="1"/>
    <col min="1010" max="1010" width="5.81640625" bestFit="1" customWidth="1"/>
    <col min="1011" max="1011" width="6.81640625" bestFit="1" customWidth="1"/>
    <col min="1012" max="1013" width="5.81640625" bestFit="1" customWidth="1"/>
    <col min="1014" max="1014" width="6.81640625" bestFit="1" customWidth="1"/>
    <col min="1015" max="1015" width="5.81640625" bestFit="1" customWidth="1"/>
    <col min="1016" max="1016" width="6.81640625" bestFit="1" customWidth="1"/>
    <col min="1017" max="1017" width="4.81640625" bestFit="1" customWidth="1"/>
    <col min="1018" max="1019" width="6.81640625" bestFit="1" customWidth="1"/>
    <col min="1020" max="1020" width="5.81640625" bestFit="1" customWidth="1"/>
    <col min="1021" max="1021" width="6.81640625" bestFit="1" customWidth="1"/>
    <col min="1022" max="1022" width="4.81640625" bestFit="1" customWidth="1"/>
    <col min="1023" max="1023" width="6.81640625" bestFit="1" customWidth="1"/>
    <col min="1024" max="1026" width="5.81640625" bestFit="1" customWidth="1"/>
    <col min="1027" max="1027" width="4.81640625" bestFit="1" customWidth="1"/>
    <col min="1028" max="1028" width="6.81640625" bestFit="1" customWidth="1"/>
    <col min="1029" max="1029" width="5.81640625" bestFit="1" customWidth="1"/>
    <col min="1030" max="1030" width="6.81640625" bestFit="1" customWidth="1"/>
    <col min="1031" max="1032" width="5.81640625" bestFit="1" customWidth="1"/>
    <col min="1033" max="1033" width="6.81640625" bestFit="1" customWidth="1"/>
    <col min="1034" max="1034" width="5.81640625" bestFit="1" customWidth="1"/>
    <col min="1035" max="1037" width="6.81640625" bestFit="1" customWidth="1"/>
    <col min="1038" max="1038" width="2.81640625" bestFit="1" customWidth="1"/>
    <col min="1039" max="1040" width="5.81640625" bestFit="1" customWidth="1"/>
    <col min="1041" max="1042" width="6.81640625" bestFit="1" customWidth="1"/>
    <col min="1043" max="1043" width="5.81640625" bestFit="1" customWidth="1"/>
    <col min="1044" max="1044" width="6.81640625" bestFit="1" customWidth="1"/>
    <col min="1045" max="1045" width="5.81640625" bestFit="1" customWidth="1"/>
    <col min="1046" max="1049" width="6.81640625" bestFit="1" customWidth="1"/>
    <col min="1050" max="1050" width="4.81640625" bestFit="1" customWidth="1"/>
    <col min="1051" max="1051" width="6.81640625" bestFit="1" customWidth="1"/>
    <col min="1052" max="1053" width="5.81640625" bestFit="1" customWidth="1"/>
    <col min="1054" max="1054" width="6.81640625" bestFit="1" customWidth="1"/>
    <col min="1055" max="1055" width="5.81640625" bestFit="1" customWidth="1"/>
    <col min="1056" max="1056" width="6.81640625" bestFit="1" customWidth="1"/>
    <col min="1057" max="1060" width="5.81640625" bestFit="1" customWidth="1"/>
    <col min="1061" max="1061" width="4.81640625" bestFit="1" customWidth="1"/>
    <col min="1062" max="1062" width="6.81640625" bestFit="1" customWidth="1"/>
    <col min="1063" max="1063" width="5.81640625" bestFit="1" customWidth="1"/>
    <col min="1064" max="1065" width="6.81640625" bestFit="1" customWidth="1"/>
    <col min="1066" max="1068" width="5.81640625" bestFit="1" customWidth="1"/>
    <col min="1069" max="1069" width="6.81640625" bestFit="1" customWidth="1"/>
    <col min="1070" max="1070" width="5.81640625" bestFit="1" customWidth="1"/>
    <col min="1071" max="1072" width="6.81640625" bestFit="1" customWidth="1"/>
    <col min="1073" max="1074" width="5.81640625" bestFit="1" customWidth="1"/>
    <col min="1075" max="1077" width="6.81640625" bestFit="1" customWidth="1"/>
    <col min="1078" max="1078" width="5.81640625" bestFit="1" customWidth="1"/>
    <col min="1079" max="1081" width="6.81640625" bestFit="1" customWidth="1"/>
    <col min="1082" max="1082" width="4.81640625" bestFit="1" customWidth="1"/>
    <col min="1083" max="1086" width="5.81640625" bestFit="1" customWidth="1"/>
    <col min="1087" max="1087" width="2.81640625" bestFit="1" customWidth="1"/>
    <col min="1088" max="1088" width="6.81640625" bestFit="1" customWidth="1"/>
    <col min="1089" max="1090" width="5.81640625" bestFit="1" customWidth="1"/>
    <col min="1091" max="1091" width="6.81640625" bestFit="1" customWidth="1"/>
    <col min="1092" max="1094" width="5.81640625" bestFit="1" customWidth="1"/>
    <col min="1095" max="1096" width="6.81640625" bestFit="1" customWidth="1"/>
    <col min="1097" max="1098" width="5.81640625" bestFit="1" customWidth="1"/>
    <col min="1099" max="1099" width="6.81640625" bestFit="1" customWidth="1"/>
    <col min="1100" max="1100" width="5.81640625" bestFit="1" customWidth="1"/>
    <col min="1101" max="1101" width="4.81640625" bestFit="1" customWidth="1"/>
    <col min="1102" max="1107" width="5.81640625" bestFit="1" customWidth="1"/>
    <col min="1108" max="1108" width="6.81640625" bestFit="1" customWidth="1"/>
    <col min="1109" max="1109" width="5.81640625" bestFit="1" customWidth="1"/>
    <col min="1110" max="1110" width="6.81640625" bestFit="1" customWidth="1"/>
    <col min="1111" max="1111" width="5.81640625" bestFit="1" customWidth="1"/>
    <col min="1112" max="1112" width="6.81640625" bestFit="1" customWidth="1"/>
    <col min="1113" max="1113" width="5.81640625" bestFit="1" customWidth="1"/>
    <col min="1114" max="1116" width="6.81640625" bestFit="1" customWidth="1"/>
    <col min="1117" max="1117" width="5.81640625" bestFit="1" customWidth="1"/>
    <col min="1118" max="1118" width="6.81640625" bestFit="1" customWidth="1"/>
    <col min="1119" max="1120" width="5.81640625" bestFit="1" customWidth="1"/>
    <col min="1121" max="1121" width="6.81640625" bestFit="1" customWidth="1"/>
    <col min="1122" max="1122" width="5.81640625" bestFit="1" customWidth="1"/>
    <col min="1123" max="1123" width="6.81640625" bestFit="1" customWidth="1"/>
    <col min="1124" max="1124" width="5.81640625" bestFit="1" customWidth="1"/>
    <col min="1125" max="1125" width="4.81640625" bestFit="1" customWidth="1"/>
    <col min="1126" max="1126" width="6.81640625" bestFit="1" customWidth="1"/>
    <col min="1127" max="1130" width="5.81640625" bestFit="1" customWidth="1"/>
    <col min="1131" max="1131" width="2.81640625" bestFit="1" customWidth="1"/>
    <col min="1132" max="1132" width="5.81640625" bestFit="1" customWidth="1"/>
    <col min="1133" max="1133" width="6.81640625" bestFit="1" customWidth="1"/>
    <col min="1134" max="1134" width="5.81640625" bestFit="1" customWidth="1"/>
    <col min="1135" max="1135" width="6.81640625" bestFit="1" customWidth="1"/>
    <col min="1136" max="1136" width="5.81640625" bestFit="1" customWidth="1"/>
    <col min="1137" max="1137" width="6.81640625" bestFit="1" customWidth="1"/>
    <col min="1138" max="1138" width="4.81640625" bestFit="1" customWidth="1"/>
    <col min="1139" max="1139" width="5.81640625" bestFit="1" customWidth="1"/>
    <col min="1140" max="1141" width="6.81640625" bestFit="1" customWidth="1"/>
    <col min="1142" max="1142" width="5.81640625" bestFit="1" customWidth="1"/>
    <col min="1143" max="1144" width="6.81640625" bestFit="1" customWidth="1"/>
    <col min="1145" max="1145" width="5.81640625" bestFit="1" customWidth="1"/>
    <col min="1146" max="1149" width="6.81640625" bestFit="1" customWidth="1"/>
    <col min="1150" max="1150" width="5.81640625" bestFit="1" customWidth="1"/>
    <col min="1151" max="1151" width="6.81640625" bestFit="1" customWidth="1"/>
    <col min="1152" max="1152" width="5.81640625" bestFit="1" customWidth="1"/>
    <col min="1153" max="1155" width="6.81640625" bestFit="1" customWidth="1"/>
    <col min="1156" max="1156" width="5.81640625" bestFit="1" customWidth="1"/>
    <col min="1157" max="1157" width="6.81640625" bestFit="1" customWidth="1"/>
    <col min="1158" max="1158" width="5.81640625" bestFit="1" customWidth="1"/>
    <col min="1159" max="1159" width="6.81640625" bestFit="1" customWidth="1"/>
    <col min="1160" max="1160" width="5.81640625" bestFit="1" customWidth="1"/>
    <col min="1161" max="1164" width="6.81640625" bestFit="1" customWidth="1"/>
    <col min="1165" max="1165" width="5.81640625" bestFit="1" customWidth="1"/>
    <col min="1166" max="1166" width="6.81640625" bestFit="1" customWidth="1"/>
    <col min="1167" max="1167" width="4.81640625" bestFit="1" customWidth="1"/>
    <col min="1168" max="1168" width="6.81640625" bestFit="1" customWidth="1"/>
    <col min="1169" max="1172" width="5.81640625" bestFit="1" customWidth="1"/>
    <col min="1173" max="1174" width="6.81640625" bestFit="1" customWidth="1"/>
    <col min="1175" max="1175" width="4.81640625" bestFit="1" customWidth="1"/>
    <col min="1176" max="1176" width="5.81640625" bestFit="1" customWidth="1"/>
    <col min="1177" max="1177" width="6.81640625" bestFit="1" customWidth="1"/>
    <col min="1178" max="1181" width="5.81640625" bestFit="1" customWidth="1"/>
    <col min="1182" max="1182" width="2.81640625" bestFit="1" customWidth="1"/>
    <col min="1183" max="1183" width="6.81640625" bestFit="1" customWidth="1"/>
    <col min="1184" max="1185" width="5.81640625" bestFit="1" customWidth="1"/>
    <col min="1186" max="1188" width="6.81640625" bestFit="1" customWidth="1"/>
    <col min="1189" max="1189" width="5.81640625" bestFit="1" customWidth="1"/>
    <col min="1190" max="1194" width="6.81640625" bestFit="1" customWidth="1"/>
    <col min="1195" max="1195" width="4.81640625" bestFit="1" customWidth="1"/>
    <col min="1196" max="1196" width="6.81640625" bestFit="1" customWidth="1"/>
    <col min="1197" max="1198" width="5.81640625" bestFit="1" customWidth="1"/>
    <col min="1199" max="1199" width="4.81640625" bestFit="1" customWidth="1"/>
    <col min="1200" max="1200" width="6.81640625" bestFit="1" customWidth="1"/>
    <col min="1201" max="1201" width="5.81640625" bestFit="1" customWidth="1"/>
    <col min="1202" max="1202" width="6.81640625" bestFit="1" customWidth="1"/>
    <col min="1203" max="1204" width="5.81640625" bestFit="1" customWidth="1"/>
    <col min="1205" max="1205" width="6.81640625" bestFit="1" customWidth="1"/>
    <col min="1206" max="1207" width="5.81640625" bestFit="1" customWidth="1"/>
    <col min="1208" max="1208" width="6.81640625" bestFit="1" customWidth="1"/>
    <col min="1209" max="1209" width="4.81640625" bestFit="1" customWidth="1"/>
    <col min="1210" max="1211" width="6.81640625" bestFit="1" customWidth="1"/>
    <col min="1212" max="1213" width="5.81640625" bestFit="1" customWidth="1"/>
    <col min="1214" max="1214" width="6.81640625" bestFit="1" customWidth="1"/>
    <col min="1215" max="1215" width="5.81640625" bestFit="1" customWidth="1"/>
    <col min="1216" max="1216" width="6.81640625" bestFit="1" customWidth="1"/>
    <col min="1217" max="1217" width="5.81640625" bestFit="1" customWidth="1"/>
    <col min="1218" max="1218" width="6.81640625" bestFit="1" customWidth="1"/>
    <col min="1219" max="1219" width="4.81640625" bestFit="1" customWidth="1"/>
    <col min="1220" max="1220" width="6.81640625" bestFit="1" customWidth="1"/>
    <col min="1221" max="1222" width="5.81640625" bestFit="1" customWidth="1"/>
    <col min="1223" max="1223" width="6.81640625" bestFit="1" customWidth="1"/>
    <col min="1224" max="1224" width="5.81640625" bestFit="1" customWidth="1"/>
    <col min="1225" max="1225" width="4.81640625" bestFit="1" customWidth="1"/>
    <col min="1226" max="1226" width="5.81640625" bestFit="1" customWidth="1"/>
    <col min="1227" max="1227" width="6.81640625" bestFit="1" customWidth="1"/>
    <col min="1228" max="1228" width="5.81640625" bestFit="1" customWidth="1"/>
    <col min="1229" max="1229" width="6.81640625" bestFit="1" customWidth="1"/>
    <col min="1230" max="1231" width="5.81640625" bestFit="1" customWidth="1"/>
    <col min="1232" max="1232" width="2.81640625" bestFit="1" customWidth="1"/>
    <col min="1233" max="1233" width="6.81640625" bestFit="1" customWidth="1"/>
    <col min="1234" max="1234" width="5.81640625" bestFit="1" customWidth="1"/>
    <col min="1235" max="1235" width="6.81640625" bestFit="1" customWidth="1"/>
    <col min="1236" max="1236" width="5.81640625" bestFit="1" customWidth="1"/>
    <col min="1237" max="1237" width="6.81640625" bestFit="1" customWidth="1"/>
    <col min="1238" max="1238" width="4.81640625" bestFit="1" customWidth="1"/>
    <col min="1239" max="1239" width="6.81640625" bestFit="1" customWidth="1"/>
    <col min="1240" max="1240" width="5.81640625" bestFit="1" customWidth="1"/>
    <col min="1241" max="1241" width="6.81640625" bestFit="1" customWidth="1"/>
    <col min="1242" max="1243" width="5.81640625" bestFit="1" customWidth="1"/>
    <col min="1244" max="1244" width="6.81640625" bestFit="1" customWidth="1"/>
    <col min="1245" max="1247" width="5.81640625" bestFit="1" customWidth="1"/>
    <col min="1248" max="1248" width="6.81640625" bestFit="1" customWidth="1"/>
    <col min="1249" max="1249" width="5.81640625" bestFit="1" customWidth="1"/>
    <col min="1250" max="1251" width="6.81640625" bestFit="1" customWidth="1"/>
    <col min="1252" max="1253" width="5.81640625" bestFit="1" customWidth="1"/>
    <col min="1254" max="1254" width="6.81640625" bestFit="1" customWidth="1"/>
    <col min="1255" max="1255" width="5.81640625" bestFit="1" customWidth="1"/>
    <col min="1256" max="1256" width="6.81640625" bestFit="1" customWidth="1"/>
    <col min="1257" max="1257" width="5.81640625" bestFit="1" customWidth="1"/>
    <col min="1258" max="1258" width="6.81640625" bestFit="1" customWidth="1"/>
    <col min="1259" max="1260" width="5.81640625" bestFit="1" customWidth="1"/>
    <col min="1261" max="1261" width="6.81640625" bestFit="1" customWidth="1"/>
    <col min="1262" max="1262" width="4.81640625" bestFit="1" customWidth="1"/>
    <col min="1263" max="1263" width="6.81640625" bestFit="1" customWidth="1"/>
    <col min="1264" max="1264" width="5.81640625" bestFit="1" customWidth="1"/>
    <col min="1265" max="1268" width="6.81640625" bestFit="1" customWidth="1"/>
    <col min="1269" max="1269" width="4.81640625" bestFit="1" customWidth="1"/>
    <col min="1270" max="1270" width="6.81640625" bestFit="1" customWidth="1"/>
    <col min="1271" max="1271" width="5.81640625" bestFit="1" customWidth="1"/>
    <col min="1272" max="1272" width="6.81640625" bestFit="1" customWidth="1"/>
    <col min="1273" max="1274" width="5.81640625" bestFit="1" customWidth="1"/>
    <col min="1275" max="1275" width="4.81640625" bestFit="1" customWidth="1"/>
    <col min="1276" max="1277" width="6.81640625" bestFit="1" customWidth="1"/>
    <col min="1278" max="1278" width="5.81640625" bestFit="1" customWidth="1"/>
    <col min="1279" max="1279" width="6.81640625" bestFit="1" customWidth="1"/>
    <col min="1280" max="1281" width="5.81640625" bestFit="1" customWidth="1"/>
    <col min="1282" max="1282" width="6.81640625" bestFit="1" customWidth="1"/>
    <col min="1283" max="1283" width="2.81640625" bestFit="1" customWidth="1"/>
    <col min="1284" max="1284" width="6.81640625" bestFit="1" customWidth="1"/>
    <col min="1285" max="1285" width="5.81640625" bestFit="1" customWidth="1"/>
    <col min="1286" max="1287" width="6.81640625" bestFit="1" customWidth="1"/>
    <col min="1288" max="1288" width="4.81640625" bestFit="1" customWidth="1"/>
    <col min="1289" max="1289" width="6.81640625" bestFit="1" customWidth="1"/>
    <col min="1290" max="1291" width="5.81640625" bestFit="1" customWidth="1"/>
    <col min="1292" max="1292" width="6.81640625" bestFit="1" customWidth="1"/>
    <col min="1293" max="1293" width="4.81640625" bestFit="1" customWidth="1"/>
    <col min="1294" max="1295" width="6.81640625" bestFit="1" customWidth="1"/>
    <col min="1296" max="1297" width="5.81640625" bestFit="1" customWidth="1"/>
    <col min="1298" max="1298" width="6.81640625" bestFit="1" customWidth="1"/>
    <col min="1299" max="1300" width="5.81640625" bestFit="1" customWidth="1"/>
    <col min="1301" max="1301" width="6.81640625" bestFit="1" customWidth="1"/>
    <col min="1302" max="1302" width="4.81640625" bestFit="1" customWidth="1"/>
    <col min="1303" max="1303" width="5.81640625" bestFit="1" customWidth="1"/>
    <col min="1304" max="1304" width="6.81640625" bestFit="1" customWidth="1"/>
    <col min="1305" max="1305" width="5.81640625" bestFit="1" customWidth="1"/>
    <col min="1306" max="1306" width="6.81640625" bestFit="1" customWidth="1"/>
    <col min="1307" max="1307" width="4.81640625" bestFit="1" customWidth="1"/>
    <col min="1308" max="1308" width="6.81640625" bestFit="1" customWidth="1"/>
    <col min="1309" max="1309" width="5.81640625" bestFit="1" customWidth="1"/>
    <col min="1310" max="1311" width="6.81640625" bestFit="1" customWidth="1"/>
    <col min="1312" max="1312" width="4.81640625" bestFit="1" customWidth="1"/>
    <col min="1313" max="1313" width="6.81640625" bestFit="1" customWidth="1"/>
    <col min="1314" max="1314" width="5.81640625" bestFit="1" customWidth="1"/>
    <col min="1315" max="1316" width="6.81640625" bestFit="1" customWidth="1"/>
    <col min="1317" max="1317" width="5.81640625" bestFit="1" customWidth="1"/>
    <col min="1318" max="1318" width="6.81640625" bestFit="1" customWidth="1"/>
    <col min="1319" max="1319" width="4.81640625" bestFit="1" customWidth="1"/>
    <col min="1320" max="1321" width="5.81640625" bestFit="1" customWidth="1"/>
    <col min="1322" max="1322" width="6.81640625" bestFit="1" customWidth="1"/>
    <col min="1323" max="1323" width="5.81640625" bestFit="1" customWidth="1"/>
    <col min="1324" max="1324" width="4.81640625" bestFit="1" customWidth="1"/>
    <col min="1325" max="1326" width="5.81640625" bestFit="1" customWidth="1"/>
    <col min="1327" max="1327" width="6.81640625" bestFit="1" customWidth="1"/>
    <col min="1328" max="1328" width="5.81640625" bestFit="1" customWidth="1"/>
    <col min="1329" max="1329" width="6.81640625" bestFit="1" customWidth="1"/>
    <col min="1330" max="1330" width="5.81640625" bestFit="1" customWidth="1"/>
    <col min="1331" max="1331" width="6.81640625" bestFit="1" customWidth="1"/>
    <col min="1332" max="1332" width="5.81640625" bestFit="1" customWidth="1"/>
    <col min="1333" max="1333" width="2.81640625" bestFit="1" customWidth="1"/>
    <col min="1334" max="1336" width="5.81640625" bestFit="1" customWidth="1"/>
    <col min="1337" max="1337" width="4.81640625" bestFit="1" customWidth="1"/>
    <col min="1338" max="1339" width="5.81640625" bestFit="1" customWidth="1"/>
    <col min="1340" max="1341" width="6.81640625" bestFit="1" customWidth="1"/>
    <col min="1342" max="1342" width="5.81640625" bestFit="1" customWidth="1"/>
    <col min="1343" max="1345" width="6.81640625" bestFit="1" customWidth="1"/>
    <col min="1346" max="1346" width="5.81640625" bestFit="1" customWidth="1"/>
    <col min="1347" max="1348" width="6.81640625" bestFit="1" customWidth="1"/>
    <col min="1349" max="1350" width="5.81640625" bestFit="1" customWidth="1"/>
    <col min="1351" max="1351" width="4.81640625" bestFit="1" customWidth="1"/>
    <col min="1352" max="1352" width="6.81640625" bestFit="1" customWidth="1"/>
    <col min="1353" max="1354" width="5.81640625" bestFit="1" customWidth="1"/>
    <col min="1355" max="1355" width="6.81640625" bestFit="1" customWidth="1"/>
    <col min="1356" max="1356" width="5.81640625" bestFit="1" customWidth="1"/>
    <col min="1357" max="1357" width="6.81640625" bestFit="1" customWidth="1"/>
    <col min="1358" max="1359" width="5.81640625" bestFit="1" customWidth="1"/>
    <col min="1360" max="1360" width="6.81640625" bestFit="1" customWidth="1"/>
    <col min="1361" max="1363" width="5.81640625" bestFit="1" customWidth="1"/>
    <col min="1364" max="1364" width="6.81640625" bestFit="1" customWidth="1"/>
    <col min="1365" max="1365" width="5.81640625" bestFit="1" customWidth="1"/>
    <col min="1366" max="1367" width="6.81640625" bestFit="1" customWidth="1"/>
    <col min="1368" max="1368" width="5.81640625" bestFit="1" customWidth="1"/>
    <col min="1369" max="1370" width="6.81640625" bestFit="1" customWidth="1"/>
    <col min="1371" max="1373" width="5.81640625" bestFit="1" customWidth="1"/>
    <col min="1374" max="1374" width="2.81640625" bestFit="1" customWidth="1"/>
    <col min="1375" max="1375" width="5.81640625" bestFit="1" customWidth="1"/>
    <col min="1376" max="1376" width="6.81640625" bestFit="1" customWidth="1"/>
    <col min="1377" max="1377" width="5.81640625" bestFit="1" customWidth="1"/>
    <col min="1378" max="1378" width="4.81640625" bestFit="1" customWidth="1"/>
    <col min="1379" max="1379" width="5.81640625" bestFit="1" customWidth="1"/>
    <col min="1380" max="1381" width="6.81640625" bestFit="1" customWidth="1"/>
    <col min="1382" max="1382" width="5.81640625" bestFit="1" customWidth="1"/>
    <col min="1383" max="1383" width="6.81640625" bestFit="1" customWidth="1"/>
    <col min="1384" max="1384" width="5.81640625" bestFit="1" customWidth="1"/>
    <col min="1385" max="1385" width="4.81640625" bestFit="1" customWidth="1"/>
    <col min="1386" max="1388" width="5.81640625" bestFit="1" customWidth="1"/>
    <col min="1389" max="1389" width="6.81640625" bestFit="1" customWidth="1"/>
    <col min="1390" max="1390" width="5.81640625" bestFit="1" customWidth="1"/>
    <col min="1391" max="1392" width="6.81640625" bestFit="1" customWidth="1"/>
    <col min="1393" max="1396" width="5.81640625" bestFit="1" customWidth="1"/>
    <col min="1397" max="1397" width="6.81640625" bestFit="1" customWidth="1"/>
    <col min="1398" max="1402" width="5.81640625" bestFit="1" customWidth="1"/>
    <col min="1403" max="1405" width="6.81640625" bestFit="1" customWidth="1"/>
    <col min="1406" max="1406" width="5.81640625" bestFit="1" customWidth="1"/>
    <col min="1407" max="1407" width="6.81640625" bestFit="1" customWidth="1"/>
    <col min="1408" max="1410" width="5.81640625" bestFit="1" customWidth="1"/>
    <col min="1411" max="1412" width="6.81640625" bestFit="1" customWidth="1"/>
    <col min="1413" max="1413" width="5.81640625" bestFit="1" customWidth="1"/>
    <col min="1414" max="1417" width="6.81640625" bestFit="1" customWidth="1"/>
    <col min="1418" max="1418" width="5.81640625" bestFit="1" customWidth="1"/>
    <col min="1419" max="1419" width="6.81640625" bestFit="1" customWidth="1"/>
    <col min="1420" max="1420" width="2.81640625" bestFit="1" customWidth="1"/>
    <col min="1421" max="1422" width="6.81640625" bestFit="1" customWidth="1"/>
    <col min="1423" max="1423" width="4.81640625" bestFit="1" customWidth="1"/>
    <col min="1424" max="1425" width="5.81640625" bestFit="1" customWidth="1"/>
    <col min="1426" max="1426" width="6.81640625" bestFit="1" customWidth="1"/>
    <col min="1427" max="1427" width="4.81640625" bestFit="1" customWidth="1"/>
    <col min="1428" max="1429" width="6.81640625" bestFit="1" customWidth="1"/>
    <col min="1430" max="1430" width="4.81640625" bestFit="1" customWidth="1"/>
    <col min="1431" max="1431" width="5.81640625" bestFit="1" customWidth="1"/>
    <col min="1432" max="1432" width="6.81640625" bestFit="1" customWidth="1"/>
    <col min="1433" max="1433" width="4.81640625" bestFit="1" customWidth="1"/>
    <col min="1434" max="1436" width="6.81640625" bestFit="1" customWidth="1"/>
    <col min="1437" max="1438" width="5.81640625" bestFit="1" customWidth="1"/>
    <col min="1439" max="1439" width="6.81640625" bestFit="1" customWidth="1"/>
    <col min="1440" max="1440" width="5.81640625" bestFit="1" customWidth="1"/>
    <col min="1441" max="1441" width="6.81640625" bestFit="1" customWidth="1"/>
    <col min="1442" max="1442" width="4.81640625" bestFit="1" customWidth="1"/>
    <col min="1443" max="1443" width="6.81640625" bestFit="1" customWidth="1"/>
    <col min="1444" max="1445" width="5.81640625" bestFit="1" customWidth="1"/>
    <col min="1446" max="1447" width="6.81640625" bestFit="1" customWidth="1"/>
    <col min="1448" max="1450" width="5.81640625" bestFit="1" customWidth="1"/>
    <col min="1451" max="1451" width="6.81640625" bestFit="1" customWidth="1"/>
    <col min="1452" max="1452" width="4.81640625" bestFit="1" customWidth="1"/>
    <col min="1453" max="1454" width="5.81640625" bestFit="1" customWidth="1"/>
    <col min="1455" max="1455" width="6.81640625" bestFit="1" customWidth="1"/>
    <col min="1456" max="1460" width="5.81640625" bestFit="1" customWidth="1"/>
    <col min="1461" max="1462" width="6.81640625" bestFit="1" customWidth="1"/>
    <col min="1463" max="1463" width="4.81640625" bestFit="1" customWidth="1"/>
    <col min="1464" max="1464" width="6.81640625" bestFit="1" customWidth="1"/>
    <col min="1465" max="1465" width="4.81640625" bestFit="1" customWidth="1"/>
    <col min="1466" max="1466" width="5.81640625" bestFit="1" customWidth="1"/>
    <col min="1467" max="1467" width="6.81640625" bestFit="1" customWidth="1"/>
    <col min="1468" max="1468" width="5.81640625" bestFit="1" customWidth="1"/>
    <col min="1469" max="1469" width="4.81640625" bestFit="1" customWidth="1"/>
    <col min="1470" max="1470" width="6.81640625" bestFit="1" customWidth="1"/>
    <col min="1471" max="1471" width="5.81640625" bestFit="1" customWidth="1"/>
    <col min="1472" max="1473" width="6.81640625" bestFit="1" customWidth="1"/>
    <col min="1474" max="1474" width="4.81640625" bestFit="1" customWidth="1"/>
    <col min="1475" max="1475" width="5.81640625" bestFit="1" customWidth="1"/>
    <col min="1476" max="1477" width="6.81640625" bestFit="1" customWidth="1"/>
    <col min="1478" max="1478" width="5.81640625" bestFit="1" customWidth="1"/>
    <col min="1479" max="1479" width="6.81640625" bestFit="1" customWidth="1"/>
    <col min="1480" max="1482" width="5.81640625" bestFit="1" customWidth="1"/>
    <col min="1483" max="1483" width="6.81640625" bestFit="1" customWidth="1"/>
    <col min="1484" max="1485" width="5.81640625" bestFit="1" customWidth="1"/>
    <col min="1486" max="1486" width="4.81640625" bestFit="1" customWidth="1"/>
    <col min="1487" max="1489" width="5.81640625" bestFit="1" customWidth="1"/>
    <col min="1490" max="1490" width="6.81640625" bestFit="1" customWidth="1"/>
    <col min="1491" max="1491" width="5.81640625" bestFit="1" customWidth="1"/>
    <col min="1492" max="1492" width="2.81640625" bestFit="1" customWidth="1"/>
    <col min="1493" max="1493" width="5.81640625" bestFit="1" customWidth="1"/>
    <col min="1494" max="1497" width="6.81640625" bestFit="1" customWidth="1"/>
    <col min="1498" max="1498" width="5.81640625" bestFit="1" customWidth="1"/>
    <col min="1499" max="1499" width="6.81640625" bestFit="1" customWidth="1"/>
    <col min="1500" max="1500" width="5.81640625" bestFit="1" customWidth="1"/>
    <col min="1501" max="1501" width="4.81640625" bestFit="1" customWidth="1"/>
    <col min="1502" max="1503" width="5.81640625" bestFit="1" customWidth="1"/>
    <col min="1504" max="1506" width="6.81640625" bestFit="1" customWidth="1"/>
    <col min="1507" max="1507" width="5.81640625" bestFit="1" customWidth="1"/>
    <col min="1508" max="1508" width="6.81640625" bestFit="1" customWidth="1"/>
    <col min="1509" max="1509" width="4.81640625" bestFit="1" customWidth="1"/>
    <col min="1510" max="1512" width="6.81640625" bestFit="1" customWidth="1"/>
    <col min="1513" max="1516" width="5.81640625" bestFit="1" customWidth="1"/>
    <col min="1517" max="1517" width="6.81640625" bestFit="1" customWidth="1"/>
    <col min="1518" max="1518" width="5.81640625" bestFit="1" customWidth="1"/>
    <col min="1519" max="1519" width="4.81640625" bestFit="1" customWidth="1"/>
    <col min="1520" max="1521" width="5.81640625" bestFit="1" customWidth="1"/>
    <col min="1522" max="1522" width="4.81640625" bestFit="1" customWidth="1"/>
    <col min="1523" max="1525" width="5.81640625" bestFit="1" customWidth="1"/>
    <col min="1526" max="1526" width="4.81640625" bestFit="1" customWidth="1"/>
    <col min="1527" max="1528" width="5.81640625" bestFit="1" customWidth="1"/>
    <col min="1529" max="1533" width="6.81640625" bestFit="1" customWidth="1"/>
    <col min="1534" max="1535" width="5.81640625" bestFit="1" customWidth="1"/>
    <col min="1536" max="1536" width="6.81640625" bestFit="1" customWidth="1"/>
    <col min="1537" max="1537" width="5.81640625" bestFit="1" customWidth="1"/>
    <col min="1538" max="1539" width="6.81640625" bestFit="1" customWidth="1"/>
    <col min="1540" max="1540" width="4.81640625" bestFit="1" customWidth="1"/>
    <col min="1541" max="1541" width="6.81640625" bestFit="1" customWidth="1"/>
    <col min="1542" max="1542" width="5.81640625" bestFit="1" customWidth="1"/>
    <col min="1543" max="1544" width="6.81640625" bestFit="1" customWidth="1"/>
    <col min="1545" max="1545" width="5.81640625" bestFit="1" customWidth="1"/>
    <col min="1546" max="1548" width="6.81640625" bestFit="1" customWidth="1"/>
    <col min="1549" max="1551" width="5.81640625" bestFit="1" customWidth="1"/>
    <col min="1552" max="1552" width="6.81640625" bestFit="1" customWidth="1"/>
    <col min="1553" max="1553" width="5.81640625" bestFit="1" customWidth="1"/>
    <col min="1554" max="1554" width="6.81640625" bestFit="1" customWidth="1"/>
    <col min="1555" max="1555" width="5.81640625" bestFit="1" customWidth="1"/>
    <col min="1556" max="1556" width="4.81640625" bestFit="1" customWidth="1"/>
    <col min="1557" max="1557" width="5.81640625" bestFit="1" customWidth="1"/>
    <col min="1558" max="1558" width="6.81640625" bestFit="1" customWidth="1"/>
    <col min="1559" max="1559" width="5.81640625" bestFit="1" customWidth="1"/>
    <col min="1560" max="1560" width="6.81640625" bestFit="1" customWidth="1"/>
    <col min="1561" max="1562" width="5.81640625" bestFit="1" customWidth="1"/>
    <col min="1563" max="1563" width="6.81640625" bestFit="1" customWidth="1"/>
    <col min="1564" max="1564" width="5.81640625" bestFit="1" customWidth="1"/>
    <col min="1565" max="1565" width="6.81640625" bestFit="1" customWidth="1"/>
    <col min="1566" max="1567" width="5.81640625" bestFit="1" customWidth="1"/>
    <col min="1568" max="1569" width="6.81640625" bestFit="1" customWidth="1"/>
    <col min="1570" max="1570" width="4.81640625" bestFit="1" customWidth="1"/>
    <col min="1571" max="1572" width="5.81640625" bestFit="1" customWidth="1"/>
    <col min="1573" max="1573" width="6.81640625" bestFit="1" customWidth="1"/>
    <col min="1574" max="1574" width="5.81640625" bestFit="1" customWidth="1"/>
    <col min="1575" max="1576" width="6.81640625" bestFit="1" customWidth="1"/>
    <col min="1577" max="1577" width="2.81640625" bestFit="1" customWidth="1"/>
    <col min="1578" max="1579" width="6.81640625" bestFit="1" customWidth="1"/>
    <col min="1580" max="1582" width="5.81640625" bestFit="1" customWidth="1"/>
    <col min="1583" max="1583" width="6.81640625" bestFit="1" customWidth="1"/>
    <col min="1584" max="1585" width="5.81640625" bestFit="1" customWidth="1"/>
    <col min="1586" max="1586" width="6.81640625" bestFit="1" customWidth="1"/>
    <col min="1587" max="1587" width="4.81640625" bestFit="1" customWidth="1"/>
    <col min="1588" max="1588" width="5.81640625" bestFit="1" customWidth="1"/>
    <col min="1589" max="1590" width="6.81640625" bestFit="1" customWidth="1"/>
    <col min="1591" max="1591" width="5.81640625" bestFit="1" customWidth="1"/>
    <col min="1592" max="1596" width="6.81640625" bestFit="1" customWidth="1"/>
    <col min="1597" max="1597" width="4.81640625" bestFit="1" customWidth="1"/>
    <col min="1598" max="1599" width="5.81640625" bestFit="1" customWidth="1"/>
    <col min="1600" max="1600" width="6.81640625" bestFit="1" customWidth="1"/>
    <col min="1601" max="1601" width="4.81640625" bestFit="1" customWidth="1"/>
    <col min="1602" max="1603" width="5.81640625" bestFit="1" customWidth="1"/>
    <col min="1604" max="1604" width="2.81640625" bestFit="1" customWidth="1"/>
    <col min="1605" max="1608" width="5.81640625" bestFit="1" customWidth="1"/>
    <col min="1609" max="1609" width="4.81640625" bestFit="1" customWidth="1"/>
    <col min="1610" max="1612" width="5.81640625" bestFit="1" customWidth="1"/>
    <col min="1613" max="1614" width="6.81640625" bestFit="1" customWidth="1"/>
    <col min="1615" max="1615" width="5.81640625" bestFit="1" customWidth="1"/>
    <col min="1616" max="1616" width="6.81640625" bestFit="1" customWidth="1"/>
    <col min="1617" max="1618" width="5.81640625" bestFit="1" customWidth="1"/>
    <col min="1619" max="1620" width="6.81640625" bestFit="1" customWidth="1"/>
    <col min="1621" max="1621" width="5.81640625" bestFit="1" customWidth="1"/>
    <col min="1622" max="1622" width="6.81640625" bestFit="1" customWidth="1"/>
    <col min="1623" max="1624" width="5.81640625" bestFit="1" customWidth="1"/>
    <col min="1625" max="1625" width="6.81640625" bestFit="1" customWidth="1"/>
    <col min="1626" max="1626" width="4.81640625" bestFit="1" customWidth="1"/>
    <col min="1627" max="1627" width="5.81640625" bestFit="1" customWidth="1"/>
    <col min="1628" max="1628" width="6.81640625" bestFit="1" customWidth="1"/>
    <col min="1629" max="1629" width="5.81640625" bestFit="1" customWidth="1"/>
    <col min="1630" max="1630" width="4.81640625" bestFit="1" customWidth="1"/>
    <col min="1631" max="1631" width="6.81640625" bestFit="1" customWidth="1"/>
    <col min="1632" max="1635" width="5.81640625" bestFit="1" customWidth="1"/>
    <col min="1636" max="1636" width="4.81640625" bestFit="1" customWidth="1"/>
    <col min="1637" max="1637" width="6.81640625" bestFit="1" customWidth="1"/>
    <col min="1638" max="1638" width="5.81640625" bestFit="1" customWidth="1"/>
    <col min="1639" max="1639" width="4.81640625" bestFit="1" customWidth="1"/>
    <col min="1640" max="1641" width="6.81640625" bestFit="1" customWidth="1"/>
    <col min="1642" max="1646" width="5.81640625" bestFit="1" customWidth="1"/>
    <col min="1647" max="1647" width="2.81640625" bestFit="1" customWidth="1"/>
    <col min="1648" max="1649" width="6.81640625" bestFit="1" customWidth="1"/>
    <col min="1650" max="1650" width="5.81640625" bestFit="1" customWidth="1"/>
    <col min="1651" max="1651" width="6.81640625" bestFit="1" customWidth="1"/>
    <col min="1652" max="1652" width="5.81640625" bestFit="1" customWidth="1"/>
    <col min="1653" max="1653" width="6.81640625" bestFit="1" customWidth="1"/>
    <col min="1654" max="1655" width="5.81640625" bestFit="1" customWidth="1"/>
    <col min="1656" max="1659" width="6.81640625" bestFit="1" customWidth="1"/>
    <col min="1660" max="1660" width="5.81640625" bestFit="1" customWidth="1"/>
    <col min="1661" max="1661" width="6.81640625" bestFit="1" customWidth="1"/>
    <col min="1662" max="1662" width="4.81640625" bestFit="1" customWidth="1"/>
    <col min="1663" max="1664" width="5.81640625" bestFit="1" customWidth="1"/>
    <col min="1665" max="1665" width="6.81640625" bestFit="1" customWidth="1"/>
    <col min="1666" max="1667" width="5.81640625" bestFit="1" customWidth="1"/>
    <col min="1668" max="1669" width="6.81640625" bestFit="1" customWidth="1"/>
    <col min="1670" max="1670" width="5.81640625" bestFit="1" customWidth="1"/>
    <col min="1671" max="1671" width="6.81640625" bestFit="1" customWidth="1"/>
    <col min="1672" max="1672" width="4.81640625" bestFit="1" customWidth="1"/>
    <col min="1673" max="1674" width="6.81640625" bestFit="1" customWidth="1"/>
    <col min="1675" max="1679" width="5.81640625" bestFit="1" customWidth="1"/>
    <col min="1680" max="1680" width="6.81640625" bestFit="1" customWidth="1"/>
    <col min="1681" max="1681" width="5.81640625" bestFit="1" customWidth="1"/>
    <col min="1682" max="1683" width="6.81640625" bestFit="1" customWidth="1"/>
    <col min="1684" max="1686" width="5.81640625" bestFit="1" customWidth="1"/>
    <col min="1687" max="1688" width="6.81640625" bestFit="1" customWidth="1"/>
    <col min="1689" max="1689" width="5.81640625" bestFit="1" customWidth="1"/>
    <col min="1690" max="1692" width="6.81640625" bestFit="1" customWidth="1"/>
    <col min="1693" max="1693" width="5.81640625" bestFit="1" customWidth="1"/>
    <col min="1694" max="1695" width="6.81640625" bestFit="1" customWidth="1"/>
    <col min="1696" max="1696" width="4.81640625" bestFit="1" customWidth="1"/>
    <col min="1697" max="1697" width="6.81640625" bestFit="1" customWidth="1"/>
    <col min="1698" max="1699" width="5.81640625" bestFit="1" customWidth="1"/>
    <col min="1700" max="1700" width="4.81640625" bestFit="1" customWidth="1"/>
    <col min="1701" max="1701" width="5.81640625" bestFit="1" customWidth="1"/>
    <col min="1702" max="1702" width="4.81640625" bestFit="1" customWidth="1"/>
    <col min="1703" max="1703" width="6.81640625" bestFit="1" customWidth="1"/>
    <col min="1704" max="1705" width="5.81640625" bestFit="1" customWidth="1"/>
    <col min="1706" max="1707" width="6.81640625" bestFit="1" customWidth="1"/>
    <col min="1708" max="1708" width="4.81640625" bestFit="1" customWidth="1"/>
    <col min="1709" max="1710" width="5.81640625" bestFit="1" customWidth="1"/>
    <col min="1711" max="1711" width="6.81640625" bestFit="1" customWidth="1"/>
    <col min="1712" max="1714" width="5.81640625" bestFit="1" customWidth="1"/>
    <col min="1715" max="1717" width="6.81640625" bestFit="1" customWidth="1"/>
    <col min="1718" max="1719" width="5.81640625" bestFit="1" customWidth="1"/>
    <col min="1720" max="1720" width="6.81640625" bestFit="1" customWidth="1"/>
    <col min="1721" max="1721" width="5.81640625" bestFit="1" customWidth="1"/>
    <col min="1722" max="1722" width="6.81640625" bestFit="1" customWidth="1"/>
    <col min="1723" max="1723" width="5.81640625" bestFit="1" customWidth="1"/>
    <col min="1724" max="1725" width="6.81640625" bestFit="1" customWidth="1"/>
    <col min="1726" max="1728" width="5.81640625" bestFit="1" customWidth="1"/>
    <col min="1729" max="1730" width="6.81640625" bestFit="1" customWidth="1"/>
    <col min="1731" max="1731" width="4.81640625" bestFit="1" customWidth="1"/>
    <col min="1732" max="1733" width="6.81640625" bestFit="1" customWidth="1"/>
    <col min="1734" max="1735" width="5.81640625" bestFit="1" customWidth="1"/>
    <col min="1736" max="1736" width="6.81640625" bestFit="1" customWidth="1"/>
    <col min="1737" max="1737" width="5.81640625" bestFit="1" customWidth="1"/>
    <col min="1738" max="1738" width="6.81640625" bestFit="1" customWidth="1"/>
    <col min="1739" max="1739" width="5.81640625" bestFit="1" customWidth="1"/>
    <col min="1740" max="1740" width="4.81640625" bestFit="1" customWidth="1"/>
    <col min="1741" max="1741" width="6.81640625" bestFit="1" customWidth="1"/>
    <col min="1742" max="1743" width="5.81640625" bestFit="1" customWidth="1"/>
    <col min="1744" max="1747" width="6.81640625" bestFit="1" customWidth="1"/>
    <col min="1748" max="1748" width="5.81640625" bestFit="1" customWidth="1"/>
    <col min="1749" max="1749" width="6.81640625" bestFit="1" customWidth="1"/>
    <col min="1750" max="1751" width="5.81640625" bestFit="1" customWidth="1"/>
    <col min="1752" max="1752" width="6.81640625" bestFit="1" customWidth="1"/>
    <col min="1753" max="1753" width="2.81640625" bestFit="1" customWidth="1"/>
    <col min="1754" max="1754" width="5.81640625" bestFit="1" customWidth="1"/>
    <col min="1755" max="1755" width="6.81640625" bestFit="1" customWidth="1"/>
    <col min="1756" max="1756" width="5.81640625" bestFit="1" customWidth="1"/>
    <col min="1757" max="1757" width="6.81640625" bestFit="1" customWidth="1"/>
    <col min="1758" max="1760" width="5.81640625" bestFit="1" customWidth="1"/>
    <col min="1761" max="1761" width="6.81640625" bestFit="1" customWidth="1"/>
    <col min="1762" max="1762" width="5.81640625" bestFit="1" customWidth="1"/>
    <col min="1763" max="1763" width="6.81640625" bestFit="1" customWidth="1"/>
    <col min="1764" max="1765" width="5.81640625" bestFit="1" customWidth="1"/>
    <col min="1766" max="1766" width="6.81640625" bestFit="1" customWidth="1"/>
    <col min="1767" max="1767" width="4.81640625" bestFit="1" customWidth="1"/>
    <col min="1768" max="1770" width="5.81640625" bestFit="1" customWidth="1"/>
    <col min="1771" max="1771" width="6.81640625" bestFit="1" customWidth="1"/>
    <col min="1772" max="1772" width="5.81640625" bestFit="1" customWidth="1"/>
    <col min="1773" max="1774" width="6.81640625" bestFit="1" customWidth="1"/>
    <col min="1775" max="1780" width="5.81640625" bestFit="1" customWidth="1"/>
    <col min="1781" max="1781" width="6.81640625" bestFit="1" customWidth="1"/>
    <col min="1782" max="1782" width="4.81640625" bestFit="1" customWidth="1"/>
    <col min="1783" max="1784" width="5.81640625" bestFit="1" customWidth="1"/>
    <col min="1785" max="1785" width="4.81640625" bestFit="1" customWidth="1"/>
    <col min="1786" max="1793" width="5.81640625" bestFit="1" customWidth="1"/>
    <col min="1794" max="1794" width="6.81640625" bestFit="1" customWidth="1"/>
    <col min="1795" max="1795" width="4.81640625" bestFit="1" customWidth="1"/>
    <col min="1796" max="1796" width="6.81640625" bestFit="1" customWidth="1"/>
    <col min="1797" max="1797" width="5.81640625" bestFit="1" customWidth="1"/>
    <col min="1798" max="1799" width="6.81640625" bestFit="1" customWidth="1"/>
    <col min="1800" max="1801" width="5.81640625" bestFit="1" customWidth="1"/>
    <col min="1802" max="1802" width="6.81640625" bestFit="1" customWidth="1"/>
    <col min="1803" max="1803" width="4.81640625" bestFit="1" customWidth="1"/>
    <col min="1804" max="1805" width="5.81640625" bestFit="1" customWidth="1"/>
    <col min="1806" max="1806" width="4.81640625" bestFit="1" customWidth="1"/>
    <col min="1807" max="1807" width="6.81640625" bestFit="1" customWidth="1"/>
    <col min="1808" max="1809" width="5.81640625" bestFit="1" customWidth="1"/>
    <col min="1810" max="1810" width="4.81640625" bestFit="1" customWidth="1"/>
    <col min="1811" max="1811" width="5.81640625" bestFit="1" customWidth="1"/>
    <col min="1812" max="1812" width="6.81640625" bestFit="1" customWidth="1"/>
    <col min="1813" max="1813" width="5.81640625" bestFit="1" customWidth="1"/>
    <col min="1814" max="1814" width="4.81640625" bestFit="1" customWidth="1"/>
    <col min="1815" max="1819" width="5.81640625" bestFit="1" customWidth="1"/>
    <col min="1820" max="1820" width="4.81640625" bestFit="1" customWidth="1"/>
    <col min="1821" max="1821" width="6.81640625" bestFit="1" customWidth="1"/>
    <col min="1822" max="1823" width="5.81640625" bestFit="1" customWidth="1"/>
    <col min="1824" max="1824" width="6.81640625" bestFit="1" customWidth="1"/>
    <col min="1825" max="1825" width="5.81640625" bestFit="1" customWidth="1"/>
    <col min="1826" max="1826" width="2.81640625" bestFit="1" customWidth="1"/>
    <col min="1827" max="1828" width="6.81640625" bestFit="1" customWidth="1"/>
    <col min="1829" max="1830" width="5.81640625" bestFit="1" customWidth="1"/>
    <col min="1831" max="1831" width="4.81640625" bestFit="1" customWidth="1"/>
    <col min="1832" max="1832" width="5.81640625" bestFit="1" customWidth="1"/>
    <col min="1833" max="1834" width="6.81640625" bestFit="1" customWidth="1"/>
    <col min="1835" max="1835" width="4.81640625" bestFit="1" customWidth="1"/>
    <col min="1836" max="1838" width="6.81640625" bestFit="1" customWidth="1"/>
    <col min="1839" max="1840" width="5.81640625" bestFit="1" customWidth="1"/>
    <col min="1841" max="1841" width="6.81640625" bestFit="1" customWidth="1"/>
    <col min="1842" max="1842" width="5.81640625" bestFit="1" customWidth="1"/>
    <col min="1843" max="1843" width="4.81640625" bestFit="1" customWidth="1"/>
    <col min="1844" max="1844" width="5.81640625" bestFit="1" customWidth="1"/>
    <col min="1845" max="1846" width="6.81640625" bestFit="1" customWidth="1"/>
    <col min="1847" max="1849" width="5.81640625" bestFit="1" customWidth="1"/>
    <col min="1850" max="1850" width="6.81640625" bestFit="1" customWidth="1"/>
    <col min="1851" max="1851" width="5.81640625" bestFit="1" customWidth="1"/>
    <col min="1852" max="1853" width="6.81640625" bestFit="1" customWidth="1"/>
    <col min="1854" max="1854" width="5.81640625" bestFit="1" customWidth="1"/>
    <col min="1855" max="1856" width="6.81640625" bestFit="1" customWidth="1"/>
    <col min="1857" max="1857" width="5.81640625" bestFit="1" customWidth="1"/>
    <col min="1858" max="1858" width="6.81640625" bestFit="1" customWidth="1"/>
    <col min="1859" max="1862" width="5.81640625" bestFit="1" customWidth="1"/>
    <col min="1863" max="1863" width="6.81640625" bestFit="1" customWidth="1"/>
    <col min="1864" max="1866" width="5.81640625" bestFit="1" customWidth="1"/>
    <col min="1867" max="1867" width="6.81640625" bestFit="1" customWidth="1"/>
    <col min="1868" max="1868" width="2.81640625" bestFit="1" customWidth="1"/>
    <col min="1869" max="1872" width="6.81640625" bestFit="1" customWidth="1"/>
    <col min="1873" max="1875" width="5.81640625" bestFit="1" customWidth="1"/>
    <col min="1876" max="1876" width="6.81640625" bestFit="1" customWidth="1"/>
    <col min="1877" max="1877" width="5.81640625" bestFit="1" customWidth="1"/>
    <col min="1878" max="1879" width="6.81640625" bestFit="1" customWidth="1"/>
    <col min="1880" max="1880" width="5.81640625" bestFit="1" customWidth="1"/>
    <col min="1881" max="1881" width="4.81640625" bestFit="1" customWidth="1"/>
    <col min="1882" max="1884" width="5.81640625" bestFit="1" customWidth="1"/>
    <col min="1885" max="1885" width="6.81640625" bestFit="1" customWidth="1"/>
    <col min="1886" max="1886" width="5.81640625" bestFit="1" customWidth="1"/>
    <col min="1887" max="1887" width="4.81640625" bestFit="1" customWidth="1"/>
    <col min="1888" max="1888" width="6.81640625" bestFit="1" customWidth="1"/>
    <col min="1889" max="1889" width="5.81640625" bestFit="1" customWidth="1"/>
    <col min="1890" max="1893" width="6.81640625" bestFit="1" customWidth="1"/>
    <col min="1894" max="1894" width="5.81640625" bestFit="1" customWidth="1"/>
    <col min="1895" max="1895" width="6.81640625" bestFit="1" customWidth="1"/>
    <col min="1896" max="1897" width="5.81640625" bestFit="1" customWidth="1"/>
    <col min="1898" max="1898" width="2.81640625" bestFit="1" customWidth="1"/>
    <col min="1899" max="1899" width="6.81640625" bestFit="1" customWidth="1"/>
    <col min="1900" max="1900" width="5.81640625" bestFit="1" customWidth="1"/>
    <col min="1901" max="1901" width="6.81640625" bestFit="1" customWidth="1"/>
    <col min="1902" max="1902" width="5.81640625" bestFit="1" customWidth="1"/>
    <col min="1903" max="1903" width="4.81640625" bestFit="1" customWidth="1"/>
    <col min="1904" max="1905" width="6.81640625" bestFit="1" customWidth="1"/>
    <col min="1906" max="1906" width="5.81640625" bestFit="1" customWidth="1"/>
    <col min="1907" max="1907" width="6.81640625" bestFit="1" customWidth="1"/>
    <col min="1908" max="1908" width="4.81640625" bestFit="1" customWidth="1"/>
    <col min="1909" max="1909" width="6.81640625" bestFit="1" customWidth="1"/>
    <col min="1910" max="1910" width="5.81640625" bestFit="1" customWidth="1"/>
    <col min="1911" max="1912" width="6.81640625" bestFit="1" customWidth="1"/>
    <col min="1913" max="1913" width="4.81640625" bestFit="1" customWidth="1"/>
    <col min="1914" max="1915" width="6.81640625" bestFit="1" customWidth="1"/>
    <col min="1916" max="1916" width="5.81640625" bestFit="1" customWidth="1"/>
    <col min="1917" max="1917" width="6.81640625" bestFit="1" customWidth="1"/>
    <col min="1918" max="1919" width="5.81640625" bestFit="1" customWidth="1"/>
    <col min="1920" max="1920" width="4.81640625" bestFit="1" customWidth="1"/>
    <col min="1921" max="1921" width="6.81640625" bestFit="1" customWidth="1"/>
    <col min="1922" max="1924" width="5.81640625" bestFit="1" customWidth="1"/>
    <col min="1925" max="1925" width="6.81640625" bestFit="1" customWidth="1"/>
    <col min="1926" max="1926" width="5.81640625" bestFit="1" customWidth="1"/>
    <col min="1927" max="1927" width="6.81640625" bestFit="1" customWidth="1"/>
    <col min="1928" max="1929" width="5.81640625" bestFit="1" customWidth="1"/>
    <col min="1930" max="1930" width="6.81640625" bestFit="1" customWidth="1"/>
    <col min="1931" max="1933" width="5.81640625" bestFit="1" customWidth="1"/>
    <col min="1934" max="1934" width="6.81640625" bestFit="1" customWidth="1"/>
    <col min="1935" max="1936" width="5.81640625" bestFit="1" customWidth="1"/>
    <col min="1937" max="1938" width="6.81640625" bestFit="1" customWidth="1"/>
    <col min="1939" max="1942" width="5.81640625" bestFit="1" customWidth="1"/>
    <col min="1943" max="1944" width="6.81640625" bestFit="1" customWidth="1"/>
    <col min="1945" max="1947" width="5.81640625" bestFit="1" customWidth="1"/>
    <col min="1948" max="1950" width="6.81640625" bestFit="1" customWidth="1"/>
    <col min="1951" max="1951" width="5.81640625" bestFit="1" customWidth="1"/>
    <col min="1952" max="1952" width="4.81640625" bestFit="1" customWidth="1"/>
    <col min="1953" max="1954" width="5.81640625" bestFit="1" customWidth="1"/>
    <col min="1955" max="1955" width="6.81640625" bestFit="1" customWidth="1"/>
    <col min="1956" max="1956" width="5.81640625" bestFit="1" customWidth="1"/>
    <col min="1957" max="1957" width="6.81640625" bestFit="1" customWidth="1"/>
    <col min="1958" max="1958" width="5.81640625" bestFit="1" customWidth="1"/>
    <col min="1959" max="1959" width="4.81640625" bestFit="1" customWidth="1"/>
    <col min="1960" max="1960" width="5.81640625" bestFit="1" customWidth="1"/>
    <col min="1961" max="1961" width="6.81640625" bestFit="1" customWidth="1"/>
    <col min="1962" max="1962" width="2.81640625" bestFit="1" customWidth="1"/>
    <col min="1963" max="1963" width="6.81640625" bestFit="1" customWidth="1"/>
    <col min="1964" max="1964" width="5.81640625" bestFit="1" customWidth="1"/>
    <col min="1965" max="1967" width="6.81640625" bestFit="1" customWidth="1"/>
    <col min="1968" max="1968" width="5.81640625" bestFit="1" customWidth="1"/>
    <col min="1969" max="1970" width="6.81640625" bestFit="1" customWidth="1"/>
    <col min="1971" max="1971" width="5.81640625" bestFit="1" customWidth="1"/>
    <col min="1972" max="1975" width="6.81640625" bestFit="1" customWidth="1"/>
    <col min="1976" max="1979" width="5.81640625" bestFit="1" customWidth="1"/>
    <col min="1980" max="1981" width="6.81640625" bestFit="1" customWidth="1"/>
    <col min="1982" max="1982" width="5.81640625" bestFit="1" customWidth="1"/>
    <col min="1983" max="1984" width="6.81640625" bestFit="1" customWidth="1"/>
    <col min="1985" max="1985" width="5.81640625" bestFit="1" customWidth="1"/>
    <col min="1986" max="1986" width="4.81640625" bestFit="1" customWidth="1"/>
    <col min="1987" max="1987" width="5.81640625" bestFit="1" customWidth="1"/>
    <col min="1988" max="1988" width="6.81640625" bestFit="1" customWidth="1"/>
    <col min="1989" max="1990" width="5.81640625" bestFit="1" customWidth="1"/>
    <col min="1991" max="1991" width="6.81640625" bestFit="1" customWidth="1"/>
    <col min="1992" max="1992" width="5.81640625" bestFit="1" customWidth="1"/>
    <col min="1993" max="1993" width="6.81640625" bestFit="1" customWidth="1"/>
    <col min="1994" max="1994" width="2.81640625" bestFit="1" customWidth="1"/>
    <col min="1995" max="1995" width="6.81640625" bestFit="1" customWidth="1"/>
    <col min="1996" max="1997" width="5.81640625" bestFit="1" customWidth="1"/>
    <col min="1998" max="1998" width="6.81640625" bestFit="1" customWidth="1"/>
    <col min="1999" max="1999" width="5.81640625" bestFit="1" customWidth="1"/>
    <col min="2000" max="2000" width="6.81640625" bestFit="1" customWidth="1"/>
    <col min="2001" max="2001" width="4.81640625" bestFit="1" customWidth="1"/>
    <col min="2002" max="2002" width="5.81640625" bestFit="1" customWidth="1"/>
    <col min="2003" max="2003" width="6.81640625" bestFit="1" customWidth="1"/>
    <col min="2004" max="2004" width="5.81640625" bestFit="1" customWidth="1"/>
    <col min="2005" max="2005" width="4.81640625" bestFit="1" customWidth="1"/>
    <col min="2006" max="2011" width="5.81640625" bestFit="1" customWidth="1"/>
    <col min="2012" max="2012" width="6.81640625" bestFit="1" customWidth="1"/>
    <col min="2013" max="2014" width="5.81640625" bestFit="1" customWidth="1"/>
    <col min="2015" max="2015" width="4.81640625" bestFit="1" customWidth="1"/>
    <col min="2016" max="2017" width="6.81640625" bestFit="1" customWidth="1"/>
    <col min="2018" max="2018" width="5.81640625" bestFit="1" customWidth="1"/>
    <col min="2019" max="2021" width="6.81640625" bestFit="1" customWidth="1"/>
    <col min="2022" max="2023" width="5.81640625" bestFit="1" customWidth="1"/>
    <col min="2024" max="2024" width="6.81640625" bestFit="1" customWidth="1"/>
    <col min="2025" max="2030" width="5.81640625" bestFit="1" customWidth="1"/>
    <col min="2031" max="2031" width="6.81640625" bestFit="1" customWidth="1"/>
    <col min="2032" max="2032" width="5.81640625" bestFit="1" customWidth="1"/>
    <col min="2033" max="2033" width="6.81640625" bestFit="1" customWidth="1"/>
    <col min="2034" max="2035" width="5.81640625" bestFit="1" customWidth="1"/>
    <col min="2036" max="2036" width="6.81640625" bestFit="1" customWidth="1"/>
    <col min="2037" max="2037" width="4.81640625" bestFit="1" customWidth="1"/>
    <col min="2038" max="2039" width="6.81640625" bestFit="1" customWidth="1"/>
    <col min="2040" max="2040" width="5.81640625" bestFit="1" customWidth="1"/>
    <col min="2041" max="2043" width="6.81640625" bestFit="1" customWidth="1"/>
    <col min="2044" max="2045" width="4.81640625" bestFit="1" customWidth="1"/>
    <col min="2046" max="2049" width="5.81640625" bestFit="1" customWidth="1"/>
    <col min="2050" max="2050" width="4.81640625" bestFit="1" customWidth="1"/>
    <col min="2051" max="2051" width="6.81640625" bestFit="1" customWidth="1"/>
    <col min="2052" max="2055" width="5.81640625" bestFit="1" customWidth="1"/>
    <col min="2056" max="2056" width="6.81640625" bestFit="1" customWidth="1"/>
    <col min="2057" max="2057" width="5.81640625" bestFit="1" customWidth="1"/>
    <col min="2058" max="2060" width="6.81640625" bestFit="1" customWidth="1"/>
    <col min="2061" max="2062" width="5.81640625" bestFit="1" customWidth="1"/>
    <col min="2063" max="2065" width="6.81640625" bestFit="1" customWidth="1"/>
    <col min="2066" max="2066" width="4.81640625" bestFit="1" customWidth="1"/>
    <col min="2067" max="2068" width="6.81640625" bestFit="1" customWidth="1"/>
    <col min="2069" max="2070" width="5.81640625" bestFit="1" customWidth="1"/>
    <col min="2071" max="2071" width="6.81640625" bestFit="1" customWidth="1"/>
    <col min="2072" max="2072" width="4.81640625" bestFit="1" customWidth="1"/>
    <col min="2073" max="2076" width="5.81640625" bestFit="1" customWidth="1"/>
    <col min="2077" max="2077" width="6.81640625" bestFit="1" customWidth="1"/>
    <col min="2078" max="2078" width="2.81640625" bestFit="1" customWidth="1"/>
    <col min="2079" max="2080" width="5.81640625" bestFit="1" customWidth="1"/>
    <col min="2081" max="2081" width="6.81640625" bestFit="1" customWidth="1"/>
    <col min="2082" max="2082" width="4.81640625" bestFit="1" customWidth="1"/>
    <col min="2083" max="2084" width="5.81640625" bestFit="1" customWidth="1"/>
    <col min="2085" max="2086" width="6.81640625" bestFit="1" customWidth="1"/>
    <col min="2087" max="2089" width="5.81640625" bestFit="1" customWidth="1"/>
    <col min="2090" max="2090" width="6.81640625" bestFit="1" customWidth="1"/>
    <col min="2091" max="2092" width="5.81640625" bestFit="1" customWidth="1"/>
    <col min="2093" max="2093" width="6.81640625" bestFit="1" customWidth="1"/>
    <col min="2094" max="2095" width="5.81640625" bestFit="1" customWidth="1"/>
    <col min="2096" max="2096" width="4.81640625" bestFit="1" customWidth="1"/>
    <col min="2097" max="2097" width="6.81640625" bestFit="1" customWidth="1"/>
    <col min="2098" max="2099" width="5.81640625" bestFit="1" customWidth="1"/>
    <col min="2100" max="2100" width="6.81640625" bestFit="1" customWidth="1"/>
    <col min="2101" max="2101" width="4.81640625" bestFit="1" customWidth="1"/>
    <col min="2102" max="2102" width="5.81640625" bestFit="1" customWidth="1"/>
    <col min="2103" max="2104" width="4.81640625" bestFit="1" customWidth="1"/>
    <col min="2105" max="2105" width="5.81640625" bestFit="1" customWidth="1"/>
    <col min="2106" max="2106" width="6.81640625" bestFit="1" customWidth="1"/>
    <col min="2107" max="2107" width="5.81640625" bestFit="1" customWidth="1"/>
    <col min="2108" max="2108" width="6.81640625" bestFit="1" customWidth="1"/>
    <col min="2109" max="2111" width="5.81640625" bestFit="1" customWidth="1"/>
    <col min="2112" max="2112" width="4.81640625" bestFit="1" customWidth="1"/>
    <col min="2113" max="2115" width="6.81640625" bestFit="1" customWidth="1"/>
    <col min="2116" max="2116" width="4.81640625" bestFit="1" customWidth="1"/>
    <col min="2117" max="2117" width="6.81640625" bestFit="1" customWidth="1"/>
    <col min="2118" max="2120" width="5.81640625" bestFit="1" customWidth="1"/>
    <col min="2121" max="2122" width="6.81640625" bestFit="1" customWidth="1"/>
    <col min="2123" max="2124" width="5.81640625" bestFit="1" customWidth="1"/>
    <col min="2125" max="2125" width="6.81640625" bestFit="1" customWidth="1"/>
    <col min="2126" max="2127" width="5.81640625" bestFit="1" customWidth="1"/>
    <col min="2128" max="2129" width="6.81640625" bestFit="1" customWidth="1"/>
    <col min="2130" max="2133" width="5.81640625" bestFit="1" customWidth="1"/>
    <col min="2134" max="2134" width="2.81640625" bestFit="1" customWidth="1"/>
    <col min="2135" max="2135" width="5.81640625" bestFit="1" customWidth="1"/>
    <col min="2136" max="2136" width="6.81640625" bestFit="1" customWidth="1"/>
    <col min="2137" max="2137" width="5.81640625" bestFit="1" customWidth="1"/>
    <col min="2138" max="2138" width="6.81640625" bestFit="1" customWidth="1"/>
    <col min="2139" max="2139" width="5.81640625" bestFit="1" customWidth="1"/>
    <col min="2140" max="2140" width="6.81640625" bestFit="1" customWidth="1"/>
    <col min="2141" max="2142" width="5.81640625" bestFit="1" customWidth="1"/>
    <col min="2143" max="2143" width="4.81640625" bestFit="1" customWidth="1"/>
    <col min="2144" max="2144" width="6.81640625" bestFit="1" customWidth="1"/>
    <col min="2145" max="2145" width="5.81640625" bestFit="1" customWidth="1"/>
    <col min="2146" max="2148" width="6.81640625" bestFit="1" customWidth="1"/>
    <col min="2149" max="2150" width="5.81640625" bestFit="1" customWidth="1"/>
    <col min="2151" max="2151" width="6.81640625" bestFit="1" customWidth="1"/>
    <col min="2152" max="2153" width="5.81640625" bestFit="1" customWidth="1"/>
    <col min="2154" max="2155" width="6.81640625" bestFit="1" customWidth="1"/>
    <col min="2156" max="2159" width="5.81640625" bestFit="1" customWidth="1"/>
    <col min="2160" max="2160" width="2.81640625" bestFit="1" customWidth="1"/>
    <col min="2161" max="2161" width="6.81640625" bestFit="1" customWidth="1"/>
    <col min="2162" max="2162" width="4.81640625" bestFit="1" customWidth="1"/>
    <col min="2163" max="2165" width="5.81640625" bestFit="1" customWidth="1"/>
    <col min="2166" max="2166" width="6.81640625" bestFit="1" customWidth="1"/>
    <col min="2167" max="2168" width="5.81640625" bestFit="1" customWidth="1"/>
    <col min="2169" max="2169" width="6.81640625" bestFit="1" customWidth="1"/>
    <col min="2170" max="2173" width="5.81640625" bestFit="1" customWidth="1"/>
    <col min="2174" max="2175" width="6.81640625" bestFit="1" customWidth="1"/>
    <col min="2176" max="2178" width="5.81640625" bestFit="1" customWidth="1"/>
    <col min="2179" max="2179" width="4.81640625" bestFit="1" customWidth="1"/>
    <col min="2180" max="2180" width="5.81640625" bestFit="1" customWidth="1"/>
    <col min="2181" max="2182" width="6.81640625" bestFit="1" customWidth="1"/>
    <col min="2183" max="2183" width="4.81640625" bestFit="1" customWidth="1"/>
    <col min="2184" max="2190" width="5.81640625" bestFit="1" customWidth="1"/>
    <col min="2191" max="2191" width="6.81640625" bestFit="1" customWidth="1"/>
    <col min="2192" max="2192" width="4.81640625" bestFit="1" customWidth="1"/>
    <col min="2193" max="2194" width="5.81640625" bestFit="1" customWidth="1"/>
    <col min="2195" max="2195" width="4.81640625" bestFit="1" customWidth="1"/>
    <col min="2196" max="2197" width="6.81640625" bestFit="1" customWidth="1"/>
    <col min="2198" max="2199" width="5.81640625" bestFit="1" customWidth="1"/>
    <col min="2200" max="2202" width="6.81640625" bestFit="1" customWidth="1"/>
    <col min="2203" max="2203" width="5.81640625" bestFit="1" customWidth="1"/>
    <col min="2204" max="2204" width="6.81640625" bestFit="1" customWidth="1"/>
    <col min="2205" max="2206" width="5.81640625" bestFit="1" customWidth="1"/>
    <col min="2207" max="2207" width="4.81640625" bestFit="1" customWidth="1"/>
    <col min="2208" max="2208" width="6.81640625" bestFit="1" customWidth="1"/>
    <col min="2209" max="2210" width="5.81640625" bestFit="1" customWidth="1"/>
    <col min="2211" max="2211" width="6.81640625" bestFit="1" customWidth="1"/>
    <col min="2212" max="2212" width="5.81640625" bestFit="1" customWidth="1"/>
    <col min="2213" max="2213" width="6.81640625" bestFit="1" customWidth="1"/>
    <col min="2214" max="2214" width="5.81640625" bestFit="1" customWidth="1"/>
    <col min="2215" max="2215" width="6.81640625" bestFit="1" customWidth="1"/>
    <col min="2216" max="2216" width="5.81640625" bestFit="1" customWidth="1"/>
    <col min="2217" max="2219" width="6.81640625" bestFit="1" customWidth="1"/>
    <col min="2220" max="2221" width="5.81640625" bestFit="1" customWidth="1"/>
    <col min="2222" max="2222" width="4.81640625" bestFit="1" customWidth="1"/>
    <col min="2223" max="2223" width="5.81640625" bestFit="1" customWidth="1"/>
    <col min="2224" max="2224" width="6.81640625" bestFit="1" customWidth="1"/>
    <col min="2225" max="2225" width="5.81640625" bestFit="1" customWidth="1"/>
    <col min="2226" max="2226" width="6.81640625" bestFit="1" customWidth="1"/>
    <col min="2227" max="2227" width="5.81640625" bestFit="1" customWidth="1"/>
    <col min="2228" max="2229" width="6.81640625" bestFit="1" customWidth="1"/>
    <col min="2230" max="2230" width="5.81640625" bestFit="1" customWidth="1"/>
    <col min="2231" max="2231" width="6.81640625" bestFit="1" customWidth="1"/>
    <col min="2232" max="2232" width="5.81640625" bestFit="1" customWidth="1"/>
    <col min="2233" max="2234" width="6.81640625" bestFit="1" customWidth="1"/>
    <col min="2235" max="2235" width="5.81640625" bestFit="1" customWidth="1"/>
    <col min="2236" max="2236" width="6.81640625" bestFit="1" customWidth="1"/>
    <col min="2237" max="2237" width="5.81640625" bestFit="1" customWidth="1"/>
    <col min="2238" max="2238" width="6.81640625" bestFit="1" customWidth="1"/>
    <col min="2239" max="2240" width="5.81640625" bestFit="1" customWidth="1"/>
    <col min="2241" max="2241" width="6.81640625" bestFit="1" customWidth="1"/>
    <col min="2242" max="2242" width="4.81640625" bestFit="1" customWidth="1"/>
    <col min="2243" max="2244" width="5.81640625" bestFit="1" customWidth="1"/>
    <col min="2245" max="2245" width="6.81640625" bestFit="1" customWidth="1"/>
    <col min="2246" max="2248" width="5.81640625" bestFit="1" customWidth="1"/>
    <col min="2249" max="2249" width="6.81640625" bestFit="1" customWidth="1"/>
    <col min="2250" max="2250" width="5.81640625" bestFit="1" customWidth="1"/>
    <col min="2251" max="2251" width="4.81640625" bestFit="1" customWidth="1"/>
    <col min="2252" max="2252" width="5.81640625" bestFit="1" customWidth="1"/>
    <col min="2253" max="2253" width="6.81640625" bestFit="1" customWidth="1"/>
    <col min="2254" max="2254" width="5.81640625" bestFit="1" customWidth="1"/>
    <col min="2255" max="2257" width="6.81640625" bestFit="1" customWidth="1"/>
    <col min="2258" max="2259" width="5.81640625" bestFit="1" customWidth="1"/>
    <col min="2260" max="2261" width="6.81640625" bestFit="1" customWidth="1"/>
    <col min="2262" max="2263" width="5.81640625" bestFit="1" customWidth="1"/>
    <col min="2264" max="2264" width="2.81640625" bestFit="1" customWidth="1"/>
    <col min="2265" max="2265" width="5.81640625" bestFit="1" customWidth="1"/>
    <col min="2266" max="2266" width="6.81640625" bestFit="1" customWidth="1"/>
    <col min="2267" max="2267" width="5.81640625" bestFit="1" customWidth="1"/>
    <col min="2268" max="2268" width="6.81640625" bestFit="1" customWidth="1"/>
    <col min="2269" max="2269" width="5.81640625" bestFit="1" customWidth="1"/>
    <col min="2270" max="2271" width="6.81640625" bestFit="1" customWidth="1"/>
    <col min="2272" max="2272" width="4.81640625" bestFit="1" customWidth="1"/>
    <col min="2273" max="2275" width="6.81640625" bestFit="1" customWidth="1"/>
    <col min="2276" max="2276" width="4.81640625" bestFit="1" customWidth="1"/>
    <col min="2277" max="2280" width="5.81640625" bestFit="1" customWidth="1"/>
    <col min="2281" max="2283" width="6.81640625" bestFit="1" customWidth="1"/>
    <col min="2284" max="2284" width="5.81640625" bestFit="1" customWidth="1"/>
    <col min="2285" max="2289" width="6.81640625" bestFit="1" customWidth="1"/>
    <col min="2290" max="2290" width="5.81640625" bestFit="1" customWidth="1"/>
    <col min="2291" max="2291" width="6.81640625" bestFit="1" customWidth="1"/>
    <col min="2292" max="2294" width="5.81640625" bestFit="1" customWidth="1"/>
    <col min="2295" max="2297" width="6.81640625" bestFit="1" customWidth="1"/>
    <col min="2298" max="2298" width="5.81640625" bestFit="1" customWidth="1"/>
    <col min="2299" max="2299" width="6.81640625" bestFit="1" customWidth="1"/>
    <col min="2300" max="2300" width="4.81640625" bestFit="1" customWidth="1"/>
    <col min="2301" max="2301" width="5.81640625" bestFit="1" customWidth="1"/>
    <col min="2302" max="2302" width="6.81640625" bestFit="1" customWidth="1"/>
    <col min="2303" max="2303" width="4.81640625" bestFit="1" customWidth="1"/>
    <col min="2304" max="2305" width="5.81640625" bestFit="1" customWidth="1"/>
    <col min="2306" max="2306" width="6.81640625" bestFit="1" customWidth="1"/>
    <col min="2307" max="2307" width="5.81640625" bestFit="1" customWidth="1"/>
    <col min="2308" max="2308" width="6.81640625" bestFit="1" customWidth="1"/>
    <col min="2309" max="2309" width="2.81640625" bestFit="1" customWidth="1"/>
    <col min="2310" max="2312" width="6.81640625" bestFit="1" customWidth="1"/>
    <col min="2313" max="2313" width="4.81640625" bestFit="1" customWidth="1"/>
    <col min="2314" max="2314" width="6.81640625" bestFit="1" customWidth="1"/>
    <col min="2315" max="2316" width="5.81640625" bestFit="1" customWidth="1"/>
    <col min="2317" max="2317" width="4.81640625" bestFit="1" customWidth="1"/>
    <col min="2318" max="2318" width="6.81640625" bestFit="1" customWidth="1"/>
    <col min="2319" max="2319" width="5.81640625" bestFit="1" customWidth="1"/>
    <col min="2320" max="2321" width="6.81640625" bestFit="1" customWidth="1"/>
    <col min="2322" max="2324" width="5.81640625" bestFit="1" customWidth="1"/>
    <col min="2325" max="2325" width="6.81640625" bestFit="1" customWidth="1"/>
    <col min="2326" max="2326" width="5.81640625" bestFit="1" customWidth="1"/>
    <col min="2327" max="2328" width="6.81640625" bestFit="1" customWidth="1"/>
    <col min="2329" max="2332" width="5.81640625" bestFit="1" customWidth="1"/>
    <col min="2333" max="2333" width="6.81640625" bestFit="1" customWidth="1"/>
    <col min="2334" max="2334" width="4.81640625" bestFit="1" customWidth="1"/>
    <col min="2335" max="2335" width="6.81640625" bestFit="1" customWidth="1"/>
    <col min="2336" max="2336" width="5.81640625" bestFit="1" customWidth="1"/>
    <col min="2337" max="2337" width="6.81640625" bestFit="1" customWidth="1"/>
    <col min="2338" max="2338" width="5.81640625" bestFit="1" customWidth="1"/>
    <col min="2339" max="2339" width="6.81640625" bestFit="1" customWidth="1"/>
    <col min="2340" max="2340" width="4.81640625" bestFit="1" customWidth="1"/>
    <col min="2341" max="2342" width="6.81640625" bestFit="1" customWidth="1"/>
    <col min="2343" max="2343" width="4.81640625" bestFit="1" customWidth="1"/>
    <col min="2344" max="2346" width="5.81640625" bestFit="1" customWidth="1"/>
    <col min="2347" max="2347" width="4.81640625" bestFit="1" customWidth="1"/>
    <col min="2348" max="2349" width="5.81640625" bestFit="1" customWidth="1"/>
    <col min="2350" max="2350" width="6.81640625" bestFit="1" customWidth="1"/>
    <col min="2351" max="2351" width="5.81640625" bestFit="1" customWidth="1"/>
    <col min="2352" max="2356" width="6.81640625" bestFit="1" customWidth="1"/>
    <col min="2357" max="2357" width="5.81640625" bestFit="1" customWidth="1"/>
    <col min="2358" max="2360" width="6.81640625" bestFit="1" customWidth="1"/>
    <col min="2361" max="2361" width="5.81640625" bestFit="1" customWidth="1"/>
    <col min="2362" max="2362" width="4.81640625" bestFit="1" customWidth="1"/>
    <col min="2363" max="2363" width="6.81640625" bestFit="1" customWidth="1"/>
    <col min="2364" max="2364" width="5.81640625" bestFit="1" customWidth="1"/>
    <col min="2365" max="2369" width="6.81640625" bestFit="1" customWidth="1"/>
    <col min="2370" max="2370" width="4.81640625" bestFit="1" customWidth="1"/>
    <col min="2371" max="2372" width="5.81640625" bestFit="1" customWidth="1"/>
    <col min="2373" max="2378" width="6.81640625" bestFit="1" customWidth="1"/>
    <col min="2379" max="2379" width="4.81640625" bestFit="1" customWidth="1"/>
    <col min="2380" max="2380" width="6.81640625" bestFit="1" customWidth="1"/>
    <col min="2381" max="2381" width="5.81640625" bestFit="1" customWidth="1"/>
    <col min="2382" max="2382" width="6.81640625" bestFit="1" customWidth="1"/>
    <col min="2383" max="2385" width="5.81640625" bestFit="1" customWidth="1"/>
    <col min="2386" max="2386" width="4.81640625" bestFit="1" customWidth="1"/>
    <col min="2387" max="2387" width="6.81640625" bestFit="1" customWidth="1"/>
    <col min="2388" max="2388" width="4.81640625" bestFit="1" customWidth="1"/>
    <col min="2389" max="2389" width="6.81640625" bestFit="1" customWidth="1"/>
    <col min="2390" max="2392" width="5.81640625" bestFit="1" customWidth="1"/>
    <col min="2393" max="2395" width="6.81640625" bestFit="1" customWidth="1"/>
    <col min="2396" max="2396" width="5.81640625" bestFit="1" customWidth="1"/>
    <col min="2397" max="2399" width="6.81640625" bestFit="1" customWidth="1"/>
    <col min="2400" max="2402" width="5.81640625" bestFit="1" customWidth="1"/>
    <col min="2403" max="2403" width="4.81640625" bestFit="1" customWidth="1"/>
    <col min="2404" max="2404" width="6.81640625" bestFit="1" customWidth="1"/>
    <col min="2405" max="2405" width="4.81640625" bestFit="1" customWidth="1"/>
    <col min="2406" max="2408" width="5.81640625" bestFit="1" customWidth="1"/>
    <col min="2409" max="2409" width="6.81640625" bestFit="1" customWidth="1"/>
    <col min="2410" max="2410" width="5.81640625" bestFit="1" customWidth="1"/>
    <col min="2411" max="2411" width="6.81640625" bestFit="1" customWidth="1"/>
    <col min="2412" max="2412" width="4.81640625" bestFit="1" customWidth="1"/>
    <col min="2413" max="2414" width="6.81640625" bestFit="1" customWidth="1"/>
    <col min="2415" max="2421" width="5.81640625" bestFit="1" customWidth="1"/>
    <col min="2422" max="2422" width="4.81640625" bestFit="1" customWidth="1"/>
    <col min="2423" max="2423" width="6.81640625" bestFit="1" customWidth="1"/>
    <col min="2424" max="2424" width="5.81640625" bestFit="1" customWidth="1"/>
    <col min="2425" max="2430" width="6.81640625" bestFit="1" customWidth="1"/>
    <col min="2431" max="2433" width="5.81640625" bestFit="1" customWidth="1"/>
    <col min="2434" max="2434" width="4.81640625" bestFit="1" customWidth="1"/>
    <col min="2435" max="2438" width="5.81640625" bestFit="1" customWidth="1"/>
    <col min="2439" max="2439" width="6.81640625" bestFit="1" customWidth="1"/>
    <col min="2440" max="2440" width="5.81640625" bestFit="1" customWidth="1"/>
    <col min="2441" max="2441" width="4.81640625" bestFit="1" customWidth="1"/>
    <col min="2442" max="2442" width="5.81640625" bestFit="1" customWidth="1"/>
    <col min="2443" max="2443" width="6.81640625" bestFit="1" customWidth="1"/>
    <col min="2444" max="2446" width="5.81640625" bestFit="1" customWidth="1"/>
    <col min="2447" max="2447" width="6.81640625" bestFit="1" customWidth="1"/>
    <col min="2448" max="2448" width="5.81640625" bestFit="1" customWidth="1"/>
    <col min="2449" max="2451" width="6.81640625" bestFit="1" customWidth="1"/>
    <col min="2452" max="2456" width="5.81640625" bestFit="1" customWidth="1"/>
    <col min="2457" max="2457" width="6.81640625" bestFit="1" customWidth="1"/>
    <col min="2458" max="2458" width="4.81640625" bestFit="1" customWidth="1"/>
    <col min="2459" max="2459" width="6.81640625" bestFit="1" customWidth="1"/>
    <col min="2460" max="2460" width="4.81640625" bestFit="1" customWidth="1"/>
    <col min="2461" max="2463" width="5.81640625" bestFit="1" customWidth="1"/>
    <col min="2464" max="2464" width="4.81640625" bestFit="1" customWidth="1"/>
    <col min="2465" max="2466" width="6.81640625" bestFit="1" customWidth="1"/>
    <col min="2467" max="2467" width="5.81640625" bestFit="1" customWidth="1"/>
    <col min="2468" max="2468" width="6.81640625" bestFit="1" customWidth="1"/>
    <col min="2469" max="2469" width="4.81640625" bestFit="1" customWidth="1"/>
    <col min="2470" max="2471" width="6.81640625" bestFit="1" customWidth="1"/>
    <col min="2472" max="2475" width="5.81640625" bestFit="1" customWidth="1"/>
    <col min="2476" max="2476" width="6.81640625" bestFit="1" customWidth="1"/>
    <col min="2477" max="2478" width="5.81640625" bestFit="1" customWidth="1"/>
    <col min="2479" max="2480" width="6.81640625" bestFit="1" customWidth="1"/>
    <col min="2481" max="2481" width="5.81640625" bestFit="1" customWidth="1"/>
    <col min="2482" max="2484" width="6.81640625" bestFit="1" customWidth="1"/>
    <col min="2485" max="2485" width="5.81640625" bestFit="1" customWidth="1"/>
    <col min="2486" max="2486" width="6.81640625" bestFit="1" customWidth="1"/>
    <col min="2487" max="2487" width="5.81640625" bestFit="1" customWidth="1"/>
    <col min="2488" max="2488" width="4.81640625" bestFit="1" customWidth="1"/>
    <col min="2489" max="2489" width="5.81640625" bestFit="1" customWidth="1"/>
    <col min="2490" max="2490" width="6.81640625" bestFit="1" customWidth="1"/>
    <col min="2491" max="2492" width="5.81640625" bestFit="1" customWidth="1"/>
    <col min="2493" max="2493" width="6.81640625" bestFit="1" customWidth="1"/>
    <col min="2494" max="2494" width="5.81640625" bestFit="1" customWidth="1"/>
    <col min="2495" max="2495" width="6.81640625" bestFit="1" customWidth="1"/>
    <col min="2496" max="2498" width="5.81640625" bestFit="1" customWidth="1"/>
    <col min="2499" max="2499" width="6.81640625" bestFit="1" customWidth="1"/>
    <col min="2500" max="2500" width="5.81640625" bestFit="1" customWidth="1"/>
    <col min="2501" max="2501" width="6.81640625" bestFit="1" customWidth="1"/>
    <col min="2502" max="2502" width="2.81640625" bestFit="1" customWidth="1"/>
    <col min="2503" max="2505" width="5.81640625" bestFit="1" customWidth="1"/>
    <col min="2506" max="2506" width="4.81640625" bestFit="1" customWidth="1"/>
    <col min="2507" max="2507" width="5.81640625" bestFit="1" customWidth="1"/>
    <col min="2508" max="2508" width="6.81640625" bestFit="1" customWidth="1"/>
    <col min="2509" max="2509" width="5.81640625" bestFit="1" customWidth="1"/>
    <col min="2510" max="2510" width="4.81640625" bestFit="1" customWidth="1"/>
    <col min="2511" max="2511" width="5.81640625" bestFit="1" customWidth="1"/>
    <col min="2512" max="2514" width="6.81640625" bestFit="1" customWidth="1"/>
    <col min="2515" max="2515" width="5.81640625" bestFit="1" customWidth="1"/>
    <col min="2516" max="2518" width="6.81640625" bestFit="1" customWidth="1"/>
    <col min="2519" max="2519" width="5.81640625" bestFit="1" customWidth="1"/>
    <col min="2520" max="2520" width="6.81640625" bestFit="1" customWidth="1"/>
    <col min="2521" max="2521" width="5.81640625" bestFit="1" customWidth="1"/>
    <col min="2522" max="2522" width="6.81640625" bestFit="1" customWidth="1"/>
    <col min="2523" max="2523" width="4.81640625" bestFit="1" customWidth="1"/>
    <col min="2524" max="2524" width="5.81640625" bestFit="1" customWidth="1"/>
    <col min="2525" max="2525" width="6.81640625" bestFit="1" customWidth="1"/>
    <col min="2526" max="2527" width="5.81640625" bestFit="1" customWidth="1"/>
    <col min="2528" max="2528" width="6.81640625" bestFit="1" customWidth="1"/>
    <col min="2529" max="2529" width="5.81640625" bestFit="1" customWidth="1"/>
    <col min="2530" max="2531" width="6.81640625" bestFit="1" customWidth="1"/>
    <col min="2532" max="2532" width="4.81640625" bestFit="1" customWidth="1"/>
    <col min="2533" max="2534" width="6.81640625" bestFit="1" customWidth="1"/>
    <col min="2535" max="2537" width="5.81640625" bestFit="1" customWidth="1"/>
    <col min="2538" max="2538" width="4.81640625" bestFit="1" customWidth="1"/>
    <col min="2539" max="2539" width="6.81640625" bestFit="1" customWidth="1"/>
    <col min="2540" max="2545" width="5.81640625" bestFit="1" customWidth="1"/>
    <col min="2546" max="2546" width="6.81640625" bestFit="1" customWidth="1"/>
    <col min="2547" max="2547" width="5.81640625" bestFit="1" customWidth="1"/>
    <col min="2548" max="2548" width="6.81640625" bestFit="1" customWidth="1"/>
    <col min="2549" max="2549" width="4.81640625" bestFit="1" customWidth="1"/>
    <col min="2550" max="2550" width="6.81640625" bestFit="1" customWidth="1"/>
    <col min="2551" max="2551" width="5.81640625" bestFit="1" customWidth="1"/>
    <col min="2552" max="2553" width="6.81640625" bestFit="1" customWidth="1"/>
    <col min="2554" max="2555" width="5.81640625" bestFit="1" customWidth="1"/>
    <col min="2556" max="2556" width="6.81640625" bestFit="1" customWidth="1"/>
    <col min="2557" max="2557" width="5.81640625" bestFit="1" customWidth="1"/>
    <col min="2558" max="2558" width="6.81640625" bestFit="1" customWidth="1"/>
    <col min="2559" max="2560" width="5.81640625" bestFit="1" customWidth="1"/>
    <col min="2561" max="2561" width="6.81640625" bestFit="1" customWidth="1"/>
    <col min="2562" max="2562" width="4.81640625" bestFit="1" customWidth="1"/>
    <col min="2563" max="2563" width="5.81640625" bestFit="1" customWidth="1"/>
    <col min="2564" max="2565" width="6.81640625" bestFit="1" customWidth="1"/>
    <col min="2566" max="2567" width="5.81640625" bestFit="1" customWidth="1"/>
    <col min="2568" max="2568" width="6.81640625" bestFit="1" customWidth="1"/>
    <col min="2569" max="2569" width="5.81640625" bestFit="1" customWidth="1"/>
    <col min="2570" max="2571" width="6.81640625" bestFit="1" customWidth="1"/>
    <col min="2572" max="2575" width="5.81640625" bestFit="1" customWidth="1"/>
    <col min="2576" max="2576" width="4.81640625" bestFit="1" customWidth="1"/>
    <col min="2577" max="2577" width="6.81640625" bestFit="1" customWidth="1"/>
    <col min="2578" max="2578" width="4.81640625" bestFit="1" customWidth="1"/>
    <col min="2579" max="2579" width="6.81640625" bestFit="1" customWidth="1"/>
    <col min="2580" max="2580" width="5.81640625" bestFit="1" customWidth="1"/>
    <col min="2581" max="2581" width="6.81640625" bestFit="1" customWidth="1"/>
    <col min="2582" max="2583" width="5.81640625" bestFit="1" customWidth="1"/>
    <col min="2584" max="2586" width="6.81640625" bestFit="1" customWidth="1"/>
    <col min="2587" max="2587" width="4.81640625" bestFit="1" customWidth="1"/>
    <col min="2588" max="2588" width="6.81640625" bestFit="1" customWidth="1"/>
    <col min="2589" max="2592" width="5.81640625" bestFit="1" customWidth="1"/>
    <col min="2593" max="2593" width="6.81640625" bestFit="1" customWidth="1"/>
    <col min="2594" max="2594" width="5.81640625" bestFit="1" customWidth="1"/>
    <col min="2595" max="2595" width="6.81640625" bestFit="1" customWidth="1"/>
    <col min="2596" max="2596" width="5.81640625" bestFit="1" customWidth="1"/>
    <col min="2597" max="2597" width="4.81640625" bestFit="1" customWidth="1"/>
    <col min="2598" max="2598" width="5.81640625" bestFit="1" customWidth="1"/>
    <col min="2599" max="2600" width="6.81640625" bestFit="1" customWidth="1"/>
    <col min="2601" max="2607" width="5.81640625" bestFit="1" customWidth="1"/>
    <col min="2608" max="2609" width="6.81640625" bestFit="1" customWidth="1"/>
    <col min="2610" max="2610" width="5.81640625" bestFit="1" customWidth="1"/>
    <col min="2611" max="2612" width="6.81640625" bestFit="1" customWidth="1"/>
    <col min="2613" max="2613" width="4.81640625" bestFit="1" customWidth="1"/>
    <col min="2614" max="2616" width="5.81640625" bestFit="1" customWidth="1"/>
    <col min="2617" max="2618" width="6.81640625" bestFit="1" customWidth="1"/>
    <col min="2619" max="2620" width="5.81640625" bestFit="1" customWidth="1"/>
    <col min="2621" max="2621" width="6.81640625" bestFit="1" customWidth="1"/>
    <col min="2622" max="2622" width="2.81640625" bestFit="1" customWidth="1"/>
    <col min="2623" max="2623" width="5.81640625" bestFit="1" customWidth="1"/>
    <col min="2624" max="2625" width="6.81640625" bestFit="1" customWidth="1"/>
    <col min="2626" max="2626" width="5.81640625" bestFit="1" customWidth="1"/>
    <col min="2627" max="2629" width="6.81640625" bestFit="1" customWidth="1"/>
    <col min="2630" max="2630" width="5.81640625" bestFit="1" customWidth="1"/>
    <col min="2631" max="2631" width="4.81640625" bestFit="1" customWidth="1"/>
    <col min="2632" max="2632" width="6.81640625" bestFit="1" customWidth="1"/>
    <col min="2633" max="2636" width="5.81640625" bestFit="1" customWidth="1"/>
    <col min="2637" max="2637" width="4.81640625" bestFit="1" customWidth="1"/>
    <col min="2638" max="2640" width="5.81640625" bestFit="1" customWidth="1"/>
    <col min="2641" max="2641" width="4.81640625" bestFit="1" customWidth="1"/>
    <col min="2642" max="2644" width="5.81640625" bestFit="1" customWidth="1"/>
    <col min="2645" max="2645" width="6.81640625" bestFit="1" customWidth="1"/>
    <col min="2646" max="2646" width="7.81640625" bestFit="1" customWidth="1"/>
    <col min="2647" max="2647" width="5.81640625" bestFit="1" customWidth="1"/>
    <col min="2648" max="2648" width="6.81640625" bestFit="1" customWidth="1"/>
    <col min="2649" max="2649" width="5.81640625" bestFit="1" customWidth="1"/>
    <col min="2650" max="2652" width="6.81640625" bestFit="1" customWidth="1"/>
    <col min="2653" max="2653" width="5.81640625" bestFit="1" customWidth="1"/>
    <col min="2654" max="2654" width="6.81640625" bestFit="1" customWidth="1"/>
    <col min="2655" max="2656" width="5.81640625" bestFit="1" customWidth="1"/>
    <col min="2657" max="2657" width="6.81640625" bestFit="1" customWidth="1"/>
    <col min="2658" max="2658" width="4.81640625" bestFit="1" customWidth="1"/>
    <col min="2659" max="2660" width="5.81640625" bestFit="1" customWidth="1"/>
    <col min="2661" max="2661" width="6.81640625" bestFit="1" customWidth="1"/>
    <col min="2662" max="2662" width="5.81640625" bestFit="1" customWidth="1"/>
    <col min="2663" max="2663" width="6.81640625" bestFit="1" customWidth="1"/>
    <col min="2664" max="2667" width="5.81640625" bestFit="1" customWidth="1"/>
    <col min="2668" max="2668" width="6.81640625" bestFit="1" customWidth="1"/>
    <col min="2669" max="2670" width="5.81640625" bestFit="1" customWidth="1"/>
    <col min="2671" max="2672" width="6.81640625" bestFit="1" customWidth="1"/>
    <col min="2673" max="2673" width="5.81640625" bestFit="1" customWidth="1"/>
    <col min="2674" max="2674" width="4.81640625" bestFit="1" customWidth="1"/>
    <col min="2675" max="2676" width="6.81640625" bestFit="1" customWidth="1"/>
    <col min="2677" max="2677" width="5.81640625" bestFit="1" customWidth="1"/>
    <col min="2678" max="2678" width="4.81640625" bestFit="1" customWidth="1"/>
    <col min="2679" max="2679" width="5.81640625" bestFit="1" customWidth="1"/>
    <col min="2680" max="2682" width="6.81640625" bestFit="1" customWidth="1"/>
    <col min="2683" max="2683" width="4.81640625" bestFit="1" customWidth="1"/>
    <col min="2684" max="2686" width="5.81640625" bestFit="1" customWidth="1"/>
    <col min="2687" max="2687" width="6.81640625" bestFit="1" customWidth="1"/>
    <col min="2688" max="2690" width="5.81640625" bestFit="1" customWidth="1"/>
    <col min="2691" max="2693" width="6.81640625" bestFit="1" customWidth="1"/>
    <col min="2694" max="2695" width="5.81640625" bestFit="1" customWidth="1"/>
    <col min="2696" max="2696" width="6.81640625" bestFit="1" customWidth="1"/>
    <col min="2697" max="2702" width="5.81640625" bestFit="1" customWidth="1"/>
    <col min="2703" max="2703" width="2.81640625" bestFit="1" customWidth="1"/>
    <col min="2704" max="2704" width="5.81640625" bestFit="1" customWidth="1"/>
    <col min="2705" max="2705" width="6.81640625" bestFit="1" customWidth="1"/>
    <col min="2706" max="2706" width="5.81640625" bestFit="1" customWidth="1"/>
    <col min="2707" max="2707" width="6.81640625" bestFit="1" customWidth="1"/>
    <col min="2708" max="2708" width="5.81640625" bestFit="1" customWidth="1"/>
    <col min="2709" max="2710" width="6.81640625" bestFit="1" customWidth="1"/>
    <col min="2711" max="2711" width="4.81640625" bestFit="1" customWidth="1"/>
    <col min="2712" max="2712" width="6.81640625" bestFit="1" customWidth="1"/>
    <col min="2713" max="2715" width="5.81640625" bestFit="1" customWidth="1"/>
    <col min="2716" max="2717" width="6.81640625" bestFit="1" customWidth="1"/>
    <col min="2718" max="2719" width="5.81640625" bestFit="1" customWidth="1"/>
    <col min="2720" max="2720" width="6.81640625" bestFit="1" customWidth="1"/>
    <col min="2721" max="2721" width="5.81640625" bestFit="1" customWidth="1"/>
    <col min="2722" max="2723" width="6.81640625" bestFit="1" customWidth="1"/>
    <col min="2724" max="2724" width="2.81640625" bestFit="1" customWidth="1"/>
    <col min="2725" max="2726" width="6.81640625" bestFit="1" customWidth="1"/>
    <col min="2727" max="2729" width="5.81640625" bestFit="1" customWidth="1"/>
    <col min="2730" max="2730" width="6.81640625" bestFit="1" customWidth="1"/>
    <col min="2731" max="2731" width="4.81640625" bestFit="1" customWidth="1"/>
    <col min="2732" max="2732" width="5.81640625" bestFit="1" customWidth="1"/>
    <col min="2733" max="2734" width="6.81640625" bestFit="1" customWidth="1"/>
    <col min="2735" max="2735" width="5.81640625" bestFit="1" customWidth="1"/>
    <col min="2736" max="2736" width="6.81640625" bestFit="1" customWidth="1"/>
    <col min="2737" max="2738" width="4.81640625" bestFit="1" customWidth="1"/>
    <col min="2739" max="2739" width="5.81640625" bestFit="1" customWidth="1"/>
    <col min="2740" max="2742" width="6.81640625" bestFit="1" customWidth="1"/>
    <col min="2743" max="2743" width="4.81640625" bestFit="1" customWidth="1"/>
    <col min="2744" max="2745" width="5.81640625" bestFit="1" customWidth="1"/>
    <col min="2746" max="2746" width="6.81640625" bestFit="1" customWidth="1"/>
    <col min="2747" max="2747" width="5.81640625" bestFit="1" customWidth="1"/>
    <col min="2748" max="2750" width="6.81640625" bestFit="1" customWidth="1"/>
    <col min="2751" max="2751" width="5.81640625" bestFit="1" customWidth="1"/>
    <col min="2752" max="2752" width="6.81640625" bestFit="1" customWidth="1"/>
    <col min="2753" max="2753" width="5.81640625" bestFit="1" customWidth="1"/>
    <col min="2754" max="2754" width="6.81640625" bestFit="1" customWidth="1"/>
    <col min="2755" max="2755" width="5.81640625" bestFit="1" customWidth="1"/>
    <col min="2756" max="2756" width="2.81640625" bestFit="1" customWidth="1"/>
    <col min="2757" max="2757" width="6.81640625" bestFit="1" customWidth="1"/>
    <col min="2758" max="2758" width="5.81640625" bestFit="1" customWidth="1"/>
    <col min="2759" max="2760" width="6.81640625" bestFit="1" customWidth="1"/>
    <col min="2761" max="2762" width="5.81640625" bestFit="1" customWidth="1"/>
    <col min="2763" max="2763" width="6.81640625" bestFit="1" customWidth="1"/>
    <col min="2764" max="2766" width="5.81640625" bestFit="1" customWidth="1"/>
    <col min="2767" max="2767" width="2.81640625" bestFit="1" customWidth="1"/>
    <col min="2768" max="2772" width="5.81640625" bestFit="1" customWidth="1"/>
    <col min="2773" max="2773" width="6.81640625" bestFit="1" customWidth="1"/>
    <col min="2774" max="2774" width="5.81640625" bestFit="1" customWidth="1"/>
    <col min="2775" max="2775" width="4.81640625" bestFit="1" customWidth="1"/>
    <col min="2776" max="2776" width="6.81640625" bestFit="1" customWidth="1"/>
    <col min="2777" max="2782" width="5.81640625" bestFit="1" customWidth="1"/>
    <col min="2783" max="2783" width="6.81640625" bestFit="1" customWidth="1"/>
    <col min="2784" max="2784" width="4.81640625" bestFit="1" customWidth="1"/>
    <col min="2785" max="2785" width="5.81640625" bestFit="1" customWidth="1"/>
    <col min="2786" max="2786" width="6.81640625" bestFit="1" customWidth="1"/>
    <col min="2787" max="2787" width="5.81640625" bestFit="1" customWidth="1"/>
    <col min="2788" max="2792" width="6.81640625" bestFit="1" customWidth="1"/>
    <col min="2793" max="2793" width="5.81640625" bestFit="1" customWidth="1"/>
    <col min="2794" max="2794" width="6.81640625" bestFit="1" customWidth="1"/>
    <col min="2795" max="2799" width="5.81640625" bestFit="1" customWidth="1"/>
    <col min="2800" max="2800" width="4.81640625" bestFit="1" customWidth="1"/>
    <col min="2801" max="2801" width="5.81640625" bestFit="1" customWidth="1"/>
    <col min="2802" max="2802" width="6.81640625" bestFit="1" customWidth="1"/>
    <col min="2803" max="2804" width="5.81640625" bestFit="1" customWidth="1"/>
    <col min="2805" max="2805" width="6.81640625" bestFit="1" customWidth="1"/>
    <col min="2806" max="2806" width="5.81640625" bestFit="1" customWidth="1"/>
    <col min="2807" max="2809" width="6.81640625" bestFit="1" customWidth="1"/>
    <col min="2810" max="2810" width="5.81640625" bestFit="1" customWidth="1"/>
    <col min="2811" max="2811" width="4.81640625" bestFit="1" customWidth="1"/>
    <col min="2812" max="2812" width="5.81640625" bestFit="1" customWidth="1"/>
    <col min="2813" max="2813" width="6.81640625" bestFit="1" customWidth="1"/>
    <col min="2814" max="2814" width="4.81640625" bestFit="1" customWidth="1"/>
    <col min="2815" max="2815" width="7.81640625" bestFit="1" customWidth="1"/>
    <col min="2816" max="2816" width="6.81640625" bestFit="1" customWidth="1"/>
    <col min="2817" max="2817" width="4.81640625" bestFit="1" customWidth="1"/>
    <col min="2818" max="2820" width="5.81640625" bestFit="1" customWidth="1"/>
    <col min="2821" max="2821" width="6.81640625" bestFit="1" customWidth="1"/>
    <col min="2822" max="2822" width="4.81640625" bestFit="1" customWidth="1"/>
    <col min="2823" max="2825" width="5.81640625" bestFit="1" customWidth="1"/>
    <col min="2826" max="2826" width="6.81640625" bestFit="1" customWidth="1"/>
    <col min="2827" max="2828" width="5.81640625" bestFit="1" customWidth="1"/>
    <col min="2829" max="2829" width="6.81640625" bestFit="1" customWidth="1"/>
    <col min="2830" max="2830" width="4.81640625" bestFit="1" customWidth="1"/>
    <col min="2831" max="2832" width="5.81640625" bestFit="1" customWidth="1"/>
    <col min="2833" max="2834" width="6.81640625" bestFit="1" customWidth="1"/>
    <col min="2835" max="2835" width="5.81640625" bestFit="1" customWidth="1"/>
    <col min="2836" max="2836" width="6.81640625" bestFit="1" customWidth="1"/>
    <col min="2837" max="2837" width="5.81640625" bestFit="1" customWidth="1"/>
    <col min="2838" max="2838" width="6.81640625" bestFit="1" customWidth="1"/>
    <col min="2839" max="2839" width="5.81640625" bestFit="1" customWidth="1"/>
    <col min="2840" max="2840" width="4.81640625" bestFit="1" customWidth="1"/>
    <col min="2841" max="2845" width="5.81640625" bestFit="1" customWidth="1"/>
    <col min="2846" max="2846" width="6.81640625" bestFit="1" customWidth="1"/>
    <col min="2847" max="2847" width="5.81640625" bestFit="1" customWidth="1"/>
    <col min="2848" max="2848" width="6.81640625" bestFit="1" customWidth="1"/>
    <col min="2849" max="2849" width="4.81640625" bestFit="1" customWidth="1"/>
    <col min="2850" max="2850" width="5.81640625" bestFit="1" customWidth="1"/>
    <col min="2851" max="2851" width="4.81640625" bestFit="1" customWidth="1"/>
    <col min="2852" max="2853" width="6.81640625" bestFit="1" customWidth="1"/>
    <col min="2854" max="2854" width="5.81640625" bestFit="1" customWidth="1"/>
    <col min="2855" max="2858" width="6.81640625" bestFit="1" customWidth="1"/>
    <col min="2859" max="2863" width="5.81640625" bestFit="1" customWidth="1"/>
    <col min="2864" max="2865" width="6.81640625" bestFit="1" customWidth="1"/>
    <col min="2866" max="2866" width="5.81640625" bestFit="1" customWidth="1"/>
    <col min="2867" max="2867" width="4.81640625" bestFit="1" customWidth="1"/>
    <col min="2868" max="2868" width="6.81640625" bestFit="1" customWidth="1"/>
    <col min="2869" max="2870" width="5.81640625" bestFit="1" customWidth="1"/>
    <col min="2871" max="2872" width="6.81640625" bestFit="1" customWidth="1"/>
    <col min="2873" max="2873" width="4.81640625" bestFit="1" customWidth="1"/>
    <col min="2874" max="2874" width="6.81640625" bestFit="1" customWidth="1"/>
    <col min="2875" max="2875" width="5.81640625" bestFit="1" customWidth="1"/>
    <col min="2876" max="2877" width="6.81640625" bestFit="1" customWidth="1"/>
    <col min="2878" max="2881" width="5.81640625" bestFit="1" customWidth="1"/>
    <col min="2882" max="2882" width="4.81640625" bestFit="1" customWidth="1"/>
    <col min="2883" max="2887" width="5.81640625" bestFit="1" customWidth="1"/>
    <col min="2888" max="2888" width="4.81640625" bestFit="1" customWidth="1"/>
    <col min="2889" max="2889" width="5.81640625" bestFit="1" customWidth="1"/>
    <col min="2890" max="2890" width="6.81640625" bestFit="1" customWidth="1"/>
    <col min="2891" max="2891" width="5.81640625" bestFit="1" customWidth="1"/>
    <col min="2892" max="2895" width="6.81640625" bestFit="1" customWidth="1"/>
    <col min="2896" max="2896" width="5.81640625" bestFit="1" customWidth="1"/>
    <col min="2897" max="2898" width="6.81640625" bestFit="1" customWidth="1"/>
    <col min="2899" max="2899" width="5.81640625" bestFit="1" customWidth="1"/>
    <col min="2900" max="2900" width="6.81640625" bestFit="1" customWidth="1"/>
    <col min="2901" max="2905" width="5.81640625" bestFit="1" customWidth="1"/>
    <col min="2906" max="2906" width="6.81640625" bestFit="1" customWidth="1"/>
    <col min="2907" max="2907" width="5.81640625" bestFit="1" customWidth="1"/>
    <col min="2908" max="2908" width="4.81640625" bestFit="1" customWidth="1"/>
    <col min="2909" max="2911" width="6.81640625" bestFit="1" customWidth="1"/>
    <col min="2912" max="2912" width="4.81640625" bestFit="1" customWidth="1"/>
    <col min="2913" max="2914" width="5.81640625" bestFit="1" customWidth="1"/>
    <col min="2915" max="2915" width="4.81640625" bestFit="1" customWidth="1"/>
    <col min="2916" max="2917" width="5.81640625" bestFit="1" customWidth="1"/>
    <col min="2918" max="2918" width="6.81640625" bestFit="1" customWidth="1"/>
    <col min="2919" max="2919" width="4.81640625" bestFit="1" customWidth="1"/>
    <col min="2920" max="2920" width="5.81640625" bestFit="1" customWidth="1"/>
    <col min="2921" max="2924" width="6.81640625" bestFit="1" customWidth="1"/>
    <col min="2925" max="2928" width="5.81640625" bestFit="1" customWidth="1"/>
    <col min="2929" max="2929" width="6.81640625" bestFit="1" customWidth="1"/>
    <col min="2930" max="2932" width="5.81640625" bestFit="1" customWidth="1"/>
    <col min="2933" max="2933" width="4.81640625" bestFit="1" customWidth="1"/>
    <col min="2934" max="2934" width="6.81640625" bestFit="1" customWidth="1"/>
    <col min="2935" max="2935" width="5.81640625" bestFit="1" customWidth="1"/>
    <col min="2936" max="2936" width="4.81640625" bestFit="1" customWidth="1"/>
    <col min="2937" max="2937" width="5.81640625" bestFit="1" customWidth="1"/>
    <col min="2938" max="2938" width="4.81640625" bestFit="1" customWidth="1"/>
    <col min="2939" max="2943" width="5.81640625" bestFit="1" customWidth="1"/>
    <col min="2944" max="2944" width="6.81640625" bestFit="1" customWidth="1"/>
    <col min="2945" max="2945" width="5.81640625" bestFit="1" customWidth="1"/>
    <col min="2946" max="2946" width="4.81640625" bestFit="1" customWidth="1"/>
    <col min="2947" max="2949" width="6.81640625" bestFit="1" customWidth="1"/>
    <col min="2950" max="2950" width="4.81640625" bestFit="1" customWidth="1"/>
    <col min="2951" max="2951" width="6.81640625" bestFit="1" customWidth="1"/>
    <col min="2952" max="2953" width="5.81640625" bestFit="1" customWidth="1"/>
    <col min="2954" max="2954" width="7.81640625" bestFit="1" customWidth="1"/>
    <col min="2955" max="2956" width="5.81640625" bestFit="1" customWidth="1"/>
    <col min="2957" max="2962" width="6.81640625" bestFit="1" customWidth="1"/>
    <col min="2963" max="2963" width="5.81640625" bestFit="1" customWidth="1"/>
    <col min="2964" max="2964" width="6.81640625" bestFit="1" customWidth="1"/>
    <col min="2965" max="2965" width="4.81640625" bestFit="1" customWidth="1"/>
    <col min="2966" max="2968" width="5.81640625" bestFit="1" customWidth="1"/>
    <col min="2969" max="2969" width="6.81640625" bestFit="1" customWidth="1"/>
    <col min="2970" max="2970" width="5.81640625" bestFit="1" customWidth="1"/>
    <col min="2971" max="2971" width="6.81640625" bestFit="1" customWidth="1"/>
    <col min="2972" max="2972" width="2.81640625" bestFit="1" customWidth="1"/>
    <col min="2973" max="2977" width="5.81640625" bestFit="1" customWidth="1"/>
    <col min="2978" max="2978" width="4.81640625" bestFit="1" customWidth="1"/>
    <col min="2979" max="2979" width="6.81640625" bestFit="1" customWidth="1"/>
    <col min="2980" max="2980" width="5.81640625" bestFit="1" customWidth="1"/>
    <col min="2981" max="2981" width="6.81640625" bestFit="1" customWidth="1"/>
    <col min="2982" max="2983" width="5.81640625" bestFit="1" customWidth="1"/>
    <col min="2984" max="2987" width="6.81640625" bestFit="1" customWidth="1"/>
    <col min="2988" max="2988" width="4.81640625" bestFit="1" customWidth="1"/>
    <col min="2989" max="2989" width="6.81640625" bestFit="1" customWidth="1"/>
    <col min="2990" max="2990" width="5.81640625" bestFit="1" customWidth="1"/>
    <col min="2991" max="2992" width="6.81640625" bestFit="1" customWidth="1"/>
    <col min="2993" max="2993" width="5.81640625" bestFit="1" customWidth="1"/>
    <col min="2994" max="2994" width="4.81640625" bestFit="1" customWidth="1"/>
    <col min="2995" max="2999" width="5.81640625" bestFit="1" customWidth="1"/>
    <col min="3000" max="3000" width="6.81640625" bestFit="1" customWidth="1"/>
    <col min="3001" max="3005" width="5.81640625" bestFit="1" customWidth="1"/>
    <col min="3006" max="3007" width="6.81640625" bestFit="1" customWidth="1"/>
    <col min="3008" max="3009" width="5.81640625" bestFit="1" customWidth="1"/>
    <col min="3010" max="3011" width="6.81640625" bestFit="1" customWidth="1"/>
    <col min="3012" max="3012" width="5.81640625" bestFit="1" customWidth="1"/>
    <col min="3013" max="3013" width="6.81640625" bestFit="1" customWidth="1"/>
    <col min="3014" max="3015" width="5.81640625" bestFit="1" customWidth="1"/>
    <col min="3016" max="3016" width="6.81640625" bestFit="1" customWidth="1"/>
    <col min="3017" max="3017" width="5.81640625" bestFit="1" customWidth="1"/>
    <col min="3018" max="3018" width="6.81640625" bestFit="1" customWidth="1"/>
    <col min="3019" max="3019" width="4.81640625" bestFit="1" customWidth="1"/>
    <col min="3020" max="3020" width="6.81640625" bestFit="1" customWidth="1"/>
    <col min="3021" max="3021" width="4.81640625" bestFit="1" customWidth="1"/>
    <col min="3022" max="3026" width="5.81640625" bestFit="1" customWidth="1"/>
    <col min="3027" max="3027" width="6.81640625" bestFit="1" customWidth="1"/>
    <col min="3028" max="3028" width="4.81640625" bestFit="1" customWidth="1"/>
    <col min="3029" max="3032" width="6.81640625" bestFit="1" customWidth="1"/>
    <col min="3033" max="3033" width="5.81640625" bestFit="1" customWidth="1"/>
    <col min="3034" max="3034" width="6.81640625" bestFit="1" customWidth="1"/>
    <col min="3035" max="3039" width="5.81640625" bestFit="1" customWidth="1"/>
    <col min="3040" max="3041" width="6.81640625" bestFit="1" customWidth="1"/>
    <col min="3042" max="3042" width="5.81640625" bestFit="1" customWidth="1"/>
    <col min="3043" max="3046" width="6.81640625" bestFit="1" customWidth="1"/>
    <col min="3047" max="3047" width="5.81640625" bestFit="1" customWidth="1"/>
    <col min="3048" max="3048" width="6.81640625" bestFit="1" customWidth="1"/>
    <col min="3049" max="3050" width="5.81640625" bestFit="1" customWidth="1"/>
    <col min="3051" max="3051" width="6.81640625" bestFit="1" customWidth="1"/>
    <col min="3052" max="3054" width="5.81640625" bestFit="1" customWidth="1"/>
    <col min="3055" max="3057" width="6.81640625" bestFit="1" customWidth="1"/>
    <col min="3058" max="3058" width="5.81640625" bestFit="1" customWidth="1"/>
    <col min="3059" max="3060" width="6.81640625" bestFit="1" customWidth="1"/>
    <col min="3061" max="3063" width="5.81640625" bestFit="1" customWidth="1"/>
    <col min="3064" max="3066" width="6.81640625" bestFit="1" customWidth="1"/>
    <col min="3067" max="3068" width="5.81640625" bestFit="1" customWidth="1"/>
    <col min="3069" max="3072" width="6.81640625" bestFit="1" customWidth="1"/>
    <col min="3073" max="3073" width="5.81640625" bestFit="1" customWidth="1"/>
    <col min="3074" max="3074" width="6.81640625" bestFit="1" customWidth="1"/>
    <col min="3075" max="3075" width="4.81640625" bestFit="1" customWidth="1"/>
    <col min="3076" max="3076" width="5.81640625" bestFit="1" customWidth="1"/>
    <col min="3077" max="3077" width="4.81640625" bestFit="1" customWidth="1"/>
    <col min="3078" max="3078" width="6.81640625" bestFit="1" customWidth="1"/>
    <col min="3079" max="3079" width="5.81640625" bestFit="1" customWidth="1"/>
    <col min="3080" max="3080" width="6.81640625" bestFit="1" customWidth="1"/>
    <col min="3081" max="3081" width="5.81640625" bestFit="1" customWidth="1"/>
    <col min="3082" max="3083" width="6.81640625" bestFit="1" customWidth="1"/>
    <col min="3084" max="3084" width="4.81640625" bestFit="1" customWidth="1"/>
    <col min="3085" max="3085" width="5.81640625" bestFit="1" customWidth="1"/>
    <col min="3086" max="3087" width="6.81640625" bestFit="1" customWidth="1"/>
    <col min="3088" max="3088" width="5.81640625" bestFit="1" customWidth="1"/>
    <col min="3089" max="3089" width="4.81640625" bestFit="1" customWidth="1"/>
    <col min="3090" max="3090" width="6.81640625" bestFit="1" customWidth="1"/>
    <col min="3091" max="3094" width="5.81640625" bestFit="1" customWidth="1"/>
    <col min="3095" max="3095" width="3.81640625" bestFit="1" customWidth="1"/>
    <col min="3096" max="3097" width="6.81640625" bestFit="1" customWidth="1"/>
    <col min="3098" max="3099" width="7.81640625" bestFit="1" customWidth="1"/>
    <col min="3100" max="3100" width="5.81640625" bestFit="1" customWidth="1"/>
    <col min="3101" max="3103" width="6.81640625" bestFit="1" customWidth="1"/>
    <col min="3104" max="3104" width="5.81640625" bestFit="1" customWidth="1"/>
    <col min="3105" max="3105" width="6.81640625" bestFit="1" customWidth="1"/>
    <col min="3106" max="3106" width="5.81640625" bestFit="1" customWidth="1"/>
    <col min="3107" max="3110" width="6.81640625" bestFit="1" customWidth="1"/>
    <col min="3111" max="3113" width="7.81640625" bestFit="1" customWidth="1"/>
    <col min="3114" max="3115" width="6.81640625" bestFit="1" customWidth="1"/>
    <col min="3116" max="3116" width="5.81640625" bestFit="1" customWidth="1"/>
    <col min="3117" max="3117" width="7.81640625" bestFit="1" customWidth="1"/>
    <col min="3118" max="3118" width="6.81640625" bestFit="1" customWidth="1"/>
    <col min="3119" max="3123" width="7.81640625" bestFit="1" customWidth="1"/>
    <col min="3124" max="3124" width="6.81640625" bestFit="1" customWidth="1"/>
    <col min="3125" max="3125" width="7.81640625" bestFit="1" customWidth="1"/>
    <col min="3126" max="3127" width="6.81640625" bestFit="1" customWidth="1"/>
    <col min="3128" max="3128" width="7.81640625" bestFit="1" customWidth="1"/>
    <col min="3129" max="3129" width="6.81640625" bestFit="1" customWidth="1"/>
    <col min="3130" max="3131" width="7.81640625" bestFit="1" customWidth="1"/>
    <col min="3132" max="3133" width="5.81640625" bestFit="1" customWidth="1"/>
    <col min="3134" max="3134" width="6.81640625" bestFit="1" customWidth="1"/>
    <col min="3135" max="3136" width="7.81640625" bestFit="1" customWidth="1"/>
    <col min="3137" max="3137" width="6.81640625" bestFit="1" customWidth="1"/>
    <col min="3138" max="3138" width="7.81640625" bestFit="1" customWidth="1"/>
    <col min="3139" max="3142" width="6.81640625" bestFit="1" customWidth="1"/>
    <col min="3143" max="3143" width="7.81640625" bestFit="1" customWidth="1"/>
    <col min="3144" max="3144" width="6.81640625" bestFit="1" customWidth="1"/>
    <col min="3145" max="3145" width="7.81640625" bestFit="1" customWidth="1"/>
    <col min="3146" max="3146" width="6.81640625" bestFit="1" customWidth="1"/>
    <col min="3147" max="3147" width="5.81640625" bestFit="1" customWidth="1"/>
    <col min="3148" max="3149" width="6.81640625" bestFit="1" customWidth="1"/>
    <col min="3150" max="3150" width="5.81640625" bestFit="1" customWidth="1"/>
    <col min="3151" max="3155" width="6.81640625" bestFit="1" customWidth="1"/>
    <col min="3156" max="3158" width="7.81640625" bestFit="1" customWidth="1"/>
    <col min="3159" max="3162" width="6.81640625" bestFit="1" customWidth="1"/>
    <col min="3163" max="3163" width="7.81640625" bestFit="1" customWidth="1"/>
    <col min="3164" max="3164" width="6.81640625" bestFit="1" customWidth="1"/>
    <col min="3165" max="3165" width="7.81640625" bestFit="1" customWidth="1"/>
    <col min="3166" max="3166" width="5.81640625" bestFit="1" customWidth="1"/>
    <col min="3167" max="3168" width="6.81640625" bestFit="1" customWidth="1"/>
    <col min="3169" max="3169" width="5.81640625" bestFit="1" customWidth="1"/>
    <col min="3170" max="3170" width="7.81640625" bestFit="1" customWidth="1"/>
    <col min="3171" max="3171" width="6.81640625" bestFit="1" customWidth="1"/>
    <col min="3172" max="3172" width="7.81640625" bestFit="1" customWidth="1"/>
    <col min="3173" max="3174" width="6.81640625" bestFit="1" customWidth="1"/>
    <col min="3175" max="3176" width="7.81640625" bestFit="1" customWidth="1"/>
    <col min="3177" max="3179" width="6.81640625" bestFit="1" customWidth="1"/>
    <col min="3180" max="3182" width="7.81640625" bestFit="1" customWidth="1"/>
    <col min="3183" max="3183" width="6.81640625" bestFit="1" customWidth="1"/>
    <col min="3184" max="3184" width="7.81640625" bestFit="1" customWidth="1"/>
    <col min="3185" max="3185" width="5.81640625" bestFit="1" customWidth="1"/>
    <col min="3186" max="3187" width="7.81640625" bestFit="1" customWidth="1"/>
    <col min="3188" max="3188" width="6.81640625" bestFit="1" customWidth="1"/>
    <col min="3189" max="3190" width="7.81640625" bestFit="1" customWidth="1"/>
    <col min="3191" max="3191" width="6.81640625" bestFit="1" customWidth="1"/>
    <col min="3192" max="3192" width="7.81640625" bestFit="1" customWidth="1"/>
    <col min="3193" max="3195" width="6.81640625" bestFit="1" customWidth="1"/>
    <col min="3196" max="3197" width="7.81640625" bestFit="1" customWidth="1"/>
    <col min="3198" max="3199" width="5.81640625" bestFit="1" customWidth="1"/>
    <col min="3200" max="3201" width="6.81640625" bestFit="1" customWidth="1"/>
    <col min="3202" max="3202" width="7.81640625" bestFit="1" customWidth="1"/>
    <col min="3203" max="3203" width="6.81640625" bestFit="1" customWidth="1"/>
    <col min="3204" max="3205" width="7.81640625" bestFit="1" customWidth="1"/>
    <col min="3206" max="3206" width="5.81640625" bestFit="1" customWidth="1"/>
    <col min="3207" max="3207" width="7.81640625" bestFit="1" customWidth="1"/>
    <col min="3208" max="3210" width="6.81640625" bestFit="1" customWidth="1"/>
    <col min="3211" max="3211" width="3.81640625" bestFit="1" customWidth="1"/>
    <col min="3212" max="3212" width="6.81640625" bestFit="1" customWidth="1"/>
    <col min="3213" max="3213" width="7.81640625" bestFit="1" customWidth="1"/>
    <col min="3214" max="3214" width="6.81640625" bestFit="1" customWidth="1"/>
    <col min="3215" max="3215" width="7.81640625" bestFit="1" customWidth="1"/>
    <col min="3216" max="3216" width="6.81640625" bestFit="1" customWidth="1"/>
    <col min="3217" max="3217" width="7.81640625" bestFit="1" customWidth="1"/>
    <col min="3218" max="3218" width="5.81640625" bestFit="1" customWidth="1"/>
    <col min="3219" max="3221" width="6.81640625" bestFit="1" customWidth="1"/>
    <col min="3222" max="3222" width="7.81640625" bestFit="1" customWidth="1"/>
    <col min="3223" max="3223" width="6.81640625" bestFit="1" customWidth="1"/>
    <col min="3224" max="3225" width="7.81640625" bestFit="1" customWidth="1"/>
    <col min="3226" max="3227" width="5.81640625" bestFit="1" customWidth="1"/>
    <col min="3228" max="3228" width="6.81640625" bestFit="1" customWidth="1"/>
    <col min="3229" max="3230" width="7.81640625" bestFit="1" customWidth="1"/>
    <col min="3231" max="3231" width="6.81640625" bestFit="1" customWidth="1"/>
    <col min="3232" max="3233" width="7.81640625" bestFit="1" customWidth="1"/>
    <col min="3234" max="3234" width="5.81640625" bestFit="1" customWidth="1"/>
    <col min="3235" max="3238" width="6.81640625" bestFit="1" customWidth="1"/>
    <col min="3239" max="3239" width="7.81640625" bestFit="1" customWidth="1"/>
    <col min="3240" max="3242" width="6.81640625" bestFit="1" customWidth="1"/>
    <col min="3243" max="3243" width="5.81640625" bestFit="1" customWidth="1"/>
    <col min="3244" max="3244" width="7.81640625" bestFit="1" customWidth="1"/>
    <col min="3245" max="3246" width="6.81640625" bestFit="1" customWidth="1"/>
    <col min="3247" max="3247" width="5.81640625" bestFit="1" customWidth="1"/>
    <col min="3248" max="3248" width="7.81640625" bestFit="1" customWidth="1"/>
    <col min="3249" max="3249" width="5.81640625" bestFit="1" customWidth="1"/>
    <col min="3250" max="3251" width="6.81640625" bestFit="1" customWidth="1"/>
    <col min="3252" max="3253" width="7.81640625" bestFit="1" customWidth="1"/>
    <col min="3254" max="3257" width="6.81640625" bestFit="1" customWidth="1"/>
    <col min="3258" max="3258" width="3.81640625" bestFit="1" customWidth="1"/>
    <col min="3259" max="3259" width="6.81640625" bestFit="1" customWidth="1"/>
    <col min="3260" max="3260" width="7.81640625" bestFit="1" customWidth="1"/>
    <col min="3261" max="3261" width="5.81640625" bestFit="1" customWidth="1"/>
    <col min="3262" max="3262" width="6.81640625" bestFit="1" customWidth="1"/>
    <col min="3263" max="3263" width="7.81640625" bestFit="1" customWidth="1"/>
    <col min="3264" max="3264" width="6.81640625" bestFit="1" customWidth="1"/>
    <col min="3265" max="3265" width="7.81640625" bestFit="1" customWidth="1"/>
    <col min="3266" max="3266" width="6.81640625" bestFit="1" customWidth="1"/>
    <col min="3267" max="3267" width="7.81640625" bestFit="1" customWidth="1"/>
    <col min="3268" max="3268" width="6.81640625" bestFit="1" customWidth="1"/>
    <col min="3269" max="3272" width="7.81640625" bestFit="1" customWidth="1"/>
    <col min="3273" max="3273" width="6.81640625" bestFit="1" customWidth="1"/>
    <col min="3274" max="3274" width="3.81640625" bestFit="1" customWidth="1"/>
    <col min="3275" max="3277" width="6.81640625" bestFit="1" customWidth="1"/>
    <col min="3278" max="3278" width="7.81640625" bestFit="1" customWidth="1"/>
    <col min="3279" max="3281" width="6.81640625" bestFit="1" customWidth="1"/>
    <col min="3282" max="3282" width="5.81640625" bestFit="1" customWidth="1"/>
    <col min="3283" max="3284" width="7.81640625" bestFit="1" customWidth="1"/>
    <col min="3285" max="3286" width="5.81640625" bestFit="1" customWidth="1"/>
    <col min="3287" max="3287" width="7.81640625" bestFit="1" customWidth="1"/>
    <col min="3288" max="3288" width="6.81640625" bestFit="1" customWidth="1"/>
    <col min="3289" max="3289" width="5.81640625" bestFit="1" customWidth="1"/>
    <col min="3290" max="3290" width="7.81640625" bestFit="1" customWidth="1"/>
    <col min="3291" max="3292" width="6.81640625" bestFit="1" customWidth="1"/>
    <col min="3293" max="3293" width="7.81640625" bestFit="1" customWidth="1"/>
    <col min="3294" max="3294" width="6.81640625" bestFit="1" customWidth="1"/>
    <col min="3295" max="3295" width="3.81640625" bestFit="1" customWidth="1"/>
    <col min="3296" max="3297" width="6.81640625" bestFit="1" customWidth="1"/>
    <col min="3298" max="3301" width="7.81640625" bestFit="1" customWidth="1"/>
    <col min="3302" max="3303" width="6.81640625" bestFit="1" customWidth="1"/>
    <col min="3304" max="3304" width="7.81640625" bestFit="1" customWidth="1"/>
    <col min="3305" max="3305" width="5.81640625" bestFit="1" customWidth="1"/>
    <col min="3306" max="3307" width="7.81640625" bestFit="1" customWidth="1"/>
    <col min="3308" max="3308" width="5.81640625" bestFit="1" customWidth="1"/>
    <col min="3309" max="3310" width="6.81640625" bestFit="1" customWidth="1"/>
    <col min="3311" max="3311" width="7.81640625" bestFit="1" customWidth="1"/>
    <col min="3312" max="3314" width="6.81640625" bestFit="1" customWidth="1"/>
    <col min="3315" max="3318" width="7.81640625" bestFit="1" customWidth="1"/>
    <col min="3319" max="3319" width="6.81640625" bestFit="1" customWidth="1"/>
    <col min="3320" max="3320" width="7.81640625" bestFit="1" customWidth="1"/>
    <col min="3321" max="3325" width="6.81640625" bestFit="1" customWidth="1"/>
    <col min="3326" max="3331" width="7.81640625" bestFit="1" customWidth="1"/>
    <col min="3332" max="3333" width="6.81640625" bestFit="1" customWidth="1"/>
    <col min="3334" max="3334" width="7.81640625" bestFit="1" customWidth="1"/>
    <col min="3335" max="3335" width="6.81640625" bestFit="1" customWidth="1"/>
    <col min="3336" max="3336" width="5.81640625" bestFit="1" customWidth="1"/>
    <col min="3337" max="3337" width="6.81640625" bestFit="1" customWidth="1"/>
    <col min="3338" max="3338" width="7.81640625" bestFit="1" customWidth="1"/>
    <col min="3339" max="3340" width="6.81640625" bestFit="1" customWidth="1"/>
    <col min="3341" max="3341" width="7.81640625" bestFit="1" customWidth="1"/>
    <col min="3342" max="3342" width="6.81640625" bestFit="1" customWidth="1"/>
    <col min="3343" max="3343" width="7.81640625" bestFit="1" customWidth="1"/>
    <col min="3344" max="3346" width="6.81640625" bestFit="1" customWidth="1"/>
    <col min="3347" max="3347" width="5.81640625" bestFit="1" customWidth="1"/>
    <col min="3348" max="3350" width="6.81640625" bestFit="1" customWidth="1"/>
    <col min="3351" max="3352" width="7.81640625" bestFit="1" customWidth="1"/>
    <col min="3353" max="3354" width="6.81640625" bestFit="1" customWidth="1"/>
    <col min="3355" max="3355" width="5.81640625" bestFit="1" customWidth="1"/>
    <col min="3356" max="3356" width="6.81640625" bestFit="1" customWidth="1"/>
    <col min="3357" max="3365" width="7.81640625" bestFit="1" customWidth="1"/>
    <col min="3366" max="3366" width="6.81640625" bestFit="1" customWidth="1"/>
    <col min="3367" max="3367" width="7.81640625" bestFit="1" customWidth="1"/>
    <col min="3368" max="3368" width="6.81640625" bestFit="1" customWidth="1"/>
    <col min="3369" max="3369" width="7.81640625" bestFit="1" customWidth="1"/>
    <col min="3370" max="3371" width="6.81640625" bestFit="1" customWidth="1"/>
    <col min="3372" max="3374" width="7.81640625" bestFit="1" customWidth="1"/>
    <col min="3375" max="3375" width="6.81640625" bestFit="1" customWidth="1"/>
    <col min="3376" max="3376" width="5.81640625" bestFit="1" customWidth="1"/>
    <col min="3377" max="3377" width="7.81640625" bestFit="1" customWidth="1"/>
    <col min="3378" max="3379" width="6.81640625" bestFit="1" customWidth="1"/>
    <col min="3380" max="3381" width="5.81640625" bestFit="1" customWidth="1"/>
    <col min="3382" max="3383" width="6.81640625" bestFit="1" customWidth="1"/>
    <col min="3384" max="3386" width="7.81640625" bestFit="1" customWidth="1"/>
    <col min="3387" max="3389" width="6.81640625" bestFit="1" customWidth="1"/>
    <col min="3390" max="3391" width="7.81640625" bestFit="1" customWidth="1"/>
    <col min="3392" max="3393" width="6.81640625" bestFit="1" customWidth="1"/>
    <col min="3394" max="3396" width="7.81640625" bestFit="1" customWidth="1"/>
    <col min="3397" max="3397" width="5.81640625" bestFit="1" customWidth="1"/>
    <col min="3398" max="3398" width="6.81640625" bestFit="1" customWidth="1"/>
    <col min="3399" max="3399" width="7.81640625" bestFit="1" customWidth="1"/>
    <col min="3400" max="3402" width="6.81640625" bestFit="1" customWidth="1"/>
    <col min="3403" max="3403" width="7.81640625" bestFit="1" customWidth="1"/>
    <col min="3404" max="3404" width="6.81640625" bestFit="1" customWidth="1"/>
    <col min="3405" max="3405" width="5.81640625" bestFit="1" customWidth="1"/>
    <col min="3406" max="3407" width="6.81640625" bestFit="1" customWidth="1"/>
    <col min="3408" max="3408" width="5.81640625" bestFit="1" customWidth="1"/>
    <col min="3409" max="3409" width="6.81640625" bestFit="1" customWidth="1"/>
    <col min="3410" max="3410" width="7.81640625" bestFit="1" customWidth="1"/>
    <col min="3411" max="3412" width="6.81640625" bestFit="1" customWidth="1"/>
    <col min="3413" max="3415" width="7.81640625" bestFit="1" customWidth="1"/>
    <col min="3416" max="3416" width="6.81640625" bestFit="1" customWidth="1"/>
    <col min="3417" max="3417" width="5.81640625" bestFit="1" customWidth="1"/>
    <col min="3418" max="3421" width="6.81640625" bestFit="1" customWidth="1"/>
    <col min="3422" max="3422" width="5.81640625" bestFit="1" customWidth="1"/>
    <col min="3423" max="3423" width="7.81640625" bestFit="1" customWidth="1"/>
    <col min="3424" max="3424" width="6.81640625" bestFit="1" customWidth="1"/>
    <col min="3425" max="3425" width="5.81640625" bestFit="1" customWidth="1"/>
    <col min="3426" max="3426" width="7.81640625" bestFit="1" customWidth="1"/>
    <col min="3427" max="3427" width="5.81640625" bestFit="1" customWidth="1"/>
    <col min="3428" max="3429" width="6.81640625" bestFit="1" customWidth="1"/>
    <col min="3430" max="3430" width="7.81640625" bestFit="1" customWidth="1"/>
    <col min="3431" max="3432" width="6.81640625" bestFit="1" customWidth="1"/>
    <col min="3433" max="3433" width="7.81640625" bestFit="1" customWidth="1"/>
    <col min="3434" max="3434" width="6.81640625" bestFit="1" customWidth="1"/>
    <col min="3435" max="3435" width="7.81640625" bestFit="1" customWidth="1"/>
    <col min="3436" max="3440" width="6.81640625" bestFit="1" customWidth="1"/>
    <col min="3441" max="3441" width="7.81640625" bestFit="1" customWidth="1"/>
    <col min="3442" max="3444" width="6.81640625" bestFit="1" customWidth="1"/>
    <col min="3445" max="3445" width="3.81640625" bestFit="1" customWidth="1"/>
    <col min="3446" max="3446" width="6.81640625" bestFit="1" customWidth="1"/>
    <col min="3447" max="3447" width="7.81640625" bestFit="1" customWidth="1"/>
    <col min="3448" max="3448" width="6.81640625" bestFit="1" customWidth="1"/>
    <col min="3449" max="3449" width="7.81640625" bestFit="1" customWidth="1"/>
    <col min="3450" max="3451" width="6.81640625" bestFit="1" customWidth="1"/>
    <col min="3452" max="3452" width="5.81640625" bestFit="1" customWidth="1"/>
    <col min="3453" max="3455" width="6.81640625" bestFit="1" customWidth="1"/>
    <col min="3456" max="3456" width="7.81640625" bestFit="1" customWidth="1"/>
    <col min="3457" max="3458" width="6.81640625" bestFit="1" customWidth="1"/>
    <col min="3459" max="3459" width="7.81640625" bestFit="1" customWidth="1"/>
    <col min="3460" max="3460" width="6.81640625" bestFit="1" customWidth="1"/>
    <col min="3461" max="3461" width="7.81640625" bestFit="1" customWidth="1"/>
    <col min="3462" max="3464" width="6.81640625" bestFit="1" customWidth="1"/>
    <col min="3465" max="3465" width="7.81640625" bestFit="1" customWidth="1"/>
    <col min="3466" max="3466" width="5.81640625" bestFit="1" customWidth="1"/>
    <col min="3467" max="3467" width="6.81640625" bestFit="1" customWidth="1"/>
    <col min="3468" max="3468" width="7.81640625" bestFit="1" customWidth="1"/>
    <col min="3469" max="3469" width="6.81640625" bestFit="1" customWidth="1"/>
    <col min="3470" max="3470" width="5.81640625" bestFit="1" customWidth="1"/>
    <col min="3471" max="3472" width="6.81640625" bestFit="1" customWidth="1"/>
    <col min="3473" max="3473" width="7.81640625" bestFit="1" customWidth="1"/>
    <col min="3474" max="3474" width="6.81640625" bestFit="1" customWidth="1"/>
    <col min="3475" max="3475" width="5.81640625" bestFit="1" customWidth="1"/>
    <col min="3476" max="3477" width="7.81640625" bestFit="1" customWidth="1"/>
    <col min="3478" max="3478" width="5.81640625" bestFit="1" customWidth="1"/>
    <col min="3479" max="3479" width="6.81640625" bestFit="1" customWidth="1"/>
    <col min="3480" max="3481" width="7.81640625" bestFit="1" customWidth="1"/>
    <col min="3482" max="3482" width="6.81640625" bestFit="1" customWidth="1"/>
    <col min="3483" max="3483" width="5.81640625" bestFit="1" customWidth="1"/>
    <col min="3484" max="3484" width="7.81640625" bestFit="1" customWidth="1"/>
    <col min="3485" max="3485" width="6.81640625" bestFit="1" customWidth="1"/>
    <col min="3486" max="3488" width="7.81640625" bestFit="1" customWidth="1"/>
    <col min="3489" max="3489" width="6.81640625" bestFit="1" customWidth="1"/>
    <col min="3490" max="3491" width="7.81640625" bestFit="1" customWidth="1"/>
    <col min="3492" max="3492" width="6.81640625" bestFit="1" customWidth="1"/>
    <col min="3493" max="3493" width="5.81640625" bestFit="1" customWidth="1"/>
    <col min="3494" max="3494" width="7.81640625" bestFit="1" customWidth="1"/>
    <col min="3495" max="3496" width="6.81640625" bestFit="1" customWidth="1"/>
    <col min="3497" max="3498" width="7.81640625" bestFit="1" customWidth="1"/>
    <col min="3499" max="3499" width="6.81640625" bestFit="1" customWidth="1"/>
    <col min="3500" max="3500" width="7.81640625" bestFit="1" customWidth="1"/>
    <col min="3501" max="3501" width="6.81640625" bestFit="1" customWidth="1"/>
    <col min="3502" max="3502" width="5.81640625" bestFit="1" customWidth="1"/>
    <col min="3503" max="3504" width="6.81640625" bestFit="1" customWidth="1"/>
    <col min="3505" max="3507" width="7.81640625" bestFit="1" customWidth="1"/>
    <col min="3508" max="3508" width="6.81640625" bestFit="1" customWidth="1"/>
    <col min="3509" max="3510" width="7.81640625" bestFit="1" customWidth="1"/>
    <col min="3511" max="3514" width="6.81640625" bestFit="1" customWidth="1"/>
    <col min="3515" max="3518" width="7.81640625" bestFit="1" customWidth="1"/>
    <col min="3519" max="3520" width="6.81640625" bestFit="1" customWidth="1"/>
    <col min="3521" max="3522" width="7.81640625" bestFit="1" customWidth="1"/>
    <col min="3523" max="3524" width="6.81640625" bestFit="1" customWidth="1"/>
    <col min="3525" max="3528" width="7.81640625" bestFit="1" customWidth="1"/>
    <col min="3529" max="3529" width="6.81640625" bestFit="1" customWidth="1"/>
    <col min="3530" max="3530" width="5.81640625" bestFit="1" customWidth="1"/>
    <col min="3531" max="3532" width="6.81640625" bestFit="1" customWidth="1"/>
    <col min="3533" max="3534" width="7.81640625" bestFit="1" customWidth="1"/>
    <col min="3535" max="3535" width="6.81640625" bestFit="1" customWidth="1"/>
    <col min="3536" max="3536" width="5.81640625" bestFit="1" customWidth="1"/>
    <col min="3537" max="3537" width="6.81640625" bestFit="1" customWidth="1"/>
    <col min="3538" max="3540" width="7.81640625" bestFit="1" customWidth="1"/>
    <col min="3541" max="3541" width="5.81640625" bestFit="1" customWidth="1"/>
    <col min="3542" max="3545" width="6.81640625" bestFit="1" customWidth="1"/>
    <col min="3546" max="3546" width="3.81640625" bestFit="1" customWidth="1"/>
    <col min="3547" max="3548" width="6.81640625" bestFit="1" customWidth="1"/>
    <col min="3549" max="3549" width="7.81640625" bestFit="1" customWidth="1"/>
    <col min="3550" max="3550" width="6.81640625" bestFit="1" customWidth="1"/>
    <col min="3551" max="3551" width="5.81640625" bestFit="1" customWidth="1"/>
    <col min="3552" max="3552" width="6.81640625" bestFit="1" customWidth="1"/>
    <col min="3553" max="3553" width="7.81640625" bestFit="1" customWidth="1"/>
    <col min="3554" max="3554" width="6.81640625" bestFit="1" customWidth="1"/>
    <col min="3555" max="3558" width="7.81640625" bestFit="1" customWidth="1"/>
    <col min="3559" max="3561" width="6.81640625" bestFit="1" customWidth="1"/>
    <col min="3562" max="3562" width="7.81640625" bestFit="1" customWidth="1"/>
    <col min="3563" max="3563" width="5.81640625" bestFit="1" customWidth="1"/>
    <col min="3564" max="3570" width="6.81640625" bestFit="1" customWidth="1"/>
    <col min="3571" max="3572" width="7.81640625" bestFit="1" customWidth="1"/>
    <col min="3573" max="3575" width="6.81640625" bestFit="1" customWidth="1"/>
    <col min="3576" max="3576" width="7.81640625" bestFit="1" customWidth="1"/>
    <col min="3577" max="3577" width="8.81640625" bestFit="1" customWidth="1"/>
    <col min="3578" max="3579" width="7.81640625" bestFit="1" customWidth="1"/>
    <col min="3580" max="3580" width="6.81640625" bestFit="1" customWidth="1"/>
    <col min="3581" max="3581" width="7.81640625" bestFit="1" customWidth="1"/>
    <col min="3582" max="3582" width="5.81640625" bestFit="1" customWidth="1"/>
    <col min="3583" max="3585" width="6.81640625" bestFit="1" customWidth="1"/>
    <col min="3586" max="3587" width="7.81640625" bestFit="1" customWidth="1"/>
    <col min="3588" max="3588" width="5.81640625" bestFit="1" customWidth="1"/>
    <col min="3589" max="3589" width="7.81640625" bestFit="1" customWidth="1"/>
    <col min="3590" max="3593" width="6.81640625" bestFit="1" customWidth="1"/>
    <col min="3594" max="3594" width="7.81640625" bestFit="1" customWidth="1"/>
    <col min="3595" max="3595" width="5.81640625" bestFit="1" customWidth="1"/>
    <col min="3596" max="3599" width="6.81640625" bestFit="1" customWidth="1"/>
    <col min="3600" max="3600" width="7.81640625" bestFit="1" customWidth="1"/>
    <col min="3601" max="3601" width="6.81640625" bestFit="1" customWidth="1"/>
    <col min="3602" max="3602" width="7.81640625" bestFit="1" customWidth="1"/>
    <col min="3603" max="3603" width="6.81640625" bestFit="1" customWidth="1"/>
    <col min="3604" max="3604" width="3.81640625" bestFit="1" customWidth="1"/>
    <col min="3605" max="3606" width="6.81640625" bestFit="1" customWidth="1"/>
    <col min="3607" max="3607" width="7.81640625" bestFit="1" customWidth="1"/>
    <col min="3608" max="3611" width="6.81640625" bestFit="1" customWidth="1"/>
    <col min="3612" max="3613" width="7.81640625" bestFit="1" customWidth="1"/>
    <col min="3614" max="3617" width="6.81640625" bestFit="1" customWidth="1"/>
    <col min="3618" max="3618" width="5.81640625" bestFit="1" customWidth="1"/>
    <col min="3619" max="3620" width="6.81640625" bestFit="1" customWidth="1"/>
    <col min="3621" max="3621" width="7.81640625" bestFit="1" customWidth="1"/>
    <col min="3622" max="3622" width="6.81640625" bestFit="1" customWidth="1"/>
    <col min="3623" max="3623" width="7.81640625" bestFit="1" customWidth="1"/>
    <col min="3624" max="3626" width="6.81640625" bestFit="1" customWidth="1"/>
    <col min="3627" max="3631" width="7.81640625" bestFit="1" customWidth="1"/>
    <col min="3632" max="3633" width="6.81640625" bestFit="1" customWidth="1"/>
    <col min="3634" max="3634" width="7.81640625" bestFit="1" customWidth="1"/>
    <col min="3635" max="3635" width="6.81640625" bestFit="1" customWidth="1"/>
    <col min="3636" max="3636" width="5.81640625" bestFit="1" customWidth="1"/>
    <col min="3637" max="3641" width="6.81640625" bestFit="1" customWidth="1"/>
    <col min="3642" max="3642" width="5.81640625" bestFit="1" customWidth="1"/>
    <col min="3643" max="3646" width="6.81640625" bestFit="1" customWidth="1"/>
    <col min="3647" max="3647" width="7.81640625" bestFit="1" customWidth="1"/>
    <col min="3648" max="3648" width="6.81640625" bestFit="1" customWidth="1"/>
    <col min="3649" max="3649" width="7.81640625" bestFit="1" customWidth="1"/>
    <col min="3650" max="3652" width="6.81640625" bestFit="1" customWidth="1"/>
    <col min="3653" max="3653" width="7.81640625" bestFit="1" customWidth="1"/>
    <col min="3654" max="3654" width="6.81640625" bestFit="1" customWidth="1"/>
    <col min="3655" max="3656" width="7.81640625" bestFit="1" customWidth="1"/>
    <col min="3657" max="3657" width="6.81640625" bestFit="1" customWidth="1"/>
    <col min="3658" max="3658" width="7.81640625" bestFit="1" customWidth="1"/>
    <col min="3659" max="3659" width="6.81640625" bestFit="1" customWidth="1"/>
    <col min="3660" max="3660" width="7.81640625" bestFit="1" customWidth="1"/>
    <col min="3661" max="3661" width="5.81640625" bestFit="1" customWidth="1"/>
    <col min="3662" max="3664" width="7.81640625" bestFit="1" customWidth="1"/>
    <col min="3665" max="3665" width="6.81640625" bestFit="1" customWidth="1"/>
    <col min="3666" max="3666" width="7.81640625" bestFit="1" customWidth="1"/>
    <col min="3667" max="3668" width="6.81640625" bestFit="1" customWidth="1"/>
    <col min="3669" max="3671" width="7.81640625" bestFit="1" customWidth="1"/>
    <col min="3672" max="3672" width="6.81640625" bestFit="1" customWidth="1"/>
    <col min="3673" max="3674" width="7.81640625" bestFit="1" customWidth="1"/>
    <col min="3675" max="3678" width="6.81640625" bestFit="1" customWidth="1"/>
    <col min="3679" max="3679" width="5.81640625" bestFit="1" customWidth="1"/>
    <col min="3680" max="3680" width="7.81640625" bestFit="1" customWidth="1"/>
    <col min="3681" max="3683" width="6.81640625" bestFit="1" customWidth="1"/>
    <col min="3684" max="3684" width="7.81640625" bestFit="1" customWidth="1"/>
    <col min="3685" max="3685" width="5.81640625" bestFit="1" customWidth="1"/>
    <col min="3686" max="3689" width="7.81640625" bestFit="1" customWidth="1"/>
    <col min="3690" max="3690" width="6.81640625" bestFit="1" customWidth="1"/>
    <col min="3691" max="3692" width="7.81640625" bestFit="1" customWidth="1"/>
    <col min="3693" max="3693" width="5.81640625" bestFit="1" customWidth="1"/>
    <col min="3694" max="3694" width="6.81640625" bestFit="1" customWidth="1"/>
    <col min="3695" max="3695" width="8.81640625" bestFit="1" customWidth="1"/>
    <col min="3696" max="3696" width="7.81640625" bestFit="1" customWidth="1"/>
    <col min="3697" max="3697" width="5.81640625" bestFit="1" customWidth="1"/>
    <col min="3698" max="3701" width="6.81640625" bestFit="1" customWidth="1"/>
    <col min="3702" max="3702" width="7.81640625" bestFit="1" customWidth="1"/>
    <col min="3703" max="3704" width="6.81640625" bestFit="1" customWidth="1"/>
    <col min="3705" max="3706" width="7.81640625" bestFit="1" customWidth="1"/>
    <col min="3707" max="3707" width="5.81640625" bestFit="1" customWidth="1"/>
    <col min="3708" max="3708" width="3.81640625" bestFit="1" customWidth="1"/>
    <col min="3709" max="3709" width="5.81640625" bestFit="1" customWidth="1"/>
    <col min="3710" max="3710" width="7.81640625" bestFit="1" customWidth="1"/>
    <col min="3711" max="3712" width="6.81640625" bestFit="1" customWidth="1"/>
    <col min="3713" max="3713" width="7.81640625" bestFit="1" customWidth="1"/>
    <col min="3714" max="3714" width="6.81640625" bestFit="1" customWidth="1"/>
    <col min="3715" max="3716" width="7.81640625" bestFit="1" customWidth="1"/>
    <col min="3717" max="3719" width="6.81640625" bestFit="1" customWidth="1"/>
    <col min="3720" max="3720" width="7.81640625" bestFit="1" customWidth="1"/>
    <col min="3721" max="3721" width="6.81640625" bestFit="1" customWidth="1"/>
    <col min="3722" max="3722" width="5.81640625" bestFit="1" customWidth="1"/>
    <col min="3723" max="3723" width="6.81640625" bestFit="1" customWidth="1"/>
    <col min="3724" max="3724" width="7.81640625" bestFit="1" customWidth="1"/>
    <col min="3725" max="3725" width="5.81640625" bestFit="1" customWidth="1"/>
    <col min="3726" max="3728" width="6.81640625" bestFit="1" customWidth="1"/>
    <col min="3729" max="3731" width="7.81640625" bestFit="1" customWidth="1"/>
    <col min="3732" max="3736" width="6.81640625" bestFit="1" customWidth="1"/>
    <col min="3737" max="3738" width="7.81640625" bestFit="1" customWidth="1"/>
    <col min="3739" max="3741" width="6.81640625" bestFit="1" customWidth="1"/>
    <col min="3742" max="3743" width="7.81640625" bestFit="1" customWidth="1"/>
    <col min="3744" max="3744" width="6.81640625" bestFit="1" customWidth="1"/>
    <col min="3745" max="3745" width="7.81640625" bestFit="1" customWidth="1"/>
    <col min="3746" max="3750" width="6.81640625" bestFit="1" customWidth="1"/>
    <col min="3751" max="3752" width="7.81640625" bestFit="1" customWidth="1"/>
    <col min="3753" max="3755" width="6.81640625" bestFit="1" customWidth="1"/>
    <col min="3756" max="3756" width="7.81640625" bestFit="1" customWidth="1"/>
    <col min="3757" max="3757" width="6.81640625" bestFit="1" customWidth="1"/>
    <col min="3758" max="3761" width="7.81640625" bestFit="1" customWidth="1"/>
    <col min="3762" max="3764" width="6.81640625" bestFit="1" customWidth="1"/>
    <col min="3765" max="3766" width="7.81640625" bestFit="1" customWidth="1"/>
    <col min="3767" max="3767" width="6.81640625" bestFit="1" customWidth="1"/>
    <col min="3768" max="3768" width="7.81640625" bestFit="1" customWidth="1"/>
    <col min="3769" max="3770" width="6.81640625" bestFit="1" customWidth="1"/>
    <col min="3771" max="3773" width="7.81640625" bestFit="1" customWidth="1"/>
    <col min="3774" max="3775" width="6.81640625" bestFit="1" customWidth="1"/>
    <col min="3776" max="3776" width="7.81640625" bestFit="1" customWidth="1"/>
    <col min="3777" max="3777" width="3.81640625" bestFit="1" customWidth="1"/>
    <col min="3778" max="3779" width="7.81640625" bestFit="1" customWidth="1"/>
    <col min="3780" max="3780" width="5.81640625" bestFit="1" customWidth="1"/>
    <col min="3781" max="3781" width="7.81640625" bestFit="1" customWidth="1"/>
    <col min="3782" max="3783" width="6.81640625" bestFit="1" customWidth="1"/>
    <col min="3784" max="3784" width="7.81640625" bestFit="1" customWidth="1"/>
    <col min="3785" max="3785" width="6.81640625" bestFit="1" customWidth="1"/>
    <col min="3786" max="3786" width="7.81640625" bestFit="1" customWidth="1"/>
    <col min="3787" max="3787" width="6.81640625" bestFit="1" customWidth="1"/>
    <col min="3788" max="3790" width="7.81640625" bestFit="1" customWidth="1"/>
    <col min="3791" max="3791" width="8.81640625" bestFit="1" customWidth="1"/>
    <col min="3792" max="3792" width="5.81640625" bestFit="1" customWidth="1"/>
    <col min="3793" max="3793" width="7.81640625" bestFit="1" customWidth="1"/>
    <col min="3794" max="3796" width="6.81640625" bestFit="1" customWidth="1"/>
    <col min="3797" max="3798" width="7.81640625" bestFit="1" customWidth="1"/>
    <col min="3799" max="3799" width="6.81640625" bestFit="1" customWidth="1"/>
    <col min="3800" max="3800" width="7.81640625" bestFit="1" customWidth="1"/>
    <col min="3801" max="3801" width="6.81640625" bestFit="1" customWidth="1"/>
    <col min="3802" max="3802" width="7.81640625" bestFit="1" customWidth="1"/>
    <col min="3803" max="3804" width="6.81640625" bestFit="1" customWidth="1"/>
    <col min="3805" max="3805" width="5.81640625" bestFit="1" customWidth="1"/>
    <col min="3806" max="3806" width="8.81640625" bestFit="1" customWidth="1"/>
    <col min="3807" max="3807" width="5.81640625" bestFit="1" customWidth="1"/>
    <col min="3808" max="3811" width="6.81640625" bestFit="1" customWidth="1"/>
    <col min="3812" max="3813" width="7.81640625" bestFit="1" customWidth="1"/>
    <col min="3814" max="3814" width="5.81640625" bestFit="1" customWidth="1"/>
    <col min="3815" max="3815" width="7.81640625" bestFit="1" customWidth="1"/>
    <col min="3816" max="3816" width="6.81640625" bestFit="1" customWidth="1"/>
    <col min="3817" max="3820" width="7.81640625" bestFit="1" customWidth="1"/>
    <col min="3821" max="3827" width="6.81640625" bestFit="1" customWidth="1"/>
    <col min="3828" max="3831" width="7.81640625" bestFit="1" customWidth="1"/>
    <col min="3832" max="3832" width="6.81640625" bestFit="1" customWidth="1"/>
    <col min="3833" max="3833" width="7.81640625" bestFit="1" customWidth="1"/>
    <col min="3834" max="3836" width="6.81640625" bestFit="1" customWidth="1"/>
    <col min="3837" max="3837" width="7.81640625" bestFit="1" customWidth="1"/>
    <col min="3838" max="3838" width="6.81640625" bestFit="1" customWidth="1"/>
    <col min="3839" max="3840" width="7.81640625" bestFit="1" customWidth="1"/>
    <col min="3841" max="3842" width="6.81640625" bestFit="1" customWidth="1"/>
    <col min="3843" max="3843" width="7.81640625" bestFit="1" customWidth="1"/>
    <col min="3844" max="3844" width="5.81640625" bestFit="1" customWidth="1"/>
    <col min="3845" max="3845" width="7.81640625" bestFit="1" customWidth="1"/>
    <col min="3846" max="3846" width="5.81640625" bestFit="1" customWidth="1"/>
    <col min="3847" max="3850" width="6.81640625" bestFit="1" customWidth="1"/>
    <col min="3851" max="3852" width="7.81640625" bestFit="1" customWidth="1"/>
    <col min="3853" max="3853" width="6.81640625" bestFit="1" customWidth="1"/>
    <col min="3854" max="3854" width="7.81640625" bestFit="1" customWidth="1"/>
    <col min="3855" max="3855" width="6.81640625" bestFit="1" customWidth="1"/>
    <col min="3856" max="3858" width="7.81640625" bestFit="1" customWidth="1"/>
    <col min="3859" max="3859" width="6.81640625" bestFit="1" customWidth="1"/>
    <col min="3860" max="3860" width="7.81640625" bestFit="1" customWidth="1"/>
    <col min="3861" max="3863" width="6.81640625" bestFit="1" customWidth="1"/>
    <col min="3864" max="3865" width="7.81640625" bestFit="1" customWidth="1"/>
    <col min="3866" max="3866" width="5.81640625" bestFit="1" customWidth="1"/>
    <col min="3867" max="3867" width="8.81640625" bestFit="1" customWidth="1"/>
    <col min="3868" max="3868" width="6.81640625" bestFit="1" customWidth="1"/>
    <col min="3869" max="3869" width="5.81640625" bestFit="1" customWidth="1"/>
    <col min="3870" max="3871" width="6.81640625" bestFit="1" customWidth="1"/>
    <col min="3872" max="3873" width="7.81640625" bestFit="1" customWidth="1"/>
    <col min="3874" max="3874" width="8.81640625" bestFit="1" customWidth="1"/>
    <col min="3875" max="3875" width="7.81640625" bestFit="1" customWidth="1"/>
    <col min="3876" max="3876" width="6.81640625" bestFit="1" customWidth="1"/>
    <col min="3877" max="3877" width="7.81640625" bestFit="1" customWidth="1"/>
    <col min="3878" max="3878" width="8.81640625" bestFit="1" customWidth="1"/>
    <col min="3879" max="3879" width="5.81640625" bestFit="1" customWidth="1"/>
    <col min="3880" max="3882" width="7.81640625" bestFit="1" customWidth="1"/>
    <col min="3883" max="3883" width="6.81640625" bestFit="1" customWidth="1"/>
    <col min="3884" max="3885" width="7.81640625" bestFit="1" customWidth="1"/>
    <col min="3886" max="3886" width="3.81640625" bestFit="1" customWidth="1"/>
    <col min="3887" max="3888" width="7.81640625" bestFit="1" customWidth="1"/>
    <col min="3889" max="3891" width="6.81640625" bestFit="1" customWidth="1"/>
    <col min="3892" max="3893" width="7.81640625" bestFit="1" customWidth="1"/>
    <col min="3894" max="3896" width="6.81640625" bestFit="1" customWidth="1"/>
    <col min="3897" max="3897" width="7.81640625" bestFit="1" customWidth="1"/>
    <col min="3898" max="3899" width="5.81640625" bestFit="1" customWidth="1"/>
    <col min="3900" max="3900" width="7.81640625" bestFit="1" customWidth="1"/>
    <col min="3901" max="3901" width="5.81640625" bestFit="1" customWidth="1"/>
    <col min="3902" max="3902" width="6.81640625" bestFit="1" customWidth="1"/>
    <col min="3903" max="3903" width="5.81640625" bestFit="1" customWidth="1"/>
    <col min="3904" max="3904" width="7.81640625" bestFit="1" customWidth="1"/>
    <col min="3905" max="3908" width="6.81640625" bestFit="1" customWidth="1"/>
    <col min="3909" max="3913" width="7.81640625" bestFit="1" customWidth="1"/>
    <col min="3914" max="3918" width="6.81640625" bestFit="1" customWidth="1"/>
    <col min="3919" max="3922" width="7.81640625" bestFit="1" customWidth="1"/>
    <col min="3923" max="3924" width="6.81640625" bestFit="1" customWidth="1"/>
    <col min="3925" max="3925" width="7.81640625" bestFit="1" customWidth="1"/>
    <col min="3926" max="3927" width="6.81640625" bestFit="1" customWidth="1"/>
    <col min="3928" max="3928" width="5.81640625" bestFit="1" customWidth="1"/>
    <col min="3929" max="3931" width="6.81640625" bestFit="1" customWidth="1"/>
    <col min="3932" max="3934" width="7.81640625" bestFit="1" customWidth="1"/>
    <col min="3935" max="3938" width="6.81640625" bestFit="1" customWidth="1"/>
    <col min="3939" max="3939" width="5.81640625" bestFit="1" customWidth="1"/>
    <col min="3940" max="3940" width="6.81640625" bestFit="1" customWidth="1"/>
    <col min="3941" max="3943" width="7.81640625" bestFit="1" customWidth="1"/>
    <col min="3944" max="3944" width="6.81640625" bestFit="1" customWidth="1"/>
    <col min="3945" max="3946" width="7.81640625" bestFit="1" customWidth="1"/>
    <col min="3947" max="3947" width="5.81640625" bestFit="1" customWidth="1"/>
    <col min="3948" max="3948" width="7.81640625" bestFit="1" customWidth="1"/>
    <col min="3949" max="3949" width="6.81640625" bestFit="1" customWidth="1"/>
    <col min="3950" max="3951" width="7.81640625" bestFit="1" customWidth="1"/>
    <col min="3952" max="3952" width="6.81640625" bestFit="1" customWidth="1"/>
    <col min="3953" max="3954" width="7.81640625" bestFit="1" customWidth="1"/>
    <col min="3955" max="3955" width="6.81640625" bestFit="1" customWidth="1"/>
    <col min="3956" max="3958" width="7.81640625" bestFit="1" customWidth="1"/>
    <col min="3959" max="3959" width="5.81640625" bestFit="1" customWidth="1"/>
    <col min="3960" max="3960" width="6.81640625" bestFit="1" customWidth="1"/>
    <col min="3961" max="3961" width="5.81640625" bestFit="1" customWidth="1"/>
    <col min="3962" max="3962" width="7.81640625" bestFit="1" customWidth="1"/>
    <col min="3963" max="3963" width="8.81640625" bestFit="1" customWidth="1"/>
    <col min="3964" max="3966" width="7.81640625" bestFit="1" customWidth="1"/>
    <col min="3967" max="3968" width="6.81640625" bestFit="1" customWidth="1"/>
    <col min="3969" max="3970" width="7.81640625" bestFit="1" customWidth="1"/>
    <col min="3971" max="3972" width="6.81640625" bestFit="1" customWidth="1"/>
    <col min="3973" max="3973" width="7.81640625" bestFit="1" customWidth="1"/>
    <col min="3974" max="3978" width="6.81640625" bestFit="1" customWidth="1"/>
    <col min="3979" max="3983" width="7.81640625" bestFit="1" customWidth="1"/>
    <col min="3984" max="3986" width="6.81640625" bestFit="1" customWidth="1"/>
    <col min="3987" max="3990" width="7.81640625" bestFit="1" customWidth="1"/>
    <col min="3991" max="3991" width="5.81640625" bestFit="1" customWidth="1"/>
    <col min="3992" max="3992" width="6.81640625" bestFit="1" customWidth="1"/>
    <col min="3993" max="3993" width="7.81640625" bestFit="1" customWidth="1"/>
    <col min="3994" max="3999" width="6.81640625" bestFit="1" customWidth="1"/>
    <col min="4000" max="4000" width="7.81640625" bestFit="1" customWidth="1"/>
    <col min="4001" max="4001" width="6.81640625" bestFit="1" customWidth="1"/>
    <col min="4002" max="4002" width="7.81640625" bestFit="1" customWidth="1"/>
    <col min="4003" max="4004" width="6.81640625" bestFit="1" customWidth="1"/>
    <col min="4005" max="4006" width="7.81640625" bestFit="1" customWidth="1"/>
    <col min="4007" max="4009" width="6.81640625" bestFit="1" customWidth="1"/>
    <col min="4010" max="4010" width="5.81640625" bestFit="1" customWidth="1"/>
    <col min="4011" max="4013" width="6.81640625" bestFit="1" customWidth="1"/>
    <col min="4014" max="4014" width="7.81640625" bestFit="1" customWidth="1"/>
    <col min="4015" max="4018" width="6.81640625" bestFit="1" customWidth="1"/>
    <col min="4019" max="4020" width="7.81640625" bestFit="1" customWidth="1"/>
    <col min="4021" max="4021" width="6.81640625" bestFit="1" customWidth="1"/>
    <col min="4022" max="4022" width="7.81640625" bestFit="1" customWidth="1"/>
    <col min="4023" max="4023" width="6.81640625" bestFit="1" customWidth="1"/>
    <col min="4024" max="4024" width="3.81640625" bestFit="1" customWidth="1"/>
    <col min="4025" max="4025" width="5.81640625" bestFit="1" customWidth="1"/>
    <col min="4026" max="4026" width="7.81640625" bestFit="1" customWidth="1"/>
    <col min="4027" max="4027" width="6.81640625" bestFit="1" customWidth="1"/>
    <col min="4028" max="4028" width="7.81640625" bestFit="1" customWidth="1"/>
    <col min="4029" max="4029" width="3.81640625" bestFit="1" customWidth="1"/>
    <col min="4030" max="4030" width="7.81640625" bestFit="1" customWidth="1"/>
    <col min="4031" max="4032" width="6.81640625" bestFit="1" customWidth="1"/>
    <col min="4033" max="4033" width="7.81640625" bestFit="1" customWidth="1"/>
    <col min="4034" max="4035" width="6.81640625" bestFit="1" customWidth="1"/>
    <col min="4036" max="4038" width="7.81640625" bestFit="1" customWidth="1"/>
    <col min="4039" max="4039" width="5.81640625" bestFit="1" customWidth="1"/>
    <col min="4040" max="4040" width="7.81640625" bestFit="1" customWidth="1"/>
    <col min="4041" max="4042" width="5.81640625" bestFit="1" customWidth="1"/>
    <col min="4043" max="4043" width="6.81640625" bestFit="1" customWidth="1"/>
    <col min="4044" max="4044" width="5.81640625" bestFit="1" customWidth="1"/>
    <col min="4045" max="4046" width="6.81640625" bestFit="1" customWidth="1"/>
    <col min="4047" max="4047" width="7.81640625" bestFit="1" customWidth="1"/>
    <col min="4048" max="4049" width="6.81640625" bestFit="1" customWidth="1"/>
    <col min="4050" max="4050" width="7.81640625" bestFit="1" customWidth="1"/>
    <col min="4051" max="4051" width="6.81640625" bestFit="1" customWidth="1"/>
    <col min="4052" max="4052" width="7.81640625" bestFit="1" customWidth="1"/>
    <col min="4053" max="4053" width="6.81640625" bestFit="1" customWidth="1"/>
    <col min="4054" max="4055" width="7.81640625" bestFit="1" customWidth="1"/>
    <col min="4056" max="4056" width="6.81640625" bestFit="1" customWidth="1"/>
    <col min="4057" max="4059" width="7.81640625" bestFit="1" customWidth="1"/>
    <col min="4060" max="4060" width="6.81640625" bestFit="1" customWidth="1"/>
    <col min="4061" max="4061" width="5.81640625" bestFit="1" customWidth="1"/>
    <col min="4062" max="4062" width="7.81640625" bestFit="1" customWidth="1"/>
    <col min="4063" max="4064" width="6.81640625" bestFit="1" customWidth="1"/>
    <col min="4065" max="4067" width="7.81640625" bestFit="1" customWidth="1"/>
    <col min="4068" max="4068" width="6.81640625" bestFit="1" customWidth="1"/>
    <col min="4069" max="4069" width="7.81640625" bestFit="1" customWidth="1"/>
    <col min="4070" max="4070" width="5.81640625" bestFit="1" customWidth="1"/>
    <col min="4071" max="4071" width="6.81640625" bestFit="1" customWidth="1"/>
    <col min="4072" max="4072" width="7.81640625" bestFit="1" customWidth="1"/>
    <col min="4073" max="4074" width="6.81640625" bestFit="1" customWidth="1"/>
    <col min="4075" max="4076" width="7.81640625" bestFit="1" customWidth="1"/>
    <col min="4077" max="4077" width="6.81640625" bestFit="1" customWidth="1"/>
    <col min="4078" max="4080" width="7.81640625" bestFit="1" customWidth="1"/>
    <col min="4081" max="4083" width="6.81640625" bestFit="1" customWidth="1"/>
    <col min="4084" max="4084" width="8.81640625" bestFit="1" customWidth="1"/>
    <col min="4085" max="4088" width="7.81640625" bestFit="1" customWidth="1"/>
    <col min="4089" max="4089" width="6.81640625" bestFit="1" customWidth="1"/>
    <col min="4090" max="4090" width="7.81640625" bestFit="1" customWidth="1"/>
    <col min="4091" max="4091" width="5.81640625" bestFit="1" customWidth="1"/>
    <col min="4092" max="4097" width="6.81640625" bestFit="1" customWidth="1"/>
    <col min="4098" max="4098" width="7.81640625" bestFit="1" customWidth="1"/>
    <col min="4099" max="4101" width="6.81640625" bestFit="1" customWidth="1"/>
    <col min="4102" max="4103" width="7.81640625" bestFit="1" customWidth="1"/>
    <col min="4104" max="4108" width="6.81640625" bestFit="1" customWidth="1"/>
    <col min="4109" max="4110" width="7.81640625" bestFit="1" customWidth="1"/>
    <col min="4111" max="4111" width="3.81640625" bestFit="1" customWidth="1"/>
    <col min="4112" max="4112" width="7.81640625" bestFit="1" customWidth="1"/>
    <col min="4113" max="4113" width="5.81640625" bestFit="1" customWidth="1"/>
    <col min="4114" max="4117" width="7.81640625" bestFit="1" customWidth="1"/>
    <col min="4118" max="4118" width="6.81640625" bestFit="1" customWidth="1"/>
    <col min="4119" max="4122" width="7.81640625" bestFit="1" customWidth="1"/>
    <col min="4123" max="4123" width="5.81640625" bestFit="1" customWidth="1"/>
    <col min="4124" max="4124" width="6.81640625" bestFit="1" customWidth="1"/>
    <col min="4125" max="4125" width="8.81640625" bestFit="1" customWidth="1"/>
    <col min="4126" max="4126" width="7.81640625" bestFit="1" customWidth="1"/>
    <col min="4127" max="4130" width="6.81640625" bestFit="1" customWidth="1"/>
    <col min="4131" max="4136" width="7.81640625" bestFit="1" customWidth="1"/>
    <col min="4137" max="4139" width="6.81640625" bestFit="1" customWidth="1"/>
    <col min="4140" max="4141" width="7.81640625" bestFit="1" customWidth="1"/>
    <col min="4142" max="4142" width="6.81640625" bestFit="1" customWidth="1"/>
    <col min="4143" max="4145" width="7.81640625" bestFit="1" customWidth="1"/>
    <col min="4146" max="4146" width="6.81640625" bestFit="1" customWidth="1"/>
    <col min="4147" max="4147" width="5.81640625" bestFit="1" customWidth="1"/>
    <col min="4148" max="4148" width="7.81640625" bestFit="1" customWidth="1"/>
    <col min="4149" max="4149" width="5.81640625" bestFit="1" customWidth="1"/>
    <col min="4150" max="4150" width="6.81640625" bestFit="1" customWidth="1"/>
    <col min="4151" max="4151" width="7.81640625" bestFit="1" customWidth="1"/>
    <col min="4152" max="4158" width="6.81640625" bestFit="1" customWidth="1"/>
    <col min="4159" max="4160" width="7.81640625" bestFit="1" customWidth="1"/>
    <col min="4161" max="4165" width="6.81640625" bestFit="1" customWidth="1"/>
    <col min="4166" max="4166" width="7.81640625" bestFit="1" customWidth="1"/>
    <col min="4167" max="4168" width="6.81640625" bestFit="1" customWidth="1"/>
    <col min="4169" max="4169" width="7.81640625" bestFit="1" customWidth="1"/>
    <col min="4170" max="4171" width="6.81640625" bestFit="1" customWidth="1"/>
    <col min="4172" max="4174" width="7.81640625" bestFit="1" customWidth="1"/>
    <col min="4175" max="4176" width="6.81640625" bestFit="1" customWidth="1"/>
    <col min="4177" max="4177" width="5.81640625" bestFit="1" customWidth="1"/>
    <col min="4178" max="4180" width="6.81640625" bestFit="1" customWidth="1"/>
    <col min="4181" max="4181" width="7.81640625" bestFit="1" customWidth="1"/>
    <col min="4182" max="4182" width="3.81640625" bestFit="1" customWidth="1"/>
    <col min="4183" max="4186" width="6.81640625" bestFit="1" customWidth="1"/>
    <col min="4187" max="4187" width="7.81640625" bestFit="1" customWidth="1"/>
    <col min="4188" max="4188" width="5.81640625" bestFit="1" customWidth="1"/>
    <col min="4189" max="4189" width="6.81640625" bestFit="1" customWidth="1"/>
    <col min="4190" max="4193" width="7.81640625" bestFit="1" customWidth="1"/>
    <col min="4194" max="4194" width="5.81640625" bestFit="1" customWidth="1"/>
    <col min="4195" max="4197" width="7.81640625" bestFit="1" customWidth="1"/>
    <col min="4198" max="4200" width="6.81640625" bestFit="1" customWidth="1"/>
    <col min="4201" max="4204" width="7.81640625" bestFit="1" customWidth="1"/>
    <col min="4205" max="4206" width="6.81640625" bestFit="1" customWidth="1"/>
    <col min="4207" max="4207" width="7.81640625" bestFit="1" customWidth="1"/>
    <col min="4208" max="4208" width="5.81640625" bestFit="1" customWidth="1"/>
    <col min="4209" max="4209" width="7.81640625" bestFit="1" customWidth="1"/>
    <col min="4210" max="4210" width="6.81640625" bestFit="1" customWidth="1"/>
    <col min="4211" max="4211" width="5.81640625" bestFit="1" customWidth="1"/>
    <col min="4212" max="4212" width="6.81640625" bestFit="1" customWidth="1"/>
    <col min="4213" max="4213" width="7.81640625" bestFit="1" customWidth="1"/>
    <col min="4214" max="4216" width="6.81640625" bestFit="1" customWidth="1"/>
    <col min="4217" max="4217" width="7.81640625" bestFit="1" customWidth="1"/>
    <col min="4218" max="4218" width="6.81640625" bestFit="1" customWidth="1"/>
    <col min="4219" max="4219" width="7.81640625" bestFit="1" customWidth="1"/>
    <col min="4220" max="4222" width="6.81640625" bestFit="1" customWidth="1"/>
    <col min="4223" max="4223" width="7.81640625" bestFit="1" customWidth="1"/>
    <col min="4224" max="4226" width="5.81640625" bestFit="1" customWidth="1"/>
    <col min="4227" max="4227" width="6.81640625" bestFit="1" customWidth="1"/>
    <col min="4228" max="4228" width="7.81640625" bestFit="1" customWidth="1"/>
    <col min="4229" max="4229" width="6.81640625" bestFit="1" customWidth="1"/>
    <col min="4230" max="4230" width="5.81640625" bestFit="1" customWidth="1"/>
    <col min="4231" max="4231" width="7.81640625" bestFit="1" customWidth="1"/>
    <col min="4232" max="4233" width="6.81640625" bestFit="1" customWidth="1"/>
    <col min="4234" max="4235" width="7.81640625" bestFit="1" customWidth="1"/>
    <col min="4236" max="4236" width="6.81640625" bestFit="1" customWidth="1"/>
    <col min="4237" max="4239" width="7.81640625" bestFit="1" customWidth="1"/>
    <col min="4240" max="4241" width="6.81640625" bestFit="1" customWidth="1"/>
    <col min="4242" max="4242" width="7.81640625" bestFit="1" customWidth="1"/>
    <col min="4243" max="4246" width="6.81640625" bestFit="1" customWidth="1"/>
    <col min="4247" max="4247" width="7.81640625" bestFit="1" customWidth="1"/>
    <col min="4248" max="4250" width="6.81640625" bestFit="1" customWidth="1"/>
    <col min="4251" max="4252" width="7.81640625" bestFit="1" customWidth="1"/>
    <col min="4253" max="4253" width="6.81640625" bestFit="1" customWidth="1"/>
    <col min="4254" max="4254" width="7.81640625" bestFit="1" customWidth="1"/>
    <col min="4255" max="4255" width="6.81640625" bestFit="1" customWidth="1"/>
    <col min="4256" max="4256" width="7.81640625" bestFit="1" customWidth="1"/>
    <col min="4257" max="4257" width="6.81640625" bestFit="1" customWidth="1"/>
    <col min="4258" max="4258" width="5.81640625" bestFit="1" customWidth="1"/>
    <col min="4259" max="4267" width="6.81640625" bestFit="1" customWidth="1"/>
    <col min="4268" max="4268" width="7.81640625" bestFit="1" customWidth="1"/>
    <col min="4269" max="4269" width="6.81640625" bestFit="1" customWidth="1"/>
    <col min="4270" max="4270" width="7.81640625" bestFit="1" customWidth="1"/>
    <col min="4271" max="4271" width="3.81640625" bestFit="1" customWidth="1"/>
    <col min="4272" max="4272" width="6.81640625" bestFit="1" customWidth="1"/>
    <col min="4273" max="4273" width="5.81640625" bestFit="1" customWidth="1"/>
    <col min="4274" max="4274" width="6.81640625" bestFit="1" customWidth="1"/>
    <col min="4275" max="4275" width="7.81640625" bestFit="1" customWidth="1"/>
    <col min="4276" max="4276" width="5.81640625" bestFit="1" customWidth="1"/>
    <col min="4277" max="4279" width="7.81640625" bestFit="1" customWidth="1"/>
    <col min="4280" max="4280" width="6.81640625" bestFit="1" customWidth="1"/>
    <col min="4281" max="4281" width="5.81640625" bestFit="1" customWidth="1"/>
    <col min="4282" max="4283" width="7.81640625" bestFit="1" customWidth="1"/>
    <col min="4284" max="4284" width="6.81640625" bestFit="1" customWidth="1"/>
    <col min="4285" max="4285" width="5.81640625" bestFit="1" customWidth="1"/>
    <col min="4286" max="4287" width="7.81640625" bestFit="1" customWidth="1"/>
    <col min="4288" max="4288" width="6.81640625" bestFit="1" customWidth="1"/>
    <col min="4289" max="4289" width="7.81640625" bestFit="1" customWidth="1"/>
    <col min="4290" max="4291" width="6.81640625" bestFit="1" customWidth="1"/>
    <col min="4292" max="4292" width="7.81640625" bestFit="1" customWidth="1"/>
    <col min="4293" max="4293" width="5.81640625" bestFit="1" customWidth="1"/>
    <col min="4294" max="4294" width="7.81640625" bestFit="1" customWidth="1"/>
    <col min="4295" max="4295" width="6.81640625" bestFit="1" customWidth="1"/>
    <col min="4296" max="4296" width="7.81640625" bestFit="1" customWidth="1"/>
    <col min="4297" max="4297" width="6.81640625" bestFit="1" customWidth="1"/>
    <col min="4298" max="4301" width="7.81640625" bestFit="1" customWidth="1"/>
    <col min="4302" max="4302" width="6.81640625" bestFit="1" customWidth="1"/>
    <col min="4303" max="4303" width="5.81640625" bestFit="1" customWidth="1"/>
    <col min="4304" max="4306" width="6.81640625" bestFit="1" customWidth="1"/>
    <col min="4307" max="4307" width="7.81640625" bestFit="1" customWidth="1"/>
    <col min="4308" max="4309" width="6.81640625" bestFit="1" customWidth="1"/>
    <col min="4310" max="4310" width="7.81640625" bestFit="1" customWidth="1"/>
    <col min="4311" max="4311" width="8.81640625" bestFit="1" customWidth="1"/>
    <col min="4312" max="4313" width="7.81640625" bestFit="1" customWidth="1"/>
    <col min="4314" max="4317" width="6.81640625" bestFit="1" customWidth="1"/>
    <col min="4318" max="4319" width="7.81640625" bestFit="1" customWidth="1"/>
    <col min="4320" max="4328" width="6.81640625" bestFit="1" customWidth="1"/>
    <col min="4329" max="4329" width="7.81640625" bestFit="1" customWidth="1"/>
    <col min="4330" max="4330" width="5.81640625" bestFit="1" customWidth="1"/>
    <col min="4331" max="4332" width="6.81640625" bestFit="1" customWidth="1"/>
    <col min="4333" max="4333" width="7.81640625" bestFit="1" customWidth="1"/>
    <col min="4334" max="4334" width="8.81640625" bestFit="1" customWidth="1"/>
    <col min="4335" max="4336" width="5.81640625" bestFit="1" customWidth="1"/>
    <col min="4337" max="4341" width="7.81640625" bestFit="1" customWidth="1"/>
    <col min="4342" max="4343" width="6.81640625" bestFit="1" customWidth="1"/>
    <col min="4344" max="4346" width="7.81640625" bestFit="1" customWidth="1"/>
    <col min="4347" max="4347" width="6.81640625" bestFit="1" customWidth="1"/>
    <col min="4348" max="4351" width="7.81640625" bestFit="1" customWidth="1"/>
    <col min="4352" max="4353" width="6.81640625" bestFit="1" customWidth="1"/>
    <col min="4354" max="4354" width="7.81640625" bestFit="1" customWidth="1"/>
    <col min="4355" max="4356" width="6.81640625" bestFit="1" customWidth="1"/>
    <col min="4357" max="4364" width="7.81640625" bestFit="1" customWidth="1"/>
    <col min="4365" max="4365" width="6.81640625" bestFit="1" customWidth="1"/>
    <col min="4366" max="4367" width="5.81640625" bestFit="1" customWidth="1"/>
    <col min="4368" max="4368" width="7.81640625" bestFit="1" customWidth="1"/>
    <col min="4369" max="4369" width="6.81640625" bestFit="1" customWidth="1"/>
    <col min="4370" max="4370" width="3.81640625" bestFit="1" customWidth="1"/>
    <col min="4371" max="4371" width="7.81640625" bestFit="1" customWidth="1"/>
    <col min="4372" max="4372" width="6.81640625" bestFit="1" customWidth="1"/>
    <col min="4373" max="4373" width="5.81640625" bestFit="1" customWidth="1"/>
    <col min="4374" max="4377" width="6.81640625" bestFit="1" customWidth="1"/>
    <col min="4378" max="4378" width="5.81640625" bestFit="1" customWidth="1"/>
    <col min="4379" max="4380" width="6.81640625" bestFit="1" customWidth="1"/>
    <col min="4381" max="4382" width="7.81640625" bestFit="1" customWidth="1"/>
    <col min="4383" max="4384" width="6.81640625" bestFit="1" customWidth="1"/>
    <col min="4385" max="4386" width="7.81640625" bestFit="1" customWidth="1"/>
    <col min="4387" max="4387" width="6.81640625" bestFit="1" customWidth="1"/>
    <col min="4388" max="4388" width="7.81640625" bestFit="1" customWidth="1"/>
    <col min="4389" max="4389" width="6.81640625" bestFit="1" customWidth="1"/>
    <col min="4390" max="4390" width="5.81640625" bestFit="1" customWidth="1"/>
    <col min="4391" max="4391" width="7.81640625" bestFit="1" customWidth="1"/>
    <col min="4392" max="4392" width="6.81640625" bestFit="1" customWidth="1"/>
    <col min="4393" max="4395" width="7.81640625" bestFit="1" customWidth="1"/>
    <col min="4396" max="4396" width="5.81640625" bestFit="1" customWidth="1"/>
    <col min="4397" max="4397" width="7.81640625" bestFit="1" customWidth="1"/>
    <col min="4398" max="4398" width="6.81640625" bestFit="1" customWidth="1"/>
    <col min="4399" max="4400" width="7.81640625" bestFit="1" customWidth="1"/>
    <col min="4401" max="4401" width="8.81640625" bestFit="1" customWidth="1"/>
    <col min="4402" max="4403" width="6.81640625" bestFit="1" customWidth="1"/>
    <col min="4404" max="4405" width="7.81640625" bestFit="1" customWidth="1"/>
    <col min="4406" max="4406" width="8.81640625" bestFit="1" customWidth="1"/>
    <col min="4407" max="4407" width="6.81640625" bestFit="1" customWidth="1"/>
    <col min="4408" max="4410" width="7.81640625" bestFit="1" customWidth="1"/>
    <col min="4411" max="4411" width="5.81640625" bestFit="1" customWidth="1"/>
    <col min="4412" max="4414" width="7.81640625" bestFit="1" customWidth="1"/>
    <col min="4415" max="4415" width="6.81640625" bestFit="1" customWidth="1"/>
    <col min="4416" max="4418" width="7.81640625" bestFit="1" customWidth="1"/>
    <col min="4419" max="4419" width="6.81640625" bestFit="1" customWidth="1"/>
    <col min="4420" max="4420" width="3.81640625" bestFit="1" customWidth="1"/>
    <col min="4421" max="4421" width="7.81640625" bestFit="1" customWidth="1"/>
    <col min="4422" max="4422" width="6.81640625" bestFit="1" customWidth="1"/>
    <col min="4423" max="4425" width="7.81640625" bestFit="1" customWidth="1"/>
    <col min="4426" max="4428" width="6.81640625" bestFit="1" customWidth="1"/>
    <col min="4429" max="4430" width="7.81640625" bestFit="1" customWidth="1"/>
    <col min="4431" max="4431" width="6.81640625" bestFit="1" customWidth="1"/>
    <col min="4432" max="4433" width="7.81640625" bestFit="1" customWidth="1"/>
    <col min="4434" max="4435" width="6.81640625" bestFit="1" customWidth="1"/>
    <col min="4436" max="4437" width="7.81640625" bestFit="1" customWidth="1"/>
    <col min="4438" max="4439" width="6.81640625" bestFit="1" customWidth="1"/>
    <col min="4440" max="4443" width="7.81640625" bestFit="1" customWidth="1"/>
    <col min="4444" max="4444" width="6.81640625" bestFit="1" customWidth="1"/>
    <col min="4445" max="4445" width="7.81640625" bestFit="1" customWidth="1"/>
    <col min="4446" max="4446" width="6.81640625" bestFit="1" customWidth="1"/>
    <col min="4447" max="4447" width="7.81640625" bestFit="1" customWidth="1"/>
    <col min="4448" max="4448" width="6.81640625" bestFit="1" customWidth="1"/>
    <col min="4449" max="4449" width="7.81640625" bestFit="1" customWidth="1"/>
    <col min="4450" max="4450" width="5.81640625" bestFit="1" customWidth="1"/>
    <col min="4451" max="4453" width="6.81640625" bestFit="1" customWidth="1"/>
    <col min="4454" max="4455" width="7.81640625" bestFit="1" customWidth="1"/>
    <col min="4456" max="4457" width="6.81640625" bestFit="1" customWidth="1"/>
    <col min="4458" max="4458" width="7.81640625" bestFit="1" customWidth="1"/>
    <col min="4459" max="4459" width="3.81640625" bestFit="1" customWidth="1"/>
    <col min="4460" max="4460" width="7.81640625" bestFit="1" customWidth="1"/>
    <col min="4461" max="4461" width="6.81640625" bestFit="1" customWidth="1"/>
    <col min="4462" max="4462" width="7.81640625" bestFit="1" customWidth="1"/>
    <col min="4463" max="4463" width="6.81640625" bestFit="1" customWidth="1"/>
    <col min="4464" max="4465" width="7.81640625" bestFit="1" customWidth="1"/>
    <col min="4466" max="4467" width="6.81640625" bestFit="1" customWidth="1"/>
    <col min="4468" max="4468" width="7.81640625" bestFit="1" customWidth="1"/>
    <col min="4469" max="4469" width="6.81640625" bestFit="1" customWidth="1"/>
    <col min="4470" max="4472" width="7.81640625" bestFit="1" customWidth="1"/>
    <col min="4473" max="4473" width="6.81640625" bestFit="1" customWidth="1"/>
    <col min="4474" max="4474" width="7.81640625" bestFit="1" customWidth="1"/>
    <col min="4475" max="4476" width="6.81640625" bestFit="1" customWidth="1"/>
    <col min="4477" max="4477" width="7.81640625" bestFit="1" customWidth="1"/>
    <col min="4478" max="4478" width="6.81640625" bestFit="1" customWidth="1"/>
    <col min="4479" max="4479" width="5.81640625" bestFit="1" customWidth="1"/>
    <col min="4480" max="4481" width="6.81640625" bestFit="1" customWidth="1"/>
    <col min="4482" max="4482" width="7.81640625" bestFit="1" customWidth="1"/>
    <col min="4483" max="4486" width="6.81640625" bestFit="1" customWidth="1"/>
    <col min="4487" max="4487" width="3.81640625" bestFit="1" customWidth="1"/>
    <col min="4488" max="4488" width="6.81640625" bestFit="1" customWidth="1"/>
    <col min="4489" max="4489" width="5.81640625" bestFit="1" customWidth="1"/>
    <col min="4490" max="4490" width="6.81640625" bestFit="1" customWidth="1"/>
    <col min="4491" max="4491" width="7.81640625" bestFit="1" customWidth="1"/>
    <col min="4492" max="4492" width="6.81640625" bestFit="1" customWidth="1"/>
    <col min="4493" max="4494" width="7.81640625" bestFit="1" customWidth="1"/>
    <col min="4495" max="4496" width="6.81640625" bestFit="1" customWidth="1"/>
    <col min="4497" max="4497" width="7.81640625" bestFit="1" customWidth="1"/>
    <col min="4498" max="4498" width="6.81640625" bestFit="1" customWidth="1"/>
    <col min="4499" max="4499" width="3.81640625" bestFit="1" customWidth="1"/>
    <col min="4500" max="4500" width="6.81640625" bestFit="1" customWidth="1"/>
    <col min="4501" max="4503" width="7.81640625" bestFit="1" customWidth="1"/>
    <col min="4504" max="4506" width="6.81640625" bestFit="1" customWidth="1"/>
    <col min="4507" max="4507" width="7.81640625" bestFit="1" customWidth="1"/>
    <col min="4508" max="4509" width="6.81640625" bestFit="1" customWidth="1"/>
    <col min="4510" max="4510" width="7.81640625" bestFit="1" customWidth="1"/>
    <col min="4511" max="4513" width="6.81640625" bestFit="1" customWidth="1"/>
    <col min="4514" max="4514" width="7.81640625" bestFit="1" customWidth="1"/>
    <col min="4515" max="4515" width="6.81640625" bestFit="1" customWidth="1"/>
    <col min="4516" max="4516" width="7.81640625" bestFit="1" customWidth="1"/>
    <col min="4517" max="4517" width="5.81640625" bestFit="1" customWidth="1"/>
    <col min="4518" max="4518" width="6.81640625" bestFit="1" customWidth="1"/>
    <col min="4519" max="4521" width="7.81640625" bestFit="1" customWidth="1"/>
    <col min="4522" max="4525" width="6.81640625" bestFit="1" customWidth="1"/>
    <col min="4526" max="4526" width="8.81640625" bestFit="1" customWidth="1"/>
    <col min="4527" max="4529" width="7.81640625" bestFit="1" customWidth="1"/>
    <col min="4530" max="4531" width="6.81640625" bestFit="1" customWidth="1"/>
    <col min="4532" max="4533" width="7.81640625" bestFit="1" customWidth="1"/>
    <col min="4534" max="4534" width="5.81640625" bestFit="1" customWidth="1"/>
    <col min="4535" max="4535" width="6.81640625" bestFit="1" customWidth="1"/>
    <col min="4536" max="4537" width="7.81640625" bestFit="1" customWidth="1"/>
    <col min="4538" max="4539" width="6.81640625" bestFit="1" customWidth="1"/>
    <col min="4540" max="4540" width="7.81640625" bestFit="1" customWidth="1"/>
    <col min="4541" max="4541" width="6.81640625" bestFit="1" customWidth="1"/>
    <col min="4542" max="4542" width="8.81640625" bestFit="1" customWidth="1"/>
    <col min="4543" max="4543" width="7.81640625" bestFit="1" customWidth="1"/>
    <col min="4544" max="4544" width="6.81640625" bestFit="1" customWidth="1"/>
    <col min="4545" max="4545" width="7.81640625" bestFit="1" customWidth="1"/>
    <col min="4546" max="4546" width="6.81640625" bestFit="1" customWidth="1"/>
    <col min="4547" max="4547" width="7.81640625" bestFit="1" customWidth="1"/>
    <col min="4548" max="4548" width="6.81640625" bestFit="1" customWidth="1"/>
    <col min="4549" max="4549" width="3.81640625" bestFit="1" customWidth="1"/>
    <col min="4550" max="4550" width="7.81640625" bestFit="1" customWidth="1"/>
    <col min="4551" max="4551" width="5.81640625" bestFit="1" customWidth="1"/>
    <col min="4552" max="4552" width="6.81640625" bestFit="1" customWidth="1"/>
    <col min="4553" max="4554" width="7.81640625" bestFit="1" customWidth="1"/>
    <col min="4555" max="4556" width="6.81640625" bestFit="1" customWidth="1"/>
    <col min="4557" max="4557" width="7.81640625" bestFit="1" customWidth="1"/>
    <col min="4558" max="4558" width="6.81640625" bestFit="1" customWidth="1"/>
    <col min="4559" max="4562" width="7.81640625" bestFit="1" customWidth="1"/>
    <col min="4563" max="4563" width="6.81640625" bestFit="1" customWidth="1"/>
    <col min="4564" max="4564" width="5.81640625" bestFit="1" customWidth="1"/>
    <col min="4565" max="4565" width="6.81640625" bestFit="1" customWidth="1"/>
    <col min="4566" max="4566" width="7.81640625" bestFit="1" customWidth="1"/>
    <col min="4567" max="4567" width="6.81640625" bestFit="1" customWidth="1"/>
    <col min="4568" max="4569" width="7.81640625" bestFit="1" customWidth="1"/>
    <col min="4570" max="4570" width="6.81640625" bestFit="1" customWidth="1"/>
    <col min="4571" max="4573" width="7.81640625" bestFit="1" customWidth="1"/>
    <col min="4574" max="4574" width="5.81640625" bestFit="1" customWidth="1"/>
    <col min="4575" max="4575" width="7.81640625" bestFit="1" customWidth="1"/>
    <col min="4576" max="4576" width="5.81640625" bestFit="1" customWidth="1"/>
    <col min="4577" max="4579" width="6.81640625" bestFit="1" customWidth="1"/>
    <col min="4580" max="4580" width="7.81640625" bestFit="1" customWidth="1"/>
    <col min="4581" max="4583" width="6.81640625" bestFit="1" customWidth="1"/>
    <col min="4584" max="4586" width="7.81640625" bestFit="1" customWidth="1"/>
    <col min="4587" max="4587" width="6.81640625" bestFit="1" customWidth="1"/>
    <col min="4588" max="4589" width="7.81640625" bestFit="1" customWidth="1"/>
    <col min="4590" max="4592" width="6.81640625" bestFit="1" customWidth="1"/>
    <col min="4593" max="4593" width="7.81640625" bestFit="1" customWidth="1"/>
    <col min="4594" max="4595" width="6.81640625" bestFit="1" customWidth="1"/>
    <col min="4596" max="4597" width="7.81640625" bestFit="1" customWidth="1"/>
    <col min="4598" max="4598" width="3.81640625" bestFit="1" customWidth="1"/>
    <col min="4599" max="4599" width="6.81640625" bestFit="1" customWidth="1"/>
    <col min="4600" max="4600" width="3.81640625" bestFit="1" customWidth="1"/>
    <col min="4601" max="4601" width="7.81640625" bestFit="1" customWidth="1"/>
    <col min="4602" max="4602" width="6.81640625" bestFit="1" customWidth="1"/>
    <col min="4603" max="4603" width="5.81640625" bestFit="1" customWidth="1"/>
    <col min="4604" max="4604" width="7.81640625" bestFit="1" customWidth="1"/>
    <col min="4605" max="4605" width="5.81640625" bestFit="1" customWidth="1"/>
    <col min="4606" max="4606" width="7.81640625" bestFit="1" customWidth="1"/>
    <col min="4607" max="4607" width="6.81640625" bestFit="1" customWidth="1"/>
    <col min="4608" max="4608" width="7.81640625" bestFit="1" customWidth="1"/>
    <col min="4609" max="4611" width="6.81640625" bestFit="1" customWidth="1"/>
    <col min="4612" max="4613" width="7.81640625" bestFit="1" customWidth="1"/>
    <col min="4614" max="4614" width="5.81640625" bestFit="1" customWidth="1"/>
    <col min="4615" max="4615" width="6.81640625" bestFit="1" customWidth="1"/>
    <col min="4616" max="4616" width="7.81640625" bestFit="1" customWidth="1"/>
    <col min="4617" max="4618" width="6.81640625" bestFit="1" customWidth="1"/>
    <col min="4619" max="4619" width="5.81640625" bestFit="1" customWidth="1"/>
    <col min="4620" max="4622" width="6.81640625" bestFit="1" customWidth="1"/>
    <col min="4623" max="4623" width="7.81640625" bestFit="1" customWidth="1"/>
    <col min="4624" max="4624" width="5.81640625" bestFit="1" customWidth="1"/>
    <col min="4625" max="4630" width="7.81640625" bestFit="1" customWidth="1"/>
    <col min="4631" max="4631" width="6.81640625" bestFit="1" customWidth="1"/>
    <col min="4632" max="4632" width="8.81640625" bestFit="1" customWidth="1"/>
    <col min="4633" max="4634" width="7.81640625" bestFit="1" customWidth="1"/>
    <col min="4635" max="4635" width="5.81640625" bestFit="1" customWidth="1"/>
    <col min="4636" max="4636" width="6.81640625" bestFit="1" customWidth="1"/>
    <col min="4637" max="4637" width="3.81640625" bestFit="1" customWidth="1"/>
    <col min="4638" max="4638" width="6.81640625" bestFit="1" customWidth="1"/>
    <col min="4639" max="4641" width="7.81640625" bestFit="1" customWidth="1"/>
    <col min="4642" max="4642" width="6.81640625" bestFit="1" customWidth="1"/>
    <col min="4643" max="4643" width="7.81640625" bestFit="1" customWidth="1"/>
    <col min="4644" max="4644" width="6.81640625" bestFit="1" customWidth="1"/>
    <col min="4645" max="4645" width="5.81640625" bestFit="1" customWidth="1"/>
    <col min="4646" max="4646" width="7.81640625" bestFit="1" customWidth="1"/>
    <col min="4647" max="4647" width="5.81640625" bestFit="1" customWidth="1"/>
    <col min="4648" max="4648" width="6.81640625" bestFit="1" customWidth="1"/>
    <col min="4649" max="4649" width="5.81640625" bestFit="1" customWidth="1"/>
    <col min="4650" max="4650" width="7.81640625" bestFit="1" customWidth="1"/>
    <col min="4651" max="4651" width="5.81640625" bestFit="1" customWidth="1"/>
    <col min="4652" max="4655" width="7.81640625" bestFit="1" customWidth="1"/>
    <col min="4656" max="4656" width="6.81640625" bestFit="1" customWidth="1"/>
    <col min="4657" max="4659" width="7.81640625" bestFit="1" customWidth="1"/>
    <col min="4660" max="4660" width="8.81640625" bestFit="1" customWidth="1"/>
    <col min="4661" max="4661" width="7.81640625" bestFit="1" customWidth="1"/>
    <col min="4662" max="4663" width="6.81640625" bestFit="1" customWidth="1"/>
    <col min="4664" max="4664" width="7.81640625" bestFit="1" customWidth="1"/>
    <col min="4665" max="4665" width="5.81640625" bestFit="1" customWidth="1"/>
    <col min="4666" max="4666" width="6.81640625" bestFit="1" customWidth="1"/>
    <col min="4667" max="4668" width="5.81640625" bestFit="1" customWidth="1"/>
    <col min="4669" max="4669" width="6.81640625" bestFit="1" customWidth="1"/>
    <col min="4670" max="4670" width="7.81640625" bestFit="1" customWidth="1"/>
    <col min="4671" max="4671" width="6.81640625" bestFit="1" customWidth="1"/>
    <col min="4672" max="4672" width="7.81640625" bestFit="1" customWidth="1"/>
    <col min="4673" max="4673" width="6.81640625" bestFit="1" customWidth="1"/>
    <col min="4674" max="4680" width="7.81640625" bestFit="1" customWidth="1"/>
    <col min="4681" max="4681" width="6.81640625" bestFit="1" customWidth="1"/>
    <col min="4682" max="4682" width="7.81640625" bestFit="1" customWidth="1"/>
    <col min="4683" max="4683" width="6.81640625" bestFit="1" customWidth="1"/>
    <col min="4684" max="4685" width="7.81640625" bestFit="1" customWidth="1"/>
    <col min="4686" max="4686" width="6.81640625" bestFit="1" customWidth="1"/>
    <col min="4687" max="4688" width="7.81640625" bestFit="1" customWidth="1"/>
    <col min="4689" max="4689" width="5.81640625" bestFit="1" customWidth="1"/>
    <col min="4690" max="4690" width="7.81640625" bestFit="1" customWidth="1"/>
    <col min="4691" max="4694" width="6.81640625" bestFit="1" customWidth="1"/>
    <col min="4695" max="4695" width="7.81640625" bestFit="1" customWidth="1"/>
    <col min="4696" max="4696" width="5.81640625" bestFit="1" customWidth="1"/>
    <col min="4697" max="4697" width="7.81640625" bestFit="1" customWidth="1"/>
    <col min="4698" max="4698" width="6.81640625" bestFit="1" customWidth="1"/>
    <col min="4699" max="4699" width="7.81640625" bestFit="1" customWidth="1"/>
    <col min="4700" max="4700" width="6.81640625" bestFit="1" customWidth="1"/>
    <col min="4701" max="4701" width="7.81640625" bestFit="1" customWidth="1"/>
    <col min="4702" max="4702" width="6.81640625" bestFit="1" customWidth="1"/>
    <col min="4703" max="4704" width="7.81640625" bestFit="1" customWidth="1"/>
    <col min="4705" max="4707" width="6.81640625" bestFit="1" customWidth="1"/>
    <col min="4708" max="4709" width="7.81640625" bestFit="1" customWidth="1"/>
    <col min="4710" max="4710" width="5.81640625" bestFit="1" customWidth="1"/>
    <col min="4711" max="4711" width="6.81640625" bestFit="1" customWidth="1"/>
    <col min="4712" max="4713" width="7.81640625" bestFit="1" customWidth="1"/>
    <col min="4714" max="4715" width="6.81640625" bestFit="1" customWidth="1"/>
    <col min="4716" max="4716" width="3.81640625" bestFit="1" customWidth="1"/>
    <col min="4717" max="4717" width="6.81640625" bestFit="1" customWidth="1"/>
    <col min="4718" max="4719" width="7.81640625" bestFit="1" customWidth="1"/>
    <col min="4720" max="4722" width="6.81640625" bestFit="1" customWidth="1"/>
    <col min="4723" max="4723" width="7.81640625" bestFit="1" customWidth="1"/>
    <col min="4724" max="4724" width="5.81640625" bestFit="1" customWidth="1"/>
    <col min="4725" max="4725" width="7.81640625" bestFit="1" customWidth="1"/>
    <col min="4726" max="4727" width="6.81640625" bestFit="1" customWidth="1"/>
    <col min="4728" max="4728" width="5.81640625" bestFit="1" customWidth="1"/>
    <col min="4729" max="4729" width="7.81640625" bestFit="1" customWidth="1"/>
    <col min="4730" max="4730" width="5.81640625" bestFit="1" customWidth="1"/>
    <col min="4731" max="4731" width="7.81640625" bestFit="1" customWidth="1"/>
    <col min="4732" max="4732" width="6.81640625" bestFit="1" customWidth="1"/>
    <col min="4733" max="4735" width="7.81640625" bestFit="1" customWidth="1"/>
    <col min="4736" max="4740" width="6.81640625" bestFit="1" customWidth="1"/>
    <col min="4741" max="4742" width="7.81640625" bestFit="1" customWidth="1"/>
    <col min="4743" max="4743" width="3.81640625" bestFit="1" customWidth="1"/>
    <col min="4744" max="4744" width="7.81640625" bestFit="1" customWidth="1"/>
    <col min="4745" max="4748" width="6.81640625" bestFit="1" customWidth="1"/>
    <col min="4749" max="4750" width="7.81640625" bestFit="1" customWidth="1"/>
    <col min="4751" max="4753" width="6.81640625" bestFit="1" customWidth="1"/>
    <col min="4754" max="4754" width="5.81640625" bestFit="1" customWidth="1"/>
    <col min="4755" max="4756" width="6.81640625" bestFit="1" customWidth="1"/>
    <col min="4757" max="4758" width="7.81640625" bestFit="1" customWidth="1"/>
    <col min="4759" max="4759" width="6.81640625" bestFit="1" customWidth="1"/>
    <col min="4760" max="4760" width="7.81640625" bestFit="1" customWidth="1"/>
    <col min="4761" max="4761" width="5.81640625" bestFit="1" customWidth="1"/>
    <col min="4762" max="4762" width="6.81640625" bestFit="1" customWidth="1"/>
    <col min="4763" max="4763" width="7.81640625" bestFit="1" customWidth="1"/>
    <col min="4764" max="4765" width="6.81640625" bestFit="1" customWidth="1"/>
    <col min="4766" max="4766" width="7.81640625" bestFit="1" customWidth="1"/>
    <col min="4767" max="4767" width="5.81640625" bestFit="1" customWidth="1"/>
    <col min="4768" max="4769" width="6.81640625" bestFit="1" customWidth="1"/>
    <col min="4770" max="4770" width="5.81640625" bestFit="1" customWidth="1"/>
    <col min="4771" max="4771" width="6.81640625" bestFit="1" customWidth="1"/>
    <col min="4772" max="4772" width="5.81640625" bestFit="1" customWidth="1"/>
    <col min="4773" max="4773" width="7.81640625" bestFit="1" customWidth="1"/>
    <col min="4774" max="4778" width="6.81640625" bestFit="1" customWidth="1"/>
    <col min="4779" max="4779" width="5.81640625" bestFit="1" customWidth="1"/>
    <col min="4780" max="4782" width="6.81640625" bestFit="1" customWidth="1"/>
    <col min="4783" max="4783" width="7.81640625" bestFit="1" customWidth="1"/>
    <col min="4784" max="4785" width="6.81640625" bestFit="1" customWidth="1"/>
    <col min="4786" max="4788" width="7.81640625" bestFit="1" customWidth="1"/>
    <col min="4789" max="4789" width="3.81640625" bestFit="1" customWidth="1"/>
    <col min="4790" max="4791" width="6.81640625" bestFit="1" customWidth="1"/>
    <col min="4792" max="4792" width="7.81640625" bestFit="1" customWidth="1"/>
    <col min="4793" max="4793" width="6.81640625" bestFit="1" customWidth="1"/>
    <col min="4794" max="4794" width="7.81640625" bestFit="1" customWidth="1"/>
    <col min="4795" max="4795" width="6.81640625" bestFit="1" customWidth="1"/>
    <col min="4796" max="4796" width="7.81640625" bestFit="1" customWidth="1"/>
    <col min="4797" max="4797" width="6.81640625" bestFit="1" customWidth="1"/>
    <col min="4798" max="4798" width="7.81640625" bestFit="1" customWidth="1"/>
    <col min="4799" max="4799" width="6.81640625" bestFit="1" customWidth="1"/>
    <col min="4800" max="4800" width="7.81640625" bestFit="1" customWidth="1"/>
    <col min="4801" max="4803" width="6.81640625" bestFit="1" customWidth="1"/>
    <col min="4804" max="4804" width="7.81640625" bestFit="1" customWidth="1"/>
    <col min="4805" max="4806" width="6.81640625" bestFit="1" customWidth="1"/>
    <col min="4807" max="4808" width="7.81640625" bestFit="1" customWidth="1"/>
    <col min="4809" max="4812" width="6.81640625" bestFit="1" customWidth="1"/>
    <col min="4813" max="4814" width="7.81640625" bestFit="1" customWidth="1"/>
    <col min="4815" max="4816" width="6.81640625" bestFit="1" customWidth="1"/>
    <col min="4817" max="4817" width="7.81640625" bestFit="1" customWidth="1"/>
    <col min="4818" max="4818" width="6.81640625" bestFit="1" customWidth="1"/>
    <col min="4819" max="4819" width="7.81640625" bestFit="1" customWidth="1"/>
    <col min="4820" max="4822" width="6.81640625" bestFit="1" customWidth="1"/>
    <col min="4823" max="4823" width="3.81640625" bestFit="1" customWidth="1"/>
    <col min="4824" max="4824" width="6.81640625" bestFit="1" customWidth="1"/>
    <col min="4825" max="4826" width="7.81640625" bestFit="1" customWidth="1"/>
    <col min="4827" max="4831" width="6.81640625" bestFit="1" customWidth="1"/>
    <col min="4832" max="4832" width="7.81640625" bestFit="1" customWidth="1"/>
    <col min="4833" max="4833" width="6.81640625" bestFit="1" customWidth="1"/>
    <col min="4834" max="4834" width="5.81640625" bestFit="1" customWidth="1"/>
    <col min="4835" max="4835" width="7.81640625" bestFit="1" customWidth="1"/>
    <col min="4836" max="4837" width="6.81640625" bestFit="1" customWidth="1"/>
    <col min="4838" max="4840" width="7.81640625" bestFit="1" customWidth="1"/>
    <col min="4841" max="4841" width="8.81640625" bestFit="1" customWidth="1"/>
    <col min="4842" max="4843" width="6.81640625" bestFit="1" customWidth="1"/>
    <col min="4844" max="4844" width="7.81640625" bestFit="1" customWidth="1"/>
    <col min="4845" max="4846" width="6.81640625" bestFit="1" customWidth="1"/>
    <col min="4847" max="4848" width="7.81640625" bestFit="1" customWidth="1"/>
    <col min="4849" max="4850" width="6.81640625" bestFit="1" customWidth="1"/>
    <col min="4851" max="4852" width="7.81640625" bestFit="1" customWidth="1"/>
    <col min="4853" max="4853" width="6.81640625" bestFit="1" customWidth="1"/>
    <col min="4854" max="4855" width="7.81640625" bestFit="1" customWidth="1"/>
    <col min="4856" max="4857" width="5.81640625" bestFit="1" customWidth="1"/>
    <col min="4858" max="4858" width="7.81640625" bestFit="1" customWidth="1"/>
    <col min="4859" max="4859" width="6.81640625" bestFit="1" customWidth="1"/>
    <col min="4860" max="4860" width="7.81640625" bestFit="1" customWidth="1"/>
    <col min="4861" max="4862" width="6.81640625" bestFit="1" customWidth="1"/>
    <col min="4863" max="4863" width="7.81640625" bestFit="1" customWidth="1"/>
    <col min="4864" max="4866" width="6.81640625" bestFit="1" customWidth="1"/>
    <col min="4867" max="4867" width="7.81640625" bestFit="1" customWidth="1"/>
    <col min="4868" max="4868" width="6.81640625" bestFit="1" customWidth="1"/>
    <col min="4869" max="4869" width="7.81640625" bestFit="1" customWidth="1"/>
    <col min="4870" max="4870" width="6.81640625" bestFit="1" customWidth="1"/>
    <col min="4871" max="4871" width="7.81640625" bestFit="1" customWidth="1"/>
    <col min="4872" max="4872" width="6.81640625" bestFit="1" customWidth="1"/>
    <col min="4873" max="4873" width="7.81640625" bestFit="1" customWidth="1"/>
    <col min="4874" max="4875" width="6.81640625" bestFit="1" customWidth="1"/>
    <col min="4876" max="4876" width="5.81640625" bestFit="1" customWidth="1"/>
    <col min="4877" max="4877" width="6.81640625" bestFit="1" customWidth="1"/>
    <col min="4878" max="4878" width="8.81640625" bestFit="1" customWidth="1"/>
    <col min="4879" max="4879" width="7.81640625" bestFit="1" customWidth="1"/>
    <col min="4880" max="4882" width="6.81640625" bestFit="1" customWidth="1"/>
    <col min="4883" max="4884" width="7.81640625" bestFit="1" customWidth="1"/>
    <col min="4885" max="4885" width="6.81640625" bestFit="1" customWidth="1"/>
    <col min="4886" max="4886" width="7.81640625" bestFit="1" customWidth="1"/>
    <col min="4887" max="4888" width="6.81640625" bestFit="1" customWidth="1"/>
    <col min="4889" max="4889" width="7.81640625" bestFit="1" customWidth="1"/>
    <col min="4890" max="4890" width="6.81640625" bestFit="1" customWidth="1"/>
    <col min="4891" max="4891" width="7.81640625" bestFit="1" customWidth="1"/>
    <col min="4892" max="4894" width="6.81640625" bestFit="1" customWidth="1"/>
    <col min="4895" max="4895" width="7.81640625" bestFit="1" customWidth="1"/>
    <col min="4896" max="4897" width="6.81640625" bestFit="1" customWidth="1"/>
    <col min="4898" max="4898" width="7.81640625" bestFit="1" customWidth="1"/>
    <col min="4899" max="4901" width="6.81640625" bestFit="1" customWidth="1"/>
    <col min="4902" max="4902" width="7.81640625" bestFit="1" customWidth="1"/>
    <col min="4903" max="4905" width="6.81640625" bestFit="1" customWidth="1"/>
    <col min="4906" max="4906" width="7.81640625" bestFit="1" customWidth="1"/>
    <col min="4907" max="4907" width="5.81640625" bestFit="1" customWidth="1"/>
    <col min="4908" max="4909" width="6.81640625" bestFit="1" customWidth="1"/>
    <col min="4910" max="4911" width="7.81640625" bestFit="1" customWidth="1"/>
    <col min="4912" max="4912" width="3.81640625" bestFit="1" customWidth="1"/>
    <col min="4913" max="4915" width="6.81640625" bestFit="1" customWidth="1"/>
    <col min="4916" max="4918" width="7.81640625" bestFit="1" customWidth="1"/>
    <col min="4919" max="4919" width="5.81640625" bestFit="1" customWidth="1"/>
    <col min="4920" max="4923" width="6.81640625" bestFit="1" customWidth="1"/>
    <col min="4924" max="4927" width="7.81640625" bestFit="1" customWidth="1"/>
    <col min="4928" max="4928" width="8.81640625" bestFit="1" customWidth="1"/>
    <col min="4929" max="4929" width="7.81640625" bestFit="1" customWidth="1"/>
    <col min="4930" max="4930" width="6.81640625" bestFit="1" customWidth="1"/>
    <col min="4931" max="4931" width="5.81640625" bestFit="1" customWidth="1"/>
    <col min="4932" max="4932" width="6.81640625" bestFit="1" customWidth="1"/>
    <col min="4933" max="4933" width="7.81640625" bestFit="1" customWidth="1"/>
    <col min="4934" max="4935" width="6.81640625" bestFit="1" customWidth="1"/>
    <col min="4936" max="4936" width="7.81640625" bestFit="1" customWidth="1"/>
    <col min="4937" max="4938" width="6.81640625" bestFit="1" customWidth="1"/>
    <col min="4939" max="4942" width="7.81640625" bestFit="1" customWidth="1"/>
    <col min="4943" max="4948" width="6.81640625" bestFit="1" customWidth="1"/>
    <col min="4949" max="4949" width="5.81640625" bestFit="1" customWidth="1"/>
    <col min="4950" max="4950" width="7.81640625" bestFit="1" customWidth="1"/>
    <col min="4951" max="4952" width="6.81640625" bestFit="1" customWidth="1"/>
    <col min="4953" max="4957" width="7.81640625" bestFit="1" customWidth="1"/>
    <col min="4958" max="4958" width="5.81640625" bestFit="1" customWidth="1"/>
    <col min="4959" max="4959" width="6.81640625" bestFit="1" customWidth="1"/>
    <col min="4960" max="4960" width="7.81640625" bestFit="1" customWidth="1"/>
    <col min="4961" max="4961" width="6.81640625" bestFit="1" customWidth="1"/>
    <col min="4962" max="4962" width="7.81640625" bestFit="1" customWidth="1"/>
    <col min="4963" max="4963" width="6.81640625" bestFit="1" customWidth="1"/>
    <col min="4964" max="4964" width="7.81640625" bestFit="1" customWidth="1"/>
    <col min="4965" max="4965" width="5.81640625" bestFit="1" customWidth="1"/>
    <col min="4966" max="4966" width="6.81640625" bestFit="1" customWidth="1"/>
    <col min="4967" max="4968" width="7.81640625" bestFit="1" customWidth="1"/>
    <col min="4969" max="4969" width="6.81640625" bestFit="1" customWidth="1"/>
    <col min="4970" max="4970" width="7.81640625" bestFit="1" customWidth="1"/>
    <col min="4971" max="4971" width="6.81640625" bestFit="1" customWidth="1"/>
    <col min="4972" max="4972" width="5.81640625" bestFit="1" customWidth="1"/>
    <col min="4973" max="4974" width="7.81640625" bestFit="1" customWidth="1"/>
    <col min="4975" max="4976" width="6.81640625" bestFit="1" customWidth="1"/>
    <col min="4977" max="4978" width="7.81640625" bestFit="1" customWidth="1"/>
    <col min="4979" max="4979" width="3.81640625" bestFit="1" customWidth="1"/>
    <col min="4980" max="4980" width="6.81640625" bestFit="1" customWidth="1"/>
    <col min="4981" max="4981" width="3.81640625" bestFit="1" customWidth="1"/>
    <col min="4982" max="4985" width="7.81640625" bestFit="1" customWidth="1"/>
    <col min="4986" max="4986" width="5.81640625" bestFit="1" customWidth="1"/>
    <col min="4987" max="4988" width="6.81640625" bestFit="1" customWidth="1"/>
    <col min="4989" max="4989" width="7.81640625" bestFit="1" customWidth="1"/>
    <col min="4990" max="4991" width="6.81640625" bestFit="1" customWidth="1"/>
    <col min="4992" max="4992" width="7.81640625" bestFit="1" customWidth="1"/>
    <col min="4993" max="4993" width="5.81640625" bestFit="1" customWidth="1"/>
    <col min="4994" max="4994" width="6.81640625" bestFit="1" customWidth="1"/>
    <col min="4995" max="4995" width="7.81640625" bestFit="1" customWidth="1"/>
    <col min="4996" max="4996" width="6.81640625" bestFit="1" customWidth="1"/>
    <col min="4997" max="4997" width="7.81640625" bestFit="1" customWidth="1"/>
    <col min="4998" max="4998" width="6.81640625" bestFit="1" customWidth="1"/>
    <col min="4999" max="5001" width="7.81640625" bestFit="1" customWidth="1"/>
    <col min="5002" max="5005" width="6.81640625" bestFit="1" customWidth="1"/>
    <col min="5006" max="5007" width="7.81640625" bestFit="1" customWidth="1"/>
    <col min="5008" max="5008" width="8.81640625" bestFit="1" customWidth="1"/>
    <col min="5009" max="5010" width="7.81640625" bestFit="1" customWidth="1"/>
    <col min="5011" max="5011" width="5.81640625" bestFit="1" customWidth="1"/>
    <col min="5012" max="5012" width="6.81640625" bestFit="1" customWidth="1"/>
    <col min="5013" max="5014" width="7.81640625" bestFit="1" customWidth="1"/>
    <col min="5015" max="5015" width="6.81640625" bestFit="1" customWidth="1"/>
    <col min="5016" max="5016" width="8.81640625" bestFit="1" customWidth="1"/>
    <col min="5017" max="5018" width="6.81640625" bestFit="1" customWidth="1"/>
    <col min="5019" max="5019" width="8.81640625" bestFit="1" customWidth="1"/>
    <col min="5020" max="5021" width="6.81640625" bestFit="1" customWidth="1"/>
    <col min="5022" max="5022" width="5.81640625" bestFit="1" customWidth="1"/>
    <col min="5023" max="5024" width="7.81640625" bestFit="1" customWidth="1"/>
    <col min="5025" max="5025" width="6.81640625" bestFit="1" customWidth="1"/>
    <col min="5026" max="5026" width="7.81640625" bestFit="1" customWidth="1"/>
    <col min="5027" max="5027" width="5.81640625" bestFit="1" customWidth="1"/>
    <col min="5028" max="5028" width="7.81640625" bestFit="1" customWidth="1"/>
    <col min="5029" max="5031" width="6.81640625" bestFit="1" customWidth="1"/>
    <col min="5032" max="5035" width="7.81640625" bestFit="1" customWidth="1"/>
    <col min="5036" max="5036" width="6.81640625" bestFit="1" customWidth="1"/>
    <col min="5037" max="5037" width="7.81640625" bestFit="1" customWidth="1"/>
    <col min="5038" max="5038" width="6.81640625" bestFit="1" customWidth="1"/>
    <col min="5039" max="5039" width="7.81640625" bestFit="1" customWidth="1"/>
    <col min="5040" max="5041" width="6.81640625" bestFit="1" customWidth="1"/>
    <col min="5042" max="5043" width="7.81640625" bestFit="1" customWidth="1"/>
    <col min="5044" max="5045" width="6.81640625" bestFit="1" customWidth="1"/>
    <col min="5046" max="5046" width="7.81640625" bestFit="1" customWidth="1"/>
    <col min="5047" max="5047" width="6.81640625" bestFit="1" customWidth="1"/>
    <col min="5048" max="5049" width="7.81640625" bestFit="1" customWidth="1"/>
    <col min="5050" max="5050" width="5.81640625" bestFit="1" customWidth="1"/>
    <col min="5051" max="5051" width="7.81640625" bestFit="1" customWidth="1"/>
    <col min="5052" max="5052" width="6.81640625" bestFit="1" customWidth="1"/>
    <col min="5053" max="5053" width="7.81640625" bestFit="1" customWidth="1"/>
    <col min="5054" max="5054" width="6.81640625" bestFit="1" customWidth="1"/>
    <col min="5055" max="5055" width="7.81640625" bestFit="1" customWidth="1"/>
    <col min="5056" max="5056" width="3.81640625" bestFit="1" customWidth="1"/>
    <col min="5057" max="5057" width="7.81640625" bestFit="1" customWidth="1"/>
    <col min="5058" max="5058" width="6.81640625" bestFit="1" customWidth="1"/>
    <col min="5059" max="5059" width="7.81640625" bestFit="1" customWidth="1"/>
    <col min="5060" max="5060" width="6.81640625" bestFit="1" customWidth="1"/>
    <col min="5061" max="5061" width="5.81640625" bestFit="1" customWidth="1"/>
    <col min="5062" max="5063" width="7.81640625" bestFit="1" customWidth="1"/>
    <col min="5064" max="5064" width="6.81640625" bestFit="1" customWidth="1"/>
    <col min="5065" max="5066" width="7.81640625" bestFit="1" customWidth="1"/>
    <col min="5067" max="5067" width="5.81640625" bestFit="1" customWidth="1"/>
    <col min="5068" max="5068" width="6.81640625" bestFit="1" customWidth="1"/>
    <col min="5069" max="5071" width="7.81640625" bestFit="1" customWidth="1"/>
    <col min="5072" max="5073" width="6.81640625" bestFit="1" customWidth="1"/>
    <col min="5074" max="5074" width="7.81640625" bestFit="1" customWidth="1"/>
    <col min="5075" max="5075" width="6.81640625" bestFit="1" customWidth="1"/>
    <col min="5076" max="5078" width="7.81640625" bestFit="1" customWidth="1"/>
    <col min="5079" max="5079" width="6.81640625" bestFit="1" customWidth="1"/>
    <col min="5080" max="5081" width="7.81640625" bestFit="1" customWidth="1"/>
    <col min="5082" max="5082" width="5.81640625" bestFit="1" customWidth="1"/>
    <col min="5083" max="5084" width="6.81640625" bestFit="1" customWidth="1"/>
    <col min="5085" max="5086" width="7.81640625" bestFit="1" customWidth="1"/>
    <col min="5087" max="5088" width="6.81640625" bestFit="1" customWidth="1"/>
    <col min="5089" max="5093" width="7.81640625" bestFit="1" customWidth="1"/>
    <col min="5094" max="5100" width="6.81640625" bestFit="1" customWidth="1"/>
    <col min="5101" max="5104" width="7.81640625" bestFit="1" customWidth="1"/>
    <col min="5105" max="5105" width="6.81640625" bestFit="1" customWidth="1"/>
    <col min="5106" max="5107" width="5.81640625" bestFit="1" customWidth="1"/>
    <col min="5108" max="5108" width="7.81640625" bestFit="1" customWidth="1"/>
    <col min="5109" max="5110" width="6.81640625" bestFit="1" customWidth="1"/>
    <col min="5111" max="5111" width="7.81640625" bestFit="1" customWidth="1"/>
    <col min="5112" max="5113" width="6.81640625" bestFit="1" customWidth="1"/>
    <col min="5114" max="5114" width="5.81640625" bestFit="1" customWidth="1"/>
    <col min="5115" max="5116" width="6.81640625" bestFit="1" customWidth="1"/>
    <col min="5117" max="5117" width="7.81640625" bestFit="1" customWidth="1"/>
    <col min="5118" max="5119" width="6.81640625" bestFit="1" customWidth="1"/>
    <col min="5120" max="5122" width="7.81640625" bestFit="1" customWidth="1"/>
    <col min="5123" max="5124" width="6.81640625" bestFit="1" customWidth="1"/>
    <col min="5125" max="5125" width="7.81640625" bestFit="1" customWidth="1"/>
    <col min="5126" max="5127" width="6.81640625" bestFit="1" customWidth="1"/>
    <col min="5128" max="5128" width="5.81640625" bestFit="1" customWidth="1"/>
    <col min="5129" max="5129" width="7.81640625" bestFit="1" customWidth="1"/>
    <col min="5130" max="5131" width="6.81640625" bestFit="1" customWidth="1"/>
    <col min="5132" max="5132" width="7.81640625" bestFit="1" customWidth="1"/>
    <col min="5133" max="5133" width="6.81640625" bestFit="1" customWidth="1"/>
    <col min="5134" max="5135" width="5.81640625" bestFit="1" customWidth="1"/>
    <col min="5136" max="5136" width="6.81640625" bestFit="1" customWidth="1"/>
    <col min="5137" max="5137" width="3.81640625" bestFit="1" customWidth="1"/>
    <col min="5138" max="5139" width="6.81640625" bestFit="1" customWidth="1"/>
    <col min="5140" max="5140" width="7.81640625" bestFit="1" customWidth="1"/>
    <col min="5141" max="5141" width="6.81640625" bestFit="1" customWidth="1"/>
    <col min="5142" max="5142" width="7.81640625" bestFit="1" customWidth="1"/>
    <col min="5143" max="5143" width="6.81640625" bestFit="1" customWidth="1"/>
    <col min="5144" max="5145" width="7.81640625" bestFit="1" customWidth="1"/>
    <col min="5146" max="5146" width="6.81640625" bestFit="1" customWidth="1"/>
    <col min="5147" max="5148" width="7.81640625" bestFit="1" customWidth="1"/>
    <col min="5149" max="5150" width="6.81640625" bestFit="1" customWidth="1"/>
    <col min="5151" max="5151" width="7.81640625" bestFit="1" customWidth="1"/>
    <col min="5152" max="5152" width="6.81640625" bestFit="1" customWidth="1"/>
    <col min="5153" max="5153" width="7.81640625" bestFit="1" customWidth="1"/>
    <col min="5154" max="5155" width="6.81640625" bestFit="1" customWidth="1"/>
    <col min="5156" max="5156" width="7.81640625" bestFit="1" customWidth="1"/>
    <col min="5157" max="5157" width="5.81640625" bestFit="1" customWidth="1"/>
    <col min="5158" max="5160" width="6.81640625" bestFit="1" customWidth="1"/>
    <col min="5161" max="5162" width="7.81640625" bestFit="1" customWidth="1"/>
    <col min="5163" max="5163" width="5.81640625" bestFit="1" customWidth="1"/>
    <col min="5164" max="5165" width="7.81640625" bestFit="1" customWidth="1"/>
    <col min="5166" max="5167" width="6.81640625" bestFit="1" customWidth="1"/>
    <col min="5168" max="5168" width="7.81640625" bestFit="1" customWidth="1"/>
    <col min="5169" max="5169" width="6.81640625" bestFit="1" customWidth="1"/>
    <col min="5170" max="5170" width="7.81640625" bestFit="1" customWidth="1"/>
    <col min="5171" max="5171" width="6.81640625" bestFit="1" customWidth="1"/>
    <col min="5172" max="5172" width="5.81640625" bestFit="1" customWidth="1"/>
    <col min="5173" max="5174" width="7.81640625" bestFit="1" customWidth="1"/>
    <col min="5175" max="5175" width="6.81640625" bestFit="1" customWidth="1"/>
    <col min="5176" max="5177" width="7.81640625" bestFit="1" customWidth="1"/>
    <col min="5178" max="5179" width="6.81640625" bestFit="1" customWidth="1"/>
    <col min="5180" max="5184" width="7.81640625" bestFit="1" customWidth="1"/>
    <col min="5185" max="5185" width="6.81640625" bestFit="1" customWidth="1"/>
    <col min="5186" max="5186" width="7.81640625" bestFit="1" customWidth="1"/>
    <col min="5187" max="5189" width="6.81640625" bestFit="1" customWidth="1"/>
    <col min="5190" max="5190" width="7.81640625" bestFit="1" customWidth="1"/>
    <col min="5191" max="5192" width="6.81640625" bestFit="1" customWidth="1"/>
    <col min="5193" max="5194" width="7.81640625" bestFit="1" customWidth="1"/>
    <col min="5195" max="5198" width="6.81640625" bestFit="1" customWidth="1"/>
    <col min="5199" max="5199" width="7.81640625" bestFit="1" customWidth="1"/>
    <col min="5200" max="5201" width="6.81640625" bestFit="1" customWidth="1"/>
    <col min="5202" max="5203" width="7.81640625" bestFit="1" customWidth="1"/>
    <col min="5204" max="5205" width="6.81640625" bestFit="1" customWidth="1"/>
    <col min="5206" max="5207" width="7.81640625" bestFit="1" customWidth="1"/>
    <col min="5208" max="5210" width="6.81640625" bestFit="1" customWidth="1"/>
    <col min="5211" max="5212" width="7.81640625" bestFit="1" customWidth="1"/>
    <col min="5213" max="5213" width="5.81640625" bestFit="1" customWidth="1"/>
    <col min="5214" max="5214" width="6.81640625" bestFit="1" customWidth="1"/>
    <col min="5215" max="5215" width="7.81640625" bestFit="1" customWidth="1"/>
    <col min="5216" max="5217" width="6.81640625" bestFit="1" customWidth="1"/>
    <col min="5218" max="5220" width="7.81640625" bestFit="1" customWidth="1"/>
    <col min="5221" max="5221" width="5.81640625" bestFit="1" customWidth="1"/>
    <col min="5222" max="5226" width="6.81640625" bestFit="1" customWidth="1"/>
    <col min="5227" max="5227" width="7.81640625" bestFit="1" customWidth="1"/>
    <col min="5228" max="5228" width="3.81640625" bestFit="1" customWidth="1"/>
    <col min="5229" max="5230" width="6.81640625" bestFit="1" customWidth="1"/>
    <col min="5231" max="5231" width="5.81640625" bestFit="1" customWidth="1"/>
    <col min="5232" max="5232" width="6.81640625" bestFit="1" customWidth="1"/>
    <col min="5233" max="5233" width="5.81640625" bestFit="1" customWidth="1"/>
    <col min="5234" max="5234" width="7.81640625" bestFit="1" customWidth="1"/>
    <col min="5235" max="5237" width="6.81640625" bestFit="1" customWidth="1"/>
    <col min="5238" max="5238" width="7.81640625" bestFit="1" customWidth="1"/>
    <col min="5239" max="5239" width="5.81640625" bestFit="1" customWidth="1"/>
    <col min="5240" max="5241" width="6.81640625" bestFit="1" customWidth="1"/>
    <col min="5242" max="5245" width="7.81640625" bestFit="1" customWidth="1"/>
    <col min="5246" max="5247" width="6.81640625" bestFit="1" customWidth="1"/>
    <col min="5248" max="5248" width="5.81640625" bestFit="1" customWidth="1"/>
    <col min="5249" max="5251" width="7.81640625" bestFit="1" customWidth="1"/>
    <col min="5252" max="5252" width="6.81640625" bestFit="1" customWidth="1"/>
    <col min="5253" max="5253" width="5.81640625" bestFit="1" customWidth="1"/>
    <col min="5254" max="5254" width="7.81640625" bestFit="1" customWidth="1"/>
    <col min="5255" max="5255" width="6.81640625" bestFit="1" customWidth="1"/>
    <col min="5256" max="5256" width="7.81640625" bestFit="1" customWidth="1"/>
    <col min="5257" max="5257" width="6.81640625" bestFit="1" customWidth="1"/>
    <col min="5258" max="5258" width="7.81640625" bestFit="1" customWidth="1"/>
    <col min="5259" max="5259" width="6.81640625" bestFit="1" customWidth="1"/>
    <col min="5260" max="5260" width="5.81640625" bestFit="1" customWidth="1"/>
    <col min="5261" max="5262" width="6.81640625" bestFit="1" customWidth="1"/>
    <col min="5263" max="5264" width="7.81640625" bestFit="1" customWidth="1"/>
    <col min="5265" max="5266" width="6.81640625" bestFit="1" customWidth="1"/>
    <col min="5267" max="5267" width="7.81640625" bestFit="1" customWidth="1"/>
    <col min="5268" max="5268" width="5.81640625" bestFit="1" customWidth="1"/>
    <col min="5269" max="5269" width="7.81640625" bestFit="1" customWidth="1"/>
    <col min="5270" max="5270" width="6.81640625" bestFit="1" customWidth="1"/>
    <col min="5271" max="5272" width="5.81640625" bestFit="1" customWidth="1"/>
    <col min="5273" max="5274" width="6.81640625" bestFit="1" customWidth="1"/>
    <col min="5275" max="5275" width="5.81640625" bestFit="1" customWidth="1"/>
    <col min="5276" max="5276" width="7.81640625" bestFit="1" customWidth="1"/>
    <col min="5277" max="5279" width="6.81640625" bestFit="1" customWidth="1"/>
    <col min="5280" max="5282" width="7.81640625" bestFit="1" customWidth="1"/>
    <col min="5283" max="5283" width="6.81640625" bestFit="1" customWidth="1"/>
    <col min="5284" max="5287" width="7.81640625" bestFit="1" customWidth="1"/>
    <col min="5288" max="5290" width="6.81640625" bestFit="1" customWidth="1"/>
    <col min="5291" max="5291" width="7.81640625" bestFit="1" customWidth="1"/>
    <col min="5292" max="5293" width="6.81640625" bestFit="1" customWidth="1"/>
    <col min="5294" max="5294" width="7.81640625" bestFit="1" customWidth="1"/>
    <col min="5295" max="5298" width="6.81640625" bestFit="1" customWidth="1"/>
    <col min="5299" max="5299" width="7.81640625" bestFit="1" customWidth="1"/>
    <col min="5300" max="5301" width="6.81640625" bestFit="1" customWidth="1"/>
    <col min="5302" max="5302" width="7.81640625" bestFit="1" customWidth="1"/>
    <col min="5303" max="5303" width="5.81640625" bestFit="1" customWidth="1"/>
    <col min="5304" max="5304" width="6.81640625" bestFit="1" customWidth="1"/>
    <col min="5305" max="5305" width="7.81640625" bestFit="1" customWidth="1"/>
    <col min="5306" max="5308" width="6.81640625" bestFit="1" customWidth="1"/>
    <col min="5309" max="5310" width="7.81640625" bestFit="1" customWidth="1"/>
    <col min="5311" max="5313" width="6.81640625" bestFit="1" customWidth="1"/>
    <col min="5314" max="5314" width="7.81640625" bestFit="1" customWidth="1"/>
    <col min="5315" max="5315" width="8.81640625" bestFit="1" customWidth="1"/>
    <col min="5316" max="5322" width="7.81640625" bestFit="1" customWidth="1"/>
    <col min="5323" max="5323" width="6.81640625" bestFit="1" customWidth="1"/>
    <col min="5324" max="5326" width="7.81640625" bestFit="1" customWidth="1"/>
    <col min="5327" max="5327" width="6.81640625" bestFit="1" customWidth="1"/>
    <col min="5328" max="5329" width="8.81640625" bestFit="1" customWidth="1"/>
    <col min="5330" max="5331" width="7.81640625" bestFit="1" customWidth="1"/>
    <col min="5332" max="5333" width="6.81640625" bestFit="1" customWidth="1"/>
    <col min="5334" max="5334" width="7.81640625" bestFit="1" customWidth="1"/>
    <col min="5335" max="5335" width="6.81640625" bestFit="1" customWidth="1"/>
    <col min="5336" max="5336" width="5.81640625" bestFit="1" customWidth="1"/>
    <col min="5337" max="5337" width="7.81640625" bestFit="1" customWidth="1"/>
    <col min="5338" max="5338" width="5.81640625" bestFit="1" customWidth="1"/>
    <col min="5339" max="5339" width="6.81640625" bestFit="1" customWidth="1"/>
    <col min="5340" max="5340" width="7.81640625" bestFit="1" customWidth="1"/>
    <col min="5341" max="5341" width="6.81640625" bestFit="1" customWidth="1"/>
    <col min="5342" max="5342" width="7.81640625" bestFit="1" customWidth="1"/>
    <col min="5343" max="5344" width="6.81640625" bestFit="1" customWidth="1"/>
    <col min="5345" max="5345" width="7.81640625" bestFit="1" customWidth="1"/>
    <col min="5346" max="5346" width="6.81640625" bestFit="1" customWidth="1"/>
    <col min="5347" max="5347" width="5.81640625" bestFit="1" customWidth="1"/>
    <col min="5348" max="5348" width="7.81640625" bestFit="1" customWidth="1"/>
    <col min="5349" max="5349" width="6.81640625" bestFit="1" customWidth="1"/>
    <col min="5350" max="5350" width="7.81640625" bestFit="1" customWidth="1"/>
    <col min="5351" max="5352" width="6.81640625" bestFit="1" customWidth="1"/>
    <col min="5353" max="5353" width="7.81640625" bestFit="1" customWidth="1"/>
    <col min="5354" max="5354" width="8.81640625" bestFit="1" customWidth="1"/>
    <col min="5355" max="5355" width="7.81640625" bestFit="1" customWidth="1"/>
    <col min="5356" max="5361" width="8.81640625" bestFit="1" customWidth="1"/>
    <col min="5362" max="5362" width="7.81640625" bestFit="1" customWidth="1"/>
    <col min="5363" max="5366" width="8.81640625" bestFit="1" customWidth="1"/>
    <col min="5367" max="5367" width="7.81640625" bestFit="1" customWidth="1"/>
    <col min="5368" max="5369" width="8.81640625" bestFit="1" customWidth="1"/>
    <col min="5370" max="5370" width="7.81640625" bestFit="1" customWidth="1"/>
    <col min="5371" max="5371" width="8.81640625" bestFit="1" customWidth="1"/>
    <col min="5372" max="5373" width="7.81640625" bestFit="1" customWidth="1"/>
    <col min="5374" max="5374" width="6.81640625" bestFit="1" customWidth="1"/>
    <col min="5375" max="5375" width="8.81640625" bestFit="1" customWidth="1"/>
    <col min="5376" max="5376" width="7.81640625" bestFit="1" customWidth="1"/>
    <col min="5377" max="5378" width="8.81640625" bestFit="1" customWidth="1"/>
    <col min="5379" max="5379" width="6.81640625" bestFit="1" customWidth="1"/>
    <col min="5380" max="5382" width="7.81640625" bestFit="1" customWidth="1"/>
    <col min="5383" max="5383" width="6.81640625" bestFit="1" customWidth="1"/>
    <col min="5384" max="5386" width="7.81640625" bestFit="1" customWidth="1"/>
    <col min="5387" max="5387" width="8.81640625" bestFit="1" customWidth="1"/>
    <col min="5388" max="5390" width="7.81640625" bestFit="1" customWidth="1"/>
    <col min="5391" max="5391" width="4.81640625" bestFit="1" customWidth="1"/>
    <col min="5392" max="5394" width="8.81640625" bestFit="1" customWidth="1"/>
    <col min="5395" max="5395" width="7.81640625" bestFit="1" customWidth="1"/>
    <col min="5396" max="5397" width="8.81640625" bestFit="1" customWidth="1"/>
    <col min="5398" max="5400" width="7.81640625" bestFit="1" customWidth="1"/>
    <col min="5401" max="5401" width="8.81640625" bestFit="1" customWidth="1"/>
    <col min="5402" max="5402" width="7.81640625" bestFit="1" customWidth="1"/>
    <col min="5403" max="5404" width="8.81640625" bestFit="1" customWidth="1"/>
    <col min="5405" max="5405" width="7.81640625" bestFit="1" customWidth="1"/>
    <col min="5406" max="5406" width="8.81640625" bestFit="1" customWidth="1"/>
    <col min="5407" max="5407" width="6.81640625" bestFit="1" customWidth="1"/>
    <col min="5408" max="5412" width="7.81640625" bestFit="1" customWidth="1"/>
    <col min="5413" max="5415" width="8.81640625" bestFit="1" customWidth="1"/>
    <col min="5416" max="5416" width="6.81640625" bestFit="1" customWidth="1"/>
    <col min="5417" max="5419" width="7.81640625" bestFit="1" customWidth="1"/>
    <col min="5420" max="5423" width="8.81640625" bestFit="1" customWidth="1"/>
    <col min="5424" max="5424" width="7.81640625" bestFit="1" customWidth="1"/>
    <col min="5425" max="5425" width="8.81640625" bestFit="1" customWidth="1"/>
    <col min="5426" max="5426" width="7.81640625" bestFit="1" customWidth="1"/>
    <col min="5427" max="5427" width="8.81640625" bestFit="1" customWidth="1"/>
    <col min="5428" max="5432" width="7.81640625" bestFit="1" customWidth="1"/>
    <col min="5433" max="5433" width="8.81640625" bestFit="1" customWidth="1"/>
    <col min="5434" max="5434" width="6.81640625" bestFit="1" customWidth="1"/>
    <col min="5435" max="5435" width="7.81640625" bestFit="1" customWidth="1"/>
    <col min="5436" max="5436" width="8.81640625" bestFit="1" customWidth="1"/>
    <col min="5437" max="5437" width="7.81640625" bestFit="1" customWidth="1"/>
    <col min="5438" max="5438" width="8.81640625" bestFit="1" customWidth="1"/>
    <col min="5439" max="5439" width="7.81640625" bestFit="1" customWidth="1"/>
    <col min="5440" max="5440" width="4.81640625" bestFit="1" customWidth="1"/>
    <col min="5441" max="5441" width="8.81640625" bestFit="1" customWidth="1"/>
    <col min="5442" max="5443" width="7.81640625" bestFit="1" customWidth="1"/>
    <col min="5444" max="5444" width="6.81640625" bestFit="1" customWidth="1"/>
    <col min="5445" max="5445" width="7.81640625" bestFit="1" customWidth="1"/>
    <col min="5446" max="5446" width="8.81640625" bestFit="1" customWidth="1"/>
    <col min="5447" max="5449" width="7.81640625" bestFit="1" customWidth="1"/>
    <col min="5450" max="5450" width="8.81640625" bestFit="1" customWidth="1"/>
    <col min="5451" max="5453" width="7.81640625" bestFit="1" customWidth="1"/>
    <col min="5454" max="5455" width="8.81640625" bestFit="1" customWidth="1"/>
    <col min="5456" max="5456" width="7.81640625" bestFit="1" customWidth="1"/>
    <col min="5457" max="5457" width="9.81640625" bestFit="1" customWidth="1"/>
    <col min="5458" max="5458" width="8.81640625" bestFit="1" customWidth="1"/>
    <col min="5459" max="5459" width="6.81640625" bestFit="1" customWidth="1"/>
    <col min="5460" max="5461" width="7.81640625" bestFit="1" customWidth="1"/>
    <col min="5462" max="5462" width="8.81640625" bestFit="1" customWidth="1"/>
    <col min="5463" max="5466" width="7.81640625" bestFit="1" customWidth="1"/>
    <col min="5467" max="5467" width="6.81640625" bestFit="1" customWidth="1"/>
    <col min="5468" max="5474" width="7.81640625" bestFit="1" customWidth="1"/>
    <col min="5475" max="5476" width="8.81640625" bestFit="1" customWidth="1"/>
    <col min="5477" max="5479" width="7.81640625" bestFit="1" customWidth="1"/>
    <col min="5480" max="5480" width="8.81640625" bestFit="1" customWidth="1"/>
    <col min="5481" max="5483" width="7.81640625" bestFit="1" customWidth="1"/>
    <col min="5484" max="5484" width="8.81640625" bestFit="1" customWidth="1"/>
    <col min="5485" max="5487" width="7.81640625" bestFit="1" customWidth="1"/>
    <col min="5488" max="5488" width="8.81640625" bestFit="1" customWidth="1"/>
    <col min="5489" max="5489" width="6.81640625" bestFit="1" customWidth="1"/>
    <col min="5490" max="5490" width="7.81640625" bestFit="1" customWidth="1"/>
    <col min="5491" max="5491" width="8.81640625" bestFit="1" customWidth="1"/>
    <col min="5492" max="5492" width="7.81640625" bestFit="1" customWidth="1"/>
    <col min="5493" max="5493" width="6.81640625" bestFit="1" customWidth="1"/>
    <col min="5494" max="5495" width="7.81640625" bestFit="1" customWidth="1"/>
    <col min="5496" max="5496" width="8.81640625" bestFit="1" customWidth="1"/>
    <col min="5497" max="5498" width="7.81640625" bestFit="1" customWidth="1"/>
    <col min="5499" max="5500" width="8.81640625" bestFit="1" customWidth="1"/>
    <col min="5501" max="5501" width="7.81640625" bestFit="1" customWidth="1"/>
    <col min="5502" max="5502" width="8.81640625" bestFit="1" customWidth="1"/>
    <col min="5503" max="5505" width="7.81640625" bestFit="1" customWidth="1"/>
    <col min="5506" max="5506" width="8.81640625" bestFit="1" customWidth="1"/>
    <col min="5507" max="5507" width="9.81640625" bestFit="1" customWidth="1"/>
    <col min="5508" max="5508" width="7.81640625" bestFit="1" customWidth="1"/>
    <col min="5509" max="5509" width="6.81640625" bestFit="1" customWidth="1"/>
    <col min="5510" max="5511" width="7.81640625" bestFit="1" customWidth="1"/>
    <col min="5512" max="5512" width="8.81640625" bestFit="1" customWidth="1"/>
    <col min="5513" max="5516" width="7.81640625" bestFit="1" customWidth="1"/>
    <col min="5517" max="5517" width="8.81640625" bestFit="1" customWidth="1"/>
    <col min="5518" max="5520" width="7.81640625" bestFit="1" customWidth="1"/>
    <col min="5521" max="5521" width="6.81640625" bestFit="1" customWidth="1"/>
    <col min="5522" max="5522" width="7.81640625" bestFit="1" customWidth="1"/>
    <col min="5523" max="5523" width="8.81640625" bestFit="1" customWidth="1"/>
    <col min="5524" max="5524" width="6.81640625" bestFit="1" customWidth="1"/>
    <col min="5525" max="5525" width="4.81640625" bestFit="1" customWidth="1"/>
    <col min="5526" max="5526" width="7.81640625" bestFit="1" customWidth="1"/>
    <col min="5527" max="5529" width="8.81640625" bestFit="1" customWidth="1"/>
    <col min="5530" max="5530" width="6.81640625" bestFit="1" customWidth="1"/>
    <col min="5531" max="5534" width="7.81640625" bestFit="1" customWidth="1"/>
    <col min="5535" max="5535" width="6.81640625" bestFit="1" customWidth="1"/>
    <col min="5536" max="5537" width="7.81640625" bestFit="1" customWidth="1"/>
    <col min="5538" max="5538" width="6.81640625" bestFit="1" customWidth="1"/>
    <col min="5539" max="5540" width="8.81640625" bestFit="1" customWidth="1"/>
    <col min="5541" max="5541" width="7.81640625" bestFit="1" customWidth="1"/>
    <col min="5542" max="5543" width="8.81640625" bestFit="1" customWidth="1"/>
    <col min="5544" max="5544" width="7.81640625" bestFit="1" customWidth="1"/>
    <col min="5545" max="5545" width="8.81640625" bestFit="1" customWidth="1"/>
    <col min="5546" max="5547" width="7.81640625" bestFit="1" customWidth="1"/>
    <col min="5548" max="5548" width="8.81640625" bestFit="1" customWidth="1"/>
    <col min="5549" max="5550" width="7.81640625" bestFit="1" customWidth="1"/>
    <col min="5551" max="5551" width="6.81640625" bestFit="1" customWidth="1"/>
    <col min="5552" max="5553" width="8.81640625" bestFit="1" customWidth="1"/>
    <col min="5554" max="5554" width="7.81640625" bestFit="1" customWidth="1"/>
    <col min="5555" max="5555" width="8.81640625" bestFit="1" customWidth="1"/>
    <col min="5556" max="5556" width="7.81640625" bestFit="1" customWidth="1"/>
    <col min="5557" max="5558" width="8.81640625" bestFit="1" customWidth="1"/>
    <col min="5559" max="5561" width="7.81640625" bestFit="1" customWidth="1"/>
    <col min="5562" max="5562" width="8.81640625" bestFit="1" customWidth="1"/>
    <col min="5563" max="5564" width="7.81640625" bestFit="1" customWidth="1"/>
    <col min="5565" max="5565" width="8.81640625" bestFit="1" customWidth="1"/>
    <col min="5566" max="5568" width="7.81640625" bestFit="1" customWidth="1"/>
    <col min="5569" max="5569" width="8.81640625" bestFit="1" customWidth="1"/>
    <col min="5570" max="5570" width="7.81640625" bestFit="1" customWidth="1"/>
    <col min="5571" max="5571" width="8.81640625" bestFit="1" customWidth="1"/>
    <col min="5572" max="5572" width="6.81640625" bestFit="1" customWidth="1"/>
    <col min="5573" max="5573" width="7.81640625" bestFit="1" customWidth="1"/>
    <col min="5574" max="5574" width="8.81640625" bestFit="1" customWidth="1"/>
    <col min="5575" max="5576" width="7.81640625" bestFit="1" customWidth="1"/>
    <col min="5577" max="5577" width="8.81640625" bestFit="1" customWidth="1"/>
    <col min="5578" max="5579" width="7.81640625" bestFit="1" customWidth="1"/>
    <col min="5580" max="5580" width="8.81640625" bestFit="1" customWidth="1"/>
    <col min="5581" max="5581" width="6.81640625" bestFit="1" customWidth="1"/>
    <col min="5582" max="5585" width="7.81640625" bestFit="1" customWidth="1"/>
    <col min="5586" max="5586" width="6.81640625" bestFit="1" customWidth="1"/>
    <col min="5587" max="5587" width="8.81640625" bestFit="1" customWidth="1"/>
    <col min="5588" max="5589" width="7.81640625" bestFit="1" customWidth="1"/>
    <col min="5590" max="5590" width="8.81640625" bestFit="1" customWidth="1"/>
    <col min="5591" max="5591" width="7.81640625" bestFit="1" customWidth="1"/>
    <col min="5592" max="5592" width="6.81640625" bestFit="1" customWidth="1"/>
    <col min="5593" max="5596" width="7.81640625" bestFit="1" customWidth="1"/>
    <col min="5597" max="5597" width="8.81640625" bestFit="1" customWidth="1"/>
    <col min="5598" max="5598" width="6.81640625" bestFit="1" customWidth="1"/>
    <col min="5599" max="5601" width="7.81640625" bestFit="1" customWidth="1"/>
    <col min="5602" max="5602" width="6.81640625" bestFit="1" customWidth="1"/>
    <col min="5603" max="5603" width="8.81640625" bestFit="1" customWidth="1"/>
    <col min="5604" max="5606" width="7.81640625" bestFit="1" customWidth="1"/>
    <col min="5607" max="5608" width="8.81640625" bestFit="1" customWidth="1"/>
    <col min="5609" max="5612" width="7.81640625" bestFit="1" customWidth="1"/>
    <col min="5613" max="5613" width="8.81640625" bestFit="1" customWidth="1"/>
    <col min="5614" max="5614" width="7.81640625" bestFit="1" customWidth="1"/>
    <col min="5615" max="5615" width="8.81640625" bestFit="1" customWidth="1"/>
    <col min="5616" max="5616" width="7.81640625" bestFit="1" customWidth="1"/>
    <col min="5617" max="5617" width="6.81640625" bestFit="1" customWidth="1"/>
    <col min="5618" max="5618" width="8.81640625" bestFit="1" customWidth="1"/>
    <col min="5619" max="5622" width="7.81640625" bestFit="1" customWidth="1"/>
    <col min="5623" max="5623" width="8.81640625" bestFit="1" customWidth="1"/>
    <col min="5624" max="5624" width="7.81640625" bestFit="1" customWidth="1"/>
    <col min="5625" max="5625" width="6.81640625" bestFit="1" customWidth="1"/>
    <col min="5626" max="5626" width="7.81640625" bestFit="1" customWidth="1"/>
    <col min="5627" max="5628" width="8.81640625" bestFit="1" customWidth="1"/>
    <col min="5629" max="5630" width="7.81640625" bestFit="1" customWidth="1"/>
    <col min="5631" max="5631" width="8.81640625" bestFit="1" customWidth="1"/>
    <col min="5632" max="5633" width="7.81640625" bestFit="1" customWidth="1"/>
    <col min="5634" max="5634" width="8.81640625" bestFit="1" customWidth="1"/>
    <col min="5635" max="5635" width="7.81640625" bestFit="1" customWidth="1"/>
    <col min="5636" max="5636" width="8.81640625" bestFit="1" customWidth="1"/>
    <col min="5637" max="5637" width="7.81640625" bestFit="1" customWidth="1"/>
    <col min="5638" max="5639" width="8.81640625" bestFit="1" customWidth="1"/>
    <col min="5640" max="5640" width="7.81640625" bestFit="1" customWidth="1"/>
    <col min="5641" max="5641" width="6.81640625" bestFit="1" customWidth="1"/>
    <col min="5642" max="5642" width="7.81640625" bestFit="1" customWidth="1"/>
    <col min="5643" max="5643" width="8.81640625" bestFit="1" customWidth="1"/>
    <col min="5644" max="5644" width="6.81640625" bestFit="1" customWidth="1"/>
    <col min="5645" max="5646" width="8.81640625" bestFit="1" customWidth="1"/>
    <col min="5647" max="5649" width="7.81640625" bestFit="1" customWidth="1"/>
    <col min="5650" max="5650" width="6.81640625" bestFit="1" customWidth="1"/>
    <col min="5651" max="5652" width="7.81640625" bestFit="1" customWidth="1"/>
    <col min="5653" max="5653" width="8.81640625" bestFit="1" customWidth="1"/>
    <col min="5654" max="5654" width="6.81640625" bestFit="1" customWidth="1"/>
    <col min="5655" max="5655" width="7.81640625" bestFit="1" customWidth="1"/>
    <col min="5656" max="5656" width="8.81640625" bestFit="1" customWidth="1"/>
    <col min="5657" max="5657" width="6.81640625" bestFit="1" customWidth="1"/>
    <col min="5658" max="5658" width="9.81640625" bestFit="1" customWidth="1"/>
    <col min="5659" max="5660" width="6.81640625" bestFit="1" customWidth="1"/>
    <col min="5661" max="5661" width="7.81640625" bestFit="1" customWidth="1"/>
    <col min="5662" max="5662" width="8.81640625" bestFit="1" customWidth="1"/>
    <col min="5663" max="5667" width="7.81640625" bestFit="1" customWidth="1"/>
    <col min="5668" max="5668" width="8.81640625" bestFit="1" customWidth="1"/>
    <col min="5669" max="5670" width="7.81640625" bestFit="1" customWidth="1"/>
    <col min="5671" max="5672" width="8.81640625" bestFit="1" customWidth="1"/>
    <col min="5673" max="5674" width="7.81640625" bestFit="1" customWidth="1"/>
    <col min="5675" max="5675" width="8.81640625" bestFit="1" customWidth="1"/>
    <col min="5676" max="5676" width="7.81640625" bestFit="1" customWidth="1"/>
    <col min="5677" max="5678" width="8.81640625" bestFit="1" customWidth="1"/>
    <col min="5679" max="5680" width="7.81640625" bestFit="1" customWidth="1"/>
    <col min="5681" max="5681" width="8.81640625" bestFit="1" customWidth="1"/>
    <col min="5682" max="5684" width="7.81640625" bestFit="1" customWidth="1"/>
    <col min="5685" max="5687" width="8.81640625" bestFit="1" customWidth="1"/>
    <col min="5688" max="5690" width="7.81640625" bestFit="1" customWidth="1"/>
    <col min="5691" max="5693" width="8.81640625" bestFit="1" customWidth="1"/>
    <col min="5694" max="5697" width="7.81640625" bestFit="1" customWidth="1"/>
    <col min="5698" max="5698" width="8.81640625" bestFit="1" customWidth="1"/>
    <col min="5699" max="5699" width="4.81640625" bestFit="1" customWidth="1"/>
    <col min="5700" max="5701" width="8.81640625" bestFit="1" customWidth="1"/>
    <col min="5702" max="5702" width="4.81640625" bestFit="1" customWidth="1"/>
    <col min="5703" max="5704" width="7.81640625" bestFit="1" customWidth="1"/>
    <col min="5705" max="5705" width="8.81640625" bestFit="1" customWidth="1"/>
    <col min="5706" max="5706" width="7.81640625" bestFit="1" customWidth="1"/>
    <col min="5707" max="5707" width="6.81640625" bestFit="1" customWidth="1"/>
    <col min="5708" max="5708" width="8.81640625" bestFit="1" customWidth="1"/>
    <col min="5709" max="5709" width="6.81640625" bestFit="1" customWidth="1"/>
    <col min="5710" max="5710" width="8.81640625" bestFit="1" customWidth="1"/>
    <col min="5711" max="5711" width="7.81640625" bestFit="1" customWidth="1"/>
    <col min="5712" max="5712" width="6.81640625" bestFit="1" customWidth="1"/>
    <col min="5713" max="5714" width="8.81640625" bestFit="1" customWidth="1"/>
    <col min="5715" max="5715" width="7.81640625" bestFit="1" customWidth="1"/>
    <col min="5716" max="5716" width="8.81640625" bestFit="1" customWidth="1"/>
    <col min="5717" max="5719" width="7.81640625" bestFit="1" customWidth="1"/>
    <col min="5720" max="5720" width="8.81640625" bestFit="1" customWidth="1"/>
    <col min="5721" max="5721" width="7.81640625" bestFit="1" customWidth="1"/>
    <col min="5722" max="5726" width="8.81640625" bestFit="1" customWidth="1"/>
    <col min="5727" max="5727" width="6.81640625" bestFit="1" customWidth="1"/>
    <col min="5728" max="5728" width="8.81640625" bestFit="1" customWidth="1"/>
    <col min="5729" max="5729" width="6.81640625" bestFit="1" customWidth="1"/>
    <col min="5730" max="5731" width="8.81640625" bestFit="1" customWidth="1"/>
    <col min="5732" max="5732" width="7.81640625" bestFit="1" customWidth="1"/>
    <col min="5733" max="5733" width="6.81640625" bestFit="1" customWidth="1"/>
    <col min="5734" max="5735" width="8.81640625" bestFit="1" customWidth="1"/>
    <col min="5736" max="5744" width="7.81640625" bestFit="1" customWidth="1"/>
    <col min="5745" max="5745" width="8.81640625" bestFit="1" customWidth="1"/>
    <col min="5746" max="5746" width="7.81640625" bestFit="1" customWidth="1"/>
    <col min="5747" max="5747" width="8.81640625" bestFit="1" customWidth="1"/>
    <col min="5748" max="5751" width="7.81640625" bestFit="1" customWidth="1"/>
    <col min="5752" max="5752" width="8.81640625" bestFit="1" customWidth="1"/>
    <col min="5753" max="5753" width="9.81640625" bestFit="1" customWidth="1"/>
    <col min="5754" max="5756" width="8.81640625" bestFit="1" customWidth="1"/>
    <col min="5757" max="5757" width="10.7265625" bestFit="1" customWidth="1"/>
  </cols>
  <sheetData>
    <row r="3" spans="1:15" x14ac:dyDescent="0.35">
      <c r="A3" s="2" t="s">
        <v>14</v>
      </c>
      <c r="B3" t="s">
        <v>6811</v>
      </c>
      <c r="E3" s="2" t="s">
        <v>6812</v>
      </c>
      <c r="F3" t="s">
        <v>6811</v>
      </c>
      <c r="I3" s="2" t="s">
        <v>6828</v>
      </c>
      <c r="J3" t="s">
        <v>6811</v>
      </c>
      <c r="L3" t="s">
        <v>6829</v>
      </c>
      <c r="O3" t="s">
        <v>6831</v>
      </c>
    </row>
    <row r="4" spans="1:15" x14ac:dyDescent="0.35">
      <c r="A4" s="3" t="s">
        <v>28</v>
      </c>
      <c r="B4" s="16">
        <v>156477.88110000009</v>
      </c>
      <c r="E4" s="3" t="s">
        <v>4311</v>
      </c>
      <c r="F4" s="16">
        <v>5328.6060000000007</v>
      </c>
      <c r="I4" s="3" t="s">
        <v>156</v>
      </c>
      <c r="J4" s="16">
        <v>23766.396000000004</v>
      </c>
      <c r="O4" t="s">
        <v>6830</v>
      </c>
    </row>
    <row r="5" spans="1:15" x14ac:dyDescent="0.35">
      <c r="A5" s="3" t="s">
        <v>42</v>
      </c>
      <c r="B5" s="16">
        <v>149512.81999999992</v>
      </c>
      <c r="E5" s="3" t="s">
        <v>1246</v>
      </c>
      <c r="F5" s="16">
        <v>5443.96</v>
      </c>
      <c r="I5" s="3" t="s">
        <v>74</v>
      </c>
      <c r="J5" s="16">
        <v>15160.714999999998</v>
      </c>
      <c r="O5" s="16">
        <v>1953</v>
      </c>
    </row>
    <row r="6" spans="1:15" x14ac:dyDescent="0.35">
      <c r="A6" s="3" t="s">
        <v>67</v>
      </c>
      <c r="B6" s="16">
        <v>173865.5070000001</v>
      </c>
      <c r="E6" s="3" t="s">
        <v>4637</v>
      </c>
      <c r="F6" s="16">
        <v>5568.5700000000006</v>
      </c>
      <c r="I6" s="3" t="s">
        <v>64</v>
      </c>
      <c r="J6" s="16">
        <v>5897.5340000000015</v>
      </c>
    </row>
    <row r="7" spans="1:15" x14ac:dyDescent="0.35">
      <c r="A7" s="3" t="s">
        <v>6810</v>
      </c>
      <c r="B7" s="16">
        <v>479856.20810000011</v>
      </c>
      <c r="E7" s="3" t="s">
        <v>529</v>
      </c>
      <c r="F7" s="16">
        <v>5633.8060000000005</v>
      </c>
      <c r="I7" s="3" t="s">
        <v>71</v>
      </c>
      <c r="J7" s="16">
        <v>43263.266999999985</v>
      </c>
    </row>
    <row r="8" spans="1:15" x14ac:dyDescent="0.35">
      <c r="E8" s="3" t="s">
        <v>4412</v>
      </c>
      <c r="F8" s="16">
        <v>5740.7359999999999</v>
      </c>
      <c r="I8" s="3" t="s">
        <v>29</v>
      </c>
      <c r="J8" s="16">
        <v>20036.677600000006</v>
      </c>
    </row>
    <row r="9" spans="1:15" x14ac:dyDescent="0.35">
      <c r="B9" s="2" t="s">
        <v>12</v>
      </c>
      <c r="C9" t="s">
        <v>6811</v>
      </c>
      <c r="E9" s="3" t="s">
        <v>5069</v>
      </c>
      <c r="F9" s="16">
        <v>8187.65</v>
      </c>
      <c r="I9" s="3" t="s">
        <v>32</v>
      </c>
      <c r="J9" s="16">
        <v>77046.440000000017</v>
      </c>
    </row>
    <row r="10" spans="1:15" x14ac:dyDescent="0.35">
      <c r="B10" s="3" t="s">
        <v>101</v>
      </c>
      <c r="C10" s="16">
        <v>102920.52060000008</v>
      </c>
      <c r="E10" s="3" t="s">
        <v>6022</v>
      </c>
      <c r="F10" s="16">
        <v>9449.9500000000007</v>
      </c>
      <c r="I10" s="3" t="s">
        <v>1209</v>
      </c>
      <c r="J10" s="16">
        <v>10849.782000000001</v>
      </c>
    </row>
    <row r="11" spans="1:15" x14ac:dyDescent="0.35">
      <c r="B11" s="3" t="s">
        <v>144</v>
      </c>
      <c r="C11" s="16">
        <v>127652.81899999996</v>
      </c>
      <c r="E11" s="3" t="s">
        <v>6036</v>
      </c>
      <c r="F11" s="16">
        <v>9624.9449999999997</v>
      </c>
      <c r="I11" s="3" t="s">
        <v>168</v>
      </c>
      <c r="J11" s="16">
        <v>3844.5900000000011</v>
      </c>
    </row>
    <row r="12" spans="1:15" x14ac:dyDescent="0.35">
      <c r="B12" s="3" t="s">
        <v>26</v>
      </c>
      <c r="C12" s="16">
        <v>103374.90549999996</v>
      </c>
      <c r="E12" s="3" t="s">
        <v>676</v>
      </c>
      <c r="F12" s="16">
        <v>11219.934000000001</v>
      </c>
      <c r="I12" s="3" t="s">
        <v>264</v>
      </c>
      <c r="J12" s="16">
        <v>655.38799999999992</v>
      </c>
    </row>
    <row r="13" spans="1:15" x14ac:dyDescent="0.35">
      <c r="B13" s="3" t="s">
        <v>40</v>
      </c>
      <c r="C13" s="16">
        <v>145907.96300000002</v>
      </c>
      <c r="E13" s="3" t="s">
        <v>5251</v>
      </c>
      <c r="F13" s="16">
        <v>22638.48</v>
      </c>
      <c r="I13" s="3" t="s">
        <v>61</v>
      </c>
      <c r="J13" s="16">
        <v>13636.985999999995</v>
      </c>
    </row>
    <row r="14" spans="1:15" x14ac:dyDescent="0.35">
      <c r="B14" s="3" t="s">
        <v>6810</v>
      </c>
      <c r="C14" s="16">
        <v>479856.20810000005</v>
      </c>
      <c r="E14" s="3" t="s">
        <v>6810</v>
      </c>
      <c r="F14" s="16">
        <v>88836.637000000002</v>
      </c>
      <c r="I14" s="3" t="s">
        <v>43</v>
      </c>
      <c r="J14" s="16">
        <v>2825.4579999999996</v>
      </c>
    </row>
    <row r="15" spans="1:15" x14ac:dyDescent="0.35">
      <c r="I15" s="3" t="s">
        <v>675</v>
      </c>
      <c r="J15" s="16">
        <v>62023.373000000007</v>
      </c>
    </row>
    <row r="16" spans="1:15" x14ac:dyDescent="0.35">
      <c r="I16" s="3" t="s">
        <v>86</v>
      </c>
      <c r="J16" s="16">
        <v>14332.722</v>
      </c>
    </row>
    <row r="17" spans="1:10" x14ac:dyDescent="0.35">
      <c r="A17" s="2" t="s">
        <v>6826</v>
      </c>
      <c r="B17" t="s">
        <v>6811</v>
      </c>
      <c r="E17" s="2" t="s">
        <v>6825</v>
      </c>
      <c r="F17" t="s">
        <v>6811</v>
      </c>
      <c r="I17" s="3" t="s">
        <v>68</v>
      </c>
      <c r="J17" s="16">
        <v>77225.955999999962</v>
      </c>
    </row>
    <row r="18" spans="1:10" x14ac:dyDescent="0.35">
      <c r="A18" s="3">
        <v>2015</v>
      </c>
      <c r="B18" s="16">
        <v>479856.20809999981</v>
      </c>
      <c r="E18" s="3" t="s">
        <v>22</v>
      </c>
      <c r="F18" s="16">
        <v>262956.80059999996</v>
      </c>
      <c r="I18" s="3" t="s">
        <v>55</v>
      </c>
      <c r="J18" s="16">
        <v>49197.526000000013</v>
      </c>
    </row>
    <row r="19" spans="1:10" x14ac:dyDescent="0.35">
      <c r="A19" s="4" t="s">
        <v>6834</v>
      </c>
      <c r="B19" s="16">
        <v>479856.20809999981</v>
      </c>
      <c r="E19" s="3" t="s">
        <v>37</v>
      </c>
      <c r="F19" s="16">
        <v>127797.49570000001</v>
      </c>
      <c r="I19" s="3" t="s">
        <v>573</v>
      </c>
      <c r="J19" s="16">
        <v>14335.619999999997</v>
      </c>
    </row>
    <row r="20" spans="1:10" x14ac:dyDescent="0.35">
      <c r="A20" s="5" t="s">
        <v>6813</v>
      </c>
      <c r="B20" s="16">
        <v>14205.706999999999</v>
      </c>
      <c r="E20" s="3" t="s">
        <v>98</v>
      </c>
      <c r="F20" s="16">
        <v>89101.911799999987</v>
      </c>
      <c r="I20" s="3" t="s">
        <v>52</v>
      </c>
      <c r="J20" s="16">
        <v>45757.777499999997</v>
      </c>
    </row>
    <row r="21" spans="1:10" x14ac:dyDescent="0.35">
      <c r="A21" s="5" t="s">
        <v>6814</v>
      </c>
      <c r="B21" s="16">
        <v>4519.8919999999998</v>
      </c>
      <c r="E21" s="3" t="s">
        <v>6810</v>
      </c>
      <c r="F21" s="16">
        <v>479856.20809999999</v>
      </c>
      <c r="I21" s="3" t="s">
        <v>6810</v>
      </c>
      <c r="J21" s="16">
        <v>479856.20810000005</v>
      </c>
    </row>
    <row r="22" spans="1:10" x14ac:dyDescent="0.35">
      <c r="A22" s="5" t="s">
        <v>6815</v>
      </c>
      <c r="B22" s="16">
        <v>55205.796999999999</v>
      </c>
    </row>
    <row r="23" spans="1:10" x14ac:dyDescent="0.35">
      <c r="A23" s="5" t="s">
        <v>6816</v>
      </c>
      <c r="B23" s="16">
        <v>27906.854999999996</v>
      </c>
    </row>
    <row r="24" spans="1:10" x14ac:dyDescent="0.35">
      <c r="A24" s="5" t="s">
        <v>6817</v>
      </c>
      <c r="B24" s="16">
        <v>23644.302999999989</v>
      </c>
      <c r="E24" s="2" t="s">
        <v>6827</v>
      </c>
      <c r="F24" t="s">
        <v>6811</v>
      </c>
    </row>
    <row r="25" spans="1:10" x14ac:dyDescent="0.35">
      <c r="A25" s="5" t="s">
        <v>6818</v>
      </c>
      <c r="B25" s="16">
        <v>34322.935600000004</v>
      </c>
      <c r="E25" s="3" t="s">
        <v>353</v>
      </c>
      <c r="F25" s="16">
        <v>6139.09</v>
      </c>
    </row>
    <row r="26" spans="1:10" x14ac:dyDescent="0.35">
      <c r="A26" s="5" t="s">
        <v>6819</v>
      </c>
      <c r="B26" s="16">
        <v>33781.542999999998</v>
      </c>
      <c r="E26" s="3" t="s">
        <v>305</v>
      </c>
      <c r="F26" s="16">
        <v>8295.2349999999988</v>
      </c>
      <c r="I26" s="2" t="s">
        <v>6835</v>
      </c>
      <c r="J26" t="s">
        <v>6811</v>
      </c>
    </row>
    <row r="27" spans="1:10" x14ac:dyDescent="0.35">
      <c r="A27" s="5" t="s">
        <v>6820</v>
      </c>
      <c r="B27" s="16">
        <v>27117.536499999991</v>
      </c>
      <c r="E27" s="3" t="s">
        <v>1692</v>
      </c>
      <c r="F27" s="16">
        <v>6302.6900000000005</v>
      </c>
      <c r="I27" s="3">
        <v>2015</v>
      </c>
      <c r="J27" s="16">
        <v>479856.20809999981</v>
      </c>
    </row>
    <row r="28" spans="1:10" x14ac:dyDescent="0.35">
      <c r="A28" s="5" t="s">
        <v>6821</v>
      </c>
      <c r="B28" s="16">
        <v>81623.526800000021</v>
      </c>
      <c r="E28" s="3" t="s">
        <v>39</v>
      </c>
      <c r="F28" s="16">
        <v>89475.148999999961</v>
      </c>
      <c r="I28" s="4" t="s">
        <v>6813</v>
      </c>
      <c r="J28" s="16">
        <v>14205.706999999999</v>
      </c>
    </row>
    <row r="29" spans="1:10" x14ac:dyDescent="0.35">
      <c r="A29" s="5" t="s">
        <v>6822</v>
      </c>
      <c r="B29" s="16">
        <v>31453.392999999993</v>
      </c>
      <c r="E29" s="3" t="s">
        <v>452</v>
      </c>
      <c r="F29" s="16">
        <v>6502.2939999999999</v>
      </c>
      <c r="I29" s="4" t="s">
        <v>6814</v>
      </c>
      <c r="J29" s="16">
        <v>4519.8919999999998</v>
      </c>
    </row>
    <row r="30" spans="1:10" x14ac:dyDescent="0.35">
      <c r="A30" s="5" t="s">
        <v>6823</v>
      </c>
      <c r="B30" s="16">
        <v>77907.660699999935</v>
      </c>
      <c r="E30" s="3" t="s">
        <v>740</v>
      </c>
      <c r="F30" s="16">
        <v>2794.02</v>
      </c>
      <c r="I30" s="4" t="s">
        <v>6815</v>
      </c>
      <c r="J30" s="16">
        <v>55205.796999999999</v>
      </c>
    </row>
    <row r="31" spans="1:10" x14ac:dyDescent="0.35">
      <c r="A31" s="5" t="s">
        <v>6824</v>
      </c>
      <c r="B31" s="16">
        <v>68167.058499999956</v>
      </c>
      <c r="E31" s="3" t="s">
        <v>240</v>
      </c>
      <c r="F31" s="16">
        <v>4786.0300000000007</v>
      </c>
      <c r="I31" s="4" t="s">
        <v>6816</v>
      </c>
      <c r="J31" s="16">
        <v>27906.854999999996</v>
      </c>
    </row>
    <row r="32" spans="1:10" x14ac:dyDescent="0.35">
      <c r="A32" s="3" t="s">
        <v>6810</v>
      </c>
      <c r="B32" s="16">
        <v>479856.20809999981</v>
      </c>
      <c r="E32" s="3" t="s">
        <v>50</v>
      </c>
      <c r="F32" s="16">
        <v>34223.012500000004</v>
      </c>
      <c r="I32" s="4" t="s">
        <v>6817</v>
      </c>
      <c r="J32" s="16">
        <v>23644.302999999989</v>
      </c>
    </row>
    <row r="33" spans="5:10" x14ac:dyDescent="0.35">
      <c r="E33" s="3" t="s">
        <v>1261</v>
      </c>
      <c r="F33" s="16">
        <v>4209.7700000000004</v>
      </c>
      <c r="I33" s="4" t="s">
        <v>6818</v>
      </c>
      <c r="J33" s="16">
        <v>34322.935600000004</v>
      </c>
    </row>
    <row r="34" spans="5:10" x14ac:dyDescent="0.35">
      <c r="E34" s="3" t="s">
        <v>5501</v>
      </c>
      <c r="F34" s="16">
        <v>465.21599999999995</v>
      </c>
      <c r="I34" s="4" t="s">
        <v>6819</v>
      </c>
      <c r="J34" s="16">
        <v>33781.542999999998</v>
      </c>
    </row>
    <row r="35" spans="5:10" x14ac:dyDescent="0.35">
      <c r="E35" s="3" t="s">
        <v>206</v>
      </c>
      <c r="F35" s="16">
        <v>15776.691000000004</v>
      </c>
      <c r="I35" s="4" t="s">
        <v>6820</v>
      </c>
      <c r="J35" s="16">
        <v>27117.536499999991</v>
      </c>
    </row>
    <row r="36" spans="5:10" x14ac:dyDescent="0.35">
      <c r="E36" s="3" t="s">
        <v>249</v>
      </c>
      <c r="F36" s="16">
        <v>2930.87</v>
      </c>
      <c r="I36" s="4" t="s">
        <v>6821</v>
      </c>
      <c r="J36" s="16">
        <v>81623.526800000021</v>
      </c>
    </row>
    <row r="37" spans="5:10" x14ac:dyDescent="0.35">
      <c r="E37" s="3" t="s">
        <v>484</v>
      </c>
      <c r="F37" s="16">
        <v>1190.8399999999999</v>
      </c>
      <c r="I37" s="4" t="s">
        <v>6822</v>
      </c>
      <c r="J37" s="16">
        <v>31453.392999999993</v>
      </c>
    </row>
    <row r="38" spans="5:10" x14ac:dyDescent="0.35">
      <c r="E38" s="3" t="s">
        <v>4252</v>
      </c>
      <c r="F38" s="16">
        <v>1319.79</v>
      </c>
      <c r="I38" s="4" t="s">
        <v>6823</v>
      </c>
      <c r="J38" s="16">
        <v>77907.660699999935</v>
      </c>
    </row>
    <row r="39" spans="5:10" x14ac:dyDescent="0.35">
      <c r="E39" s="3" t="s">
        <v>25</v>
      </c>
      <c r="F39" s="16">
        <v>8165.1000000000013</v>
      </c>
      <c r="I39" s="4" t="s">
        <v>6824</v>
      </c>
      <c r="J39" s="16">
        <v>68167.058499999956</v>
      </c>
    </row>
    <row r="40" spans="5:10" x14ac:dyDescent="0.35">
      <c r="E40" s="3" t="s">
        <v>729</v>
      </c>
      <c r="F40" s="16">
        <v>2534.9200000000005</v>
      </c>
      <c r="I40" s="3" t="s">
        <v>6810</v>
      </c>
      <c r="J40" s="16">
        <v>479856.20809999981</v>
      </c>
    </row>
    <row r="41" spans="5:10" x14ac:dyDescent="0.35">
      <c r="E41" s="3" t="s">
        <v>4802</v>
      </c>
      <c r="F41" s="16">
        <v>617.12</v>
      </c>
    </row>
    <row r="42" spans="5:10" x14ac:dyDescent="0.35">
      <c r="E42" s="3" t="s">
        <v>2676</v>
      </c>
      <c r="F42" s="16">
        <v>1701.25</v>
      </c>
    </row>
    <row r="43" spans="5:10" x14ac:dyDescent="0.35">
      <c r="E43" s="3" t="s">
        <v>1235</v>
      </c>
      <c r="F43" s="16">
        <v>9900.1059999999998</v>
      </c>
    </row>
    <row r="44" spans="5:10" x14ac:dyDescent="0.35">
      <c r="E44" s="3" t="s">
        <v>233</v>
      </c>
      <c r="F44" s="16">
        <v>6172.2509999999993</v>
      </c>
    </row>
    <row r="45" spans="5:10" x14ac:dyDescent="0.35">
      <c r="E45" s="3" t="s">
        <v>224</v>
      </c>
      <c r="F45" s="16">
        <v>15883.33</v>
      </c>
    </row>
    <row r="46" spans="5:10" x14ac:dyDescent="0.35">
      <c r="E46" s="3" t="s">
        <v>1475</v>
      </c>
      <c r="F46" s="16">
        <v>2055.16</v>
      </c>
    </row>
    <row r="47" spans="5:10" x14ac:dyDescent="0.35">
      <c r="E47" s="3" t="s">
        <v>590</v>
      </c>
      <c r="F47" s="16">
        <v>1648.0300000000002</v>
      </c>
    </row>
    <row r="48" spans="5:10" x14ac:dyDescent="0.35">
      <c r="E48" s="3" t="s">
        <v>1744</v>
      </c>
      <c r="F48" s="16">
        <v>424.488</v>
      </c>
    </row>
    <row r="49" spans="5:6" x14ac:dyDescent="0.35">
      <c r="E49" s="3" t="s">
        <v>134</v>
      </c>
      <c r="F49" s="16">
        <v>210.02</v>
      </c>
    </row>
    <row r="50" spans="5:6" x14ac:dyDescent="0.35">
      <c r="E50" s="3" t="s">
        <v>1380</v>
      </c>
      <c r="F50" s="16">
        <v>2561.21</v>
      </c>
    </row>
    <row r="51" spans="5:6" x14ac:dyDescent="0.35">
      <c r="E51" s="3" t="s">
        <v>2642</v>
      </c>
      <c r="F51" s="16">
        <v>504.48</v>
      </c>
    </row>
    <row r="52" spans="5:6" x14ac:dyDescent="0.35">
      <c r="E52" s="3" t="s">
        <v>780</v>
      </c>
      <c r="F52" s="16">
        <v>4192.28</v>
      </c>
    </row>
    <row r="53" spans="5:6" x14ac:dyDescent="0.35">
      <c r="E53" s="3" t="s">
        <v>660</v>
      </c>
      <c r="F53" s="16">
        <v>708.01199999999994</v>
      </c>
    </row>
    <row r="54" spans="5:6" x14ac:dyDescent="0.35">
      <c r="E54" s="3" t="s">
        <v>262</v>
      </c>
      <c r="F54" s="16">
        <v>64346.066999999995</v>
      </c>
    </row>
    <row r="55" spans="5:6" x14ac:dyDescent="0.35">
      <c r="E55" s="3" t="s">
        <v>84</v>
      </c>
      <c r="F55" s="16">
        <v>8620.7410000000018</v>
      </c>
    </row>
    <row r="56" spans="5:6" x14ac:dyDescent="0.35">
      <c r="E56" s="3" t="s">
        <v>493</v>
      </c>
      <c r="F56" s="16">
        <v>13704.255999999996</v>
      </c>
    </row>
    <row r="57" spans="5:6" x14ac:dyDescent="0.35">
      <c r="E57" s="3" t="s">
        <v>641</v>
      </c>
      <c r="F57" s="16">
        <v>2639.35</v>
      </c>
    </row>
    <row r="58" spans="5:6" x14ac:dyDescent="0.35">
      <c r="E58" s="3" t="s">
        <v>415</v>
      </c>
      <c r="F58" s="16">
        <v>4661.0950000000003</v>
      </c>
    </row>
    <row r="59" spans="5:6" x14ac:dyDescent="0.35">
      <c r="E59" s="3" t="s">
        <v>143</v>
      </c>
      <c r="F59" s="16">
        <v>20091.524000000016</v>
      </c>
    </row>
    <row r="60" spans="5:6" x14ac:dyDescent="0.35">
      <c r="E60" s="3" t="s">
        <v>1387</v>
      </c>
      <c r="F60" s="16">
        <v>5015.6860000000006</v>
      </c>
    </row>
    <row r="61" spans="5:6" x14ac:dyDescent="0.35">
      <c r="E61" s="3" t="s">
        <v>378</v>
      </c>
      <c r="F61" s="16">
        <v>2270.86</v>
      </c>
    </row>
    <row r="62" spans="5:6" x14ac:dyDescent="0.35">
      <c r="E62" s="3" t="s">
        <v>4870</v>
      </c>
      <c r="F62" s="16">
        <v>162.15</v>
      </c>
    </row>
    <row r="63" spans="5:6" x14ac:dyDescent="0.35">
      <c r="E63" s="3" t="s">
        <v>330</v>
      </c>
      <c r="F63" s="16">
        <v>3051.5120000000006</v>
      </c>
    </row>
    <row r="64" spans="5:6" x14ac:dyDescent="0.35">
      <c r="E64" s="3" t="s">
        <v>100</v>
      </c>
      <c r="F64" s="16">
        <v>50139.488600000004</v>
      </c>
    </row>
    <row r="65" spans="5:6" x14ac:dyDescent="0.35">
      <c r="E65" s="3" t="s">
        <v>117</v>
      </c>
      <c r="F65" s="16">
        <v>2943.6880000000006</v>
      </c>
    </row>
    <row r="66" spans="5:6" x14ac:dyDescent="0.35">
      <c r="E66" s="3" t="s">
        <v>314</v>
      </c>
      <c r="F66" s="16">
        <v>25802.049999999988</v>
      </c>
    </row>
    <row r="67" spans="5:6" x14ac:dyDescent="0.35">
      <c r="E67" s="3" t="s">
        <v>92</v>
      </c>
      <c r="F67" s="16">
        <v>29871.575999999997</v>
      </c>
    </row>
    <row r="68" spans="5:6" x14ac:dyDescent="0.35">
      <c r="E68" s="3" t="s">
        <v>110</v>
      </c>
      <c r="F68" s="16">
        <v>4847.71</v>
      </c>
    </row>
    <row r="69" spans="5:6" x14ac:dyDescent="0.35">
      <c r="E69" s="3" t="s">
        <v>6810</v>
      </c>
      <c r="F69" s="16">
        <v>479856.20809999987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E1BA-51C4-45DA-ACA3-EDB4980CB077}">
  <dimension ref="D3:R11"/>
  <sheetViews>
    <sheetView showGridLines="0" tabSelected="1" zoomScale="53" zoomScaleNormal="26" workbookViewId="0">
      <selection activeCell="X14" sqref="X14"/>
    </sheetView>
  </sheetViews>
  <sheetFormatPr defaultRowHeight="14.5" x14ac:dyDescent="0.35"/>
  <cols>
    <col min="2" max="2" width="10.08984375" customWidth="1"/>
    <col min="3" max="3" width="11.54296875" customWidth="1"/>
    <col min="5" max="5" width="11.08984375" customWidth="1"/>
    <col min="6" max="6" width="8.90625" customWidth="1"/>
    <col min="11" max="11" width="11.81640625" customWidth="1"/>
    <col min="12" max="12" width="11.26953125" bestFit="1" customWidth="1"/>
    <col min="14" max="14" width="10.6328125" customWidth="1"/>
    <col min="18" max="18" width="11.36328125" bestFit="1" customWidth="1"/>
    <col min="19" max="19" width="8.81640625" bestFit="1" customWidth="1"/>
    <col min="24" max="24" width="8.81640625" bestFit="1" customWidth="1"/>
  </cols>
  <sheetData>
    <row r="3" spans="4:18" x14ac:dyDescent="0.35">
      <c r="R3" s="9"/>
    </row>
    <row r="11" spans="4:18" ht="18.5" x14ac:dyDescent="0.45">
      <c r="D11" s="15">
        <f>GETPIVOTDATA("Sales",Analysis!$A$3)</f>
        <v>479856.20810000011</v>
      </c>
      <c r="E11" s="15"/>
      <c r="G11" s="14">
        <f>GETPIVOTDATA("Order ID",Analysis!$O$4)</f>
        <v>1953</v>
      </c>
      <c r="K11" s="11">
        <f>D11/G11</f>
        <v>245.70210348182289</v>
      </c>
      <c r="N11" s="12">
        <f>train!W3</f>
        <v>640</v>
      </c>
      <c r="R11" s="13">
        <f>train!Y3</f>
        <v>1862</v>
      </c>
    </row>
  </sheetData>
  <mergeCells count="1">
    <mergeCell ref="D11:E11"/>
  </mergeCells>
  <conditionalFormatting sqref="R3">
    <cfRule type="colorScale" priority="2">
      <colorScale>
        <cfvo type="min"/>
        <cfvo type="percentile" val="50"/>
        <cfvo type="max"/>
        <color rgb="FFF8696B"/>
        <color rgb="FFFCFCFF"/>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070D-F36B-4FA4-9AE8-8225ADC19E7A}">
  <dimension ref="A1:Y1863"/>
  <sheetViews>
    <sheetView topLeftCell="R1" workbookViewId="0">
      <selection activeCell="W3" sqref="W3"/>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9.81640625" bestFit="1" customWidth="1"/>
    <col min="22" max="22" width="16.179687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6808</v>
      </c>
      <c r="T1" t="s">
        <v>6809</v>
      </c>
      <c r="U1" s="6" t="s">
        <v>6832</v>
      </c>
      <c r="V1" t="s">
        <v>6833</v>
      </c>
    </row>
    <row r="2" spans="1:25"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s="10" t="str">
        <f>TEXT(sales_data[[#This Row],[Order Date]],"mm")</f>
        <v>11</v>
      </c>
      <c r="T2">
        <f>YEAR(sales_data[[#This Row],[Order Date]])</f>
        <v>2017</v>
      </c>
      <c r="U2" s="8" t="s">
        <v>20</v>
      </c>
      <c r="V2" t="s">
        <v>27</v>
      </c>
    </row>
    <row r="3" spans="1:25"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t="str">
        <f>TEXT(sales_data[[#This Row],[Order Date]],"mm")</f>
        <v>11</v>
      </c>
      <c r="T3">
        <f>YEAR(sales_data[[#This Row],[Order Date]])</f>
        <v>2017</v>
      </c>
      <c r="U3" s="8" t="s">
        <v>35</v>
      </c>
      <c r="V3" t="s">
        <v>31</v>
      </c>
      <c r="W3">
        <f>COUNTA(U$1:U$1863)</f>
        <v>640</v>
      </c>
      <c r="Y3">
        <f>COUNTA(V:V)</f>
        <v>1862</v>
      </c>
    </row>
    <row r="4" spans="1:25"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t="str">
        <f>TEXT(sales_data[[#This Row],[Order Date]],"mm")</f>
        <v>06</v>
      </c>
      <c r="T4">
        <f>YEAR(sales_data[[#This Row],[Order Date]])</f>
        <v>2017</v>
      </c>
      <c r="U4" s="8" t="s">
        <v>47</v>
      </c>
      <c r="V4" t="s">
        <v>41</v>
      </c>
    </row>
    <row r="5" spans="1:25"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t="str">
        <f>TEXT(sales_data[[#This Row],[Order Date]],"mm")</f>
        <v>10</v>
      </c>
      <c r="T5">
        <f>YEAR(sales_data[[#This Row],[Order Date]])</f>
        <v>2016</v>
      </c>
      <c r="U5" s="7" t="s">
        <v>58</v>
      </c>
      <c r="V5" t="s">
        <v>51</v>
      </c>
    </row>
    <row r="6" spans="1:25"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t="str">
        <f>TEXT(sales_data[[#This Row],[Order Date]],"mm")</f>
        <v>10</v>
      </c>
      <c r="T6">
        <f>YEAR(sales_data[[#This Row],[Order Date]])</f>
        <v>2016</v>
      </c>
      <c r="U6" s="8" t="s">
        <v>81</v>
      </c>
      <c r="V6" t="s">
        <v>54</v>
      </c>
    </row>
    <row r="7" spans="1:25"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t="str">
        <f>TEXT(sales_data[[#This Row],[Order Date]],"mm")</f>
        <v>06</v>
      </c>
      <c r="T7">
        <f>YEAR(sales_data[[#This Row],[Order Date]])</f>
        <v>2015</v>
      </c>
      <c r="U7" s="7" t="s">
        <v>89</v>
      </c>
      <c r="V7" t="s">
        <v>60</v>
      </c>
    </row>
    <row r="8" spans="1:25"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t="str">
        <f>TEXT(sales_data[[#This Row],[Order Date]],"mm")</f>
        <v>06</v>
      </c>
      <c r="T8">
        <f>YEAR(sales_data[[#This Row],[Order Date]])</f>
        <v>2015</v>
      </c>
      <c r="U8" s="8" t="s">
        <v>96</v>
      </c>
      <c r="V8" t="s">
        <v>63</v>
      </c>
    </row>
    <row r="9" spans="1:25"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t="str">
        <f>TEXT(sales_data[[#This Row],[Order Date]],"mm")</f>
        <v>06</v>
      </c>
      <c r="T9">
        <f>YEAR(sales_data[[#This Row],[Order Date]])</f>
        <v>2015</v>
      </c>
      <c r="U9" s="8" t="s">
        <v>107</v>
      </c>
      <c r="V9" t="s">
        <v>66</v>
      </c>
    </row>
    <row r="10" spans="1:25"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t="str">
        <f>TEXT(sales_data[[#This Row],[Order Date]],"mm")</f>
        <v>06</v>
      </c>
      <c r="T10">
        <f>YEAR(sales_data[[#This Row],[Order Date]])</f>
        <v>2015</v>
      </c>
      <c r="U10" s="8" t="s">
        <v>114</v>
      </c>
      <c r="V10" t="s">
        <v>70</v>
      </c>
    </row>
    <row r="11" spans="1:25"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t="str">
        <f>TEXT(sales_data[[#This Row],[Order Date]],"mm")</f>
        <v>06</v>
      </c>
      <c r="T11">
        <f>YEAR(sales_data[[#This Row],[Order Date]])</f>
        <v>2015</v>
      </c>
      <c r="U11" s="8" t="s">
        <v>121</v>
      </c>
      <c r="V11" t="s">
        <v>73</v>
      </c>
    </row>
    <row r="12" spans="1:25"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t="str">
        <f>TEXT(sales_data[[#This Row],[Order Date]],"mm")</f>
        <v>06</v>
      </c>
      <c r="T12">
        <f>YEAR(sales_data[[#This Row],[Order Date]])</f>
        <v>2015</v>
      </c>
      <c r="U12" s="8" t="s">
        <v>131</v>
      </c>
      <c r="V12" t="s">
        <v>76</v>
      </c>
    </row>
    <row r="13" spans="1:25"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t="str">
        <f>TEXT(sales_data[[#This Row],[Order Date]],"mm")</f>
        <v>06</v>
      </c>
      <c r="T13">
        <f>YEAR(sales_data[[#This Row],[Order Date]])</f>
        <v>2015</v>
      </c>
      <c r="U13" s="7" t="s">
        <v>140</v>
      </c>
      <c r="V13" t="s">
        <v>78</v>
      </c>
    </row>
    <row r="14" spans="1:25"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t="str">
        <f>TEXT(sales_data[[#This Row],[Order Date]],"mm")</f>
        <v>04</v>
      </c>
      <c r="T14">
        <f>YEAR(sales_data[[#This Row],[Order Date]])</f>
        <v>2018</v>
      </c>
      <c r="U14" s="8" t="s">
        <v>147</v>
      </c>
      <c r="V14" t="s">
        <v>85</v>
      </c>
    </row>
    <row r="15" spans="1:25"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t="str">
        <f>TEXT(sales_data[[#This Row],[Order Date]],"mm")</f>
        <v>12</v>
      </c>
      <c r="T15">
        <f>YEAR(sales_data[[#This Row],[Order Date]])</f>
        <v>2017</v>
      </c>
      <c r="U15" s="7" t="s">
        <v>151</v>
      </c>
      <c r="V15" t="s">
        <v>93</v>
      </c>
    </row>
    <row r="16" spans="1:25"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t="str">
        <f>TEXT(sales_data[[#This Row],[Order Date]],"mm")</f>
        <v>11</v>
      </c>
      <c r="T16">
        <f>YEAR(sales_data[[#This Row],[Order Date]])</f>
        <v>2016</v>
      </c>
      <c r="U16" s="8" t="s">
        <v>159</v>
      </c>
      <c r="V16" t="s">
        <v>102</v>
      </c>
    </row>
    <row r="17" spans="1:22"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t="str">
        <f>TEXT(sales_data[[#This Row],[Order Date]],"mm")</f>
        <v>11</v>
      </c>
      <c r="T17">
        <f>YEAR(sales_data[[#This Row],[Order Date]])</f>
        <v>2016</v>
      </c>
      <c r="U17" s="8" t="s">
        <v>177</v>
      </c>
      <c r="V17" t="s">
        <v>104</v>
      </c>
    </row>
    <row r="18" spans="1:22"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t="str">
        <f>TEXT(sales_data[[#This Row],[Order Date]],"mm")</f>
        <v>11</v>
      </c>
      <c r="T18">
        <f>YEAR(sales_data[[#This Row],[Order Date]])</f>
        <v>2015</v>
      </c>
      <c r="U18" s="8" t="s">
        <v>184</v>
      </c>
      <c r="V18" t="s">
        <v>111</v>
      </c>
    </row>
    <row r="19" spans="1:22"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t="str">
        <f>TEXT(sales_data[[#This Row],[Order Date]],"mm")</f>
        <v>05</v>
      </c>
      <c r="T19">
        <f>YEAR(sales_data[[#This Row],[Order Date]])</f>
        <v>2015</v>
      </c>
      <c r="U19" s="7" t="s">
        <v>192</v>
      </c>
      <c r="V19" t="s">
        <v>118</v>
      </c>
    </row>
    <row r="20" spans="1:22"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t="str">
        <f>TEXT(sales_data[[#This Row],[Order Date]],"mm")</f>
        <v>08</v>
      </c>
      <c r="T20">
        <f>YEAR(sales_data[[#This Row],[Order Date]])</f>
        <v>2015</v>
      </c>
      <c r="U20" s="8" t="s">
        <v>203</v>
      </c>
      <c r="V20" t="s">
        <v>124</v>
      </c>
    </row>
    <row r="21" spans="1:22"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t="str">
        <f>TEXT(sales_data[[#This Row],[Order Date]],"mm")</f>
        <v>08</v>
      </c>
      <c r="T21">
        <f>YEAR(sales_data[[#This Row],[Order Date]])</f>
        <v>2015</v>
      </c>
      <c r="U21" s="8" t="s">
        <v>210</v>
      </c>
      <c r="V21" t="s">
        <v>126</v>
      </c>
    </row>
    <row r="22" spans="1:22"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t="str">
        <f>TEXT(sales_data[[#This Row],[Order Date]],"mm")</f>
        <v>08</v>
      </c>
      <c r="T22">
        <f>YEAR(sales_data[[#This Row],[Order Date]])</f>
        <v>2015</v>
      </c>
      <c r="U22" s="8" t="s">
        <v>215</v>
      </c>
      <c r="V22" t="s">
        <v>128</v>
      </c>
    </row>
    <row r="23" spans="1:22"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t="str">
        <f>TEXT(sales_data[[#This Row],[Order Date]],"mm")</f>
        <v>12</v>
      </c>
      <c r="T23">
        <f>YEAR(sales_data[[#This Row],[Order Date]])</f>
        <v>2017</v>
      </c>
      <c r="U23" s="8" t="s">
        <v>221</v>
      </c>
      <c r="V23" t="s">
        <v>135</v>
      </c>
    </row>
    <row r="24" spans="1:22"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t="str">
        <f>TEXT(sales_data[[#This Row],[Order Date]],"mm")</f>
        <v>12</v>
      </c>
      <c r="T24">
        <f>YEAR(sales_data[[#This Row],[Order Date]])</f>
        <v>2017</v>
      </c>
      <c r="U24" s="8" t="s">
        <v>230</v>
      </c>
      <c r="V24" t="s">
        <v>137</v>
      </c>
    </row>
    <row r="25" spans="1:22"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t="str">
        <f>TEXT(sales_data[[#This Row],[Order Date]],"mm")</f>
        <v>07</v>
      </c>
      <c r="T25">
        <f>YEAR(sales_data[[#This Row],[Order Date]])</f>
        <v>2018</v>
      </c>
      <c r="U25" s="7" t="s">
        <v>237</v>
      </c>
      <c r="V25" t="s">
        <v>145</v>
      </c>
    </row>
    <row r="26" spans="1:22" x14ac:dyDescent="0.35">
      <c r="A26">
        <v>26</v>
      </c>
      <c r="B26" t="s">
        <v>150</v>
      </c>
      <c r="C26" s="1">
        <v>42751</v>
      </c>
      <c r="D26" s="1">
        <v>42755</v>
      </c>
      <c r="E26" t="s">
        <v>19</v>
      </c>
      <c r="F26" t="s">
        <v>151</v>
      </c>
      <c r="G26" t="s">
        <v>152</v>
      </c>
      <c r="H26" t="s">
        <v>22</v>
      </c>
      <c r="I26" t="s">
        <v>23</v>
      </c>
      <c r="J26" t="s">
        <v>38</v>
      </c>
      <c r="K26" t="s">
        <v>39</v>
      </c>
      <c r="L26">
        <v>90049</v>
      </c>
      <c r="M26" t="s">
        <v>40</v>
      </c>
      <c r="N26" t="s">
        <v>153</v>
      </c>
      <c r="O26" t="s">
        <v>42</v>
      </c>
      <c r="P26" t="s">
        <v>71</v>
      </c>
      <c r="Q26" t="s">
        <v>154</v>
      </c>
      <c r="R26">
        <v>11.648</v>
      </c>
      <c r="S26" t="str">
        <f>TEXT(sales_data[[#This Row],[Order Date]],"mm")</f>
        <v>01</v>
      </c>
      <c r="T26">
        <f>YEAR(sales_data[[#This Row],[Order Date]])</f>
        <v>2017</v>
      </c>
      <c r="U26" s="7" t="s">
        <v>259</v>
      </c>
      <c r="V26" t="s">
        <v>153</v>
      </c>
    </row>
    <row r="27" spans="1:22" x14ac:dyDescent="0.35">
      <c r="A27">
        <v>27</v>
      </c>
      <c r="B27" t="s">
        <v>150</v>
      </c>
      <c r="C27" s="1">
        <v>42751</v>
      </c>
      <c r="D27" s="1">
        <v>42755</v>
      </c>
      <c r="E27" t="s">
        <v>19</v>
      </c>
      <c r="F27" t="s">
        <v>151</v>
      </c>
      <c r="G27" t="s">
        <v>152</v>
      </c>
      <c r="H27" t="s">
        <v>22</v>
      </c>
      <c r="I27" t="s">
        <v>23</v>
      </c>
      <c r="J27" t="s">
        <v>38</v>
      </c>
      <c r="K27" t="s">
        <v>39</v>
      </c>
      <c r="L27">
        <v>90049</v>
      </c>
      <c r="M27" t="s">
        <v>40</v>
      </c>
      <c r="N27" t="s">
        <v>155</v>
      </c>
      <c r="O27" t="s">
        <v>67</v>
      </c>
      <c r="P27" t="s">
        <v>156</v>
      </c>
      <c r="Q27" t="s">
        <v>157</v>
      </c>
      <c r="R27">
        <v>90.57</v>
      </c>
      <c r="S27" t="str">
        <f>TEXT(sales_data[[#This Row],[Order Date]],"mm")</f>
        <v>01</v>
      </c>
      <c r="T27">
        <f>YEAR(sales_data[[#This Row],[Order Date]])</f>
        <v>2017</v>
      </c>
      <c r="U27" s="8" t="s">
        <v>269</v>
      </c>
      <c r="V27" t="s">
        <v>155</v>
      </c>
    </row>
    <row r="28" spans="1:22" x14ac:dyDescent="0.35">
      <c r="A28">
        <v>28</v>
      </c>
      <c r="B28" t="s">
        <v>158</v>
      </c>
      <c r="C28" s="1">
        <v>42630</v>
      </c>
      <c r="D28" s="1">
        <v>42634</v>
      </c>
      <c r="E28" t="s">
        <v>46</v>
      </c>
      <c r="F28" t="s">
        <v>159</v>
      </c>
      <c r="G28" t="s">
        <v>160</v>
      </c>
      <c r="H28" t="s">
        <v>22</v>
      </c>
      <c r="I28" t="s">
        <v>23</v>
      </c>
      <c r="J28" t="s">
        <v>142</v>
      </c>
      <c r="K28" t="s">
        <v>143</v>
      </c>
      <c r="L28">
        <v>19140</v>
      </c>
      <c r="M28" t="s">
        <v>144</v>
      </c>
      <c r="N28" t="s">
        <v>161</v>
      </c>
      <c r="O28" t="s">
        <v>28</v>
      </c>
      <c r="P28" t="s">
        <v>29</v>
      </c>
      <c r="Q28" t="s">
        <v>162</v>
      </c>
      <c r="R28">
        <v>3083.43</v>
      </c>
      <c r="S28" t="str">
        <f>TEXT(sales_data[[#This Row],[Order Date]],"mm")</f>
        <v>09</v>
      </c>
      <c r="T28">
        <f>YEAR(sales_data[[#This Row],[Order Date]])</f>
        <v>2016</v>
      </c>
      <c r="U28" s="8" t="s">
        <v>285</v>
      </c>
      <c r="V28" t="s">
        <v>161</v>
      </c>
    </row>
    <row r="29" spans="1:22" x14ac:dyDescent="0.35">
      <c r="A29">
        <v>29</v>
      </c>
      <c r="B29" t="s">
        <v>158</v>
      </c>
      <c r="C29" s="1">
        <v>42630</v>
      </c>
      <c r="D29" s="1">
        <v>42634</v>
      </c>
      <c r="E29" t="s">
        <v>46</v>
      </c>
      <c r="F29" t="s">
        <v>159</v>
      </c>
      <c r="G29" t="s">
        <v>160</v>
      </c>
      <c r="H29" t="s">
        <v>22</v>
      </c>
      <c r="I29" t="s">
        <v>23</v>
      </c>
      <c r="J29" t="s">
        <v>142</v>
      </c>
      <c r="K29" t="s">
        <v>143</v>
      </c>
      <c r="L29">
        <v>19140</v>
      </c>
      <c r="M29" t="s">
        <v>144</v>
      </c>
      <c r="N29" t="s">
        <v>163</v>
      </c>
      <c r="O29" t="s">
        <v>42</v>
      </c>
      <c r="P29" t="s">
        <v>71</v>
      </c>
      <c r="Q29" t="s">
        <v>164</v>
      </c>
      <c r="R29">
        <v>9.6180000000000003</v>
      </c>
      <c r="S29" t="str">
        <f>TEXT(sales_data[[#This Row],[Order Date]],"mm")</f>
        <v>09</v>
      </c>
      <c r="T29">
        <f>YEAR(sales_data[[#This Row],[Order Date]])</f>
        <v>2016</v>
      </c>
      <c r="U29" s="8" t="s">
        <v>296</v>
      </c>
      <c r="V29" t="s">
        <v>163</v>
      </c>
    </row>
    <row r="30" spans="1:22" x14ac:dyDescent="0.35">
      <c r="A30">
        <v>30</v>
      </c>
      <c r="B30" t="s">
        <v>158</v>
      </c>
      <c r="C30" s="1">
        <v>42630</v>
      </c>
      <c r="D30" s="1">
        <v>42634</v>
      </c>
      <c r="E30" t="s">
        <v>46</v>
      </c>
      <c r="F30" t="s">
        <v>159</v>
      </c>
      <c r="G30" t="s">
        <v>160</v>
      </c>
      <c r="H30" t="s">
        <v>22</v>
      </c>
      <c r="I30" t="s">
        <v>23</v>
      </c>
      <c r="J30" t="s">
        <v>142</v>
      </c>
      <c r="K30" t="s">
        <v>143</v>
      </c>
      <c r="L30">
        <v>19140</v>
      </c>
      <c r="M30" t="s">
        <v>144</v>
      </c>
      <c r="N30" t="s">
        <v>165</v>
      </c>
      <c r="O30" t="s">
        <v>28</v>
      </c>
      <c r="P30" t="s">
        <v>61</v>
      </c>
      <c r="Q30" t="s">
        <v>166</v>
      </c>
      <c r="R30">
        <v>124.2</v>
      </c>
      <c r="S30" t="str">
        <f>TEXT(sales_data[[#This Row],[Order Date]],"mm")</f>
        <v>09</v>
      </c>
      <c r="T30">
        <f>YEAR(sales_data[[#This Row],[Order Date]])</f>
        <v>2016</v>
      </c>
      <c r="U30" s="7" t="s">
        <v>302</v>
      </c>
      <c r="V30" t="s">
        <v>165</v>
      </c>
    </row>
    <row r="31" spans="1:22" x14ac:dyDescent="0.35">
      <c r="A31">
        <v>31</v>
      </c>
      <c r="B31" t="s">
        <v>158</v>
      </c>
      <c r="C31" s="1">
        <v>42630</v>
      </c>
      <c r="D31" s="1">
        <v>42634</v>
      </c>
      <c r="E31" t="s">
        <v>46</v>
      </c>
      <c r="F31" t="s">
        <v>159</v>
      </c>
      <c r="G31" t="s">
        <v>160</v>
      </c>
      <c r="H31" t="s">
        <v>22</v>
      </c>
      <c r="I31" t="s">
        <v>23</v>
      </c>
      <c r="J31" t="s">
        <v>142</v>
      </c>
      <c r="K31" t="s">
        <v>143</v>
      </c>
      <c r="L31">
        <v>19140</v>
      </c>
      <c r="M31" t="s">
        <v>144</v>
      </c>
      <c r="N31" t="s">
        <v>167</v>
      </c>
      <c r="O31" t="s">
        <v>42</v>
      </c>
      <c r="P31" t="s">
        <v>168</v>
      </c>
      <c r="Q31" t="s">
        <v>169</v>
      </c>
      <c r="R31">
        <v>3.2639999999999998</v>
      </c>
      <c r="S31" t="str">
        <f>TEXT(sales_data[[#This Row],[Order Date]],"mm")</f>
        <v>09</v>
      </c>
      <c r="T31">
        <f>YEAR(sales_data[[#This Row],[Order Date]])</f>
        <v>2016</v>
      </c>
      <c r="U31" s="8" t="s">
        <v>311</v>
      </c>
      <c r="V31" t="s">
        <v>167</v>
      </c>
    </row>
    <row r="32" spans="1:22" x14ac:dyDescent="0.35">
      <c r="A32">
        <v>32</v>
      </c>
      <c r="B32" t="s">
        <v>158</v>
      </c>
      <c r="C32" s="1">
        <v>42630</v>
      </c>
      <c r="D32" s="1">
        <v>42634</v>
      </c>
      <c r="E32" t="s">
        <v>46</v>
      </c>
      <c r="F32" t="s">
        <v>159</v>
      </c>
      <c r="G32" t="s">
        <v>160</v>
      </c>
      <c r="H32" t="s">
        <v>22</v>
      </c>
      <c r="I32" t="s">
        <v>23</v>
      </c>
      <c r="J32" t="s">
        <v>142</v>
      </c>
      <c r="K32" t="s">
        <v>143</v>
      </c>
      <c r="L32">
        <v>19140</v>
      </c>
      <c r="M32" t="s">
        <v>144</v>
      </c>
      <c r="N32" t="s">
        <v>170</v>
      </c>
      <c r="O32" t="s">
        <v>42</v>
      </c>
      <c r="P32" t="s">
        <v>64</v>
      </c>
      <c r="Q32" t="s">
        <v>171</v>
      </c>
      <c r="R32">
        <v>86.304000000000002</v>
      </c>
      <c r="S32" t="str">
        <f>TEXT(sales_data[[#This Row],[Order Date]],"mm")</f>
        <v>09</v>
      </c>
      <c r="T32">
        <f>YEAR(sales_data[[#This Row],[Order Date]])</f>
        <v>2016</v>
      </c>
      <c r="U32" s="8" t="s">
        <v>318</v>
      </c>
      <c r="V32" t="s">
        <v>170</v>
      </c>
    </row>
    <row r="33" spans="1:22" x14ac:dyDescent="0.35">
      <c r="A33">
        <v>33</v>
      </c>
      <c r="B33" t="s">
        <v>158</v>
      </c>
      <c r="C33" s="1">
        <v>42630</v>
      </c>
      <c r="D33" s="1">
        <v>42634</v>
      </c>
      <c r="E33" t="s">
        <v>46</v>
      </c>
      <c r="F33" t="s">
        <v>159</v>
      </c>
      <c r="G33" t="s">
        <v>160</v>
      </c>
      <c r="H33" t="s">
        <v>22</v>
      </c>
      <c r="I33" t="s">
        <v>23</v>
      </c>
      <c r="J33" t="s">
        <v>142</v>
      </c>
      <c r="K33" t="s">
        <v>143</v>
      </c>
      <c r="L33">
        <v>19140</v>
      </c>
      <c r="M33" t="s">
        <v>144</v>
      </c>
      <c r="N33" t="s">
        <v>172</v>
      </c>
      <c r="O33" t="s">
        <v>42</v>
      </c>
      <c r="P33" t="s">
        <v>71</v>
      </c>
      <c r="Q33" t="s">
        <v>173</v>
      </c>
      <c r="R33">
        <v>6.8579999999999997</v>
      </c>
      <c r="S33" t="str">
        <f>TEXT(sales_data[[#This Row],[Order Date]],"mm")</f>
        <v>09</v>
      </c>
      <c r="T33">
        <f>YEAR(sales_data[[#This Row],[Order Date]])</f>
        <v>2016</v>
      </c>
      <c r="U33" s="8" t="s">
        <v>327</v>
      </c>
      <c r="V33" t="s">
        <v>172</v>
      </c>
    </row>
    <row r="34" spans="1:22" x14ac:dyDescent="0.35">
      <c r="A34">
        <v>34</v>
      </c>
      <c r="B34" t="s">
        <v>158</v>
      </c>
      <c r="C34" s="1">
        <v>42630</v>
      </c>
      <c r="D34" s="1">
        <v>42634</v>
      </c>
      <c r="E34" t="s">
        <v>46</v>
      </c>
      <c r="F34" t="s">
        <v>159</v>
      </c>
      <c r="G34" t="s">
        <v>160</v>
      </c>
      <c r="H34" t="s">
        <v>22</v>
      </c>
      <c r="I34" t="s">
        <v>23</v>
      </c>
      <c r="J34" t="s">
        <v>142</v>
      </c>
      <c r="K34" t="s">
        <v>143</v>
      </c>
      <c r="L34">
        <v>19140</v>
      </c>
      <c r="M34" t="s">
        <v>144</v>
      </c>
      <c r="N34" t="s">
        <v>174</v>
      </c>
      <c r="O34" t="s">
        <v>42</v>
      </c>
      <c r="P34" t="s">
        <v>64</v>
      </c>
      <c r="Q34" t="s">
        <v>175</v>
      </c>
      <c r="R34">
        <v>15.76</v>
      </c>
      <c r="S34" t="str">
        <f>TEXT(sales_data[[#This Row],[Order Date]],"mm")</f>
        <v>09</v>
      </c>
      <c r="T34">
        <f>YEAR(sales_data[[#This Row],[Order Date]])</f>
        <v>2016</v>
      </c>
      <c r="U34" s="7" t="s">
        <v>338</v>
      </c>
      <c r="V34" t="s">
        <v>174</v>
      </c>
    </row>
    <row r="35" spans="1:22" x14ac:dyDescent="0.35">
      <c r="A35">
        <v>35</v>
      </c>
      <c r="B35" t="s">
        <v>176</v>
      </c>
      <c r="C35" s="1">
        <v>43392</v>
      </c>
      <c r="D35" s="1">
        <v>43396</v>
      </c>
      <c r="E35" t="s">
        <v>19</v>
      </c>
      <c r="F35" t="s">
        <v>177</v>
      </c>
      <c r="G35" t="s">
        <v>178</v>
      </c>
      <c r="H35" t="s">
        <v>98</v>
      </c>
      <c r="I35" t="s">
        <v>23</v>
      </c>
      <c r="J35" t="s">
        <v>179</v>
      </c>
      <c r="K35" t="s">
        <v>100</v>
      </c>
      <c r="L35">
        <v>77095</v>
      </c>
      <c r="M35" t="s">
        <v>101</v>
      </c>
      <c r="N35" t="s">
        <v>180</v>
      </c>
      <c r="O35" t="s">
        <v>42</v>
      </c>
      <c r="P35" t="s">
        <v>86</v>
      </c>
      <c r="Q35" t="s">
        <v>181</v>
      </c>
      <c r="R35">
        <v>29.472000000000001</v>
      </c>
      <c r="S35" t="str">
        <f>TEXT(sales_data[[#This Row],[Order Date]],"mm")</f>
        <v>10</v>
      </c>
      <c r="T35">
        <f>YEAR(sales_data[[#This Row],[Order Date]])</f>
        <v>2018</v>
      </c>
      <c r="U35" s="8" t="s">
        <v>350</v>
      </c>
      <c r="V35" t="s">
        <v>180</v>
      </c>
    </row>
    <row r="36" spans="1:22" x14ac:dyDescent="0.35">
      <c r="A36">
        <v>36</v>
      </c>
      <c r="B36" t="s">
        <v>182</v>
      </c>
      <c r="C36" s="1">
        <v>43077</v>
      </c>
      <c r="D36" s="1">
        <v>43079</v>
      </c>
      <c r="E36" t="s">
        <v>183</v>
      </c>
      <c r="F36" t="s">
        <v>184</v>
      </c>
      <c r="G36" t="s">
        <v>185</v>
      </c>
      <c r="H36" t="s">
        <v>37</v>
      </c>
      <c r="I36" t="s">
        <v>23</v>
      </c>
      <c r="J36" t="s">
        <v>186</v>
      </c>
      <c r="K36" t="s">
        <v>100</v>
      </c>
      <c r="L36">
        <v>75080</v>
      </c>
      <c r="M36" t="s">
        <v>101</v>
      </c>
      <c r="N36" t="s">
        <v>187</v>
      </c>
      <c r="O36" t="s">
        <v>67</v>
      </c>
      <c r="P36" t="s">
        <v>68</v>
      </c>
      <c r="Q36" t="s">
        <v>188</v>
      </c>
      <c r="R36">
        <v>1097.5440000000001</v>
      </c>
      <c r="S36" t="str">
        <f>TEXT(sales_data[[#This Row],[Order Date]],"mm")</f>
        <v>12</v>
      </c>
      <c r="T36">
        <f>YEAR(sales_data[[#This Row],[Order Date]])</f>
        <v>2017</v>
      </c>
      <c r="U36" s="7" t="s">
        <v>359</v>
      </c>
      <c r="V36" t="s">
        <v>187</v>
      </c>
    </row>
    <row r="37" spans="1:22" x14ac:dyDescent="0.35">
      <c r="A37">
        <v>37</v>
      </c>
      <c r="B37" t="s">
        <v>182</v>
      </c>
      <c r="C37" s="1">
        <v>43077</v>
      </c>
      <c r="D37" s="1">
        <v>43079</v>
      </c>
      <c r="E37" t="s">
        <v>183</v>
      </c>
      <c r="F37" t="s">
        <v>184</v>
      </c>
      <c r="G37" t="s">
        <v>185</v>
      </c>
      <c r="H37" t="s">
        <v>37</v>
      </c>
      <c r="I37" t="s">
        <v>23</v>
      </c>
      <c r="J37" t="s">
        <v>186</v>
      </c>
      <c r="K37" t="s">
        <v>100</v>
      </c>
      <c r="L37">
        <v>75080</v>
      </c>
      <c r="M37" t="s">
        <v>101</v>
      </c>
      <c r="N37" t="s">
        <v>189</v>
      </c>
      <c r="O37" t="s">
        <v>28</v>
      </c>
      <c r="P37" t="s">
        <v>61</v>
      </c>
      <c r="Q37" t="s">
        <v>190</v>
      </c>
      <c r="R37">
        <v>190.92</v>
      </c>
      <c r="S37" t="str">
        <f>TEXT(sales_data[[#This Row],[Order Date]],"mm")</f>
        <v>12</v>
      </c>
      <c r="T37">
        <f>YEAR(sales_data[[#This Row],[Order Date]])</f>
        <v>2017</v>
      </c>
      <c r="U37" s="8" t="s">
        <v>366</v>
      </c>
      <c r="V37" t="s">
        <v>189</v>
      </c>
    </row>
    <row r="38" spans="1:22" x14ac:dyDescent="0.35">
      <c r="A38">
        <v>38</v>
      </c>
      <c r="B38" t="s">
        <v>191</v>
      </c>
      <c r="C38" s="1">
        <v>42731</v>
      </c>
      <c r="D38" s="1">
        <v>42735</v>
      </c>
      <c r="E38" t="s">
        <v>46</v>
      </c>
      <c r="F38" t="s">
        <v>192</v>
      </c>
      <c r="G38" t="s">
        <v>193</v>
      </c>
      <c r="H38" t="s">
        <v>98</v>
      </c>
      <c r="I38" t="s">
        <v>23</v>
      </c>
      <c r="J38" t="s">
        <v>179</v>
      </c>
      <c r="K38" t="s">
        <v>100</v>
      </c>
      <c r="L38">
        <v>77041</v>
      </c>
      <c r="M38" t="s">
        <v>101</v>
      </c>
      <c r="N38" t="s">
        <v>194</v>
      </c>
      <c r="O38" t="s">
        <v>42</v>
      </c>
      <c r="P38" t="s">
        <v>168</v>
      </c>
      <c r="Q38" t="s">
        <v>195</v>
      </c>
      <c r="R38">
        <v>113.328</v>
      </c>
      <c r="S38" t="str">
        <f>TEXT(sales_data[[#This Row],[Order Date]],"mm")</f>
        <v>12</v>
      </c>
      <c r="T38">
        <f>YEAR(sales_data[[#This Row],[Order Date]])</f>
        <v>2016</v>
      </c>
      <c r="U38" s="8" t="s">
        <v>372</v>
      </c>
      <c r="V38" t="s">
        <v>194</v>
      </c>
    </row>
    <row r="39" spans="1:22" x14ac:dyDescent="0.35">
      <c r="A39">
        <v>39</v>
      </c>
      <c r="B39" t="s">
        <v>191</v>
      </c>
      <c r="C39" s="1">
        <v>42731</v>
      </c>
      <c r="D39" s="1">
        <v>42735</v>
      </c>
      <c r="E39" t="s">
        <v>46</v>
      </c>
      <c r="F39" t="s">
        <v>192</v>
      </c>
      <c r="G39" t="s">
        <v>193</v>
      </c>
      <c r="H39" t="s">
        <v>98</v>
      </c>
      <c r="I39" t="s">
        <v>23</v>
      </c>
      <c r="J39" t="s">
        <v>179</v>
      </c>
      <c r="K39" t="s">
        <v>100</v>
      </c>
      <c r="L39">
        <v>77041</v>
      </c>
      <c r="M39" t="s">
        <v>101</v>
      </c>
      <c r="N39" t="s">
        <v>196</v>
      </c>
      <c r="O39" t="s">
        <v>28</v>
      </c>
      <c r="P39" t="s">
        <v>29</v>
      </c>
      <c r="Q39" t="s">
        <v>197</v>
      </c>
      <c r="R39">
        <v>532.39919999999995</v>
      </c>
      <c r="S39" t="str">
        <f>TEXT(sales_data[[#This Row],[Order Date]],"mm")</f>
        <v>12</v>
      </c>
      <c r="T39">
        <f>YEAR(sales_data[[#This Row],[Order Date]])</f>
        <v>2016</v>
      </c>
      <c r="U39" s="8" t="s">
        <v>382</v>
      </c>
      <c r="V39" t="s">
        <v>196</v>
      </c>
    </row>
    <row r="40" spans="1:22" x14ac:dyDescent="0.35">
      <c r="A40">
        <v>40</v>
      </c>
      <c r="B40" t="s">
        <v>191</v>
      </c>
      <c r="C40" s="1">
        <v>42731</v>
      </c>
      <c r="D40" s="1">
        <v>42735</v>
      </c>
      <c r="E40" t="s">
        <v>46</v>
      </c>
      <c r="F40" t="s">
        <v>192</v>
      </c>
      <c r="G40" t="s">
        <v>193</v>
      </c>
      <c r="H40" t="s">
        <v>98</v>
      </c>
      <c r="I40" t="s">
        <v>23</v>
      </c>
      <c r="J40" t="s">
        <v>179</v>
      </c>
      <c r="K40" t="s">
        <v>100</v>
      </c>
      <c r="L40">
        <v>77041</v>
      </c>
      <c r="M40" t="s">
        <v>101</v>
      </c>
      <c r="N40" t="s">
        <v>198</v>
      </c>
      <c r="O40" t="s">
        <v>28</v>
      </c>
      <c r="P40" t="s">
        <v>32</v>
      </c>
      <c r="Q40" t="s">
        <v>199</v>
      </c>
      <c r="R40">
        <v>212.05799999999999</v>
      </c>
      <c r="S40" t="str">
        <f>TEXT(sales_data[[#This Row],[Order Date]],"mm")</f>
        <v>12</v>
      </c>
      <c r="T40">
        <f>YEAR(sales_data[[#This Row],[Order Date]])</f>
        <v>2016</v>
      </c>
      <c r="U40" s="8" t="s">
        <v>390</v>
      </c>
      <c r="V40" t="s">
        <v>198</v>
      </c>
    </row>
    <row r="41" spans="1:22" x14ac:dyDescent="0.35">
      <c r="A41">
        <v>41</v>
      </c>
      <c r="B41" t="s">
        <v>191</v>
      </c>
      <c r="C41" s="1">
        <v>42731</v>
      </c>
      <c r="D41" s="1">
        <v>42735</v>
      </c>
      <c r="E41" t="s">
        <v>46</v>
      </c>
      <c r="F41" t="s">
        <v>192</v>
      </c>
      <c r="G41" t="s">
        <v>193</v>
      </c>
      <c r="H41" t="s">
        <v>98</v>
      </c>
      <c r="I41" t="s">
        <v>23</v>
      </c>
      <c r="J41" t="s">
        <v>179</v>
      </c>
      <c r="K41" t="s">
        <v>100</v>
      </c>
      <c r="L41">
        <v>77041</v>
      </c>
      <c r="M41" t="s">
        <v>101</v>
      </c>
      <c r="N41" t="s">
        <v>200</v>
      </c>
      <c r="O41" t="s">
        <v>67</v>
      </c>
      <c r="P41" t="s">
        <v>68</v>
      </c>
      <c r="Q41" t="s">
        <v>201</v>
      </c>
      <c r="R41">
        <v>371.16800000000001</v>
      </c>
      <c r="S41" t="str">
        <f>TEXT(sales_data[[#This Row],[Order Date]],"mm")</f>
        <v>12</v>
      </c>
      <c r="T41">
        <f>YEAR(sales_data[[#This Row],[Order Date]])</f>
        <v>2016</v>
      </c>
      <c r="U41" s="8" t="s">
        <v>395</v>
      </c>
      <c r="V41" t="s">
        <v>200</v>
      </c>
    </row>
    <row r="42" spans="1:22" x14ac:dyDescent="0.35">
      <c r="A42">
        <v>42</v>
      </c>
      <c r="B42" t="s">
        <v>202</v>
      </c>
      <c r="C42" s="1">
        <v>43353</v>
      </c>
      <c r="D42" s="1">
        <v>43358</v>
      </c>
      <c r="E42" t="s">
        <v>46</v>
      </c>
      <c r="F42" t="s">
        <v>203</v>
      </c>
      <c r="G42" t="s">
        <v>204</v>
      </c>
      <c r="H42" t="s">
        <v>37</v>
      </c>
      <c r="I42" t="s">
        <v>23</v>
      </c>
      <c r="J42" t="s">
        <v>205</v>
      </c>
      <c r="K42" t="s">
        <v>206</v>
      </c>
      <c r="L42">
        <v>60540</v>
      </c>
      <c r="M42" t="s">
        <v>101</v>
      </c>
      <c r="N42" t="s">
        <v>207</v>
      </c>
      <c r="O42" t="s">
        <v>67</v>
      </c>
      <c r="P42" t="s">
        <v>68</v>
      </c>
      <c r="Q42" t="s">
        <v>208</v>
      </c>
      <c r="R42">
        <v>147.16800000000001</v>
      </c>
      <c r="S42" t="str">
        <f>TEXT(sales_data[[#This Row],[Order Date]],"mm")</f>
        <v>09</v>
      </c>
      <c r="T42">
        <f>YEAR(sales_data[[#This Row],[Order Date]])</f>
        <v>2018</v>
      </c>
      <c r="U42" s="8" t="s">
        <v>402</v>
      </c>
      <c r="V42" t="s">
        <v>207</v>
      </c>
    </row>
    <row r="43" spans="1:22" x14ac:dyDescent="0.35">
      <c r="A43">
        <v>43</v>
      </c>
      <c r="B43" t="s">
        <v>209</v>
      </c>
      <c r="C43" s="1">
        <v>42933</v>
      </c>
      <c r="D43" s="1">
        <v>42938</v>
      </c>
      <c r="E43" t="s">
        <v>46</v>
      </c>
      <c r="F43" t="s">
        <v>210</v>
      </c>
      <c r="G43" t="s">
        <v>211</v>
      </c>
      <c r="H43" t="s">
        <v>37</v>
      </c>
      <c r="I43" t="s">
        <v>23</v>
      </c>
      <c r="J43" t="s">
        <v>38</v>
      </c>
      <c r="K43" t="s">
        <v>39</v>
      </c>
      <c r="L43">
        <v>90049</v>
      </c>
      <c r="M43" t="s">
        <v>40</v>
      </c>
      <c r="N43" t="s">
        <v>212</v>
      </c>
      <c r="O43" t="s">
        <v>42</v>
      </c>
      <c r="P43" t="s">
        <v>55</v>
      </c>
      <c r="Q43" t="s">
        <v>213</v>
      </c>
      <c r="R43">
        <v>77.88</v>
      </c>
      <c r="S43" t="str">
        <f>TEXT(sales_data[[#This Row],[Order Date]],"mm")</f>
        <v>07</v>
      </c>
      <c r="T43">
        <f>YEAR(sales_data[[#This Row],[Order Date]])</f>
        <v>2017</v>
      </c>
      <c r="U43" s="8" t="s">
        <v>412</v>
      </c>
      <c r="V43" t="s">
        <v>212</v>
      </c>
    </row>
    <row r="44" spans="1:22" x14ac:dyDescent="0.35">
      <c r="A44">
        <v>44</v>
      </c>
      <c r="B44" t="s">
        <v>214</v>
      </c>
      <c r="C44" s="1">
        <v>43362</v>
      </c>
      <c r="D44" s="1">
        <v>43366</v>
      </c>
      <c r="E44" t="s">
        <v>46</v>
      </c>
      <c r="F44" t="s">
        <v>215</v>
      </c>
      <c r="G44" t="s">
        <v>216</v>
      </c>
      <c r="H44" t="s">
        <v>37</v>
      </c>
      <c r="I44" t="s">
        <v>23</v>
      </c>
      <c r="J44" t="s">
        <v>217</v>
      </c>
      <c r="K44" t="s">
        <v>50</v>
      </c>
      <c r="L44">
        <v>32935</v>
      </c>
      <c r="M44" t="s">
        <v>26</v>
      </c>
      <c r="N44" t="s">
        <v>218</v>
      </c>
      <c r="O44" t="s">
        <v>42</v>
      </c>
      <c r="P44" t="s">
        <v>55</v>
      </c>
      <c r="Q44" t="s">
        <v>219</v>
      </c>
      <c r="R44">
        <v>95.616</v>
      </c>
      <c r="S44" t="str">
        <f>TEXT(sales_data[[#This Row],[Order Date]],"mm")</f>
        <v>09</v>
      </c>
      <c r="T44">
        <f>YEAR(sales_data[[#This Row],[Order Date]])</f>
        <v>2018</v>
      </c>
      <c r="U44" s="8" t="s">
        <v>419</v>
      </c>
      <c r="V44" t="s">
        <v>218</v>
      </c>
    </row>
    <row r="45" spans="1:22" x14ac:dyDescent="0.35">
      <c r="A45">
        <v>45</v>
      </c>
      <c r="B45" t="s">
        <v>220</v>
      </c>
      <c r="C45" s="1">
        <v>42805</v>
      </c>
      <c r="D45" s="1">
        <v>42807</v>
      </c>
      <c r="E45" t="s">
        <v>183</v>
      </c>
      <c r="F45" t="s">
        <v>221</v>
      </c>
      <c r="G45" t="s">
        <v>222</v>
      </c>
      <c r="H45" t="s">
        <v>37</v>
      </c>
      <c r="I45" t="s">
        <v>23</v>
      </c>
      <c r="J45" t="s">
        <v>223</v>
      </c>
      <c r="K45" t="s">
        <v>224</v>
      </c>
      <c r="L45">
        <v>55122</v>
      </c>
      <c r="M45" t="s">
        <v>101</v>
      </c>
      <c r="N45" t="s">
        <v>225</v>
      </c>
      <c r="O45" t="s">
        <v>67</v>
      </c>
      <c r="P45" t="s">
        <v>156</v>
      </c>
      <c r="Q45" t="s">
        <v>226</v>
      </c>
      <c r="R45">
        <v>45.98</v>
      </c>
      <c r="S45" t="str">
        <f>TEXT(sales_data[[#This Row],[Order Date]],"mm")</f>
        <v>03</v>
      </c>
      <c r="T45">
        <f>YEAR(sales_data[[#This Row],[Order Date]])</f>
        <v>2017</v>
      </c>
      <c r="U45" s="8" t="s">
        <v>424</v>
      </c>
      <c r="V45" t="s">
        <v>225</v>
      </c>
    </row>
    <row r="46" spans="1:22" x14ac:dyDescent="0.35">
      <c r="A46">
        <v>46</v>
      </c>
      <c r="B46" t="s">
        <v>220</v>
      </c>
      <c r="C46" s="1">
        <v>42805</v>
      </c>
      <c r="D46" s="1">
        <v>42807</v>
      </c>
      <c r="E46" t="s">
        <v>183</v>
      </c>
      <c r="F46" t="s">
        <v>221</v>
      </c>
      <c r="G46" t="s">
        <v>222</v>
      </c>
      <c r="H46" t="s">
        <v>37</v>
      </c>
      <c r="I46" t="s">
        <v>23</v>
      </c>
      <c r="J46" t="s">
        <v>223</v>
      </c>
      <c r="K46" t="s">
        <v>224</v>
      </c>
      <c r="L46">
        <v>55122</v>
      </c>
      <c r="M46" t="s">
        <v>101</v>
      </c>
      <c r="N46" t="s">
        <v>227</v>
      </c>
      <c r="O46" t="s">
        <v>42</v>
      </c>
      <c r="P46" t="s">
        <v>71</v>
      </c>
      <c r="Q46" t="s">
        <v>228</v>
      </c>
      <c r="R46">
        <v>17.46</v>
      </c>
      <c r="S46" t="str">
        <f>TEXT(sales_data[[#This Row],[Order Date]],"mm")</f>
        <v>03</v>
      </c>
      <c r="T46">
        <f>YEAR(sales_data[[#This Row],[Order Date]])</f>
        <v>2017</v>
      </c>
      <c r="U46" s="8" t="s">
        <v>429</v>
      </c>
      <c r="V46" t="s">
        <v>227</v>
      </c>
    </row>
    <row r="47" spans="1:22" x14ac:dyDescent="0.35">
      <c r="A47">
        <v>47</v>
      </c>
      <c r="B47" t="s">
        <v>229</v>
      </c>
      <c r="C47" s="1">
        <v>42297</v>
      </c>
      <c r="D47" s="1">
        <v>42302</v>
      </c>
      <c r="E47" t="s">
        <v>19</v>
      </c>
      <c r="F47" t="s">
        <v>230</v>
      </c>
      <c r="G47" t="s">
        <v>231</v>
      </c>
      <c r="H47" t="s">
        <v>22</v>
      </c>
      <c r="I47" t="s">
        <v>23</v>
      </c>
      <c r="J47" t="s">
        <v>232</v>
      </c>
      <c r="K47" t="s">
        <v>233</v>
      </c>
      <c r="L47">
        <v>48185</v>
      </c>
      <c r="M47" t="s">
        <v>101</v>
      </c>
      <c r="N47" t="s">
        <v>234</v>
      </c>
      <c r="O47" t="s">
        <v>42</v>
      </c>
      <c r="P47" t="s">
        <v>55</v>
      </c>
      <c r="Q47" t="s">
        <v>235</v>
      </c>
      <c r="R47">
        <v>211.96</v>
      </c>
      <c r="S47" t="str">
        <f>TEXT(sales_data[[#This Row],[Order Date]],"mm")</f>
        <v>10</v>
      </c>
      <c r="T47">
        <f>YEAR(sales_data[[#This Row],[Order Date]])</f>
        <v>2015</v>
      </c>
      <c r="U47" s="8" t="s">
        <v>435</v>
      </c>
      <c r="V47" t="s">
        <v>234</v>
      </c>
    </row>
    <row r="48" spans="1:22" x14ac:dyDescent="0.35">
      <c r="A48">
        <v>48</v>
      </c>
      <c r="B48" t="s">
        <v>236</v>
      </c>
      <c r="C48" s="1">
        <v>42906</v>
      </c>
      <c r="D48" s="1">
        <v>42911</v>
      </c>
      <c r="E48" t="s">
        <v>46</v>
      </c>
      <c r="F48" t="s">
        <v>237</v>
      </c>
      <c r="G48" t="s">
        <v>238</v>
      </c>
      <c r="H48" t="s">
        <v>22</v>
      </c>
      <c r="I48" t="s">
        <v>23</v>
      </c>
      <c r="J48" t="s">
        <v>239</v>
      </c>
      <c r="K48" t="s">
        <v>240</v>
      </c>
      <c r="L48">
        <v>19901</v>
      </c>
      <c r="M48" t="s">
        <v>144</v>
      </c>
      <c r="N48" t="s">
        <v>241</v>
      </c>
      <c r="O48" t="s">
        <v>67</v>
      </c>
      <c r="P48" t="s">
        <v>156</v>
      </c>
      <c r="Q48" t="s">
        <v>242</v>
      </c>
      <c r="R48">
        <v>45</v>
      </c>
      <c r="S48" t="str">
        <f>TEXT(sales_data[[#This Row],[Order Date]],"mm")</f>
        <v>06</v>
      </c>
      <c r="T48">
        <f>YEAR(sales_data[[#This Row],[Order Date]])</f>
        <v>2017</v>
      </c>
      <c r="U48" s="8" t="s">
        <v>444</v>
      </c>
      <c r="V48" t="s">
        <v>241</v>
      </c>
    </row>
    <row r="49" spans="1:22" x14ac:dyDescent="0.35">
      <c r="A49">
        <v>49</v>
      </c>
      <c r="B49" t="s">
        <v>236</v>
      </c>
      <c r="C49" s="1">
        <v>42906</v>
      </c>
      <c r="D49" s="1">
        <v>42911</v>
      </c>
      <c r="E49" t="s">
        <v>46</v>
      </c>
      <c r="F49" t="s">
        <v>237</v>
      </c>
      <c r="G49" t="s">
        <v>238</v>
      </c>
      <c r="H49" t="s">
        <v>22</v>
      </c>
      <c r="I49" t="s">
        <v>23</v>
      </c>
      <c r="J49" t="s">
        <v>239</v>
      </c>
      <c r="K49" t="s">
        <v>240</v>
      </c>
      <c r="L49">
        <v>19901</v>
      </c>
      <c r="M49" t="s">
        <v>144</v>
      </c>
      <c r="N49" t="s">
        <v>243</v>
      </c>
      <c r="O49" t="s">
        <v>67</v>
      </c>
      <c r="P49" t="s">
        <v>68</v>
      </c>
      <c r="Q49" t="s">
        <v>244</v>
      </c>
      <c r="R49">
        <v>21.8</v>
      </c>
      <c r="S49" t="str">
        <f>TEXT(sales_data[[#This Row],[Order Date]],"mm")</f>
        <v>06</v>
      </c>
      <c r="T49">
        <f>YEAR(sales_data[[#This Row],[Order Date]])</f>
        <v>2017</v>
      </c>
      <c r="U49" s="8" t="s">
        <v>449</v>
      </c>
      <c r="V49" t="s">
        <v>243</v>
      </c>
    </row>
    <row r="50" spans="1:22" x14ac:dyDescent="0.35">
      <c r="A50">
        <v>50</v>
      </c>
      <c r="B50" t="s">
        <v>245</v>
      </c>
      <c r="C50" s="1">
        <v>42478</v>
      </c>
      <c r="D50" s="1">
        <v>42482</v>
      </c>
      <c r="E50" t="s">
        <v>46</v>
      </c>
      <c r="F50" t="s">
        <v>246</v>
      </c>
      <c r="G50" t="s">
        <v>247</v>
      </c>
      <c r="H50" t="s">
        <v>22</v>
      </c>
      <c r="I50" t="s">
        <v>23</v>
      </c>
      <c r="J50" t="s">
        <v>248</v>
      </c>
      <c r="K50" t="s">
        <v>249</v>
      </c>
      <c r="L50">
        <v>47150</v>
      </c>
      <c r="M50" t="s">
        <v>101</v>
      </c>
      <c r="N50" t="s">
        <v>250</v>
      </c>
      <c r="O50" t="s">
        <v>42</v>
      </c>
      <c r="P50" t="s">
        <v>71</v>
      </c>
      <c r="Q50" t="s">
        <v>251</v>
      </c>
      <c r="R50">
        <v>38.22</v>
      </c>
      <c r="S50" t="str">
        <f>TEXT(sales_data[[#This Row],[Order Date]],"mm")</f>
        <v>04</v>
      </c>
      <c r="T50">
        <f>YEAR(sales_data[[#This Row],[Order Date]])</f>
        <v>2016</v>
      </c>
      <c r="U50" s="8" t="s">
        <v>460</v>
      </c>
      <c r="V50" t="s">
        <v>250</v>
      </c>
    </row>
    <row r="51" spans="1:22" x14ac:dyDescent="0.35">
      <c r="A51">
        <v>51</v>
      </c>
      <c r="B51" t="s">
        <v>245</v>
      </c>
      <c r="C51" s="1">
        <v>42478</v>
      </c>
      <c r="D51" s="1">
        <v>42482</v>
      </c>
      <c r="E51" t="s">
        <v>46</v>
      </c>
      <c r="F51" t="s">
        <v>246</v>
      </c>
      <c r="G51" t="s">
        <v>247</v>
      </c>
      <c r="H51" t="s">
        <v>22</v>
      </c>
      <c r="I51" t="s">
        <v>23</v>
      </c>
      <c r="J51" t="s">
        <v>248</v>
      </c>
      <c r="K51" t="s">
        <v>249</v>
      </c>
      <c r="L51">
        <v>47150</v>
      </c>
      <c r="M51" t="s">
        <v>101</v>
      </c>
      <c r="N51" t="s">
        <v>252</v>
      </c>
      <c r="O51" t="s">
        <v>42</v>
      </c>
      <c r="P51" t="s">
        <v>43</v>
      </c>
      <c r="Q51" t="s">
        <v>253</v>
      </c>
      <c r="R51">
        <v>75.180000000000007</v>
      </c>
      <c r="S51" t="str">
        <f>TEXT(sales_data[[#This Row],[Order Date]],"mm")</f>
        <v>04</v>
      </c>
      <c r="T51">
        <f>YEAR(sales_data[[#This Row],[Order Date]])</f>
        <v>2016</v>
      </c>
      <c r="U51" s="8" t="s">
        <v>470</v>
      </c>
      <c r="V51" t="s">
        <v>252</v>
      </c>
    </row>
    <row r="52" spans="1:22" x14ac:dyDescent="0.35">
      <c r="A52">
        <v>52</v>
      </c>
      <c r="B52" t="s">
        <v>245</v>
      </c>
      <c r="C52" s="1">
        <v>42478</v>
      </c>
      <c r="D52" s="1">
        <v>42482</v>
      </c>
      <c r="E52" t="s">
        <v>46</v>
      </c>
      <c r="F52" t="s">
        <v>246</v>
      </c>
      <c r="G52" t="s">
        <v>247</v>
      </c>
      <c r="H52" t="s">
        <v>22</v>
      </c>
      <c r="I52" t="s">
        <v>23</v>
      </c>
      <c r="J52" t="s">
        <v>248</v>
      </c>
      <c r="K52" t="s">
        <v>249</v>
      </c>
      <c r="L52">
        <v>47150</v>
      </c>
      <c r="M52" t="s">
        <v>101</v>
      </c>
      <c r="N52" t="s">
        <v>254</v>
      </c>
      <c r="O52" t="s">
        <v>28</v>
      </c>
      <c r="P52" t="s">
        <v>61</v>
      </c>
      <c r="Q52" t="s">
        <v>255</v>
      </c>
      <c r="R52">
        <v>6.16</v>
      </c>
      <c r="S52" t="str">
        <f>TEXT(sales_data[[#This Row],[Order Date]],"mm")</f>
        <v>04</v>
      </c>
      <c r="T52">
        <f>YEAR(sales_data[[#This Row],[Order Date]])</f>
        <v>2016</v>
      </c>
      <c r="U52" s="8" t="s">
        <v>476</v>
      </c>
      <c r="V52" t="s">
        <v>254</v>
      </c>
    </row>
    <row r="53" spans="1:22" x14ac:dyDescent="0.35">
      <c r="A53">
        <v>53</v>
      </c>
      <c r="B53" t="s">
        <v>245</v>
      </c>
      <c r="C53" s="1">
        <v>42478</v>
      </c>
      <c r="D53" s="1">
        <v>42482</v>
      </c>
      <c r="E53" t="s">
        <v>46</v>
      </c>
      <c r="F53" t="s">
        <v>246</v>
      </c>
      <c r="G53" t="s">
        <v>247</v>
      </c>
      <c r="H53" t="s">
        <v>22</v>
      </c>
      <c r="I53" t="s">
        <v>23</v>
      </c>
      <c r="J53" t="s">
        <v>248</v>
      </c>
      <c r="K53" t="s">
        <v>249</v>
      </c>
      <c r="L53">
        <v>47150</v>
      </c>
      <c r="M53" t="s">
        <v>101</v>
      </c>
      <c r="N53" t="s">
        <v>256</v>
      </c>
      <c r="O53" t="s">
        <v>28</v>
      </c>
      <c r="P53" t="s">
        <v>32</v>
      </c>
      <c r="Q53" t="s">
        <v>257</v>
      </c>
      <c r="R53">
        <v>89.99</v>
      </c>
      <c r="S53" t="str">
        <f>TEXT(sales_data[[#This Row],[Order Date]],"mm")</f>
        <v>04</v>
      </c>
      <c r="T53">
        <f>YEAR(sales_data[[#This Row],[Order Date]])</f>
        <v>2016</v>
      </c>
      <c r="U53" s="8" t="s">
        <v>481</v>
      </c>
      <c r="V53" t="s">
        <v>256</v>
      </c>
    </row>
    <row r="54" spans="1:22" x14ac:dyDescent="0.35">
      <c r="A54">
        <v>54</v>
      </c>
      <c r="B54" t="s">
        <v>258</v>
      </c>
      <c r="C54" s="1">
        <v>43080</v>
      </c>
      <c r="D54" s="1">
        <v>43086</v>
      </c>
      <c r="E54" t="s">
        <v>46</v>
      </c>
      <c r="F54" t="s">
        <v>259</v>
      </c>
      <c r="G54" t="s">
        <v>260</v>
      </c>
      <c r="H54" t="s">
        <v>37</v>
      </c>
      <c r="I54" t="s">
        <v>23</v>
      </c>
      <c r="J54" t="s">
        <v>261</v>
      </c>
      <c r="K54" t="s">
        <v>262</v>
      </c>
      <c r="L54">
        <v>10024</v>
      </c>
      <c r="M54" t="s">
        <v>144</v>
      </c>
      <c r="N54" t="s">
        <v>263</v>
      </c>
      <c r="O54" t="s">
        <v>42</v>
      </c>
      <c r="P54" t="s">
        <v>264</v>
      </c>
      <c r="Q54" t="s">
        <v>265</v>
      </c>
      <c r="R54">
        <v>15.26</v>
      </c>
      <c r="S54" t="str">
        <f>TEXT(sales_data[[#This Row],[Order Date]],"mm")</f>
        <v>12</v>
      </c>
      <c r="T54">
        <f>YEAR(sales_data[[#This Row],[Order Date]])</f>
        <v>2017</v>
      </c>
      <c r="U54" s="7" t="s">
        <v>490</v>
      </c>
      <c r="V54" t="s">
        <v>263</v>
      </c>
    </row>
    <row r="55" spans="1:22" x14ac:dyDescent="0.35">
      <c r="A55">
        <v>55</v>
      </c>
      <c r="B55" t="s">
        <v>258</v>
      </c>
      <c r="C55" s="1">
        <v>43080</v>
      </c>
      <c r="D55" s="1">
        <v>43086</v>
      </c>
      <c r="E55" t="s">
        <v>46</v>
      </c>
      <c r="F55" t="s">
        <v>259</v>
      </c>
      <c r="G55" t="s">
        <v>260</v>
      </c>
      <c r="H55" t="s">
        <v>37</v>
      </c>
      <c r="I55" t="s">
        <v>23</v>
      </c>
      <c r="J55" t="s">
        <v>261</v>
      </c>
      <c r="K55" t="s">
        <v>262</v>
      </c>
      <c r="L55">
        <v>10024</v>
      </c>
      <c r="M55" t="s">
        <v>144</v>
      </c>
      <c r="N55" t="s">
        <v>266</v>
      </c>
      <c r="O55" t="s">
        <v>67</v>
      </c>
      <c r="P55" t="s">
        <v>68</v>
      </c>
      <c r="Q55" t="s">
        <v>267</v>
      </c>
      <c r="R55">
        <v>1029.95</v>
      </c>
      <c r="S55" t="str">
        <f>TEXT(sales_data[[#This Row],[Order Date]],"mm")</f>
        <v>12</v>
      </c>
      <c r="T55">
        <f>YEAR(sales_data[[#This Row],[Order Date]])</f>
        <v>2017</v>
      </c>
      <c r="U55" s="8" t="s">
        <v>503</v>
      </c>
      <c r="V55" t="s">
        <v>266</v>
      </c>
    </row>
    <row r="56" spans="1:22" x14ac:dyDescent="0.35">
      <c r="A56">
        <v>56</v>
      </c>
      <c r="B56" t="s">
        <v>268</v>
      </c>
      <c r="C56" s="1">
        <v>42903</v>
      </c>
      <c r="D56" s="1">
        <v>42904</v>
      </c>
      <c r="E56" t="s">
        <v>183</v>
      </c>
      <c r="F56" t="s">
        <v>269</v>
      </c>
      <c r="G56" t="s">
        <v>270</v>
      </c>
      <c r="H56" t="s">
        <v>22</v>
      </c>
      <c r="I56" t="s">
        <v>23</v>
      </c>
      <c r="J56" t="s">
        <v>271</v>
      </c>
      <c r="K56" t="s">
        <v>262</v>
      </c>
      <c r="L56">
        <v>12180</v>
      </c>
      <c r="M56" t="s">
        <v>144</v>
      </c>
      <c r="N56" t="s">
        <v>272</v>
      </c>
      <c r="O56" t="s">
        <v>42</v>
      </c>
      <c r="P56" t="s">
        <v>55</v>
      </c>
      <c r="Q56" t="s">
        <v>273</v>
      </c>
      <c r="R56">
        <v>208.56</v>
      </c>
      <c r="S56" t="str">
        <f>TEXT(sales_data[[#This Row],[Order Date]],"mm")</f>
        <v>06</v>
      </c>
      <c r="T56">
        <f>YEAR(sales_data[[#This Row],[Order Date]])</f>
        <v>2017</v>
      </c>
      <c r="U56" s="8" t="s">
        <v>508</v>
      </c>
      <c r="V56" t="s">
        <v>272</v>
      </c>
    </row>
    <row r="57" spans="1:22" x14ac:dyDescent="0.35">
      <c r="A57">
        <v>57</v>
      </c>
      <c r="B57" t="s">
        <v>268</v>
      </c>
      <c r="C57" s="1">
        <v>42903</v>
      </c>
      <c r="D57" s="1">
        <v>42904</v>
      </c>
      <c r="E57" t="s">
        <v>183</v>
      </c>
      <c r="F57" t="s">
        <v>269</v>
      </c>
      <c r="G57" t="s">
        <v>270</v>
      </c>
      <c r="H57" t="s">
        <v>22</v>
      </c>
      <c r="I57" t="s">
        <v>23</v>
      </c>
      <c r="J57" t="s">
        <v>271</v>
      </c>
      <c r="K57" t="s">
        <v>262</v>
      </c>
      <c r="L57">
        <v>12180</v>
      </c>
      <c r="M57" t="s">
        <v>144</v>
      </c>
      <c r="N57" t="s">
        <v>274</v>
      </c>
      <c r="O57" t="s">
        <v>42</v>
      </c>
      <c r="P57" t="s">
        <v>86</v>
      </c>
      <c r="Q57" t="s">
        <v>275</v>
      </c>
      <c r="R57">
        <v>32.4</v>
      </c>
      <c r="S57" t="str">
        <f>TEXT(sales_data[[#This Row],[Order Date]],"mm")</f>
        <v>06</v>
      </c>
      <c r="T57">
        <f>YEAR(sales_data[[#This Row],[Order Date]])</f>
        <v>2017</v>
      </c>
      <c r="U57" s="8" t="s">
        <v>514</v>
      </c>
      <c r="V57" t="s">
        <v>274</v>
      </c>
    </row>
    <row r="58" spans="1:22" x14ac:dyDescent="0.35">
      <c r="A58">
        <v>58</v>
      </c>
      <c r="B58" t="s">
        <v>268</v>
      </c>
      <c r="C58" s="1">
        <v>42903</v>
      </c>
      <c r="D58" s="1">
        <v>42904</v>
      </c>
      <c r="E58" t="s">
        <v>183</v>
      </c>
      <c r="F58" t="s">
        <v>269</v>
      </c>
      <c r="G58" t="s">
        <v>270</v>
      </c>
      <c r="H58" t="s">
        <v>22</v>
      </c>
      <c r="I58" t="s">
        <v>23</v>
      </c>
      <c r="J58" t="s">
        <v>271</v>
      </c>
      <c r="K58" t="s">
        <v>262</v>
      </c>
      <c r="L58">
        <v>12180</v>
      </c>
      <c r="M58" t="s">
        <v>144</v>
      </c>
      <c r="N58" t="s">
        <v>276</v>
      </c>
      <c r="O58" t="s">
        <v>28</v>
      </c>
      <c r="P58" t="s">
        <v>32</v>
      </c>
      <c r="Q58" t="s">
        <v>277</v>
      </c>
      <c r="R58">
        <v>319.41000000000003</v>
      </c>
      <c r="S58" t="str">
        <f>TEXT(sales_data[[#This Row],[Order Date]],"mm")</f>
        <v>06</v>
      </c>
      <c r="T58">
        <f>YEAR(sales_data[[#This Row],[Order Date]])</f>
        <v>2017</v>
      </c>
      <c r="U58" s="8" t="s">
        <v>526</v>
      </c>
      <c r="V58" t="s">
        <v>276</v>
      </c>
    </row>
    <row r="59" spans="1:22" x14ac:dyDescent="0.35">
      <c r="A59">
        <v>59</v>
      </c>
      <c r="B59" t="s">
        <v>268</v>
      </c>
      <c r="C59" s="1">
        <v>42903</v>
      </c>
      <c r="D59" s="1">
        <v>42904</v>
      </c>
      <c r="E59" t="s">
        <v>183</v>
      </c>
      <c r="F59" t="s">
        <v>269</v>
      </c>
      <c r="G59" t="s">
        <v>270</v>
      </c>
      <c r="H59" t="s">
        <v>22</v>
      </c>
      <c r="I59" t="s">
        <v>23</v>
      </c>
      <c r="J59" t="s">
        <v>271</v>
      </c>
      <c r="K59" t="s">
        <v>262</v>
      </c>
      <c r="L59">
        <v>12180</v>
      </c>
      <c r="M59" t="s">
        <v>144</v>
      </c>
      <c r="N59" t="s">
        <v>278</v>
      </c>
      <c r="O59" t="s">
        <v>42</v>
      </c>
      <c r="P59" t="s">
        <v>86</v>
      </c>
      <c r="Q59" t="s">
        <v>279</v>
      </c>
      <c r="R59">
        <v>14.56</v>
      </c>
      <c r="S59" t="str">
        <f>TEXT(sales_data[[#This Row],[Order Date]],"mm")</f>
        <v>06</v>
      </c>
      <c r="T59">
        <f>YEAR(sales_data[[#This Row],[Order Date]])</f>
        <v>2017</v>
      </c>
      <c r="U59" s="8" t="s">
        <v>531</v>
      </c>
      <c r="V59" t="s">
        <v>278</v>
      </c>
    </row>
    <row r="60" spans="1:22" x14ac:dyDescent="0.35">
      <c r="A60">
        <v>61</v>
      </c>
      <c r="B60" t="s">
        <v>268</v>
      </c>
      <c r="C60" s="1">
        <v>42903</v>
      </c>
      <c r="D60" s="1">
        <v>42904</v>
      </c>
      <c r="E60" t="s">
        <v>183</v>
      </c>
      <c r="F60" t="s">
        <v>269</v>
      </c>
      <c r="G60" t="s">
        <v>270</v>
      </c>
      <c r="H60" t="s">
        <v>22</v>
      </c>
      <c r="I60" t="s">
        <v>23</v>
      </c>
      <c r="J60" t="s">
        <v>271</v>
      </c>
      <c r="K60" t="s">
        <v>262</v>
      </c>
      <c r="L60">
        <v>12180</v>
      </c>
      <c r="M60" t="s">
        <v>144</v>
      </c>
      <c r="N60" t="s">
        <v>280</v>
      </c>
      <c r="O60" t="s">
        <v>42</v>
      </c>
      <c r="P60" t="s">
        <v>71</v>
      </c>
      <c r="Q60" t="s">
        <v>281</v>
      </c>
      <c r="R60">
        <v>48.48</v>
      </c>
      <c r="S60" t="str">
        <f>TEXT(sales_data[[#This Row],[Order Date]],"mm")</f>
        <v>06</v>
      </c>
      <c r="T60">
        <f>YEAR(sales_data[[#This Row],[Order Date]])</f>
        <v>2017</v>
      </c>
      <c r="U60" s="8" t="s">
        <v>545</v>
      </c>
      <c r="V60" t="s">
        <v>280</v>
      </c>
    </row>
    <row r="61" spans="1:22" x14ac:dyDescent="0.35">
      <c r="A61">
        <v>62</v>
      </c>
      <c r="B61" t="s">
        <v>268</v>
      </c>
      <c r="C61" s="1">
        <v>42903</v>
      </c>
      <c r="D61" s="1">
        <v>42904</v>
      </c>
      <c r="E61" t="s">
        <v>183</v>
      </c>
      <c r="F61" t="s">
        <v>269</v>
      </c>
      <c r="G61" t="s">
        <v>270</v>
      </c>
      <c r="H61" t="s">
        <v>22</v>
      </c>
      <c r="I61" t="s">
        <v>23</v>
      </c>
      <c r="J61" t="s">
        <v>271</v>
      </c>
      <c r="K61" t="s">
        <v>262</v>
      </c>
      <c r="L61">
        <v>12180</v>
      </c>
      <c r="M61" t="s">
        <v>144</v>
      </c>
      <c r="N61" t="s">
        <v>282</v>
      </c>
      <c r="O61" t="s">
        <v>42</v>
      </c>
      <c r="P61" t="s">
        <v>64</v>
      </c>
      <c r="Q61" t="s">
        <v>283</v>
      </c>
      <c r="R61">
        <v>1.68</v>
      </c>
      <c r="S61" t="str">
        <f>TEXT(sales_data[[#This Row],[Order Date]],"mm")</f>
        <v>06</v>
      </c>
      <c r="T61">
        <f>YEAR(sales_data[[#This Row],[Order Date]])</f>
        <v>2017</v>
      </c>
      <c r="U61" s="8" t="s">
        <v>550</v>
      </c>
      <c r="V61" t="s">
        <v>282</v>
      </c>
    </row>
    <row r="62" spans="1:22" x14ac:dyDescent="0.35">
      <c r="A62">
        <v>63</v>
      </c>
      <c r="B62" t="s">
        <v>284</v>
      </c>
      <c r="C62" s="1">
        <v>42698</v>
      </c>
      <c r="D62" s="1">
        <v>42704</v>
      </c>
      <c r="E62" t="s">
        <v>46</v>
      </c>
      <c r="F62" t="s">
        <v>285</v>
      </c>
      <c r="G62" t="s">
        <v>286</v>
      </c>
      <c r="H62" t="s">
        <v>22</v>
      </c>
      <c r="I62" t="s">
        <v>23</v>
      </c>
      <c r="J62" t="s">
        <v>38</v>
      </c>
      <c r="K62" t="s">
        <v>39</v>
      </c>
      <c r="L62">
        <v>90004</v>
      </c>
      <c r="M62" t="s">
        <v>40</v>
      </c>
      <c r="N62" t="s">
        <v>287</v>
      </c>
      <c r="O62" t="s">
        <v>67</v>
      </c>
      <c r="P62" t="s">
        <v>156</v>
      </c>
      <c r="Q62" t="s">
        <v>288</v>
      </c>
      <c r="R62">
        <v>13.98</v>
      </c>
      <c r="S62" t="str">
        <f>TEXT(sales_data[[#This Row],[Order Date]],"mm")</f>
        <v>11</v>
      </c>
      <c r="T62">
        <f>YEAR(sales_data[[#This Row],[Order Date]])</f>
        <v>2016</v>
      </c>
      <c r="U62" s="8" t="s">
        <v>559</v>
      </c>
      <c r="V62" t="s">
        <v>287</v>
      </c>
    </row>
    <row r="63" spans="1:22" x14ac:dyDescent="0.35">
      <c r="A63">
        <v>64</v>
      </c>
      <c r="B63" t="s">
        <v>284</v>
      </c>
      <c r="C63" s="1">
        <v>42698</v>
      </c>
      <c r="D63" s="1">
        <v>42704</v>
      </c>
      <c r="E63" t="s">
        <v>46</v>
      </c>
      <c r="F63" t="s">
        <v>285</v>
      </c>
      <c r="G63" t="s">
        <v>286</v>
      </c>
      <c r="H63" t="s">
        <v>22</v>
      </c>
      <c r="I63" t="s">
        <v>23</v>
      </c>
      <c r="J63" t="s">
        <v>38</v>
      </c>
      <c r="K63" t="s">
        <v>39</v>
      </c>
      <c r="L63">
        <v>90004</v>
      </c>
      <c r="M63" t="s">
        <v>40</v>
      </c>
      <c r="N63" t="s">
        <v>289</v>
      </c>
      <c r="O63" t="s">
        <v>42</v>
      </c>
      <c r="P63" t="s">
        <v>71</v>
      </c>
      <c r="Q63" t="s">
        <v>290</v>
      </c>
      <c r="R63">
        <v>25.824000000000002</v>
      </c>
      <c r="S63" t="str">
        <f>TEXT(sales_data[[#This Row],[Order Date]],"mm")</f>
        <v>11</v>
      </c>
      <c r="T63">
        <f>YEAR(sales_data[[#This Row],[Order Date]])</f>
        <v>2016</v>
      </c>
      <c r="U63" s="8" t="s">
        <v>575</v>
      </c>
      <c r="V63" t="s">
        <v>289</v>
      </c>
    </row>
    <row r="64" spans="1:22" x14ac:dyDescent="0.35">
      <c r="A64">
        <v>65</v>
      </c>
      <c r="B64" t="s">
        <v>284</v>
      </c>
      <c r="C64" s="1">
        <v>42698</v>
      </c>
      <c r="D64" s="1">
        <v>42704</v>
      </c>
      <c r="E64" t="s">
        <v>46</v>
      </c>
      <c r="F64" t="s">
        <v>285</v>
      </c>
      <c r="G64" t="s">
        <v>286</v>
      </c>
      <c r="H64" t="s">
        <v>22</v>
      </c>
      <c r="I64" t="s">
        <v>23</v>
      </c>
      <c r="J64" t="s">
        <v>38</v>
      </c>
      <c r="K64" t="s">
        <v>39</v>
      </c>
      <c r="L64">
        <v>90004</v>
      </c>
      <c r="M64" t="s">
        <v>40</v>
      </c>
      <c r="N64" t="s">
        <v>291</v>
      </c>
      <c r="O64" t="s">
        <v>42</v>
      </c>
      <c r="P64" t="s">
        <v>86</v>
      </c>
      <c r="Q64" t="s">
        <v>292</v>
      </c>
      <c r="R64">
        <v>146.72999999999999</v>
      </c>
      <c r="S64" t="str">
        <f>TEXT(sales_data[[#This Row],[Order Date]],"mm")</f>
        <v>11</v>
      </c>
      <c r="T64">
        <f>YEAR(sales_data[[#This Row],[Order Date]])</f>
        <v>2016</v>
      </c>
      <c r="U64" s="8" t="s">
        <v>578</v>
      </c>
      <c r="V64" t="s">
        <v>291</v>
      </c>
    </row>
    <row r="65" spans="1:22" x14ac:dyDescent="0.35">
      <c r="A65">
        <v>66</v>
      </c>
      <c r="B65" t="s">
        <v>284</v>
      </c>
      <c r="C65" s="1">
        <v>42698</v>
      </c>
      <c r="D65" s="1">
        <v>42704</v>
      </c>
      <c r="E65" t="s">
        <v>46</v>
      </c>
      <c r="F65" t="s">
        <v>285</v>
      </c>
      <c r="G65" t="s">
        <v>286</v>
      </c>
      <c r="H65" t="s">
        <v>22</v>
      </c>
      <c r="I65" t="s">
        <v>23</v>
      </c>
      <c r="J65" t="s">
        <v>38</v>
      </c>
      <c r="K65" t="s">
        <v>39</v>
      </c>
      <c r="L65">
        <v>90004</v>
      </c>
      <c r="M65" t="s">
        <v>40</v>
      </c>
      <c r="N65" t="s">
        <v>293</v>
      </c>
      <c r="O65" t="s">
        <v>28</v>
      </c>
      <c r="P65" t="s">
        <v>61</v>
      </c>
      <c r="Q65" t="s">
        <v>294</v>
      </c>
      <c r="R65">
        <v>79.760000000000005</v>
      </c>
      <c r="S65" t="str">
        <f>TEXT(sales_data[[#This Row],[Order Date]],"mm")</f>
        <v>11</v>
      </c>
      <c r="T65">
        <f>YEAR(sales_data[[#This Row],[Order Date]])</f>
        <v>2016</v>
      </c>
      <c r="U65" s="8" t="s">
        <v>587</v>
      </c>
      <c r="V65" t="s">
        <v>293</v>
      </c>
    </row>
    <row r="66" spans="1:22" x14ac:dyDescent="0.35">
      <c r="A66">
        <v>67</v>
      </c>
      <c r="B66" t="s">
        <v>295</v>
      </c>
      <c r="C66" s="1">
        <v>42490</v>
      </c>
      <c r="D66" s="1">
        <v>42495</v>
      </c>
      <c r="E66" t="s">
        <v>46</v>
      </c>
      <c r="F66" t="s">
        <v>296</v>
      </c>
      <c r="G66" t="s">
        <v>297</v>
      </c>
      <c r="H66" t="s">
        <v>98</v>
      </c>
      <c r="I66" t="s">
        <v>23</v>
      </c>
      <c r="J66" t="s">
        <v>298</v>
      </c>
      <c r="K66" t="s">
        <v>206</v>
      </c>
      <c r="L66">
        <v>60610</v>
      </c>
      <c r="M66" t="s">
        <v>101</v>
      </c>
      <c r="N66" t="s">
        <v>299</v>
      </c>
      <c r="O66" t="s">
        <v>28</v>
      </c>
      <c r="P66" t="s">
        <v>32</v>
      </c>
      <c r="Q66" t="s">
        <v>300</v>
      </c>
      <c r="R66">
        <v>213.11500000000001</v>
      </c>
      <c r="S66" t="str">
        <f>TEXT(sales_data[[#This Row],[Order Date]],"mm")</f>
        <v>04</v>
      </c>
      <c r="T66">
        <f>YEAR(sales_data[[#This Row],[Order Date]])</f>
        <v>2016</v>
      </c>
      <c r="U66" s="8" t="s">
        <v>593</v>
      </c>
      <c r="V66" t="s">
        <v>299</v>
      </c>
    </row>
    <row r="67" spans="1:22" x14ac:dyDescent="0.35">
      <c r="A67">
        <v>68</v>
      </c>
      <c r="B67" t="s">
        <v>301</v>
      </c>
      <c r="C67" s="1">
        <v>42343</v>
      </c>
      <c r="D67" s="1">
        <v>42348</v>
      </c>
      <c r="E67" t="s">
        <v>46</v>
      </c>
      <c r="F67" t="s">
        <v>302</v>
      </c>
      <c r="G67" t="s">
        <v>303</v>
      </c>
      <c r="H67" t="s">
        <v>37</v>
      </c>
      <c r="I67" t="s">
        <v>23</v>
      </c>
      <c r="J67" t="s">
        <v>304</v>
      </c>
      <c r="K67" t="s">
        <v>305</v>
      </c>
      <c r="L67">
        <v>85234</v>
      </c>
      <c r="M67" t="s">
        <v>40</v>
      </c>
      <c r="N67" t="s">
        <v>306</v>
      </c>
      <c r="O67" t="s">
        <v>42</v>
      </c>
      <c r="P67" t="s">
        <v>64</v>
      </c>
      <c r="Q67" t="s">
        <v>307</v>
      </c>
      <c r="R67">
        <v>1113.0239999999999</v>
      </c>
      <c r="S67" t="str">
        <f>TEXT(sales_data[[#This Row],[Order Date]],"mm")</f>
        <v>12</v>
      </c>
      <c r="T67">
        <f>YEAR(sales_data[[#This Row],[Order Date]])</f>
        <v>2015</v>
      </c>
      <c r="U67" s="8" t="s">
        <v>597</v>
      </c>
      <c r="V67" t="s">
        <v>306</v>
      </c>
    </row>
    <row r="68" spans="1:22" x14ac:dyDescent="0.35">
      <c r="A68">
        <v>69</v>
      </c>
      <c r="B68" t="s">
        <v>301</v>
      </c>
      <c r="C68" s="1">
        <v>42343</v>
      </c>
      <c r="D68" s="1">
        <v>42348</v>
      </c>
      <c r="E68" t="s">
        <v>46</v>
      </c>
      <c r="F68" t="s">
        <v>302</v>
      </c>
      <c r="G68" t="s">
        <v>303</v>
      </c>
      <c r="H68" t="s">
        <v>37</v>
      </c>
      <c r="I68" t="s">
        <v>23</v>
      </c>
      <c r="J68" t="s">
        <v>304</v>
      </c>
      <c r="K68" t="s">
        <v>305</v>
      </c>
      <c r="L68">
        <v>85234</v>
      </c>
      <c r="M68" t="s">
        <v>40</v>
      </c>
      <c r="N68" t="s">
        <v>308</v>
      </c>
      <c r="O68" t="s">
        <v>67</v>
      </c>
      <c r="P68" t="s">
        <v>68</v>
      </c>
      <c r="Q68" t="s">
        <v>309</v>
      </c>
      <c r="R68">
        <v>167.96799999999999</v>
      </c>
      <c r="S68" t="str">
        <f>TEXT(sales_data[[#This Row],[Order Date]],"mm")</f>
        <v>12</v>
      </c>
      <c r="T68">
        <f>YEAR(sales_data[[#This Row],[Order Date]])</f>
        <v>2015</v>
      </c>
      <c r="U68" s="8" t="s">
        <v>603</v>
      </c>
      <c r="V68" t="s">
        <v>308</v>
      </c>
    </row>
    <row r="69" spans="1:22" x14ac:dyDescent="0.35">
      <c r="A69">
        <v>70</v>
      </c>
      <c r="B69" t="s">
        <v>310</v>
      </c>
      <c r="C69" s="1">
        <v>42890</v>
      </c>
      <c r="D69" s="1">
        <v>42892</v>
      </c>
      <c r="E69" t="s">
        <v>183</v>
      </c>
      <c r="F69" t="s">
        <v>311</v>
      </c>
      <c r="G69" t="s">
        <v>312</v>
      </c>
      <c r="H69" t="s">
        <v>22</v>
      </c>
      <c r="I69" t="s">
        <v>23</v>
      </c>
      <c r="J69" t="s">
        <v>313</v>
      </c>
      <c r="K69" t="s">
        <v>314</v>
      </c>
      <c r="L69">
        <v>22153</v>
      </c>
      <c r="M69" t="s">
        <v>26</v>
      </c>
      <c r="N69" t="s">
        <v>315</v>
      </c>
      <c r="O69" t="s">
        <v>42</v>
      </c>
      <c r="P69" t="s">
        <v>86</v>
      </c>
      <c r="Q69" t="s">
        <v>316</v>
      </c>
      <c r="R69">
        <v>75.88</v>
      </c>
      <c r="S69" t="str">
        <f>TEXT(sales_data[[#This Row],[Order Date]],"mm")</f>
        <v>06</v>
      </c>
      <c r="T69">
        <f>YEAR(sales_data[[#This Row],[Order Date]])</f>
        <v>2017</v>
      </c>
      <c r="U69" s="7" t="s">
        <v>613</v>
      </c>
      <c r="V69" t="s">
        <v>315</v>
      </c>
    </row>
    <row r="70" spans="1:22" x14ac:dyDescent="0.35">
      <c r="A70">
        <v>71</v>
      </c>
      <c r="B70" t="s">
        <v>317</v>
      </c>
      <c r="C70" s="1">
        <v>42996</v>
      </c>
      <c r="D70" s="1">
        <v>43001</v>
      </c>
      <c r="E70" t="s">
        <v>46</v>
      </c>
      <c r="F70" t="s">
        <v>318</v>
      </c>
      <c r="G70" t="s">
        <v>319</v>
      </c>
      <c r="H70" t="s">
        <v>22</v>
      </c>
      <c r="I70" t="s">
        <v>23</v>
      </c>
      <c r="J70" t="s">
        <v>261</v>
      </c>
      <c r="K70" t="s">
        <v>262</v>
      </c>
      <c r="L70">
        <v>10009</v>
      </c>
      <c r="M70" t="s">
        <v>144</v>
      </c>
      <c r="N70" t="s">
        <v>320</v>
      </c>
      <c r="O70" t="s">
        <v>42</v>
      </c>
      <c r="P70" t="s">
        <v>71</v>
      </c>
      <c r="Q70" t="s">
        <v>321</v>
      </c>
      <c r="R70">
        <v>4.6159999999999997</v>
      </c>
      <c r="S70" t="str">
        <f>TEXT(sales_data[[#This Row],[Order Date]],"mm")</f>
        <v>09</v>
      </c>
      <c r="T70">
        <f>YEAR(sales_data[[#This Row],[Order Date]])</f>
        <v>2017</v>
      </c>
      <c r="U70" s="8" t="s">
        <v>621</v>
      </c>
      <c r="V70" t="s">
        <v>320</v>
      </c>
    </row>
    <row r="71" spans="1:22" x14ac:dyDescent="0.35">
      <c r="A71">
        <v>72</v>
      </c>
      <c r="B71" t="s">
        <v>322</v>
      </c>
      <c r="C71" s="1">
        <v>43357</v>
      </c>
      <c r="D71" s="1">
        <v>43360</v>
      </c>
      <c r="E71" t="s">
        <v>19</v>
      </c>
      <c r="F71" t="s">
        <v>159</v>
      </c>
      <c r="G71" t="s">
        <v>160</v>
      </c>
      <c r="H71" t="s">
        <v>22</v>
      </c>
      <c r="I71" t="s">
        <v>23</v>
      </c>
      <c r="J71" t="s">
        <v>323</v>
      </c>
      <c r="K71" t="s">
        <v>233</v>
      </c>
      <c r="L71">
        <v>49201</v>
      </c>
      <c r="M71" t="s">
        <v>101</v>
      </c>
      <c r="N71" t="s">
        <v>324</v>
      </c>
      <c r="O71" t="s">
        <v>42</v>
      </c>
      <c r="P71" t="s">
        <v>86</v>
      </c>
      <c r="Q71" t="s">
        <v>325</v>
      </c>
      <c r="R71">
        <v>19.05</v>
      </c>
      <c r="S71" t="str">
        <f>TEXT(sales_data[[#This Row],[Order Date]],"mm")</f>
        <v>09</v>
      </c>
      <c r="T71">
        <f>YEAR(sales_data[[#This Row],[Order Date]])</f>
        <v>2018</v>
      </c>
      <c r="U71" s="8" t="s">
        <v>631</v>
      </c>
      <c r="V71" t="s">
        <v>324</v>
      </c>
    </row>
    <row r="72" spans="1:22" x14ac:dyDescent="0.35">
      <c r="A72">
        <v>73</v>
      </c>
      <c r="B72" t="s">
        <v>326</v>
      </c>
      <c r="C72" s="1">
        <v>42486</v>
      </c>
      <c r="D72" s="1">
        <v>42492</v>
      </c>
      <c r="E72" t="s">
        <v>46</v>
      </c>
      <c r="F72" t="s">
        <v>327</v>
      </c>
      <c r="G72" t="s">
        <v>328</v>
      </c>
      <c r="H72" t="s">
        <v>22</v>
      </c>
      <c r="I72" t="s">
        <v>23</v>
      </c>
      <c r="J72" t="s">
        <v>329</v>
      </c>
      <c r="K72" t="s">
        <v>330</v>
      </c>
      <c r="L72">
        <v>38109</v>
      </c>
      <c r="M72" t="s">
        <v>26</v>
      </c>
      <c r="N72" t="s">
        <v>331</v>
      </c>
      <c r="O72" t="s">
        <v>28</v>
      </c>
      <c r="P72" t="s">
        <v>32</v>
      </c>
      <c r="Q72" t="s">
        <v>332</v>
      </c>
      <c r="R72">
        <v>831.93600000000004</v>
      </c>
      <c r="S72" t="str">
        <f>TEXT(sales_data[[#This Row],[Order Date]],"mm")</f>
        <v>04</v>
      </c>
      <c r="T72">
        <f>YEAR(sales_data[[#This Row],[Order Date]])</f>
        <v>2016</v>
      </c>
      <c r="U72" s="8" t="s">
        <v>635</v>
      </c>
      <c r="V72" t="s">
        <v>331</v>
      </c>
    </row>
    <row r="73" spans="1:22" x14ac:dyDescent="0.35">
      <c r="A73">
        <v>74</v>
      </c>
      <c r="B73" t="s">
        <v>326</v>
      </c>
      <c r="C73" s="1">
        <v>42486</v>
      </c>
      <c r="D73" s="1">
        <v>42492</v>
      </c>
      <c r="E73" t="s">
        <v>46</v>
      </c>
      <c r="F73" t="s">
        <v>327</v>
      </c>
      <c r="G73" t="s">
        <v>328</v>
      </c>
      <c r="H73" t="s">
        <v>22</v>
      </c>
      <c r="I73" t="s">
        <v>23</v>
      </c>
      <c r="J73" t="s">
        <v>329</v>
      </c>
      <c r="K73" t="s">
        <v>330</v>
      </c>
      <c r="L73">
        <v>38109</v>
      </c>
      <c r="M73" t="s">
        <v>26</v>
      </c>
      <c r="N73" t="s">
        <v>333</v>
      </c>
      <c r="O73" t="s">
        <v>28</v>
      </c>
      <c r="P73" t="s">
        <v>61</v>
      </c>
      <c r="Q73" t="s">
        <v>334</v>
      </c>
      <c r="R73">
        <v>97.04</v>
      </c>
      <c r="S73" t="str">
        <f>TEXT(sales_data[[#This Row],[Order Date]],"mm")</f>
        <v>04</v>
      </c>
      <c r="T73">
        <f>YEAR(sales_data[[#This Row],[Order Date]])</f>
        <v>2016</v>
      </c>
      <c r="U73" s="8" t="s">
        <v>638</v>
      </c>
      <c r="V73" t="s">
        <v>333</v>
      </c>
    </row>
    <row r="74" spans="1:22" x14ac:dyDescent="0.35">
      <c r="A74">
        <v>75</v>
      </c>
      <c r="B74" t="s">
        <v>326</v>
      </c>
      <c r="C74" s="1">
        <v>42486</v>
      </c>
      <c r="D74" s="1">
        <v>42492</v>
      </c>
      <c r="E74" t="s">
        <v>46</v>
      </c>
      <c r="F74" t="s">
        <v>327</v>
      </c>
      <c r="G74" t="s">
        <v>328</v>
      </c>
      <c r="H74" t="s">
        <v>22</v>
      </c>
      <c r="I74" t="s">
        <v>23</v>
      </c>
      <c r="J74" t="s">
        <v>329</v>
      </c>
      <c r="K74" t="s">
        <v>330</v>
      </c>
      <c r="L74">
        <v>38109</v>
      </c>
      <c r="M74" t="s">
        <v>26</v>
      </c>
      <c r="N74" t="s">
        <v>335</v>
      </c>
      <c r="O74" t="s">
        <v>42</v>
      </c>
      <c r="P74" t="s">
        <v>55</v>
      </c>
      <c r="Q74" t="s">
        <v>336</v>
      </c>
      <c r="R74">
        <v>72.784000000000006</v>
      </c>
      <c r="S74" t="str">
        <f>TEXT(sales_data[[#This Row],[Order Date]],"mm")</f>
        <v>04</v>
      </c>
      <c r="T74">
        <f>YEAR(sales_data[[#This Row],[Order Date]])</f>
        <v>2016</v>
      </c>
      <c r="U74" s="8" t="s">
        <v>647</v>
      </c>
      <c r="V74" t="s">
        <v>335</v>
      </c>
    </row>
    <row r="75" spans="1:22" x14ac:dyDescent="0.35">
      <c r="A75">
        <v>76</v>
      </c>
      <c r="B75" t="s">
        <v>337</v>
      </c>
      <c r="C75" s="1">
        <v>43443</v>
      </c>
      <c r="D75" s="1">
        <v>43445</v>
      </c>
      <c r="E75" t="s">
        <v>183</v>
      </c>
      <c r="F75" t="s">
        <v>338</v>
      </c>
      <c r="G75" t="s">
        <v>339</v>
      </c>
      <c r="H75" t="s">
        <v>37</v>
      </c>
      <c r="I75" t="s">
        <v>23</v>
      </c>
      <c r="J75" t="s">
        <v>179</v>
      </c>
      <c r="K75" t="s">
        <v>100</v>
      </c>
      <c r="L75">
        <v>77041</v>
      </c>
      <c r="M75" t="s">
        <v>101</v>
      </c>
      <c r="N75" t="s">
        <v>340</v>
      </c>
      <c r="O75" t="s">
        <v>42</v>
      </c>
      <c r="P75" t="s">
        <v>71</v>
      </c>
      <c r="Q75" t="s">
        <v>341</v>
      </c>
      <c r="R75">
        <v>1.248</v>
      </c>
      <c r="S75" t="str">
        <f>TEXT(sales_data[[#This Row],[Order Date]],"mm")</f>
        <v>12</v>
      </c>
      <c r="T75">
        <f>YEAR(sales_data[[#This Row],[Order Date]])</f>
        <v>2018</v>
      </c>
      <c r="U75" s="7" t="s">
        <v>652</v>
      </c>
      <c r="V75" t="s">
        <v>340</v>
      </c>
    </row>
    <row r="76" spans="1:22" x14ac:dyDescent="0.35">
      <c r="A76">
        <v>77</v>
      </c>
      <c r="B76" t="s">
        <v>337</v>
      </c>
      <c r="C76" s="1">
        <v>43443</v>
      </c>
      <c r="D76" s="1">
        <v>43445</v>
      </c>
      <c r="E76" t="s">
        <v>183</v>
      </c>
      <c r="F76" t="s">
        <v>338</v>
      </c>
      <c r="G76" t="s">
        <v>339</v>
      </c>
      <c r="H76" t="s">
        <v>37</v>
      </c>
      <c r="I76" t="s">
        <v>23</v>
      </c>
      <c r="J76" t="s">
        <v>179</v>
      </c>
      <c r="K76" t="s">
        <v>100</v>
      </c>
      <c r="L76">
        <v>77041</v>
      </c>
      <c r="M76" t="s">
        <v>101</v>
      </c>
      <c r="N76" t="s">
        <v>342</v>
      </c>
      <c r="O76" t="s">
        <v>28</v>
      </c>
      <c r="P76" t="s">
        <v>61</v>
      </c>
      <c r="Q76" t="s">
        <v>343</v>
      </c>
      <c r="R76">
        <v>9.7080000000000002</v>
      </c>
      <c r="S76" t="str">
        <f>TEXT(sales_data[[#This Row],[Order Date]],"mm")</f>
        <v>12</v>
      </c>
      <c r="T76">
        <f>YEAR(sales_data[[#This Row],[Order Date]])</f>
        <v>2018</v>
      </c>
      <c r="U76" s="8" t="s">
        <v>657</v>
      </c>
      <c r="V76" t="s">
        <v>342</v>
      </c>
    </row>
    <row r="77" spans="1:22" x14ac:dyDescent="0.35">
      <c r="A77">
        <v>78</v>
      </c>
      <c r="B77" t="s">
        <v>337</v>
      </c>
      <c r="C77" s="1">
        <v>43443</v>
      </c>
      <c r="D77" s="1">
        <v>43445</v>
      </c>
      <c r="E77" t="s">
        <v>183</v>
      </c>
      <c r="F77" t="s">
        <v>338</v>
      </c>
      <c r="G77" t="s">
        <v>339</v>
      </c>
      <c r="H77" t="s">
        <v>37</v>
      </c>
      <c r="I77" t="s">
        <v>23</v>
      </c>
      <c r="J77" t="s">
        <v>179</v>
      </c>
      <c r="K77" t="s">
        <v>100</v>
      </c>
      <c r="L77">
        <v>77041</v>
      </c>
      <c r="M77" t="s">
        <v>101</v>
      </c>
      <c r="N77" t="s">
        <v>344</v>
      </c>
      <c r="O77" t="s">
        <v>42</v>
      </c>
      <c r="P77" t="s">
        <v>55</v>
      </c>
      <c r="Q77" t="s">
        <v>345</v>
      </c>
      <c r="R77">
        <v>27.24</v>
      </c>
      <c r="S77" t="str">
        <f>TEXT(sales_data[[#This Row],[Order Date]],"mm")</f>
        <v>12</v>
      </c>
      <c r="T77">
        <f>YEAR(sales_data[[#This Row],[Order Date]])</f>
        <v>2018</v>
      </c>
      <c r="U77" s="7" t="s">
        <v>664</v>
      </c>
      <c r="V77" t="s">
        <v>344</v>
      </c>
    </row>
    <row r="78" spans="1:22" x14ac:dyDescent="0.35">
      <c r="A78">
        <v>79</v>
      </c>
      <c r="B78" t="s">
        <v>346</v>
      </c>
      <c r="C78" s="1">
        <v>42334</v>
      </c>
      <c r="D78" s="1">
        <v>42339</v>
      </c>
      <c r="E78" t="s">
        <v>19</v>
      </c>
      <c r="F78" t="s">
        <v>327</v>
      </c>
      <c r="G78" t="s">
        <v>328</v>
      </c>
      <c r="H78" t="s">
        <v>22</v>
      </c>
      <c r="I78" t="s">
        <v>23</v>
      </c>
      <c r="J78" t="s">
        <v>179</v>
      </c>
      <c r="K78" t="s">
        <v>100</v>
      </c>
      <c r="L78">
        <v>77070</v>
      </c>
      <c r="M78" t="s">
        <v>101</v>
      </c>
      <c r="N78" t="s">
        <v>347</v>
      </c>
      <c r="O78" t="s">
        <v>28</v>
      </c>
      <c r="P78" t="s">
        <v>61</v>
      </c>
      <c r="Q78" t="s">
        <v>348</v>
      </c>
      <c r="R78">
        <v>19.3</v>
      </c>
      <c r="S78" t="str">
        <f>TEXT(sales_data[[#This Row],[Order Date]],"mm")</f>
        <v>11</v>
      </c>
      <c r="T78">
        <f>YEAR(sales_data[[#This Row],[Order Date]])</f>
        <v>2015</v>
      </c>
      <c r="U78" s="8" t="s">
        <v>669</v>
      </c>
      <c r="V78" t="s">
        <v>347</v>
      </c>
    </row>
    <row r="79" spans="1:22" x14ac:dyDescent="0.35">
      <c r="A79">
        <v>80</v>
      </c>
      <c r="B79" t="s">
        <v>349</v>
      </c>
      <c r="C79" s="1">
        <v>42898</v>
      </c>
      <c r="D79" s="1">
        <v>42901</v>
      </c>
      <c r="E79" t="s">
        <v>183</v>
      </c>
      <c r="F79" t="s">
        <v>350</v>
      </c>
      <c r="G79" t="s">
        <v>351</v>
      </c>
      <c r="H79" t="s">
        <v>37</v>
      </c>
      <c r="I79" t="s">
        <v>23</v>
      </c>
      <c r="J79" t="s">
        <v>352</v>
      </c>
      <c r="K79" t="s">
        <v>353</v>
      </c>
      <c r="L79">
        <v>35601</v>
      </c>
      <c r="M79" t="s">
        <v>26</v>
      </c>
      <c r="N79" t="s">
        <v>354</v>
      </c>
      <c r="O79" t="s">
        <v>42</v>
      </c>
      <c r="P79" t="s">
        <v>74</v>
      </c>
      <c r="Q79" t="s">
        <v>355</v>
      </c>
      <c r="R79">
        <v>208.16</v>
      </c>
      <c r="S79" t="str">
        <f>TEXT(sales_data[[#This Row],[Order Date]],"mm")</f>
        <v>06</v>
      </c>
      <c r="T79">
        <f>YEAR(sales_data[[#This Row],[Order Date]])</f>
        <v>2017</v>
      </c>
      <c r="U79" s="7" t="s">
        <v>688</v>
      </c>
      <c r="V79" t="s">
        <v>354</v>
      </c>
    </row>
    <row r="80" spans="1:22" x14ac:dyDescent="0.35">
      <c r="A80">
        <v>81</v>
      </c>
      <c r="B80" t="s">
        <v>349</v>
      </c>
      <c r="C80" s="1">
        <v>42898</v>
      </c>
      <c r="D80" s="1">
        <v>42901</v>
      </c>
      <c r="E80" t="s">
        <v>183</v>
      </c>
      <c r="F80" t="s">
        <v>350</v>
      </c>
      <c r="G80" t="s">
        <v>351</v>
      </c>
      <c r="H80" t="s">
        <v>37</v>
      </c>
      <c r="I80" t="s">
        <v>23</v>
      </c>
      <c r="J80" t="s">
        <v>352</v>
      </c>
      <c r="K80" t="s">
        <v>353</v>
      </c>
      <c r="L80">
        <v>35601</v>
      </c>
      <c r="M80" t="s">
        <v>26</v>
      </c>
      <c r="N80" t="s">
        <v>356</v>
      </c>
      <c r="O80" t="s">
        <v>42</v>
      </c>
      <c r="P80" t="s">
        <v>71</v>
      </c>
      <c r="Q80" t="s">
        <v>357</v>
      </c>
      <c r="R80">
        <v>16.739999999999998</v>
      </c>
      <c r="S80" t="str">
        <f>TEXT(sales_data[[#This Row],[Order Date]],"mm")</f>
        <v>06</v>
      </c>
      <c r="T80">
        <f>YEAR(sales_data[[#This Row],[Order Date]])</f>
        <v>2017</v>
      </c>
      <c r="U80" s="8" t="s">
        <v>697</v>
      </c>
      <c r="V80" t="s">
        <v>356</v>
      </c>
    </row>
    <row r="81" spans="1:22" x14ac:dyDescent="0.35">
      <c r="A81">
        <v>82</v>
      </c>
      <c r="B81" t="s">
        <v>358</v>
      </c>
      <c r="C81" s="1">
        <v>42289</v>
      </c>
      <c r="D81" s="1">
        <v>42293</v>
      </c>
      <c r="E81" t="s">
        <v>46</v>
      </c>
      <c r="F81" t="s">
        <v>359</v>
      </c>
      <c r="G81" t="s">
        <v>360</v>
      </c>
      <c r="H81" t="s">
        <v>22</v>
      </c>
      <c r="I81" t="s">
        <v>23</v>
      </c>
      <c r="J81" t="s">
        <v>123</v>
      </c>
      <c r="K81" t="s">
        <v>39</v>
      </c>
      <c r="L81">
        <v>94122</v>
      </c>
      <c r="M81" t="s">
        <v>40</v>
      </c>
      <c r="N81" t="s">
        <v>361</v>
      </c>
      <c r="O81" t="s">
        <v>42</v>
      </c>
      <c r="P81" t="s">
        <v>64</v>
      </c>
      <c r="Q81" t="s">
        <v>362</v>
      </c>
      <c r="R81">
        <v>14.9</v>
      </c>
      <c r="S81" t="str">
        <f>TEXT(sales_data[[#This Row],[Order Date]],"mm")</f>
        <v>10</v>
      </c>
      <c r="T81">
        <f>YEAR(sales_data[[#This Row],[Order Date]])</f>
        <v>2015</v>
      </c>
      <c r="U81" s="8" t="s">
        <v>704</v>
      </c>
      <c r="V81" t="s">
        <v>361</v>
      </c>
    </row>
    <row r="82" spans="1:22" x14ac:dyDescent="0.35">
      <c r="A82">
        <v>83</v>
      </c>
      <c r="B82" t="s">
        <v>358</v>
      </c>
      <c r="C82" s="1">
        <v>42289</v>
      </c>
      <c r="D82" s="1">
        <v>42293</v>
      </c>
      <c r="E82" t="s">
        <v>46</v>
      </c>
      <c r="F82" t="s">
        <v>359</v>
      </c>
      <c r="G82" t="s">
        <v>360</v>
      </c>
      <c r="H82" t="s">
        <v>22</v>
      </c>
      <c r="I82" t="s">
        <v>23</v>
      </c>
      <c r="J82" t="s">
        <v>123</v>
      </c>
      <c r="K82" t="s">
        <v>39</v>
      </c>
      <c r="L82">
        <v>94122</v>
      </c>
      <c r="M82" t="s">
        <v>40</v>
      </c>
      <c r="N82" t="s">
        <v>363</v>
      </c>
      <c r="O82" t="s">
        <v>42</v>
      </c>
      <c r="P82" t="s">
        <v>55</v>
      </c>
      <c r="Q82" t="s">
        <v>364</v>
      </c>
      <c r="R82">
        <v>21.39</v>
      </c>
      <c r="S82" t="str">
        <f>TEXT(sales_data[[#This Row],[Order Date]],"mm")</f>
        <v>10</v>
      </c>
      <c r="T82">
        <f>YEAR(sales_data[[#This Row],[Order Date]])</f>
        <v>2015</v>
      </c>
      <c r="U82" s="8" t="s">
        <v>714</v>
      </c>
      <c r="V82" t="s">
        <v>363</v>
      </c>
    </row>
    <row r="83" spans="1:22" x14ac:dyDescent="0.35">
      <c r="A83">
        <v>84</v>
      </c>
      <c r="B83" t="s">
        <v>365</v>
      </c>
      <c r="C83" s="1">
        <v>42616</v>
      </c>
      <c r="D83" s="1">
        <v>42621</v>
      </c>
      <c r="E83" t="s">
        <v>46</v>
      </c>
      <c r="F83" t="s">
        <v>366</v>
      </c>
      <c r="G83" t="s">
        <v>367</v>
      </c>
      <c r="H83" t="s">
        <v>37</v>
      </c>
      <c r="I83" t="s">
        <v>23</v>
      </c>
      <c r="J83" t="s">
        <v>368</v>
      </c>
      <c r="K83" t="s">
        <v>84</v>
      </c>
      <c r="L83">
        <v>27707</v>
      </c>
      <c r="M83" t="s">
        <v>26</v>
      </c>
      <c r="N83" t="s">
        <v>369</v>
      </c>
      <c r="O83" t="s">
        <v>42</v>
      </c>
      <c r="P83" t="s">
        <v>168</v>
      </c>
      <c r="Q83" t="s">
        <v>370</v>
      </c>
      <c r="R83">
        <v>200.98400000000001</v>
      </c>
      <c r="S83" t="str">
        <f>TEXT(sales_data[[#This Row],[Order Date]],"mm")</f>
        <v>09</v>
      </c>
      <c r="T83">
        <f>YEAR(sales_data[[#This Row],[Order Date]])</f>
        <v>2016</v>
      </c>
      <c r="U83" s="8" t="s">
        <v>719</v>
      </c>
      <c r="V83" t="s">
        <v>369</v>
      </c>
    </row>
    <row r="84" spans="1:22" x14ac:dyDescent="0.35">
      <c r="A84">
        <v>85</v>
      </c>
      <c r="B84" t="s">
        <v>371</v>
      </c>
      <c r="C84" s="1">
        <v>43417</v>
      </c>
      <c r="D84" s="1">
        <v>43420</v>
      </c>
      <c r="E84" t="s">
        <v>183</v>
      </c>
      <c r="F84" t="s">
        <v>372</v>
      </c>
      <c r="G84" t="s">
        <v>373</v>
      </c>
      <c r="H84" t="s">
        <v>98</v>
      </c>
      <c r="I84" t="s">
        <v>23</v>
      </c>
      <c r="J84" t="s">
        <v>298</v>
      </c>
      <c r="K84" t="s">
        <v>206</v>
      </c>
      <c r="L84">
        <v>60623</v>
      </c>
      <c r="M84" t="s">
        <v>101</v>
      </c>
      <c r="N84" t="s">
        <v>374</v>
      </c>
      <c r="O84" t="s">
        <v>42</v>
      </c>
      <c r="P84" t="s">
        <v>55</v>
      </c>
      <c r="Q84" t="s">
        <v>375</v>
      </c>
      <c r="R84">
        <v>230.376</v>
      </c>
      <c r="S84" t="str">
        <f>TEXT(sales_data[[#This Row],[Order Date]],"mm")</f>
        <v>11</v>
      </c>
      <c r="T84">
        <f>YEAR(sales_data[[#This Row],[Order Date]])</f>
        <v>2018</v>
      </c>
      <c r="U84" s="8" t="s">
        <v>726</v>
      </c>
      <c r="V84" t="s">
        <v>374</v>
      </c>
    </row>
    <row r="85" spans="1:22" x14ac:dyDescent="0.35">
      <c r="A85">
        <v>86</v>
      </c>
      <c r="B85" t="s">
        <v>376</v>
      </c>
      <c r="C85" s="1">
        <v>43248</v>
      </c>
      <c r="D85" s="1">
        <v>43250</v>
      </c>
      <c r="E85" t="s">
        <v>19</v>
      </c>
      <c r="F85" t="s">
        <v>230</v>
      </c>
      <c r="G85" t="s">
        <v>231</v>
      </c>
      <c r="H85" t="s">
        <v>22</v>
      </c>
      <c r="I85" t="s">
        <v>23</v>
      </c>
      <c r="J85" t="s">
        <v>377</v>
      </c>
      <c r="K85" t="s">
        <v>378</v>
      </c>
      <c r="L85">
        <v>29203</v>
      </c>
      <c r="M85" t="s">
        <v>26</v>
      </c>
      <c r="N85" t="s">
        <v>379</v>
      </c>
      <c r="O85" t="s">
        <v>28</v>
      </c>
      <c r="P85" t="s">
        <v>32</v>
      </c>
      <c r="Q85" t="s">
        <v>380</v>
      </c>
      <c r="R85">
        <v>301.95999999999998</v>
      </c>
      <c r="S85" t="str">
        <f>TEXT(sales_data[[#This Row],[Order Date]],"mm")</f>
        <v>05</v>
      </c>
      <c r="T85">
        <f>YEAR(sales_data[[#This Row],[Order Date]])</f>
        <v>2018</v>
      </c>
      <c r="U85" s="7" t="s">
        <v>737</v>
      </c>
      <c r="V85" t="s">
        <v>379</v>
      </c>
    </row>
    <row r="86" spans="1:22" x14ac:dyDescent="0.35">
      <c r="A86">
        <v>87</v>
      </c>
      <c r="B86" t="s">
        <v>381</v>
      </c>
      <c r="C86" s="1">
        <v>43399</v>
      </c>
      <c r="D86" s="1">
        <v>43406</v>
      </c>
      <c r="E86" t="s">
        <v>46</v>
      </c>
      <c r="F86" t="s">
        <v>382</v>
      </c>
      <c r="G86" t="s">
        <v>383</v>
      </c>
      <c r="H86" t="s">
        <v>22</v>
      </c>
      <c r="I86" t="s">
        <v>23</v>
      </c>
      <c r="J86" t="s">
        <v>384</v>
      </c>
      <c r="K86" t="s">
        <v>224</v>
      </c>
      <c r="L86">
        <v>55901</v>
      </c>
      <c r="M86" t="s">
        <v>101</v>
      </c>
      <c r="N86" t="s">
        <v>385</v>
      </c>
      <c r="O86" t="s">
        <v>67</v>
      </c>
      <c r="P86" t="s">
        <v>156</v>
      </c>
      <c r="Q86" t="s">
        <v>386</v>
      </c>
      <c r="R86">
        <v>19.989999999999998</v>
      </c>
      <c r="S86" t="str">
        <f>TEXT(sales_data[[#This Row],[Order Date]],"mm")</f>
        <v>10</v>
      </c>
      <c r="T86">
        <f>YEAR(sales_data[[#This Row],[Order Date]])</f>
        <v>2018</v>
      </c>
      <c r="U86" s="8" t="s">
        <v>744</v>
      </c>
      <c r="V86" t="s">
        <v>385</v>
      </c>
    </row>
    <row r="87" spans="1:22" x14ac:dyDescent="0.35">
      <c r="A87">
        <v>88</v>
      </c>
      <c r="B87" t="s">
        <v>381</v>
      </c>
      <c r="C87" s="1">
        <v>43399</v>
      </c>
      <c r="D87" s="1">
        <v>43406</v>
      </c>
      <c r="E87" t="s">
        <v>46</v>
      </c>
      <c r="F87" t="s">
        <v>382</v>
      </c>
      <c r="G87" t="s">
        <v>383</v>
      </c>
      <c r="H87" t="s">
        <v>22</v>
      </c>
      <c r="I87" t="s">
        <v>23</v>
      </c>
      <c r="J87" t="s">
        <v>384</v>
      </c>
      <c r="K87" t="s">
        <v>224</v>
      </c>
      <c r="L87">
        <v>55901</v>
      </c>
      <c r="M87" t="s">
        <v>101</v>
      </c>
      <c r="N87" t="s">
        <v>387</v>
      </c>
      <c r="O87" t="s">
        <v>42</v>
      </c>
      <c r="P87" t="s">
        <v>43</v>
      </c>
      <c r="Q87" t="s">
        <v>388</v>
      </c>
      <c r="R87">
        <v>6.16</v>
      </c>
      <c r="S87" t="str">
        <f>TEXT(sales_data[[#This Row],[Order Date]],"mm")</f>
        <v>10</v>
      </c>
      <c r="T87">
        <f>YEAR(sales_data[[#This Row],[Order Date]])</f>
        <v>2018</v>
      </c>
      <c r="U87" s="7" t="s">
        <v>749</v>
      </c>
      <c r="V87" t="s">
        <v>387</v>
      </c>
    </row>
    <row r="88" spans="1:22" x14ac:dyDescent="0.35">
      <c r="A88">
        <v>89</v>
      </c>
      <c r="B88" t="s">
        <v>389</v>
      </c>
      <c r="C88" s="1">
        <v>42830</v>
      </c>
      <c r="D88" s="1">
        <v>42835</v>
      </c>
      <c r="E88" t="s">
        <v>19</v>
      </c>
      <c r="F88" t="s">
        <v>390</v>
      </c>
      <c r="G88" t="s">
        <v>391</v>
      </c>
      <c r="H88" t="s">
        <v>98</v>
      </c>
      <c r="I88" t="s">
        <v>23</v>
      </c>
      <c r="J88" t="s">
        <v>179</v>
      </c>
      <c r="K88" t="s">
        <v>100</v>
      </c>
      <c r="L88">
        <v>77095</v>
      </c>
      <c r="M88" t="s">
        <v>101</v>
      </c>
      <c r="N88" t="s">
        <v>392</v>
      </c>
      <c r="O88" t="s">
        <v>42</v>
      </c>
      <c r="P88" t="s">
        <v>55</v>
      </c>
      <c r="Q88" t="s">
        <v>393</v>
      </c>
      <c r="R88">
        <v>158.36799999999999</v>
      </c>
      <c r="S88" t="str">
        <f>TEXT(sales_data[[#This Row],[Order Date]],"mm")</f>
        <v>04</v>
      </c>
      <c r="T88">
        <f>YEAR(sales_data[[#This Row],[Order Date]])</f>
        <v>2017</v>
      </c>
      <c r="U88" s="8" t="s">
        <v>755</v>
      </c>
      <c r="V88" t="s">
        <v>392</v>
      </c>
    </row>
    <row r="89" spans="1:22" x14ac:dyDescent="0.35">
      <c r="A89">
        <v>90</v>
      </c>
      <c r="B89" t="s">
        <v>394</v>
      </c>
      <c r="C89" s="1">
        <v>42995</v>
      </c>
      <c r="D89" s="1">
        <v>43000</v>
      </c>
      <c r="E89" t="s">
        <v>46</v>
      </c>
      <c r="F89" t="s">
        <v>395</v>
      </c>
      <c r="G89" t="s">
        <v>396</v>
      </c>
      <c r="H89" t="s">
        <v>37</v>
      </c>
      <c r="I89" t="s">
        <v>23</v>
      </c>
      <c r="J89" t="s">
        <v>38</v>
      </c>
      <c r="K89" t="s">
        <v>39</v>
      </c>
      <c r="L89">
        <v>90036</v>
      </c>
      <c r="M89" t="s">
        <v>40</v>
      </c>
      <c r="N89" t="s">
        <v>397</v>
      </c>
      <c r="O89" t="s">
        <v>42</v>
      </c>
      <c r="P89" t="s">
        <v>64</v>
      </c>
      <c r="Q89" t="s">
        <v>398</v>
      </c>
      <c r="R89">
        <v>20.100000000000001</v>
      </c>
      <c r="S89" t="str">
        <f>TEXT(sales_data[[#This Row],[Order Date]],"mm")</f>
        <v>09</v>
      </c>
      <c r="T89">
        <f>YEAR(sales_data[[#This Row],[Order Date]])</f>
        <v>2017</v>
      </c>
      <c r="U89" s="8" t="s">
        <v>765</v>
      </c>
      <c r="V89" t="s">
        <v>397</v>
      </c>
    </row>
    <row r="90" spans="1:22" x14ac:dyDescent="0.35">
      <c r="A90">
        <v>92</v>
      </c>
      <c r="B90" t="s">
        <v>394</v>
      </c>
      <c r="C90" s="1">
        <v>42995</v>
      </c>
      <c r="D90" s="1">
        <v>43000</v>
      </c>
      <c r="E90" t="s">
        <v>46</v>
      </c>
      <c r="F90" t="s">
        <v>395</v>
      </c>
      <c r="G90" t="s">
        <v>396</v>
      </c>
      <c r="H90" t="s">
        <v>37</v>
      </c>
      <c r="I90" t="s">
        <v>23</v>
      </c>
      <c r="J90" t="s">
        <v>38</v>
      </c>
      <c r="K90" t="s">
        <v>39</v>
      </c>
      <c r="L90">
        <v>90036</v>
      </c>
      <c r="M90" t="s">
        <v>40</v>
      </c>
      <c r="N90" t="s">
        <v>399</v>
      </c>
      <c r="O90" t="s">
        <v>42</v>
      </c>
      <c r="P90" t="s">
        <v>86</v>
      </c>
      <c r="Q90" t="s">
        <v>400</v>
      </c>
      <c r="R90">
        <v>6.48</v>
      </c>
      <c r="S90" t="str">
        <f>TEXT(sales_data[[#This Row],[Order Date]],"mm")</f>
        <v>09</v>
      </c>
      <c r="T90">
        <f>YEAR(sales_data[[#This Row],[Order Date]])</f>
        <v>2017</v>
      </c>
      <c r="U90" s="7" t="s">
        <v>777</v>
      </c>
      <c r="V90" t="s">
        <v>399</v>
      </c>
    </row>
    <row r="91" spans="1:22" x14ac:dyDescent="0.35">
      <c r="A91">
        <v>93</v>
      </c>
      <c r="B91" t="s">
        <v>401</v>
      </c>
      <c r="C91" s="1">
        <v>42400</v>
      </c>
      <c r="D91" s="1">
        <v>42405</v>
      </c>
      <c r="E91" t="s">
        <v>19</v>
      </c>
      <c r="F91" t="s">
        <v>402</v>
      </c>
      <c r="G91" t="s">
        <v>403</v>
      </c>
      <c r="H91" t="s">
        <v>22</v>
      </c>
      <c r="I91" t="s">
        <v>23</v>
      </c>
      <c r="J91" t="s">
        <v>404</v>
      </c>
      <c r="K91" t="s">
        <v>224</v>
      </c>
      <c r="L91">
        <v>55407</v>
      </c>
      <c r="M91" t="s">
        <v>101</v>
      </c>
      <c r="N91" t="s">
        <v>405</v>
      </c>
      <c r="O91" t="s">
        <v>42</v>
      </c>
      <c r="P91" t="s">
        <v>86</v>
      </c>
      <c r="Q91" t="s">
        <v>406</v>
      </c>
      <c r="R91">
        <v>12.96</v>
      </c>
      <c r="S91" t="str">
        <f>TEXT(sales_data[[#This Row],[Order Date]],"mm")</f>
        <v>01</v>
      </c>
      <c r="T91">
        <f>YEAR(sales_data[[#This Row],[Order Date]])</f>
        <v>2016</v>
      </c>
      <c r="U91" s="8" t="s">
        <v>784</v>
      </c>
      <c r="V91" t="s">
        <v>405</v>
      </c>
    </row>
    <row r="92" spans="1:22" x14ac:dyDescent="0.35">
      <c r="A92">
        <v>94</v>
      </c>
      <c r="B92" t="s">
        <v>401</v>
      </c>
      <c r="C92" s="1">
        <v>42400</v>
      </c>
      <c r="D92" s="1">
        <v>42405</v>
      </c>
      <c r="E92" t="s">
        <v>19</v>
      </c>
      <c r="F92" t="s">
        <v>402</v>
      </c>
      <c r="G92" t="s">
        <v>403</v>
      </c>
      <c r="H92" t="s">
        <v>22</v>
      </c>
      <c r="I92" t="s">
        <v>23</v>
      </c>
      <c r="J92" t="s">
        <v>404</v>
      </c>
      <c r="K92" t="s">
        <v>224</v>
      </c>
      <c r="L92">
        <v>55407</v>
      </c>
      <c r="M92" t="s">
        <v>101</v>
      </c>
      <c r="N92" t="s">
        <v>407</v>
      </c>
      <c r="O92" t="s">
        <v>28</v>
      </c>
      <c r="P92" t="s">
        <v>61</v>
      </c>
      <c r="Q92" t="s">
        <v>408</v>
      </c>
      <c r="R92">
        <v>53.34</v>
      </c>
      <c r="S92" t="str">
        <f>TEXT(sales_data[[#This Row],[Order Date]],"mm")</f>
        <v>01</v>
      </c>
      <c r="T92">
        <f>YEAR(sales_data[[#This Row],[Order Date]])</f>
        <v>2016</v>
      </c>
      <c r="U92" s="8" t="s">
        <v>791</v>
      </c>
      <c r="V92" t="s">
        <v>407</v>
      </c>
    </row>
    <row r="93" spans="1:22" x14ac:dyDescent="0.35">
      <c r="A93">
        <v>95</v>
      </c>
      <c r="B93" t="s">
        <v>401</v>
      </c>
      <c r="C93" s="1">
        <v>42400</v>
      </c>
      <c r="D93" s="1">
        <v>42405</v>
      </c>
      <c r="E93" t="s">
        <v>19</v>
      </c>
      <c r="F93" t="s">
        <v>402</v>
      </c>
      <c r="G93" t="s">
        <v>403</v>
      </c>
      <c r="H93" t="s">
        <v>22</v>
      </c>
      <c r="I93" t="s">
        <v>23</v>
      </c>
      <c r="J93" t="s">
        <v>404</v>
      </c>
      <c r="K93" t="s">
        <v>224</v>
      </c>
      <c r="L93">
        <v>55407</v>
      </c>
      <c r="M93" t="s">
        <v>101</v>
      </c>
      <c r="N93" t="s">
        <v>409</v>
      </c>
      <c r="O93" t="s">
        <v>42</v>
      </c>
      <c r="P93" t="s">
        <v>71</v>
      </c>
      <c r="Q93" t="s">
        <v>410</v>
      </c>
      <c r="R93">
        <v>32.96</v>
      </c>
      <c r="S93" t="str">
        <f>TEXT(sales_data[[#This Row],[Order Date]],"mm")</f>
        <v>01</v>
      </c>
      <c r="T93">
        <f>YEAR(sales_data[[#This Row],[Order Date]])</f>
        <v>2016</v>
      </c>
      <c r="U93" s="8" t="s">
        <v>797</v>
      </c>
      <c r="V93" t="s">
        <v>409</v>
      </c>
    </row>
    <row r="94" spans="1:22" x14ac:dyDescent="0.35">
      <c r="A94">
        <v>96</v>
      </c>
      <c r="B94" t="s">
        <v>411</v>
      </c>
      <c r="C94" s="1">
        <v>43410</v>
      </c>
      <c r="D94" s="1">
        <v>43416</v>
      </c>
      <c r="E94" t="s">
        <v>46</v>
      </c>
      <c r="F94" t="s">
        <v>412</v>
      </c>
      <c r="G94" t="s">
        <v>413</v>
      </c>
      <c r="H94" t="s">
        <v>98</v>
      </c>
      <c r="I94" t="s">
        <v>23</v>
      </c>
      <c r="J94" t="s">
        <v>414</v>
      </c>
      <c r="K94" t="s">
        <v>415</v>
      </c>
      <c r="L94">
        <v>97206</v>
      </c>
      <c r="M94" t="s">
        <v>40</v>
      </c>
      <c r="N94" t="s">
        <v>416</v>
      </c>
      <c r="O94" t="s">
        <v>42</v>
      </c>
      <c r="P94" t="s">
        <v>71</v>
      </c>
      <c r="Q94" t="s">
        <v>417</v>
      </c>
      <c r="R94">
        <v>5.6820000000000004</v>
      </c>
      <c r="S94" t="str">
        <f>TEXT(sales_data[[#This Row],[Order Date]],"mm")</f>
        <v>11</v>
      </c>
      <c r="T94">
        <f>YEAR(sales_data[[#This Row],[Order Date]])</f>
        <v>2018</v>
      </c>
      <c r="U94" s="7" t="s">
        <v>805</v>
      </c>
      <c r="V94" t="s">
        <v>416</v>
      </c>
    </row>
    <row r="95" spans="1:22" x14ac:dyDescent="0.35">
      <c r="A95">
        <v>97</v>
      </c>
      <c r="B95" t="s">
        <v>418</v>
      </c>
      <c r="C95" s="1">
        <v>43413</v>
      </c>
      <c r="D95" s="1">
        <v>43415</v>
      </c>
      <c r="E95" t="s">
        <v>19</v>
      </c>
      <c r="F95" t="s">
        <v>419</v>
      </c>
      <c r="G95" t="s">
        <v>420</v>
      </c>
      <c r="H95" t="s">
        <v>98</v>
      </c>
      <c r="I95" t="s">
        <v>23</v>
      </c>
      <c r="J95" t="s">
        <v>261</v>
      </c>
      <c r="K95" t="s">
        <v>262</v>
      </c>
      <c r="L95">
        <v>10009</v>
      </c>
      <c r="M95" t="s">
        <v>144</v>
      </c>
      <c r="N95" t="s">
        <v>421</v>
      </c>
      <c r="O95" t="s">
        <v>28</v>
      </c>
      <c r="P95" t="s">
        <v>61</v>
      </c>
      <c r="Q95" t="s">
        <v>422</v>
      </c>
      <c r="R95">
        <v>96.53</v>
      </c>
      <c r="S95" t="str">
        <f>TEXT(sales_data[[#This Row],[Order Date]],"mm")</f>
        <v>11</v>
      </c>
      <c r="T95">
        <f>YEAR(sales_data[[#This Row],[Order Date]])</f>
        <v>2018</v>
      </c>
      <c r="U95" s="8" t="s">
        <v>811</v>
      </c>
      <c r="V95" t="s">
        <v>421</v>
      </c>
    </row>
    <row r="96" spans="1:22" x14ac:dyDescent="0.35">
      <c r="A96">
        <v>98</v>
      </c>
      <c r="B96" t="s">
        <v>423</v>
      </c>
      <c r="C96" s="1">
        <v>43268</v>
      </c>
      <c r="D96" s="1">
        <v>43271</v>
      </c>
      <c r="E96" t="s">
        <v>183</v>
      </c>
      <c r="F96" t="s">
        <v>424</v>
      </c>
      <c r="G96" t="s">
        <v>425</v>
      </c>
      <c r="H96" t="s">
        <v>22</v>
      </c>
      <c r="I96" t="s">
        <v>23</v>
      </c>
      <c r="J96" t="s">
        <v>123</v>
      </c>
      <c r="K96" t="s">
        <v>39</v>
      </c>
      <c r="L96">
        <v>94122</v>
      </c>
      <c r="M96" t="s">
        <v>40</v>
      </c>
      <c r="N96" t="s">
        <v>426</v>
      </c>
      <c r="O96" t="s">
        <v>42</v>
      </c>
      <c r="P96" t="s">
        <v>71</v>
      </c>
      <c r="Q96" t="s">
        <v>427</v>
      </c>
      <c r="R96">
        <v>51.311999999999998</v>
      </c>
      <c r="S96" t="str">
        <f>TEXT(sales_data[[#This Row],[Order Date]],"mm")</f>
        <v>06</v>
      </c>
      <c r="T96">
        <f>YEAR(sales_data[[#This Row],[Order Date]])</f>
        <v>2018</v>
      </c>
      <c r="U96" s="7" t="s">
        <v>816</v>
      </c>
      <c r="V96" t="s">
        <v>426</v>
      </c>
    </row>
    <row r="97" spans="1:22" x14ac:dyDescent="0.35">
      <c r="A97">
        <v>99</v>
      </c>
      <c r="B97" t="s">
        <v>428</v>
      </c>
      <c r="C97" s="1">
        <v>42984</v>
      </c>
      <c r="D97" s="1">
        <v>42989</v>
      </c>
      <c r="E97" t="s">
        <v>46</v>
      </c>
      <c r="F97" t="s">
        <v>429</v>
      </c>
      <c r="G97" t="s">
        <v>430</v>
      </c>
      <c r="H97" t="s">
        <v>37</v>
      </c>
      <c r="I97" t="s">
        <v>23</v>
      </c>
      <c r="J97" t="s">
        <v>431</v>
      </c>
      <c r="K97" t="s">
        <v>224</v>
      </c>
      <c r="L97">
        <v>55106</v>
      </c>
      <c r="M97" t="s">
        <v>101</v>
      </c>
      <c r="N97" t="s">
        <v>432</v>
      </c>
      <c r="O97" t="s">
        <v>42</v>
      </c>
      <c r="P97" t="s">
        <v>74</v>
      </c>
      <c r="Q97" t="s">
        <v>433</v>
      </c>
      <c r="R97">
        <v>77.88</v>
      </c>
      <c r="S97" t="str">
        <f>TEXT(sales_data[[#This Row],[Order Date]],"mm")</f>
        <v>09</v>
      </c>
      <c r="T97">
        <f>YEAR(sales_data[[#This Row],[Order Date]])</f>
        <v>2017</v>
      </c>
      <c r="U97" s="8" t="s">
        <v>822</v>
      </c>
      <c r="V97" t="s">
        <v>432</v>
      </c>
    </row>
    <row r="98" spans="1:22" x14ac:dyDescent="0.35">
      <c r="A98">
        <v>100</v>
      </c>
      <c r="B98" t="s">
        <v>434</v>
      </c>
      <c r="C98" s="1">
        <v>42976</v>
      </c>
      <c r="D98" s="1">
        <v>42980</v>
      </c>
      <c r="E98" t="s">
        <v>46</v>
      </c>
      <c r="F98" t="s">
        <v>435</v>
      </c>
      <c r="G98" t="s">
        <v>436</v>
      </c>
      <c r="H98" t="s">
        <v>98</v>
      </c>
      <c r="I98" t="s">
        <v>23</v>
      </c>
      <c r="J98" t="s">
        <v>298</v>
      </c>
      <c r="K98" t="s">
        <v>206</v>
      </c>
      <c r="L98">
        <v>60610</v>
      </c>
      <c r="M98" t="s">
        <v>101</v>
      </c>
      <c r="N98" t="s">
        <v>437</v>
      </c>
      <c r="O98" t="s">
        <v>42</v>
      </c>
      <c r="P98" t="s">
        <v>86</v>
      </c>
      <c r="Q98" t="s">
        <v>438</v>
      </c>
      <c r="R98">
        <v>64.623999999999995</v>
      </c>
      <c r="S98" t="str">
        <f>TEXT(sales_data[[#This Row],[Order Date]],"mm")</f>
        <v>08</v>
      </c>
      <c r="T98">
        <f>YEAR(sales_data[[#This Row],[Order Date]])</f>
        <v>2017</v>
      </c>
      <c r="U98" s="7" t="s">
        <v>834</v>
      </c>
      <c r="V98" t="s">
        <v>437</v>
      </c>
    </row>
    <row r="99" spans="1:22" x14ac:dyDescent="0.35">
      <c r="A99">
        <v>101</v>
      </c>
      <c r="B99" t="s">
        <v>434</v>
      </c>
      <c r="C99" s="1">
        <v>42976</v>
      </c>
      <c r="D99" s="1">
        <v>42980</v>
      </c>
      <c r="E99" t="s">
        <v>46</v>
      </c>
      <c r="F99" t="s">
        <v>435</v>
      </c>
      <c r="G99" t="s">
        <v>436</v>
      </c>
      <c r="H99" t="s">
        <v>98</v>
      </c>
      <c r="I99" t="s">
        <v>23</v>
      </c>
      <c r="J99" t="s">
        <v>298</v>
      </c>
      <c r="K99" t="s">
        <v>206</v>
      </c>
      <c r="L99">
        <v>60610</v>
      </c>
      <c r="M99" t="s">
        <v>101</v>
      </c>
      <c r="N99" t="s">
        <v>439</v>
      </c>
      <c r="O99" t="s">
        <v>67</v>
      </c>
      <c r="P99" t="s">
        <v>156</v>
      </c>
      <c r="Q99" t="s">
        <v>440</v>
      </c>
      <c r="R99">
        <v>95.975999999999999</v>
      </c>
      <c r="S99" t="str">
        <f>TEXT(sales_data[[#This Row],[Order Date]],"mm")</f>
        <v>08</v>
      </c>
      <c r="T99">
        <f>YEAR(sales_data[[#This Row],[Order Date]])</f>
        <v>2017</v>
      </c>
      <c r="U99" s="8" t="s">
        <v>839</v>
      </c>
      <c r="V99" t="s">
        <v>439</v>
      </c>
    </row>
    <row r="100" spans="1:22" x14ac:dyDescent="0.35">
      <c r="A100">
        <v>102</v>
      </c>
      <c r="B100" t="s">
        <v>434</v>
      </c>
      <c r="C100" s="1">
        <v>42976</v>
      </c>
      <c r="D100" s="1">
        <v>42980</v>
      </c>
      <c r="E100" t="s">
        <v>46</v>
      </c>
      <c r="F100" t="s">
        <v>435</v>
      </c>
      <c r="G100" t="s">
        <v>436</v>
      </c>
      <c r="H100" t="s">
        <v>98</v>
      </c>
      <c r="I100" t="s">
        <v>23</v>
      </c>
      <c r="J100" t="s">
        <v>298</v>
      </c>
      <c r="K100" t="s">
        <v>206</v>
      </c>
      <c r="L100">
        <v>60610</v>
      </c>
      <c r="M100" t="s">
        <v>101</v>
      </c>
      <c r="N100" t="s">
        <v>441</v>
      </c>
      <c r="O100" t="s">
        <v>42</v>
      </c>
      <c r="P100" t="s">
        <v>71</v>
      </c>
      <c r="Q100" t="s">
        <v>442</v>
      </c>
      <c r="R100">
        <v>1.788</v>
      </c>
      <c r="S100" t="str">
        <f>TEXT(sales_data[[#This Row],[Order Date]],"mm")</f>
        <v>08</v>
      </c>
      <c r="T100">
        <f>YEAR(sales_data[[#This Row],[Order Date]])</f>
        <v>2017</v>
      </c>
      <c r="U100" s="7" t="s">
        <v>851</v>
      </c>
      <c r="V100" t="s">
        <v>441</v>
      </c>
    </row>
    <row r="101" spans="1:22" x14ac:dyDescent="0.35">
      <c r="A101">
        <v>103</v>
      </c>
      <c r="B101" t="s">
        <v>443</v>
      </c>
      <c r="C101" s="1">
        <v>43070</v>
      </c>
      <c r="D101" s="1">
        <v>43073</v>
      </c>
      <c r="E101" t="s">
        <v>19</v>
      </c>
      <c r="F101" t="s">
        <v>444</v>
      </c>
      <c r="G101" t="s">
        <v>445</v>
      </c>
      <c r="H101" t="s">
        <v>22</v>
      </c>
      <c r="I101" t="s">
        <v>23</v>
      </c>
      <c r="J101" t="s">
        <v>384</v>
      </c>
      <c r="K101" t="s">
        <v>224</v>
      </c>
      <c r="L101">
        <v>55901</v>
      </c>
      <c r="M101" t="s">
        <v>101</v>
      </c>
      <c r="N101" t="s">
        <v>446</v>
      </c>
      <c r="O101" t="s">
        <v>42</v>
      </c>
      <c r="P101" t="s">
        <v>86</v>
      </c>
      <c r="Q101" t="s">
        <v>447</v>
      </c>
      <c r="R101">
        <v>23.92</v>
      </c>
      <c r="S101" t="str">
        <f>TEXT(sales_data[[#This Row],[Order Date]],"mm")</f>
        <v>12</v>
      </c>
      <c r="T101">
        <f>YEAR(sales_data[[#This Row],[Order Date]])</f>
        <v>2017</v>
      </c>
      <c r="U101" s="8" t="s">
        <v>856</v>
      </c>
      <c r="V101" t="s">
        <v>446</v>
      </c>
    </row>
    <row r="102" spans="1:22" x14ac:dyDescent="0.35">
      <c r="A102">
        <v>104</v>
      </c>
      <c r="B102" t="s">
        <v>448</v>
      </c>
      <c r="C102" s="1">
        <v>42687</v>
      </c>
      <c r="D102" s="1">
        <v>42691</v>
      </c>
      <c r="E102" t="s">
        <v>46</v>
      </c>
      <c r="F102" t="s">
        <v>449</v>
      </c>
      <c r="G102" t="s">
        <v>450</v>
      </c>
      <c r="H102" t="s">
        <v>22</v>
      </c>
      <c r="I102" t="s">
        <v>23</v>
      </c>
      <c r="J102" t="s">
        <v>451</v>
      </c>
      <c r="K102" t="s">
        <v>452</v>
      </c>
      <c r="L102">
        <v>80013</v>
      </c>
      <c r="M102" t="s">
        <v>40</v>
      </c>
      <c r="N102" t="s">
        <v>453</v>
      </c>
      <c r="O102" t="s">
        <v>67</v>
      </c>
      <c r="P102" t="s">
        <v>156</v>
      </c>
      <c r="Q102" t="s">
        <v>454</v>
      </c>
      <c r="R102">
        <v>238.89599999999999</v>
      </c>
      <c r="S102" t="str">
        <f>TEXT(sales_data[[#This Row],[Order Date]],"mm")</f>
        <v>11</v>
      </c>
      <c r="T102">
        <f>YEAR(sales_data[[#This Row],[Order Date]])</f>
        <v>2016</v>
      </c>
      <c r="U102" s="7" t="s">
        <v>870</v>
      </c>
      <c r="V102" t="s">
        <v>453</v>
      </c>
    </row>
    <row r="103" spans="1:22" x14ac:dyDescent="0.35">
      <c r="A103">
        <v>105</v>
      </c>
      <c r="B103" t="s">
        <v>448</v>
      </c>
      <c r="C103" s="1">
        <v>42687</v>
      </c>
      <c r="D103" s="1">
        <v>42691</v>
      </c>
      <c r="E103" t="s">
        <v>46</v>
      </c>
      <c r="F103" t="s">
        <v>449</v>
      </c>
      <c r="G103" t="s">
        <v>450</v>
      </c>
      <c r="H103" t="s">
        <v>22</v>
      </c>
      <c r="I103" t="s">
        <v>23</v>
      </c>
      <c r="J103" t="s">
        <v>451</v>
      </c>
      <c r="K103" t="s">
        <v>452</v>
      </c>
      <c r="L103">
        <v>80013</v>
      </c>
      <c r="M103" t="s">
        <v>40</v>
      </c>
      <c r="N103" t="s">
        <v>455</v>
      </c>
      <c r="O103" t="s">
        <v>28</v>
      </c>
      <c r="P103" t="s">
        <v>61</v>
      </c>
      <c r="Q103" t="s">
        <v>456</v>
      </c>
      <c r="R103">
        <v>102.36</v>
      </c>
      <c r="S103" t="str">
        <f>TEXT(sales_data[[#This Row],[Order Date]],"mm")</f>
        <v>11</v>
      </c>
      <c r="T103">
        <f>YEAR(sales_data[[#This Row],[Order Date]])</f>
        <v>2016</v>
      </c>
      <c r="U103" s="8" t="s">
        <v>880</v>
      </c>
      <c r="V103" t="s">
        <v>455</v>
      </c>
    </row>
    <row r="104" spans="1:22" x14ac:dyDescent="0.35">
      <c r="A104">
        <v>106</v>
      </c>
      <c r="B104" t="s">
        <v>448</v>
      </c>
      <c r="C104" s="1">
        <v>42687</v>
      </c>
      <c r="D104" s="1">
        <v>42691</v>
      </c>
      <c r="E104" t="s">
        <v>46</v>
      </c>
      <c r="F104" t="s">
        <v>449</v>
      </c>
      <c r="G104" t="s">
        <v>450</v>
      </c>
      <c r="H104" t="s">
        <v>22</v>
      </c>
      <c r="I104" t="s">
        <v>23</v>
      </c>
      <c r="J104" t="s">
        <v>451</v>
      </c>
      <c r="K104" t="s">
        <v>452</v>
      </c>
      <c r="L104">
        <v>80013</v>
      </c>
      <c r="M104" t="s">
        <v>40</v>
      </c>
      <c r="N104" t="s">
        <v>457</v>
      </c>
      <c r="O104" t="s">
        <v>42</v>
      </c>
      <c r="P104" t="s">
        <v>71</v>
      </c>
      <c r="Q104" t="s">
        <v>458</v>
      </c>
      <c r="R104">
        <v>36.881999999999998</v>
      </c>
      <c r="S104" t="str">
        <f>TEXT(sales_data[[#This Row],[Order Date]],"mm")</f>
        <v>11</v>
      </c>
      <c r="T104">
        <f>YEAR(sales_data[[#This Row],[Order Date]])</f>
        <v>2016</v>
      </c>
      <c r="U104" s="8" t="s">
        <v>887</v>
      </c>
      <c r="V104" t="s">
        <v>457</v>
      </c>
    </row>
    <row r="105" spans="1:22" x14ac:dyDescent="0.35">
      <c r="A105">
        <v>107</v>
      </c>
      <c r="B105" t="s">
        <v>459</v>
      </c>
      <c r="C105" s="1">
        <v>43427</v>
      </c>
      <c r="D105" s="1">
        <v>43432</v>
      </c>
      <c r="E105" t="s">
        <v>46</v>
      </c>
      <c r="F105" t="s">
        <v>460</v>
      </c>
      <c r="G105" t="s">
        <v>461</v>
      </c>
      <c r="H105" t="s">
        <v>22</v>
      </c>
      <c r="I105" t="s">
        <v>23</v>
      </c>
      <c r="J105" t="s">
        <v>462</v>
      </c>
      <c r="K105" t="s">
        <v>84</v>
      </c>
      <c r="L105">
        <v>28205</v>
      </c>
      <c r="M105" t="s">
        <v>26</v>
      </c>
      <c r="N105" t="s">
        <v>463</v>
      </c>
      <c r="O105" t="s">
        <v>67</v>
      </c>
      <c r="P105" t="s">
        <v>156</v>
      </c>
      <c r="Q105" t="s">
        <v>464</v>
      </c>
      <c r="R105">
        <v>74.111999999999995</v>
      </c>
      <c r="S105" t="str">
        <f>TEXT(sales_data[[#This Row],[Order Date]],"mm")</f>
        <v>11</v>
      </c>
      <c r="T105">
        <f>YEAR(sales_data[[#This Row],[Order Date]])</f>
        <v>2018</v>
      </c>
      <c r="U105" s="8" t="s">
        <v>902</v>
      </c>
      <c r="V105" t="s">
        <v>463</v>
      </c>
    </row>
    <row r="106" spans="1:22" x14ac:dyDescent="0.35">
      <c r="A106">
        <v>108</v>
      </c>
      <c r="B106" t="s">
        <v>459</v>
      </c>
      <c r="C106" s="1">
        <v>43427</v>
      </c>
      <c r="D106" s="1">
        <v>43432</v>
      </c>
      <c r="E106" t="s">
        <v>46</v>
      </c>
      <c r="F106" t="s">
        <v>460</v>
      </c>
      <c r="G106" t="s">
        <v>461</v>
      </c>
      <c r="H106" t="s">
        <v>22</v>
      </c>
      <c r="I106" t="s">
        <v>23</v>
      </c>
      <c r="J106" t="s">
        <v>462</v>
      </c>
      <c r="K106" t="s">
        <v>84</v>
      </c>
      <c r="L106">
        <v>28205</v>
      </c>
      <c r="M106" t="s">
        <v>26</v>
      </c>
      <c r="N106" t="s">
        <v>465</v>
      </c>
      <c r="O106" t="s">
        <v>67</v>
      </c>
      <c r="P106" t="s">
        <v>68</v>
      </c>
      <c r="Q106" t="s">
        <v>466</v>
      </c>
      <c r="R106">
        <v>27.992000000000001</v>
      </c>
      <c r="S106" t="str">
        <f>TEXT(sales_data[[#This Row],[Order Date]],"mm")</f>
        <v>11</v>
      </c>
      <c r="T106">
        <f>YEAR(sales_data[[#This Row],[Order Date]])</f>
        <v>2018</v>
      </c>
      <c r="U106" s="7" t="s">
        <v>908</v>
      </c>
      <c r="V106" t="s">
        <v>465</v>
      </c>
    </row>
    <row r="107" spans="1:22" x14ac:dyDescent="0.35">
      <c r="A107">
        <v>109</v>
      </c>
      <c r="B107" t="s">
        <v>459</v>
      </c>
      <c r="C107" s="1">
        <v>43427</v>
      </c>
      <c r="D107" s="1">
        <v>43432</v>
      </c>
      <c r="E107" t="s">
        <v>46</v>
      </c>
      <c r="F107" t="s">
        <v>460</v>
      </c>
      <c r="G107" t="s">
        <v>461</v>
      </c>
      <c r="H107" t="s">
        <v>22</v>
      </c>
      <c r="I107" t="s">
        <v>23</v>
      </c>
      <c r="J107" t="s">
        <v>462</v>
      </c>
      <c r="K107" t="s">
        <v>84</v>
      </c>
      <c r="L107">
        <v>28205</v>
      </c>
      <c r="M107" t="s">
        <v>26</v>
      </c>
      <c r="N107" t="s">
        <v>467</v>
      </c>
      <c r="O107" t="s">
        <v>42</v>
      </c>
      <c r="P107" t="s">
        <v>64</v>
      </c>
      <c r="Q107" t="s">
        <v>468</v>
      </c>
      <c r="R107">
        <v>3.3039999999999998</v>
      </c>
      <c r="S107" t="str">
        <f>TEXT(sales_data[[#This Row],[Order Date]],"mm")</f>
        <v>11</v>
      </c>
      <c r="T107">
        <f>YEAR(sales_data[[#This Row],[Order Date]])</f>
        <v>2018</v>
      </c>
      <c r="U107" s="8" t="s">
        <v>923</v>
      </c>
      <c r="V107" t="s">
        <v>467</v>
      </c>
    </row>
    <row r="108" spans="1:22" x14ac:dyDescent="0.35">
      <c r="A108">
        <v>110</v>
      </c>
      <c r="B108" t="s">
        <v>469</v>
      </c>
      <c r="C108" s="1">
        <v>42658</v>
      </c>
      <c r="D108" s="1">
        <v>42663</v>
      </c>
      <c r="E108" t="s">
        <v>46</v>
      </c>
      <c r="F108" t="s">
        <v>470</v>
      </c>
      <c r="G108" t="s">
        <v>471</v>
      </c>
      <c r="H108" t="s">
        <v>98</v>
      </c>
      <c r="I108" t="s">
        <v>23</v>
      </c>
      <c r="J108" t="s">
        <v>472</v>
      </c>
      <c r="K108" t="s">
        <v>206</v>
      </c>
      <c r="L108">
        <v>60462</v>
      </c>
      <c r="M108" t="s">
        <v>101</v>
      </c>
      <c r="N108" t="s">
        <v>473</v>
      </c>
      <c r="O108" t="s">
        <v>67</v>
      </c>
      <c r="P108" t="s">
        <v>156</v>
      </c>
      <c r="Q108" t="s">
        <v>474</v>
      </c>
      <c r="R108">
        <v>339.96</v>
      </c>
      <c r="S108" t="str">
        <f>TEXT(sales_data[[#This Row],[Order Date]],"mm")</f>
        <v>10</v>
      </c>
      <c r="T108">
        <f>YEAR(sales_data[[#This Row],[Order Date]])</f>
        <v>2016</v>
      </c>
      <c r="U108" s="7" t="s">
        <v>933</v>
      </c>
      <c r="V108" t="s">
        <v>473</v>
      </c>
    </row>
    <row r="109" spans="1:22" x14ac:dyDescent="0.35">
      <c r="A109">
        <v>111</v>
      </c>
      <c r="B109" t="s">
        <v>475</v>
      </c>
      <c r="C109" s="1">
        <v>43459</v>
      </c>
      <c r="D109" s="1">
        <v>43464</v>
      </c>
      <c r="E109" t="s">
        <v>46</v>
      </c>
      <c r="F109" t="s">
        <v>476</v>
      </c>
      <c r="G109" t="s">
        <v>477</v>
      </c>
      <c r="H109" t="s">
        <v>37</v>
      </c>
      <c r="I109" t="s">
        <v>23</v>
      </c>
      <c r="J109" t="s">
        <v>261</v>
      </c>
      <c r="K109" t="s">
        <v>262</v>
      </c>
      <c r="L109">
        <v>10035</v>
      </c>
      <c r="M109" t="s">
        <v>144</v>
      </c>
      <c r="N109" t="s">
        <v>478</v>
      </c>
      <c r="O109" t="s">
        <v>28</v>
      </c>
      <c r="P109" t="s">
        <v>61</v>
      </c>
      <c r="Q109" t="s">
        <v>479</v>
      </c>
      <c r="R109">
        <v>41.96</v>
      </c>
      <c r="S109" t="str">
        <f>TEXT(sales_data[[#This Row],[Order Date]],"mm")</f>
        <v>12</v>
      </c>
      <c r="T109">
        <f>YEAR(sales_data[[#This Row],[Order Date]])</f>
        <v>2018</v>
      </c>
      <c r="U109" s="8" t="s">
        <v>938</v>
      </c>
      <c r="V109" t="s">
        <v>478</v>
      </c>
    </row>
    <row r="110" spans="1:22" x14ac:dyDescent="0.35">
      <c r="A110">
        <v>112</v>
      </c>
      <c r="B110" t="s">
        <v>480</v>
      </c>
      <c r="C110" s="1">
        <v>43042</v>
      </c>
      <c r="D110" s="1">
        <v>43049</v>
      </c>
      <c r="E110" t="s">
        <v>46</v>
      </c>
      <c r="F110" t="s">
        <v>481</v>
      </c>
      <c r="G110" t="s">
        <v>482</v>
      </c>
      <c r="H110" t="s">
        <v>22</v>
      </c>
      <c r="I110" t="s">
        <v>23</v>
      </c>
      <c r="J110" t="s">
        <v>483</v>
      </c>
      <c r="K110" t="s">
        <v>484</v>
      </c>
      <c r="L110">
        <v>50322</v>
      </c>
      <c r="M110" t="s">
        <v>101</v>
      </c>
      <c r="N110" t="s">
        <v>485</v>
      </c>
      <c r="O110" t="s">
        <v>42</v>
      </c>
      <c r="P110" t="s">
        <v>64</v>
      </c>
      <c r="Q110" t="s">
        <v>486</v>
      </c>
      <c r="R110">
        <v>75.959999999999994</v>
      </c>
      <c r="S110" t="str">
        <f>TEXT(sales_data[[#This Row],[Order Date]],"mm")</f>
        <v>11</v>
      </c>
      <c r="T110">
        <f>YEAR(sales_data[[#This Row],[Order Date]])</f>
        <v>2017</v>
      </c>
      <c r="U110" s="8" t="s">
        <v>944</v>
      </c>
      <c r="V110" t="s">
        <v>485</v>
      </c>
    </row>
    <row r="111" spans="1:22" x14ac:dyDescent="0.35">
      <c r="A111">
        <v>113</v>
      </c>
      <c r="B111" t="s">
        <v>480</v>
      </c>
      <c r="C111" s="1">
        <v>43042</v>
      </c>
      <c r="D111" s="1">
        <v>43049</v>
      </c>
      <c r="E111" t="s">
        <v>46</v>
      </c>
      <c r="F111" t="s">
        <v>481</v>
      </c>
      <c r="G111" t="s">
        <v>482</v>
      </c>
      <c r="H111" t="s">
        <v>22</v>
      </c>
      <c r="I111" t="s">
        <v>23</v>
      </c>
      <c r="J111" t="s">
        <v>483</v>
      </c>
      <c r="K111" t="s">
        <v>484</v>
      </c>
      <c r="L111">
        <v>50322</v>
      </c>
      <c r="M111" t="s">
        <v>101</v>
      </c>
      <c r="N111" t="s">
        <v>487</v>
      </c>
      <c r="O111" t="s">
        <v>42</v>
      </c>
      <c r="P111" t="s">
        <v>71</v>
      </c>
      <c r="Q111" t="s">
        <v>488</v>
      </c>
      <c r="R111">
        <v>27.24</v>
      </c>
      <c r="S111" t="str">
        <f>TEXT(sales_data[[#This Row],[Order Date]],"mm")</f>
        <v>11</v>
      </c>
      <c r="T111">
        <f>YEAR(sales_data[[#This Row],[Order Date]])</f>
        <v>2017</v>
      </c>
      <c r="U111" s="8" t="s">
        <v>951</v>
      </c>
      <c r="V111" t="s">
        <v>487</v>
      </c>
    </row>
    <row r="112" spans="1:22" x14ac:dyDescent="0.35">
      <c r="A112">
        <v>114</v>
      </c>
      <c r="B112" t="s">
        <v>489</v>
      </c>
      <c r="C112" s="1">
        <v>42241</v>
      </c>
      <c r="D112" s="1">
        <v>42243</v>
      </c>
      <c r="E112" t="s">
        <v>19</v>
      </c>
      <c r="F112" t="s">
        <v>490</v>
      </c>
      <c r="G112" t="s">
        <v>491</v>
      </c>
      <c r="H112" t="s">
        <v>22</v>
      </c>
      <c r="I112" t="s">
        <v>23</v>
      </c>
      <c r="J112" t="s">
        <v>492</v>
      </c>
      <c r="K112" t="s">
        <v>493</v>
      </c>
      <c r="L112">
        <v>43229</v>
      </c>
      <c r="M112" t="s">
        <v>144</v>
      </c>
      <c r="N112" t="s">
        <v>494</v>
      </c>
      <c r="O112" t="s">
        <v>42</v>
      </c>
      <c r="P112" t="s">
        <v>264</v>
      </c>
      <c r="Q112" t="s">
        <v>495</v>
      </c>
      <c r="R112">
        <v>40.095999999999997</v>
      </c>
      <c r="S112" t="str">
        <f>TEXT(sales_data[[#This Row],[Order Date]],"mm")</f>
        <v>08</v>
      </c>
      <c r="T112">
        <f>YEAR(sales_data[[#This Row],[Order Date]])</f>
        <v>2015</v>
      </c>
      <c r="U112" s="8" t="s">
        <v>958</v>
      </c>
      <c r="V112" t="s">
        <v>494</v>
      </c>
    </row>
    <row r="113" spans="1:22" x14ac:dyDescent="0.35">
      <c r="A113">
        <v>115</v>
      </c>
      <c r="B113" t="s">
        <v>489</v>
      </c>
      <c r="C113" s="1">
        <v>42241</v>
      </c>
      <c r="D113" s="1">
        <v>42243</v>
      </c>
      <c r="E113" t="s">
        <v>19</v>
      </c>
      <c r="F113" t="s">
        <v>490</v>
      </c>
      <c r="G113" t="s">
        <v>491</v>
      </c>
      <c r="H113" t="s">
        <v>22</v>
      </c>
      <c r="I113" t="s">
        <v>23</v>
      </c>
      <c r="J113" t="s">
        <v>492</v>
      </c>
      <c r="K113" t="s">
        <v>493</v>
      </c>
      <c r="L113">
        <v>43229</v>
      </c>
      <c r="M113" t="s">
        <v>144</v>
      </c>
      <c r="N113" t="s">
        <v>496</v>
      </c>
      <c r="O113" t="s">
        <v>42</v>
      </c>
      <c r="P113" t="s">
        <v>168</v>
      </c>
      <c r="Q113" t="s">
        <v>497</v>
      </c>
      <c r="R113">
        <v>4.72</v>
      </c>
      <c r="S113" t="str">
        <f>TEXT(sales_data[[#This Row],[Order Date]],"mm")</f>
        <v>08</v>
      </c>
      <c r="T113">
        <f>YEAR(sales_data[[#This Row],[Order Date]])</f>
        <v>2015</v>
      </c>
      <c r="U113" s="8" t="s">
        <v>967</v>
      </c>
      <c r="V113" t="s">
        <v>496</v>
      </c>
    </row>
    <row r="114" spans="1:22" x14ac:dyDescent="0.35">
      <c r="A114">
        <v>116</v>
      </c>
      <c r="B114" t="s">
        <v>489</v>
      </c>
      <c r="C114" s="1">
        <v>42241</v>
      </c>
      <c r="D114" s="1">
        <v>42243</v>
      </c>
      <c r="E114" t="s">
        <v>19</v>
      </c>
      <c r="F114" t="s">
        <v>490</v>
      </c>
      <c r="G114" t="s">
        <v>491</v>
      </c>
      <c r="H114" t="s">
        <v>22</v>
      </c>
      <c r="I114" t="s">
        <v>23</v>
      </c>
      <c r="J114" t="s">
        <v>492</v>
      </c>
      <c r="K114" t="s">
        <v>493</v>
      </c>
      <c r="L114">
        <v>43229</v>
      </c>
      <c r="M114" t="s">
        <v>144</v>
      </c>
      <c r="N114" t="s">
        <v>498</v>
      </c>
      <c r="O114" t="s">
        <v>42</v>
      </c>
      <c r="P114" t="s">
        <v>86</v>
      </c>
      <c r="Q114" t="s">
        <v>499</v>
      </c>
      <c r="R114">
        <v>23.975999999999999</v>
      </c>
      <c r="S114" t="str">
        <f>TEXT(sales_data[[#This Row],[Order Date]],"mm")</f>
        <v>08</v>
      </c>
      <c r="T114">
        <f>YEAR(sales_data[[#This Row],[Order Date]])</f>
        <v>2015</v>
      </c>
      <c r="U114" s="8" t="s">
        <v>972</v>
      </c>
      <c r="V114" t="s">
        <v>498</v>
      </c>
    </row>
    <row r="115" spans="1:22" x14ac:dyDescent="0.35">
      <c r="A115">
        <v>117</v>
      </c>
      <c r="B115" t="s">
        <v>489</v>
      </c>
      <c r="C115" s="1">
        <v>42241</v>
      </c>
      <c r="D115" s="1">
        <v>42243</v>
      </c>
      <c r="E115" t="s">
        <v>19</v>
      </c>
      <c r="F115" t="s">
        <v>490</v>
      </c>
      <c r="G115" t="s">
        <v>491</v>
      </c>
      <c r="H115" t="s">
        <v>22</v>
      </c>
      <c r="I115" t="s">
        <v>23</v>
      </c>
      <c r="J115" t="s">
        <v>492</v>
      </c>
      <c r="K115" t="s">
        <v>493</v>
      </c>
      <c r="L115">
        <v>43229</v>
      </c>
      <c r="M115" t="s">
        <v>144</v>
      </c>
      <c r="N115" t="s">
        <v>500</v>
      </c>
      <c r="O115" t="s">
        <v>42</v>
      </c>
      <c r="P115" t="s">
        <v>168</v>
      </c>
      <c r="Q115" t="s">
        <v>501</v>
      </c>
      <c r="R115">
        <v>130.464</v>
      </c>
      <c r="S115" t="str">
        <f>TEXT(sales_data[[#This Row],[Order Date]],"mm")</f>
        <v>08</v>
      </c>
      <c r="T115">
        <f>YEAR(sales_data[[#This Row],[Order Date]])</f>
        <v>2015</v>
      </c>
      <c r="U115" s="8" t="s">
        <v>977</v>
      </c>
      <c r="V115" t="s">
        <v>500</v>
      </c>
    </row>
    <row r="116" spans="1:22" x14ac:dyDescent="0.35">
      <c r="A116">
        <v>118</v>
      </c>
      <c r="B116" t="s">
        <v>502</v>
      </c>
      <c r="C116" s="1">
        <v>42431</v>
      </c>
      <c r="D116" s="1">
        <v>42435</v>
      </c>
      <c r="E116" t="s">
        <v>46</v>
      </c>
      <c r="F116" t="s">
        <v>503</v>
      </c>
      <c r="G116" t="s">
        <v>504</v>
      </c>
      <c r="H116" t="s">
        <v>22</v>
      </c>
      <c r="I116" t="s">
        <v>23</v>
      </c>
      <c r="J116" t="s">
        <v>91</v>
      </c>
      <c r="K116" t="s">
        <v>92</v>
      </c>
      <c r="L116">
        <v>98103</v>
      </c>
      <c r="M116" t="s">
        <v>40</v>
      </c>
      <c r="N116" t="s">
        <v>505</v>
      </c>
      <c r="O116" t="s">
        <v>28</v>
      </c>
      <c r="P116" t="s">
        <v>52</v>
      </c>
      <c r="Q116" t="s">
        <v>506</v>
      </c>
      <c r="R116">
        <v>787.53</v>
      </c>
      <c r="S116" t="str">
        <f>TEXT(sales_data[[#This Row],[Order Date]],"mm")</f>
        <v>03</v>
      </c>
      <c r="T116">
        <f>YEAR(sales_data[[#This Row],[Order Date]])</f>
        <v>2016</v>
      </c>
      <c r="U116" s="7" t="s">
        <v>982</v>
      </c>
      <c r="V116" t="s">
        <v>505</v>
      </c>
    </row>
    <row r="117" spans="1:22" x14ac:dyDescent="0.35">
      <c r="A117">
        <v>119</v>
      </c>
      <c r="B117" t="s">
        <v>507</v>
      </c>
      <c r="C117" s="1">
        <v>42465</v>
      </c>
      <c r="D117" s="1">
        <v>42470</v>
      </c>
      <c r="E117" t="s">
        <v>46</v>
      </c>
      <c r="F117" t="s">
        <v>508</v>
      </c>
      <c r="G117" t="s">
        <v>509</v>
      </c>
      <c r="H117" t="s">
        <v>37</v>
      </c>
      <c r="I117" t="s">
        <v>23</v>
      </c>
      <c r="J117" t="s">
        <v>510</v>
      </c>
      <c r="K117" t="s">
        <v>330</v>
      </c>
      <c r="L117">
        <v>37620</v>
      </c>
      <c r="M117" t="s">
        <v>26</v>
      </c>
      <c r="N117" t="s">
        <v>511</v>
      </c>
      <c r="O117" t="s">
        <v>42</v>
      </c>
      <c r="P117" t="s">
        <v>71</v>
      </c>
      <c r="Q117" t="s">
        <v>512</v>
      </c>
      <c r="R117">
        <v>157.79400000000001</v>
      </c>
      <c r="S117" t="str">
        <f>TEXT(sales_data[[#This Row],[Order Date]],"mm")</f>
        <v>04</v>
      </c>
      <c r="T117">
        <f>YEAR(sales_data[[#This Row],[Order Date]])</f>
        <v>2016</v>
      </c>
      <c r="U117" s="8" t="s">
        <v>988</v>
      </c>
      <c r="V117" t="s">
        <v>511</v>
      </c>
    </row>
    <row r="118" spans="1:22" x14ac:dyDescent="0.35">
      <c r="A118">
        <v>120</v>
      </c>
      <c r="B118" t="s">
        <v>513</v>
      </c>
      <c r="C118" s="1">
        <v>42898</v>
      </c>
      <c r="D118" s="1">
        <v>42901</v>
      </c>
      <c r="E118" t="s">
        <v>183</v>
      </c>
      <c r="F118" t="s">
        <v>514</v>
      </c>
      <c r="G118" t="s">
        <v>515</v>
      </c>
      <c r="H118" t="s">
        <v>22</v>
      </c>
      <c r="I118" t="s">
        <v>23</v>
      </c>
      <c r="J118" t="s">
        <v>516</v>
      </c>
      <c r="K118" t="s">
        <v>240</v>
      </c>
      <c r="L118">
        <v>19805</v>
      </c>
      <c r="M118" t="s">
        <v>144</v>
      </c>
      <c r="N118" t="s">
        <v>517</v>
      </c>
      <c r="O118" t="s">
        <v>28</v>
      </c>
      <c r="P118" t="s">
        <v>61</v>
      </c>
      <c r="Q118" t="s">
        <v>518</v>
      </c>
      <c r="R118">
        <v>47.04</v>
      </c>
      <c r="S118" t="str">
        <f>TEXT(sales_data[[#This Row],[Order Date]],"mm")</f>
        <v>06</v>
      </c>
      <c r="T118">
        <f>YEAR(sales_data[[#This Row],[Order Date]])</f>
        <v>2017</v>
      </c>
      <c r="U118" s="8" t="s">
        <v>998</v>
      </c>
      <c r="V118" t="s">
        <v>517</v>
      </c>
    </row>
    <row r="119" spans="1:22" x14ac:dyDescent="0.35">
      <c r="A119">
        <v>122</v>
      </c>
      <c r="B119" t="s">
        <v>513</v>
      </c>
      <c r="C119" s="1">
        <v>42898</v>
      </c>
      <c r="D119" s="1">
        <v>42901</v>
      </c>
      <c r="E119" t="s">
        <v>183</v>
      </c>
      <c r="F119" t="s">
        <v>514</v>
      </c>
      <c r="G119" t="s">
        <v>515</v>
      </c>
      <c r="H119" t="s">
        <v>22</v>
      </c>
      <c r="I119" t="s">
        <v>23</v>
      </c>
      <c r="J119" t="s">
        <v>516</v>
      </c>
      <c r="K119" t="s">
        <v>240</v>
      </c>
      <c r="L119">
        <v>19805</v>
      </c>
      <c r="M119" t="s">
        <v>144</v>
      </c>
      <c r="N119" t="s">
        <v>519</v>
      </c>
      <c r="O119" t="s">
        <v>42</v>
      </c>
      <c r="P119" t="s">
        <v>55</v>
      </c>
      <c r="Q119" t="s">
        <v>520</v>
      </c>
      <c r="R119">
        <v>226.56</v>
      </c>
      <c r="S119" t="str">
        <f>TEXT(sales_data[[#This Row],[Order Date]],"mm")</f>
        <v>06</v>
      </c>
      <c r="T119">
        <f>YEAR(sales_data[[#This Row],[Order Date]])</f>
        <v>2017</v>
      </c>
      <c r="U119" s="8" t="s">
        <v>1018</v>
      </c>
      <c r="V119" t="s">
        <v>519</v>
      </c>
    </row>
    <row r="120" spans="1:22" x14ac:dyDescent="0.35">
      <c r="A120">
        <v>123</v>
      </c>
      <c r="B120" t="s">
        <v>513</v>
      </c>
      <c r="C120" s="1">
        <v>42898</v>
      </c>
      <c r="D120" s="1">
        <v>42901</v>
      </c>
      <c r="E120" t="s">
        <v>183</v>
      </c>
      <c r="F120" t="s">
        <v>514</v>
      </c>
      <c r="G120" t="s">
        <v>515</v>
      </c>
      <c r="H120" t="s">
        <v>22</v>
      </c>
      <c r="I120" t="s">
        <v>23</v>
      </c>
      <c r="J120" t="s">
        <v>516</v>
      </c>
      <c r="K120" t="s">
        <v>240</v>
      </c>
      <c r="L120">
        <v>19805</v>
      </c>
      <c r="M120" t="s">
        <v>144</v>
      </c>
      <c r="N120" t="s">
        <v>521</v>
      </c>
      <c r="O120" t="s">
        <v>42</v>
      </c>
      <c r="P120" t="s">
        <v>168</v>
      </c>
      <c r="Q120" t="s">
        <v>522</v>
      </c>
      <c r="R120">
        <v>115.02</v>
      </c>
      <c r="S120" t="str">
        <f>TEXT(sales_data[[#This Row],[Order Date]],"mm")</f>
        <v>06</v>
      </c>
      <c r="T120">
        <f>YEAR(sales_data[[#This Row],[Order Date]])</f>
        <v>2017</v>
      </c>
      <c r="U120" s="8" t="s">
        <v>1026</v>
      </c>
      <c r="V120" t="s">
        <v>521</v>
      </c>
    </row>
    <row r="121" spans="1:22" x14ac:dyDescent="0.35">
      <c r="A121">
        <v>124</v>
      </c>
      <c r="B121" t="s">
        <v>513</v>
      </c>
      <c r="C121" s="1">
        <v>42898</v>
      </c>
      <c r="D121" s="1">
        <v>42901</v>
      </c>
      <c r="E121" t="s">
        <v>183</v>
      </c>
      <c r="F121" t="s">
        <v>514</v>
      </c>
      <c r="G121" t="s">
        <v>515</v>
      </c>
      <c r="H121" t="s">
        <v>22</v>
      </c>
      <c r="I121" t="s">
        <v>23</v>
      </c>
      <c r="J121" t="s">
        <v>516</v>
      </c>
      <c r="K121" t="s">
        <v>240</v>
      </c>
      <c r="L121">
        <v>19805</v>
      </c>
      <c r="M121" t="s">
        <v>144</v>
      </c>
      <c r="N121" t="s">
        <v>523</v>
      </c>
      <c r="O121" t="s">
        <v>67</v>
      </c>
      <c r="P121" t="s">
        <v>68</v>
      </c>
      <c r="Q121" t="s">
        <v>524</v>
      </c>
      <c r="R121">
        <v>68.040000000000006</v>
      </c>
      <c r="S121" t="str">
        <f>TEXT(sales_data[[#This Row],[Order Date]],"mm")</f>
        <v>06</v>
      </c>
      <c r="T121">
        <f>YEAR(sales_data[[#This Row],[Order Date]])</f>
        <v>2017</v>
      </c>
      <c r="U121" s="8" t="s">
        <v>1042</v>
      </c>
      <c r="V121" t="s">
        <v>523</v>
      </c>
    </row>
    <row r="122" spans="1:22" x14ac:dyDescent="0.35">
      <c r="A122">
        <v>125</v>
      </c>
      <c r="B122" t="s">
        <v>525</v>
      </c>
      <c r="C122" s="1">
        <v>42364</v>
      </c>
      <c r="D122" s="1">
        <v>42366</v>
      </c>
      <c r="E122" t="s">
        <v>19</v>
      </c>
      <c r="F122" t="s">
        <v>526</v>
      </c>
      <c r="G122" t="s">
        <v>527</v>
      </c>
      <c r="H122" t="s">
        <v>98</v>
      </c>
      <c r="I122" t="s">
        <v>23</v>
      </c>
      <c r="J122" t="s">
        <v>179</v>
      </c>
      <c r="K122" t="s">
        <v>100</v>
      </c>
      <c r="L122">
        <v>77041</v>
      </c>
      <c r="M122" t="s">
        <v>101</v>
      </c>
      <c r="N122" t="s">
        <v>528</v>
      </c>
      <c r="O122" t="s">
        <v>28</v>
      </c>
      <c r="P122" t="s">
        <v>32</v>
      </c>
      <c r="Q122" t="s">
        <v>529</v>
      </c>
      <c r="R122">
        <v>600.55799999999999</v>
      </c>
      <c r="S122" t="str">
        <f>TEXT(sales_data[[#This Row],[Order Date]],"mm")</f>
        <v>12</v>
      </c>
      <c r="T122">
        <f>YEAR(sales_data[[#This Row],[Order Date]])</f>
        <v>2015</v>
      </c>
      <c r="U122" s="8" t="s">
        <v>1053</v>
      </c>
      <c r="V122" t="s">
        <v>528</v>
      </c>
    </row>
    <row r="123" spans="1:22" x14ac:dyDescent="0.35">
      <c r="A123">
        <v>126</v>
      </c>
      <c r="B123" t="s">
        <v>530</v>
      </c>
      <c r="C123" s="1">
        <v>42267</v>
      </c>
      <c r="D123" s="1">
        <v>42272</v>
      </c>
      <c r="E123" t="s">
        <v>46</v>
      </c>
      <c r="F123" t="s">
        <v>531</v>
      </c>
      <c r="G123" t="s">
        <v>532</v>
      </c>
      <c r="H123" t="s">
        <v>22</v>
      </c>
      <c r="I123" t="s">
        <v>23</v>
      </c>
      <c r="J123" t="s">
        <v>533</v>
      </c>
      <c r="K123" t="s">
        <v>206</v>
      </c>
      <c r="L123">
        <v>61701</v>
      </c>
      <c r="M123" t="s">
        <v>101</v>
      </c>
      <c r="N123" t="s">
        <v>534</v>
      </c>
      <c r="O123" t="s">
        <v>28</v>
      </c>
      <c r="P123" t="s">
        <v>52</v>
      </c>
      <c r="Q123" t="s">
        <v>535</v>
      </c>
      <c r="R123">
        <v>617.70000000000005</v>
      </c>
      <c r="S123" t="str">
        <f>TEXT(sales_data[[#This Row],[Order Date]],"mm")</f>
        <v>09</v>
      </c>
      <c r="T123">
        <f>YEAR(sales_data[[#This Row],[Order Date]])</f>
        <v>2015</v>
      </c>
      <c r="U123" s="7" t="s">
        <v>1061</v>
      </c>
      <c r="V123" t="s">
        <v>534</v>
      </c>
    </row>
    <row r="124" spans="1:22" x14ac:dyDescent="0.35">
      <c r="A124">
        <v>127</v>
      </c>
      <c r="B124" t="s">
        <v>536</v>
      </c>
      <c r="C124" s="1">
        <v>43409</v>
      </c>
      <c r="D124" s="1">
        <v>43416</v>
      </c>
      <c r="E124" t="s">
        <v>46</v>
      </c>
      <c r="F124" t="s">
        <v>537</v>
      </c>
      <c r="G124" t="s">
        <v>538</v>
      </c>
      <c r="H124" t="s">
        <v>22</v>
      </c>
      <c r="I124" t="s">
        <v>23</v>
      </c>
      <c r="J124" t="s">
        <v>539</v>
      </c>
      <c r="K124" t="s">
        <v>305</v>
      </c>
      <c r="L124">
        <v>85023</v>
      </c>
      <c r="M124" t="s">
        <v>40</v>
      </c>
      <c r="N124" t="s">
        <v>540</v>
      </c>
      <c r="O124" t="s">
        <v>42</v>
      </c>
      <c r="P124" t="s">
        <v>71</v>
      </c>
      <c r="Q124" t="s">
        <v>541</v>
      </c>
      <c r="R124">
        <v>2.3879999999999999</v>
      </c>
      <c r="S124" t="str">
        <f>TEXT(sales_data[[#This Row],[Order Date]],"mm")</f>
        <v>11</v>
      </c>
      <c r="T124">
        <f>YEAR(sales_data[[#This Row],[Order Date]])</f>
        <v>2018</v>
      </c>
      <c r="U124" s="8" t="s">
        <v>1072</v>
      </c>
      <c r="V124" t="s">
        <v>540</v>
      </c>
    </row>
    <row r="125" spans="1:22" x14ac:dyDescent="0.35">
      <c r="A125">
        <v>128</v>
      </c>
      <c r="B125" t="s">
        <v>536</v>
      </c>
      <c r="C125" s="1">
        <v>43409</v>
      </c>
      <c r="D125" s="1">
        <v>43416</v>
      </c>
      <c r="E125" t="s">
        <v>46</v>
      </c>
      <c r="F125" t="s">
        <v>537</v>
      </c>
      <c r="G125" t="s">
        <v>538</v>
      </c>
      <c r="H125" t="s">
        <v>22</v>
      </c>
      <c r="I125" t="s">
        <v>23</v>
      </c>
      <c r="J125" t="s">
        <v>539</v>
      </c>
      <c r="K125" t="s">
        <v>305</v>
      </c>
      <c r="L125">
        <v>85023</v>
      </c>
      <c r="M125" t="s">
        <v>40</v>
      </c>
      <c r="N125" t="s">
        <v>542</v>
      </c>
      <c r="O125" t="s">
        <v>42</v>
      </c>
      <c r="P125" t="s">
        <v>55</v>
      </c>
      <c r="Q125" t="s">
        <v>543</v>
      </c>
      <c r="R125">
        <v>243.99199999999999</v>
      </c>
      <c r="S125" t="str">
        <f>TEXT(sales_data[[#This Row],[Order Date]],"mm")</f>
        <v>11</v>
      </c>
      <c r="T125">
        <f>YEAR(sales_data[[#This Row],[Order Date]])</f>
        <v>2018</v>
      </c>
      <c r="U125" s="8" t="s">
        <v>1101</v>
      </c>
      <c r="V125" t="s">
        <v>542</v>
      </c>
    </row>
    <row r="126" spans="1:22" x14ac:dyDescent="0.35">
      <c r="A126">
        <v>130</v>
      </c>
      <c r="B126" t="s">
        <v>544</v>
      </c>
      <c r="C126" s="1">
        <v>43045</v>
      </c>
      <c r="D126" s="1">
        <v>43049</v>
      </c>
      <c r="E126" t="s">
        <v>19</v>
      </c>
      <c r="F126" t="s">
        <v>545</v>
      </c>
      <c r="G126" t="s">
        <v>546</v>
      </c>
      <c r="H126" t="s">
        <v>98</v>
      </c>
      <c r="I126" t="s">
        <v>23</v>
      </c>
      <c r="J126" t="s">
        <v>38</v>
      </c>
      <c r="K126" t="s">
        <v>39</v>
      </c>
      <c r="L126">
        <v>90004</v>
      </c>
      <c r="M126" t="s">
        <v>40</v>
      </c>
      <c r="N126" t="s">
        <v>547</v>
      </c>
      <c r="O126" t="s">
        <v>28</v>
      </c>
      <c r="P126" t="s">
        <v>61</v>
      </c>
      <c r="Q126" t="s">
        <v>548</v>
      </c>
      <c r="R126">
        <v>238.56</v>
      </c>
      <c r="S126" t="str">
        <f>TEXT(sales_data[[#This Row],[Order Date]],"mm")</f>
        <v>11</v>
      </c>
      <c r="T126">
        <f>YEAR(sales_data[[#This Row],[Order Date]])</f>
        <v>2017</v>
      </c>
      <c r="U126" s="8" t="s">
        <v>1118</v>
      </c>
      <c r="V126" t="s">
        <v>547</v>
      </c>
    </row>
    <row r="127" spans="1:22" x14ac:dyDescent="0.35">
      <c r="A127">
        <v>131</v>
      </c>
      <c r="B127" t="s">
        <v>549</v>
      </c>
      <c r="C127" s="1">
        <v>43133</v>
      </c>
      <c r="D127" s="1">
        <v>43136</v>
      </c>
      <c r="E127" t="s">
        <v>183</v>
      </c>
      <c r="F127" t="s">
        <v>550</v>
      </c>
      <c r="G127" t="s">
        <v>551</v>
      </c>
      <c r="H127" t="s">
        <v>37</v>
      </c>
      <c r="I127" t="s">
        <v>23</v>
      </c>
      <c r="J127" t="s">
        <v>492</v>
      </c>
      <c r="K127" t="s">
        <v>493</v>
      </c>
      <c r="L127">
        <v>43229</v>
      </c>
      <c r="M127" t="s">
        <v>144</v>
      </c>
      <c r="N127" t="s">
        <v>552</v>
      </c>
      <c r="O127" t="s">
        <v>67</v>
      </c>
      <c r="P127" t="s">
        <v>68</v>
      </c>
      <c r="Q127" t="s">
        <v>553</v>
      </c>
      <c r="R127">
        <v>59.97</v>
      </c>
      <c r="S127" t="str">
        <f>TEXT(sales_data[[#This Row],[Order Date]],"mm")</f>
        <v>02</v>
      </c>
      <c r="T127">
        <f>YEAR(sales_data[[#This Row],[Order Date]])</f>
        <v>2018</v>
      </c>
      <c r="U127" s="8" t="s">
        <v>1124</v>
      </c>
      <c r="V127" t="s">
        <v>552</v>
      </c>
    </row>
    <row r="128" spans="1:22" x14ac:dyDescent="0.35">
      <c r="A128">
        <v>132</v>
      </c>
      <c r="B128" t="s">
        <v>549</v>
      </c>
      <c r="C128" s="1">
        <v>43133</v>
      </c>
      <c r="D128" s="1">
        <v>43136</v>
      </c>
      <c r="E128" t="s">
        <v>183</v>
      </c>
      <c r="F128" t="s">
        <v>550</v>
      </c>
      <c r="G128" t="s">
        <v>551</v>
      </c>
      <c r="H128" t="s">
        <v>37</v>
      </c>
      <c r="I128" t="s">
        <v>23</v>
      </c>
      <c r="J128" t="s">
        <v>492</v>
      </c>
      <c r="K128" t="s">
        <v>493</v>
      </c>
      <c r="L128">
        <v>43229</v>
      </c>
      <c r="M128" t="s">
        <v>144</v>
      </c>
      <c r="N128" t="s">
        <v>554</v>
      </c>
      <c r="O128" t="s">
        <v>42</v>
      </c>
      <c r="P128" t="s">
        <v>86</v>
      </c>
      <c r="Q128" t="s">
        <v>555</v>
      </c>
      <c r="R128">
        <v>78.304000000000002</v>
      </c>
      <c r="S128" t="str">
        <f>TEXT(sales_data[[#This Row],[Order Date]],"mm")</f>
        <v>02</v>
      </c>
      <c r="T128">
        <f>YEAR(sales_data[[#This Row],[Order Date]])</f>
        <v>2018</v>
      </c>
      <c r="U128" s="7" t="s">
        <v>1136</v>
      </c>
      <c r="V128" t="s">
        <v>554</v>
      </c>
    </row>
    <row r="129" spans="1:22" x14ac:dyDescent="0.35">
      <c r="A129">
        <v>133</v>
      </c>
      <c r="B129" t="s">
        <v>549</v>
      </c>
      <c r="C129" s="1">
        <v>43133</v>
      </c>
      <c r="D129" s="1">
        <v>43136</v>
      </c>
      <c r="E129" t="s">
        <v>183</v>
      </c>
      <c r="F129" t="s">
        <v>550</v>
      </c>
      <c r="G129" t="s">
        <v>551</v>
      </c>
      <c r="H129" t="s">
        <v>37</v>
      </c>
      <c r="I129" t="s">
        <v>23</v>
      </c>
      <c r="J129" t="s">
        <v>492</v>
      </c>
      <c r="K129" t="s">
        <v>493</v>
      </c>
      <c r="L129">
        <v>43229</v>
      </c>
      <c r="M129" t="s">
        <v>144</v>
      </c>
      <c r="N129" t="s">
        <v>556</v>
      </c>
      <c r="O129" t="s">
        <v>42</v>
      </c>
      <c r="P129" t="s">
        <v>264</v>
      </c>
      <c r="Q129" t="s">
        <v>557</v>
      </c>
      <c r="R129">
        <v>21.456</v>
      </c>
      <c r="S129" t="str">
        <f>TEXT(sales_data[[#This Row],[Order Date]],"mm")</f>
        <v>02</v>
      </c>
      <c r="T129">
        <f>YEAR(sales_data[[#This Row],[Order Date]])</f>
        <v>2018</v>
      </c>
      <c r="U129" s="8" t="s">
        <v>1142</v>
      </c>
      <c r="V129" t="s">
        <v>556</v>
      </c>
    </row>
    <row r="130" spans="1:22" x14ac:dyDescent="0.35">
      <c r="A130">
        <v>134</v>
      </c>
      <c r="B130" t="s">
        <v>558</v>
      </c>
      <c r="C130" s="1">
        <v>43021</v>
      </c>
      <c r="D130" s="1">
        <v>43027</v>
      </c>
      <c r="E130" t="s">
        <v>46</v>
      </c>
      <c r="F130" t="s">
        <v>559</v>
      </c>
      <c r="G130" t="s">
        <v>560</v>
      </c>
      <c r="H130" t="s">
        <v>22</v>
      </c>
      <c r="I130" t="s">
        <v>23</v>
      </c>
      <c r="J130" t="s">
        <v>561</v>
      </c>
      <c r="K130" t="s">
        <v>39</v>
      </c>
      <c r="L130">
        <v>95661</v>
      </c>
      <c r="M130" t="s">
        <v>40</v>
      </c>
      <c r="N130" t="s">
        <v>562</v>
      </c>
      <c r="O130" t="s">
        <v>42</v>
      </c>
      <c r="P130" t="s">
        <v>86</v>
      </c>
      <c r="Q130" t="s">
        <v>563</v>
      </c>
      <c r="R130">
        <v>20.04</v>
      </c>
      <c r="S130" t="str">
        <f>TEXT(sales_data[[#This Row],[Order Date]],"mm")</f>
        <v>10</v>
      </c>
      <c r="T130">
        <f>YEAR(sales_data[[#This Row],[Order Date]])</f>
        <v>2017</v>
      </c>
      <c r="U130" s="8" t="s">
        <v>1150</v>
      </c>
      <c r="V130" t="s">
        <v>562</v>
      </c>
    </row>
    <row r="131" spans="1:22" x14ac:dyDescent="0.35">
      <c r="A131">
        <v>135</v>
      </c>
      <c r="B131" t="s">
        <v>558</v>
      </c>
      <c r="C131" s="1">
        <v>43021</v>
      </c>
      <c r="D131" s="1">
        <v>43027</v>
      </c>
      <c r="E131" t="s">
        <v>46</v>
      </c>
      <c r="F131" t="s">
        <v>559</v>
      </c>
      <c r="G131" t="s">
        <v>560</v>
      </c>
      <c r="H131" t="s">
        <v>22</v>
      </c>
      <c r="I131" t="s">
        <v>23</v>
      </c>
      <c r="J131" t="s">
        <v>561</v>
      </c>
      <c r="K131" t="s">
        <v>39</v>
      </c>
      <c r="L131">
        <v>95661</v>
      </c>
      <c r="M131" t="s">
        <v>40</v>
      </c>
      <c r="N131" t="s">
        <v>564</v>
      </c>
      <c r="O131" t="s">
        <v>42</v>
      </c>
      <c r="P131" t="s">
        <v>86</v>
      </c>
      <c r="Q131" t="s">
        <v>565</v>
      </c>
      <c r="R131">
        <v>35.44</v>
      </c>
      <c r="S131" t="str">
        <f>TEXT(sales_data[[#This Row],[Order Date]],"mm")</f>
        <v>10</v>
      </c>
      <c r="T131">
        <f>YEAR(sales_data[[#This Row],[Order Date]])</f>
        <v>2017</v>
      </c>
      <c r="U131" s="8" t="s">
        <v>1155</v>
      </c>
      <c r="V131" t="s">
        <v>564</v>
      </c>
    </row>
    <row r="132" spans="1:22" x14ac:dyDescent="0.35">
      <c r="A132">
        <v>136</v>
      </c>
      <c r="B132" t="s">
        <v>558</v>
      </c>
      <c r="C132" s="1">
        <v>43021</v>
      </c>
      <c r="D132" s="1">
        <v>43027</v>
      </c>
      <c r="E132" t="s">
        <v>46</v>
      </c>
      <c r="F132" t="s">
        <v>559</v>
      </c>
      <c r="G132" t="s">
        <v>560</v>
      </c>
      <c r="H132" t="s">
        <v>22</v>
      </c>
      <c r="I132" t="s">
        <v>23</v>
      </c>
      <c r="J132" t="s">
        <v>561</v>
      </c>
      <c r="K132" t="s">
        <v>39</v>
      </c>
      <c r="L132">
        <v>95661</v>
      </c>
      <c r="M132" t="s">
        <v>40</v>
      </c>
      <c r="N132" t="s">
        <v>566</v>
      </c>
      <c r="O132" t="s">
        <v>42</v>
      </c>
      <c r="P132" t="s">
        <v>64</v>
      </c>
      <c r="Q132" t="s">
        <v>567</v>
      </c>
      <c r="R132">
        <v>11.52</v>
      </c>
      <c r="S132" t="str">
        <f>TEXT(sales_data[[#This Row],[Order Date]],"mm")</f>
        <v>10</v>
      </c>
      <c r="T132">
        <f>YEAR(sales_data[[#This Row],[Order Date]])</f>
        <v>2017</v>
      </c>
      <c r="U132" s="8" t="s">
        <v>1164</v>
      </c>
      <c r="V132" t="s">
        <v>566</v>
      </c>
    </row>
    <row r="133" spans="1:22" x14ac:dyDescent="0.35">
      <c r="A133">
        <v>137</v>
      </c>
      <c r="B133" t="s">
        <v>558</v>
      </c>
      <c r="C133" s="1">
        <v>43021</v>
      </c>
      <c r="D133" s="1">
        <v>43027</v>
      </c>
      <c r="E133" t="s">
        <v>46</v>
      </c>
      <c r="F133" t="s">
        <v>559</v>
      </c>
      <c r="G133" t="s">
        <v>560</v>
      </c>
      <c r="H133" t="s">
        <v>22</v>
      </c>
      <c r="I133" t="s">
        <v>23</v>
      </c>
      <c r="J133" t="s">
        <v>561</v>
      </c>
      <c r="K133" t="s">
        <v>39</v>
      </c>
      <c r="L133">
        <v>95661</v>
      </c>
      <c r="M133" t="s">
        <v>40</v>
      </c>
      <c r="N133" t="s">
        <v>568</v>
      </c>
      <c r="O133" t="s">
        <v>42</v>
      </c>
      <c r="P133" t="s">
        <v>264</v>
      </c>
      <c r="Q133" t="s">
        <v>569</v>
      </c>
      <c r="R133">
        <v>4.0199999999999996</v>
      </c>
      <c r="S133" t="str">
        <f>TEXT(sales_data[[#This Row],[Order Date]],"mm")</f>
        <v>10</v>
      </c>
      <c r="T133">
        <f>YEAR(sales_data[[#This Row],[Order Date]])</f>
        <v>2017</v>
      </c>
      <c r="U133" s="8" t="s">
        <v>1170</v>
      </c>
      <c r="V133" t="s">
        <v>568</v>
      </c>
    </row>
    <row r="134" spans="1:22" x14ac:dyDescent="0.35">
      <c r="A134">
        <v>138</v>
      </c>
      <c r="B134" t="s">
        <v>558</v>
      </c>
      <c r="C134" s="1">
        <v>43021</v>
      </c>
      <c r="D134" s="1">
        <v>43027</v>
      </c>
      <c r="E134" t="s">
        <v>46</v>
      </c>
      <c r="F134" t="s">
        <v>559</v>
      </c>
      <c r="G134" t="s">
        <v>560</v>
      </c>
      <c r="H134" t="s">
        <v>22</v>
      </c>
      <c r="I134" t="s">
        <v>23</v>
      </c>
      <c r="J134" t="s">
        <v>561</v>
      </c>
      <c r="K134" t="s">
        <v>39</v>
      </c>
      <c r="L134">
        <v>95661</v>
      </c>
      <c r="M134" t="s">
        <v>40</v>
      </c>
      <c r="N134" t="s">
        <v>570</v>
      </c>
      <c r="O134" t="s">
        <v>42</v>
      </c>
      <c r="P134" t="s">
        <v>71</v>
      </c>
      <c r="Q134" t="s">
        <v>571</v>
      </c>
      <c r="R134">
        <v>76.176000000000002</v>
      </c>
      <c r="S134" t="str">
        <f>TEXT(sales_data[[#This Row],[Order Date]],"mm")</f>
        <v>10</v>
      </c>
      <c r="T134">
        <f>YEAR(sales_data[[#This Row],[Order Date]])</f>
        <v>2017</v>
      </c>
      <c r="U134" s="7" t="s">
        <v>1176</v>
      </c>
      <c r="V134" t="s">
        <v>570</v>
      </c>
    </row>
    <row r="135" spans="1:22" x14ac:dyDescent="0.35">
      <c r="A135">
        <v>139</v>
      </c>
      <c r="B135" t="s">
        <v>558</v>
      </c>
      <c r="C135" s="1">
        <v>43021</v>
      </c>
      <c r="D135" s="1">
        <v>43027</v>
      </c>
      <c r="E135" t="s">
        <v>46</v>
      </c>
      <c r="F135" t="s">
        <v>559</v>
      </c>
      <c r="G135" t="s">
        <v>560</v>
      </c>
      <c r="H135" t="s">
        <v>22</v>
      </c>
      <c r="I135" t="s">
        <v>23</v>
      </c>
      <c r="J135" t="s">
        <v>561</v>
      </c>
      <c r="K135" t="s">
        <v>39</v>
      </c>
      <c r="L135">
        <v>95661</v>
      </c>
      <c r="M135" t="s">
        <v>40</v>
      </c>
      <c r="N135" t="s">
        <v>572</v>
      </c>
      <c r="O135" t="s">
        <v>42</v>
      </c>
      <c r="P135" t="s">
        <v>573</v>
      </c>
      <c r="Q135" t="s">
        <v>574</v>
      </c>
      <c r="R135">
        <v>65.88</v>
      </c>
      <c r="S135" t="str">
        <f>TEXT(sales_data[[#This Row],[Order Date]],"mm")</f>
        <v>10</v>
      </c>
      <c r="T135">
        <f>YEAR(sales_data[[#This Row],[Order Date]])</f>
        <v>2017</v>
      </c>
      <c r="U135" s="8" t="s">
        <v>1182</v>
      </c>
      <c r="V135" t="s">
        <v>572</v>
      </c>
    </row>
    <row r="136" spans="1:22" x14ac:dyDescent="0.35">
      <c r="A136">
        <v>142</v>
      </c>
      <c r="B136" t="s">
        <v>577</v>
      </c>
      <c r="C136" s="1">
        <v>43361</v>
      </c>
      <c r="D136" s="1">
        <v>43366</v>
      </c>
      <c r="E136" t="s">
        <v>46</v>
      </c>
      <c r="F136" t="s">
        <v>578</v>
      </c>
      <c r="G136" t="s">
        <v>579</v>
      </c>
      <c r="H136" t="s">
        <v>37</v>
      </c>
      <c r="I136" t="s">
        <v>23</v>
      </c>
      <c r="J136" t="s">
        <v>123</v>
      </c>
      <c r="K136" t="s">
        <v>39</v>
      </c>
      <c r="L136">
        <v>94122</v>
      </c>
      <c r="M136" t="s">
        <v>40</v>
      </c>
      <c r="N136" t="s">
        <v>580</v>
      </c>
      <c r="O136" t="s">
        <v>42</v>
      </c>
      <c r="P136" t="s">
        <v>64</v>
      </c>
      <c r="Q136" t="s">
        <v>581</v>
      </c>
      <c r="R136">
        <v>8.82</v>
      </c>
      <c r="S136" t="str">
        <f>TEXT(sales_data[[#This Row],[Order Date]],"mm")</f>
        <v>09</v>
      </c>
      <c r="T136">
        <f>YEAR(sales_data[[#This Row],[Order Date]])</f>
        <v>2018</v>
      </c>
      <c r="U136" s="7" t="s">
        <v>1214</v>
      </c>
      <c r="V136" t="s">
        <v>580</v>
      </c>
    </row>
    <row r="137" spans="1:22" x14ac:dyDescent="0.35">
      <c r="A137">
        <v>143</v>
      </c>
      <c r="B137" t="s">
        <v>577</v>
      </c>
      <c r="C137" s="1">
        <v>43361</v>
      </c>
      <c r="D137" s="1">
        <v>43366</v>
      </c>
      <c r="E137" t="s">
        <v>46</v>
      </c>
      <c r="F137" t="s">
        <v>578</v>
      </c>
      <c r="G137" t="s">
        <v>579</v>
      </c>
      <c r="H137" t="s">
        <v>37</v>
      </c>
      <c r="I137" t="s">
        <v>23</v>
      </c>
      <c r="J137" t="s">
        <v>123</v>
      </c>
      <c r="K137" t="s">
        <v>39</v>
      </c>
      <c r="L137">
        <v>94122</v>
      </c>
      <c r="M137" t="s">
        <v>40</v>
      </c>
      <c r="N137" t="s">
        <v>582</v>
      </c>
      <c r="O137" t="s">
        <v>42</v>
      </c>
      <c r="P137" t="s">
        <v>168</v>
      </c>
      <c r="Q137" t="s">
        <v>583</v>
      </c>
      <c r="R137">
        <v>10.86</v>
      </c>
      <c r="S137" t="str">
        <f>TEXT(sales_data[[#This Row],[Order Date]],"mm")</f>
        <v>09</v>
      </c>
      <c r="T137">
        <f>YEAR(sales_data[[#This Row],[Order Date]])</f>
        <v>2018</v>
      </c>
      <c r="U137" s="8" t="s">
        <v>1230</v>
      </c>
      <c r="V137" t="s">
        <v>582</v>
      </c>
    </row>
    <row r="138" spans="1:22" x14ac:dyDescent="0.35">
      <c r="A138">
        <v>144</v>
      </c>
      <c r="B138" t="s">
        <v>577</v>
      </c>
      <c r="C138" s="1">
        <v>43361</v>
      </c>
      <c r="D138" s="1">
        <v>43366</v>
      </c>
      <c r="E138" t="s">
        <v>46</v>
      </c>
      <c r="F138" t="s">
        <v>578</v>
      </c>
      <c r="G138" t="s">
        <v>579</v>
      </c>
      <c r="H138" t="s">
        <v>37</v>
      </c>
      <c r="I138" t="s">
        <v>23</v>
      </c>
      <c r="J138" t="s">
        <v>123</v>
      </c>
      <c r="K138" t="s">
        <v>39</v>
      </c>
      <c r="L138">
        <v>94122</v>
      </c>
      <c r="M138" t="s">
        <v>40</v>
      </c>
      <c r="N138" t="s">
        <v>584</v>
      </c>
      <c r="O138" t="s">
        <v>42</v>
      </c>
      <c r="P138" t="s">
        <v>86</v>
      </c>
      <c r="Q138" t="s">
        <v>585</v>
      </c>
      <c r="R138">
        <v>143.69999999999999</v>
      </c>
      <c r="S138" t="str">
        <f>TEXT(sales_data[[#This Row],[Order Date]],"mm")</f>
        <v>09</v>
      </c>
      <c r="T138">
        <f>YEAR(sales_data[[#This Row],[Order Date]])</f>
        <v>2018</v>
      </c>
      <c r="U138" s="8" t="s">
        <v>1232</v>
      </c>
      <c r="V138" t="s">
        <v>584</v>
      </c>
    </row>
    <row r="139" spans="1:22" x14ac:dyDescent="0.35">
      <c r="A139">
        <v>145</v>
      </c>
      <c r="B139" t="s">
        <v>586</v>
      </c>
      <c r="C139" s="1">
        <v>43456</v>
      </c>
      <c r="D139" s="1">
        <v>43461</v>
      </c>
      <c r="E139" t="s">
        <v>46</v>
      </c>
      <c r="F139" t="s">
        <v>587</v>
      </c>
      <c r="G139" t="s">
        <v>588</v>
      </c>
      <c r="H139" t="s">
        <v>22</v>
      </c>
      <c r="I139" t="s">
        <v>23</v>
      </c>
      <c r="J139" t="s">
        <v>589</v>
      </c>
      <c r="K139" t="s">
        <v>590</v>
      </c>
      <c r="L139">
        <v>64055</v>
      </c>
      <c r="M139" t="s">
        <v>101</v>
      </c>
      <c r="N139" t="s">
        <v>591</v>
      </c>
      <c r="O139" t="s">
        <v>42</v>
      </c>
      <c r="P139" t="s">
        <v>74</v>
      </c>
      <c r="Q139" t="s">
        <v>592</v>
      </c>
      <c r="R139">
        <v>839.43</v>
      </c>
      <c r="S139" t="str">
        <f>TEXT(sales_data[[#This Row],[Order Date]],"mm")</f>
        <v>12</v>
      </c>
      <c r="T139">
        <f>YEAR(sales_data[[#This Row],[Order Date]])</f>
        <v>2018</v>
      </c>
      <c r="U139" s="8" t="s">
        <v>1239</v>
      </c>
      <c r="V139" t="s">
        <v>591</v>
      </c>
    </row>
    <row r="140" spans="1:22" x14ac:dyDescent="0.35">
      <c r="A140">
        <v>147</v>
      </c>
      <c r="B140" t="s">
        <v>596</v>
      </c>
      <c r="C140" s="1">
        <v>42299</v>
      </c>
      <c r="D140" s="1">
        <v>42305</v>
      </c>
      <c r="E140" t="s">
        <v>46</v>
      </c>
      <c r="F140" t="s">
        <v>597</v>
      </c>
      <c r="G140" t="s">
        <v>598</v>
      </c>
      <c r="H140" t="s">
        <v>98</v>
      </c>
      <c r="I140" t="s">
        <v>23</v>
      </c>
      <c r="J140" t="s">
        <v>599</v>
      </c>
      <c r="K140" t="s">
        <v>493</v>
      </c>
      <c r="L140">
        <v>43055</v>
      </c>
      <c r="M140" t="s">
        <v>144</v>
      </c>
      <c r="N140" t="s">
        <v>600</v>
      </c>
      <c r="O140" t="s">
        <v>28</v>
      </c>
      <c r="P140" t="s">
        <v>61</v>
      </c>
      <c r="Q140" t="s">
        <v>601</v>
      </c>
      <c r="R140">
        <v>93.888000000000005</v>
      </c>
      <c r="S140" t="str">
        <f>TEXT(sales_data[[#This Row],[Order Date]],"mm")</f>
        <v>10</v>
      </c>
      <c r="T140">
        <f>YEAR(sales_data[[#This Row],[Order Date]])</f>
        <v>2015</v>
      </c>
      <c r="U140" s="8" t="s">
        <v>1259</v>
      </c>
      <c r="V140" t="s">
        <v>600</v>
      </c>
    </row>
    <row r="141" spans="1:22" x14ac:dyDescent="0.35">
      <c r="A141">
        <v>148</v>
      </c>
      <c r="B141" t="s">
        <v>602</v>
      </c>
      <c r="C141" s="1">
        <v>43074</v>
      </c>
      <c r="D141" s="1">
        <v>43078</v>
      </c>
      <c r="E141" t="s">
        <v>46</v>
      </c>
      <c r="F141" t="s">
        <v>603</v>
      </c>
      <c r="G141" t="s">
        <v>604</v>
      </c>
      <c r="H141" t="s">
        <v>37</v>
      </c>
      <c r="I141" t="s">
        <v>23</v>
      </c>
      <c r="J141" t="s">
        <v>605</v>
      </c>
      <c r="K141" t="s">
        <v>110</v>
      </c>
      <c r="L141">
        <v>53132</v>
      </c>
      <c r="M141" t="s">
        <v>101</v>
      </c>
      <c r="N141" t="s">
        <v>606</v>
      </c>
      <c r="O141" t="s">
        <v>67</v>
      </c>
      <c r="P141" t="s">
        <v>68</v>
      </c>
      <c r="Q141" t="s">
        <v>607</v>
      </c>
      <c r="R141">
        <v>384.45</v>
      </c>
      <c r="S141" t="str">
        <f>TEXT(sales_data[[#This Row],[Order Date]],"mm")</f>
        <v>12</v>
      </c>
      <c r="T141">
        <f>YEAR(sales_data[[#This Row],[Order Date]])</f>
        <v>2017</v>
      </c>
      <c r="U141" s="7" t="s">
        <v>1267</v>
      </c>
      <c r="V141" t="s">
        <v>606</v>
      </c>
    </row>
    <row r="142" spans="1:22" x14ac:dyDescent="0.35">
      <c r="A142">
        <v>149</v>
      </c>
      <c r="B142" t="s">
        <v>602</v>
      </c>
      <c r="C142" s="1">
        <v>43074</v>
      </c>
      <c r="D142" s="1">
        <v>43078</v>
      </c>
      <c r="E142" t="s">
        <v>46</v>
      </c>
      <c r="F142" t="s">
        <v>603</v>
      </c>
      <c r="G142" t="s">
        <v>604</v>
      </c>
      <c r="H142" t="s">
        <v>37</v>
      </c>
      <c r="I142" t="s">
        <v>23</v>
      </c>
      <c r="J142" t="s">
        <v>605</v>
      </c>
      <c r="K142" t="s">
        <v>110</v>
      </c>
      <c r="L142">
        <v>53132</v>
      </c>
      <c r="M142" t="s">
        <v>101</v>
      </c>
      <c r="N142" t="s">
        <v>608</v>
      </c>
      <c r="O142" t="s">
        <v>67</v>
      </c>
      <c r="P142" t="s">
        <v>68</v>
      </c>
      <c r="Q142" t="s">
        <v>609</v>
      </c>
      <c r="R142">
        <v>149.97</v>
      </c>
      <c r="S142" t="str">
        <f>TEXT(sales_data[[#This Row],[Order Date]],"mm")</f>
        <v>12</v>
      </c>
      <c r="T142">
        <f>YEAR(sales_data[[#This Row],[Order Date]])</f>
        <v>2017</v>
      </c>
      <c r="U142" s="8" t="s">
        <v>1275</v>
      </c>
      <c r="V142" t="s">
        <v>608</v>
      </c>
    </row>
    <row r="143" spans="1:22" x14ac:dyDescent="0.35">
      <c r="A143">
        <v>151</v>
      </c>
      <c r="B143" t="s">
        <v>602</v>
      </c>
      <c r="C143" s="1">
        <v>43074</v>
      </c>
      <c r="D143" s="1">
        <v>43078</v>
      </c>
      <c r="E143" t="s">
        <v>46</v>
      </c>
      <c r="F143" t="s">
        <v>603</v>
      </c>
      <c r="G143" t="s">
        <v>604</v>
      </c>
      <c r="H143" t="s">
        <v>37</v>
      </c>
      <c r="I143" t="s">
        <v>23</v>
      </c>
      <c r="J143" t="s">
        <v>605</v>
      </c>
      <c r="K143" t="s">
        <v>110</v>
      </c>
      <c r="L143">
        <v>53132</v>
      </c>
      <c r="M143" t="s">
        <v>101</v>
      </c>
      <c r="N143" t="s">
        <v>610</v>
      </c>
      <c r="O143" t="s">
        <v>42</v>
      </c>
      <c r="P143" t="s">
        <v>71</v>
      </c>
      <c r="Q143" t="s">
        <v>611</v>
      </c>
      <c r="R143">
        <v>171.55</v>
      </c>
      <c r="S143" t="str">
        <f>TEXT(sales_data[[#This Row],[Order Date]],"mm")</f>
        <v>12</v>
      </c>
      <c r="T143">
        <f>YEAR(sales_data[[#This Row],[Order Date]])</f>
        <v>2017</v>
      </c>
      <c r="U143" s="8" t="s">
        <v>1288</v>
      </c>
      <c r="V143" t="s">
        <v>610</v>
      </c>
    </row>
    <row r="144" spans="1:22" x14ac:dyDescent="0.35">
      <c r="A144">
        <v>152</v>
      </c>
      <c r="B144" t="s">
        <v>612</v>
      </c>
      <c r="C144" s="1">
        <v>42807</v>
      </c>
      <c r="D144" s="1">
        <v>42810</v>
      </c>
      <c r="E144" t="s">
        <v>183</v>
      </c>
      <c r="F144" t="s">
        <v>613</v>
      </c>
      <c r="G144" t="s">
        <v>614</v>
      </c>
      <c r="H144" t="s">
        <v>98</v>
      </c>
      <c r="I144" t="s">
        <v>23</v>
      </c>
      <c r="J144" t="s">
        <v>615</v>
      </c>
      <c r="K144" t="s">
        <v>305</v>
      </c>
      <c r="L144">
        <v>85254</v>
      </c>
      <c r="M144" t="s">
        <v>40</v>
      </c>
      <c r="N144" t="s">
        <v>616</v>
      </c>
      <c r="O144" t="s">
        <v>42</v>
      </c>
      <c r="P144" t="s">
        <v>74</v>
      </c>
      <c r="Q144" t="s">
        <v>617</v>
      </c>
      <c r="R144">
        <v>157.91999999999999</v>
      </c>
      <c r="S144" t="str">
        <f>TEXT(sales_data[[#This Row],[Order Date]],"mm")</f>
        <v>03</v>
      </c>
      <c r="T144">
        <f>YEAR(sales_data[[#This Row],[Order Date]])</f>
        <v>2017</v>
      </c>
      <c r="U144" s="8" t="s">
        <v>1296</v>
      </c>
      <c r="V144" t="s">
        <v>616</v>
      </c>
    </row>
    <row r="145" spans="1:22" x14ac:dyDescent="0.35">
      <c r="A145">
        <v>153</v>
      </c>
      <c r="B145" t="s">
        <v>612</v>
      </c>
      <c r="C145" s="1">
        <v>42807</v>
      </c>
      <c r="D145" s="1">
        <v>42810</v>
      </c>
      <c r="E145" t="s">
        <v>183</v>
      </c>
      <c r="F145" t="s">
        <v>613</v>
      </c>
      <c r="G145" t="s">
        <v>614</v>
      </c>
      <c r="H145" t="s">
        <v>98</v>
      </c>
      <c r="I145" t="s">
        <v>23</v>
      </c>
      <c r="J145" t="s">
        <v>615</v>
      </c>
      <c r="K145" t="s">
        <v>305</v>
      </c>
      <c r="L145">
        <v>85254</v>
      </c>
      <c r="M145" t="s">
        <v>40</v>
      </c>
      <c r="N145" t="s">
        <v>618</v>
      </c>
      <c r="O145" t="s">
        <v>67</v>
      </c>
      <c r="P145" t="s">
        <v>68</v>
      </c>
      <c r="Q145" t="s">
        <v>619</v>
      </c>
      <c r="R145">
        <v>203.184</v>
      </c>
      <c r="S145" t="str">
        <f>TEXT(sales_data[[#This Row],[Order Date]],"mm")</f>
        <v>03</v>
      </c>
      <c r="T145">
        <f>YEAR(sales_data[[#This Row],[Order Date]])</f>
        <v>2017</v>
      </c>
      <c r="U145" s="8" t="s">
        <v>1306</v>
      </c>
      <c r="V145" t="s">
        <v>618</v>
      </c>
    </row>
    <row r="146" spans="1:22" x14ac:dyDescent="0.35">
      <c r="A146">
        <v>154</v>
      </c>
      <c r="B146" t="s">
        <v>620</v>
      </c>
      <c r="C146" s="1">
        <v>42521</v>
      </c>
      <c r="D146" s="1">
        <v>42523</v>
      </c>
      <c r="E146" t="s">
        <v>183</v>
      </c>
      <c r="F146" t="s">
        <v>621</v>
      </c>
      <c r="G146" t="s">
        <v>622</v>
      </c>
      <c r="H146" t="s">
        <v>37</v>
      </c>
      <c r="I146" t="s">
        <v>23</v>
      </c>
      <c r="J146" t="s">
        <v>623</v>
      </c>
      <c r="K146" t="s">
        <v>39</v>
      </c>
      <c r="L146">
        <v>95123</v>
      </c>
      <c r="M146" t="s">
        <v>40</v>
      </c>
      <c r="N146" t="s">
        <v>624</v>
      </c>
      <c r="O146" t="s">
        <v>42</v>
      </c>
      <c r="P146" t="s">
        <v>86</v>
      </c>
      <c r="Q146" t="s">
        <v>625</v>
      </c>
      <c r="R146">
        <v>58.38</v>
      </c>
      <c r="S146" t="str">
        <f>TEXT(sales_data[[#This Row],[Order Date]],"mm")</f>
        <v>05</v>
      </c>
      <c r="T146">
        <f>YEAR(sales_data[[#This Row],[Order Date]])</f>
        <v>2016</v>
      </c>
      <c r="U146" s="7" t="s">
        <v>1312</v>
      </c>
      <c r="V146" t="s">
        <v>624</v>
      </c>
    </row>
    <row r="147" spans="1:22" x14ac:dyDescent="0.35">
      <c r="A147">
        <v>155</v>
      </c>
      <c r="B147" t="s">
        <v>620</v>
      </c>
      <c r="C147" s="1">
        <v>42521</v>
      </c>
      <c r="D147" s="1">
        <v>42523</v>
      </c>
      <c r="E147" t="s">
        <v>183</v>
      </c>
      <c r="F147" t="s">
        <v>621</v>
      </c>
      <c r="G147" t="s">
        <v>622</v>
      </c>
      <c r="H147" t="s">
        <v>37</v>
      </c>
      <c r="I147" t="s">
        <v>23</v>
      </c>
      <c r="J147" t="s">
        <v>623</v>
      </c>
      <c r="K147" t="s">
        <v>39</v>
      </c>
      <c r="L147">
        <v>95123</v>
      </c>
      <c r="M147" t="s">
        <v>40</v>
      </c>
      <c r="N147" t="s">
        <v>626</v>
      </c>
      <c r="O147" t="s">
        <v>42</v>
      </c>
      <c r="P147" t="s">
        <v>86</v>
      </c>
      <c r="Q147" t="s">
        <v>627</v>
      </c>
      <c r="R147">
        <v>105.52</v>
      </c>
      <c r="S147" t="str">
        <f>TEXT(sales_data[[#This Row],[Order Date]],"mm")</f>
        <v>05</v>
      </c>
      <c r="T147">
        <f>YEAR(sales_data[[#This Row],[Order Date]])</f>
        <v>2016</v>
      </c>
      <c r="U147" s="8" t="s">
        <v>1317</v>
      </c>
      <c r="V147" t="s">
        <v>626</v>
      </c>
    </row>
    <row r="148" spans="1:22" x14ac:dyDescent="0.35">
      <c r="A148">
        <v>156</v>
      </c>
      <c r="B148" t="s">
        <v>620</v>
      </c>
      <c r="C148" s="1">
        <v>42521</v>
      </c>
      <c r="D148" s="1">
        <v>42523</v>
      </c>
      <c r="E148" t="s">
        <v>183</v>
      </c>
      <c r="F148" t="s">
        <v>621</v>
      </c>
      <c r="G148" t="s">
        <v>622</v>
      </c>
      <c r="H148" t="s">
        <v>37</v>
      </c>
      <c r="I148" t="s">
        <v>23</v>
      </c>
      <c r="J148" t="s">
        <v>623</v>
      </c>
      <c r="K148" t="s">
        <v>39</v>
      </c>
      <c r="L148">
        <v>95123</v>
      </c>
      <c r="M148" t="s">
        <v>40</v>
      </c>
      <c r="N148" t="s">
        <v>628</v>
      </c>
      <c r="O148" t="s">
        <v>42</v>
      </c>
      <c r="P148" t="s">
        <v>55</v>
      </c>
      <c r="Q148" t="s">
        <v>629</v>
      </c>
      <c r="R148">
        <v>80.88</v>
      </c>
      <c r="S148" t="str">
        <f>TEXT(sales_data[[#This Row],[Order Date]],"mm")</f>
        <v>05</v>
      </c>
      <c r="T148">
        <f>YEAR(sales_data[[#This Row],[Order Date]])</f>
        <v>2016</v>
      </c>
      <c r="U148" s="7" t="s">
        <v>1326</v>
      </c>
      <c r="V148" t="s">
        <v>628</v>
      </c>
    </row>
    <row r="149" spans="1:22" x14ac:dyDescent="0.35">
      <c r="A149">
        <v>157</v>
      </c>
      <c r="B149" t="s">
        <v>630</v>
      </c>
      <c r="C149" s="1">
        <v>42518</v>
      </c>
      <c r="D149" s="1">
        <v>42524</v>
      </c>
      <c r="E149" t="s">
        <v>46</v>
      </c>
      <c r="F149" t="s">
        <v>631</v>
      </c>
      <c r="G149" t="s">
        <v>632</v>
      </c>
      <c r="H149" t="s">
        <v>98</v>
      </c>
      <c r="I149" t="s">
        <v>23</v>
      </c>
      <c r="J149" t="s">
        <v>91</v>
      </c>
      <c r="K149" t="s">
        <v>92</v>
      </c>
      <c r="L149">
        <v>98105</v>
      </c>
      <c r="M149" t="s">
        <v>40</v>
      </c>
      <c r="N149" t="s">
        <v>633</v>
      </c>
      <c r="O149" t="s">
        <v>42</v>
      </c>
      <c r="P149" t="s">
        <v>64</v>
      </c>
      <c r="Q149" t="s">
        <v>634</v>
      </c>
      <c r="R149">
        <v>6.63</v>
      </c>
      <c r="S149" t="str">
        <f>TEXT(sales_data[[#This Row],[Order Date]],"mm")</f>
        <v>05</v>
      </c>
      <c r="T149">
        <f>YEAR(sales_data[[#This Row],[Order Date]])</f>
        <v>2016</v>
      </c>
      <c r="U149" s="8" t="s">
        <v>1333</v>
      </c>
      <c r="V149" t="s">
        <v>633</v>
      </c>
    </row>
    <row r="150" spans="1:22" x14ac:dyDescent="0.35">
      <c r="A150">
        <v>159</v>
      </c>
      <c r="B150" t="s">
        <v>637</v>
      </c>
      <c r="C150" s="1">
        <v>43059</v>
      </c>
      <c r="D150" s="1">
        <v>43063</v>
      </c>
      <c r="E150" t="s">
        <v>46</v>
      </c>
      <c r="F150" t="s">
        <v>638</v>
      </c>
      <c r="G150" t="s">
        <v>639</v>
      </c>
      <c r="H150" t="s">
        <v>22</v>
      </c>
      <c r="I150" t="s">
        <v>23</v>
      </c>
      <c r="J150" t="s">
        <v>640</v>
      </c>
      <c r="K150" t="s">
        <v>641</v>
      </c>
      <c r="L150">
        <v>73034</v>
      </c>
      <c r="M150" t="s">
        <v>101</v>
      </c>
      <c r="N150" t="s">
        <v>642</v>
      </c>
      <c r="O150" t="s">
        <v>42</v>
      </c>
      <c r="P150" t="s">
        <v>43</v>
      </c>
      <c r="Q150" t="s">
        <v>643</v>
      </c>
      <c r="R150">
        <v>14.62</v>
      </c>
      <c r="S150" t="str">
        <f>TEXT(sales_data[[#This Row],[Order Date]],"mm")</f>
        <v>11</v>
      </c>
      <c r="T150">
        <f>YEAR(sales_data[[#This Row],[Order Date]])</f>
        <v>2017</v>
      </c>
      <c r="U150" s="8" t="s">
        <v>1346</v>
      </c>
      <c r="V150" t="s">
        <v>642</v>
      </c>
    </row>
    <row r="151" spans="1:22" x14ac:dyDescent="0.35">
      <c r="A151">
        <v>160</v>
      </c>
      <c r="B151" t="s">
        <v>637</v>
      </c>
      <c r="C151" s="1">
        <v>43059</v>
      </c>
      <c r="D151" s="1">
        <v>43063</v>
      </c>
      <c r="E151" t="s">
        <v>46</v>
      </c>
      <c r="F151" t="s">
        <v>638</v>
      </c>
      <c r="G151" t="s">
        <v>639</v>
      </c>
      <c r="H151" t="s">
        <v>22</v>
      </c>
      <c r="I151" t="s">
        <v>23</v>
      </c>
      <c r="J151" t="s">
        <v>640</v>
      </c>
      <c r="K151" t="s">
        <v>641</v>
      </c>
      <c r="L151">
        <v>73034</v>
      </c>
      <c r="M151" t="s">
        <v>101</v>
      </c>
      <c r="N151" t="s">
        <v>644</v>
      </c>
      <c r="O151" t="s">
        <v>67</v>
      </c>
      <c r="P151" t="s">
        <v>68</v>
      </c>
      <c r="Q151" t="s">
        <v>645</v>
      </c>
      <c r="R151">
        <v>944.93</v>
      </c>
      <c r="S151" t="str">
        <f>TEXT(sales_data[[#This Row],[Order Date]],"mm")</f>
        <v>11</v>
      </c>
      <c r="T151">
        <f>YEAR(sales_data[[#This Row],[Order Date]])</f>
        <v>2017</v>
      </c>
      <c r="U151" s="8" t="s">
        <v>1353</v>
      </c>
      <c r="V151" t="s">
        <v>644</v>
      </c>
    </row>
    <row r="152" spans="1:22" x14ac:dyDescent="0.35">
      <c r="A152">
        <v>161</v>
      </c>
      <c r="B152" t="s">
        <v>646</v>
      </c>
      <c r="C152" s="1">
        <v>42866</v>
      </c>
      <c r="D152" s="1">
        <v>42867</v>
      </c>
      <c r="E152" t="s">
        <v>183</v>
      </c>
      <c r="F152" t="s">
        <v>647</v>
      </c>
      <c r="G152" t="s">
        <v>648</v>
      </c>
      <c r="H152" t="s">
        <v>22</v>
      </c>
      <c r="I152" t="s">
        <v>23</v>
      </c>
      <c r="J152" t="s">
        <v>38</v>
      </c>
      <c r="K152" t="s">
        <v>39</v>
      </c>
      <c r="L152">
        <v>90045</v>
      </c>
      <c r="M152" t="s">
        <v>40</v>
      </c>
      <c r="N152" t="s">
        <v>649</v>
      </c>
      <c r="O152" t="s">
        <v>42</v>
      </c>
      <c r="P152" t="s">
        <v>86</v>
      </c>
      <c r="Q152" t="s">
        <v>650</v>
      </c>
      <c r="R152">
        <v>5.98</v>
      </c>
      <c r="S152" t="str">
        <f>TEXT(sales_data[[#This Row],[Order Date]],"mm")</f>
        <v>05</v>
      </c>
      <c r="T152">
        <f>YEAR(sales_data[[#This Row],[Order Date]])</f>
        <v>2017</v>
      </c>
      <c r="U152" s="8" t="s">
        <v>1358</v>
      </c>
      <c r="V152" t="s">
        <v>649</v>
      </c>
    </row>
    <row r="153" spans="1:22" x14ac:dyDescent="0.35">
      <c r="A153">
        <v>162</v>
      </c>
      <c r="B153" t="s">
        <v>651</v>
      </c>
      <c r="C153" s="1">
        <v>42732</v>
      </c>
      <c r="D153" s="1">
        <v>42735</v>
      </c>
      <c r="E153" t="s">
        <v>19</v>
      </c>
      <c r="F153" t="s">
        <v>652</v>
      </c>
      <c r="G153" t="s">
        <v>653</v>
      </c>
      <c r="H153" t="s">
        <v>22</v>
      </c>
      <c r="I153" t="s">
        <v>23</v>
      </c>
      <c r="J153" t="s">
        <v>142</v>
      </c>
      <c r="K153" t="s">
        <v>143</v>
      </c>
      <c r="L153">
        <v>19134</v>
      </c>
      <c r="M153" t="s">
        <v>144</v>
      </c>
      <c r="N153" t="s">
        <v>654</v>
      </c>
      <c r="O153" t="s">
        <v>67</v>
      </c>
      <c r="P153" t="s">
        <v>156</v>
      </c>
      <c r="Q153" t="s">
        <v>655</v>
      </c>
      <c r="R153">
        <v>54.384</v>
      </c>
      <c r="S153" t="str">
        <f>TEXT(sales_data[[#This Row],[Order Date]],"mm")</f>
        <v>12</v>
      </c>
      <c r="T153">
        <f>YEAR(sales_data[[#This Row],[Order Date]])</f>
        <v>2016</v>
      </c>
      <c r="U153" s="7" t="s">
        <v>1363</v>
      </c>
      <c r="V153" t="s">
        <v>654</v>
      </c>
    </row>
    <row r="154" spans="1:22" x14ac:dyDescent="0.35">
      <c r="A154">
        <v>163</v>
      </c>
      <c r="B154" t="s">
        <v>656</v>
      </c>
      <c r="C154" s="1">
        <v>43055</v>
      </c>
      <c r="D154" s="1">
        <v>43059</v>
      </c>
      <c r="E154" t="s">
        <v>46</v>
      </c>
      <c r="F154" t="s">
        <v>657</v>
      </c>
      <c r="G154" t="s">
        <v>658</v>
      </c>
      <c r="H154" t="s">
        <v>22</v>
      </c>
      <c r="I154" t="s">
        <v>23</v>
      </c>
      <c r="J154" t="s">
        <v>659</v>
      </c>
      <c r="K154" t="s">
        <v>660</v>
      </c>
      <c r="L154">
        <v>88220</v>
      </c>
      <c r="M154" t="s">
        <v>40</v>
      </c>
      <c r="N154" t="s">
        <v>661</v>
      </c>
      <c r="O154" t="s">
        <v>42</v>
      </c>
      <c r="P154" t="s">
        <v>168</v>
      </c>
      <c r="Q154" t="s">
        <v>662</v>
      </c>
      <c r="R154">
        <v>28.4</v>
      </c>
      <c r="S154" t="str">
        <f>TEXT(sales_data[[#This Row],[Order Date]],"mm")</f>
        <v>11</v>
      </c>
      <c r="T154">
        <f>YEAR(sales_data[[#This Row],[Order Date]])</f>
        <v>2017</v>
      </c>
      <c r="U154" s="8" t="s">
        <v>1371</v>
      </c>
      <c r="V154" t="s">
        <v>661</v>
      </c>
    </row>
    <row r="155" spans="1:22" x14ac:dyDescent="0.35">
      <c r="A155">
        <v>164</v>
      </c>
      <c r="B155" t="s">
        <v>663</v>
      </c>
      <c r="C155" s="1">
        <v>43046</v>
      </c>
      <c r="D155" s="1">
        <v>43050</v>
      </c>
      <c r="E155" t="s">
        <v>46</v>
      </c>
      <c r="F155" t="s">
        <v>664</v>
      </c>
      <c r="G155" t="s">
        <v>665</v>
      </c>
      <c r="H155" t="s">
        <v>22</v>
      </c>
      <c r="I155" t="s">
        <v>23</v>
      </c>
      <c r="J155" t="s">
        <v>91</v>
      </c>
      <c r="K155" t="s">
        <v>92</v>
      </c>
      <c r="L155">
        <v>98115</v>
      </c>
      <c r="M155" t="s">
        <v>40</v>
      </c>
      <c r="N155" t="s">
        <v>666</v>
      </c>
      <c r="O155" t="s">
        <v>42</v>
      </c>
      <c r="P155" t="s">
        <v>71</v>
      </c>
      <c r="Q155" t="s">
        <v>667</v>
      </c>
      <c r="R155">
        <v>27.68</v>
      </c>
      <c r="S155" t="str">
        <f>TEXT(sales_data[[#This Row],[Order Date]],"mm")</f>
        <v>11</v>
      </c>
      <c r="T155">
        <f>YEAR(sales_data[[#This Row],[Order Date]])</f>
        <v>2017</v>
      </c>
      <c r="U155" s="8" t="s">
        <v>1377</v>
      </c>
      <c r="V155" t="s">
        <v>666</v>
      </c>
    </row>
    <row r="156" spans="1:22" x14ac:dyDescent="0.35">
      <c r="A156">
        <v>165</v>
      </c>
      <c r="B156" t="s">
        <v>668</v>
      </c>
      <c r="C156" s="1">
        <v>42255</v>
      </c>
      <c r="D156" s="1">
        <v>42259</v>
      </c>
      <c r="E156" t="s">
        <v>46</v>
      </c>
      <c r="F156" t="s">
        <v>669</v>
      </c>
      <c r="G156" t="s">
        <v>670</v>
      </c>
      <c r="H156" t="s">
        <v>22</v>
      </c>
      <c r="I156" t="s">
        <v>23</v>
      </c>
      <c r="J156" t="s">
        <v>671</v>
      </c>
      <c r="K156" t="s">
        <v>100</v>
      </c>
      <c r="L156">
        <v>78207</v>
      </c>
      <c r="M156" t="s">
        <v>101</v>
      </c>
      <c r="N156" t="s">
        <v>672</v>
      </c>
      <c r="O156" t="s">
        <v>42</v>
      </c>
      <c r="P156" t="s">
        <v>64</v>
      </c>
      <c r="Q156" t="s">
        <v>673</v>
      </c>
      <c r="R156">
        <v>9.9359999999999999</v>
      </c>
      <c r="S156" t="str">
        <f>TEXT(sales_data[[#This Row],[Order Date]],"mm")</f>
        <v>09</v>
      </c>
      <c r="T156">
        <f>YEAR(sales_data[[#This Row],[Order Date]])</f>
        <v>2015</v>
      </c>
      <c r="U156" s="8" t="s">
        <v>1384</v>
      </c>
      <c r="V156" t="s">
        <v>672</v>
      </c>
    </row>
    <row r="157" spans="1:22" x14ac:dyDescent="0.35">
      <c r="A157">
        <v>166</v>
      </c>
      <c r="B157" t="s">
        <v>668</v>
      </c>
      <c r="C157" s="1">
        <v>42255</v>
      </c>
      <c r="D157" s="1">
        <v>42259</v>
      </c>
      <c r="E157" t="s">
        <v>46</v>
      </c>
      <c r="F157" t="s">
        <v>669</v>
      </c>
      <c r="G157" t="s">
        <v>670</v>
      </c>
      <c r="H157" t="s">
        <v>22</v>
      </c>
      <c r="I157" t="s">
        <v>23</v>
      </c>
      <c r="J157" t="s">
        <v>671</v>
      </c>
      <c r="K157" t="s">
        <v>100</v>
      </c>
      <c r="L157">
        <v>78207</v>
      </c>
      <c r="M157" t="s">
        <v>101</v>
      </c>
      <c r="N157" t="s">
        <v>674</v>
      </c>
      <c r="O157" t="s">
        <v>67</v>
      </c>
      <c r="P157" t="s">
        <v>675</v>
      </c>
      <c r="Q157" t="s">
        <v>676</v>
      </c>
      <c r="R157">
        <v>8159.9520000000002</v>
      </c>
      <c r="S157" t="str">
        <f>TEXT(sales_data[[#This Row],[Order Date]],"mm")</f>
        <v>09</v>
      </c>
      <c r="T157">
        <f>YEAR(sales_data[[#This Row],[Order Date]])</f>
        <v>2015</v>
      </c>
      <c r="U157" s="8" t="s">
        <v>1396</v>
      </c>
      <c r="V157" t="s">
        <v>674</v>
      </c>
    </row>
    <row r="158" spans="1:22" x14ac:dyDescent="0.35">
      <c r="A158">
        <v>167</v>
      </c>
      <c r="B158" t="s">
        <v>668</v>
      </c>
      <c r="C158" s="1">
        <v>42255</v>
      </c>
      <c r="D158" s="1">
        <v>42259</v>
      </c>
      <c r="E158" t="s">
        <v>46</v>
      </c>
      <c r="F158" t="s">
        <v>669</v>
      </c>
      <c r="G158" t="s">
        <v>670</v>
      </c>
      <c r="H158" t="s">
        <v>22</v>
      </c>
      <c r="I158" t="s">
        <v>23</v>
      </c>
      <c r="J158" t="s">
        <v>671</v>
      </c>
      <c r="K158" t="s">
        <v>100</v>
      </c>
      <c r="L158">
        <v>78207</v>
      </c>
      <c r="M158" t="s">
        <v>101</v>
      </c>
      <c r="N158" t="s">
        <v>677</v>
      </c>
      <c r="O158" t="s">
        <v>42</v>
      </c>
      <c r="P158" t="s">
        <v>55</v>
      </c>
      <c r="Q158" t="s">
        <v>678</v>
      </c>
      <c r="R158">
        <v>275.928</v>
      </c>
      <c r="S158" t="str">
        <f>TEXT(sales_data[[#This Row],[Order Date]],"mm")</f>
        <v>09</v>
      </c>
      <c r="T158">
        <f>YEAR(sales_data[[#This Row],[Order Date]])</f>
        <v>2015</v>
      </c>
      <c r="U158" s="8" t="s">
        <v>1405</v>
      </c>
      <c r="V158" t="s">
        <v>677</v>
      </c>
    </row>
    <row r="159" spans="1:22" x14ac:dyDescent="0.35">
      <c r="A159">
        <v>168</v>
      </c>
      <c r="B159" t="s">
        <v>668</v>
      </c>
      <c r="C159" s="1">
        <v>42255</v>
      </c>
      <c r="D159" s="1">
        <v>42259</v>
      </c>
      <c r="E159" t="s">
        <v>46</v>
      </c>
      <c r="F159" t="s">
        <v>669</v>
      </c>
      <c r="G159" t="s">
        <v>670</v>
      </c>
      <c r="H159" t="s">
        <v>22</v>
      </c>
      <c r="I159" t="s">
        <v>23</v>
      </c>
      <c r="J159" t="s">
        <v>671</v>
      </c>
      <c r="K159" t="s">
        <v>100</v>
      </c>
      <c r="L159">
        <v>78207</v>
      </c>
      <c r="M159" t="s">
        <v>101</v>
      </c>
      <c r="N159" t="s">
        <v>679</v>
      </c>
      <c r="O159" t="s">
        <v>28</v>
      </c>
      <c r="P159" t="s">
        <v>32</v>
      </c>
      <c r="Q159" t="s">
        <v>680</v>
      </c>
      <c r="R159">
        <v>1740.06</v>
      </c>
      <c r="S159" t="str">
        <f>TEXT(sales_data[[#This Row],[Order Date]],"mm")</f>
        <v>09</v>
      </c>
      <c r="T159">
        <f>YEAR(sales_data[[#This Row],[Order Date]])</f>
        <v>2015</v>
      </c>
      <c r="U159" s="8" t="s">
        <v>1414</v>
      </c>
      <c r="V159" t="s">
        <v>679</v>
      </c>
    </row>
    <row r="160" spans="1:22" x14ac:dyDescent="0.35">
      <c r="A160">
        <v>169</v>
      </c>
      <c r="B160" t="s">
        <v>668</v>
      </c>
      <c r="C160" s="1">
        <v>42255</v>
      </c>
      <c r="D160" s="1">
        <v>42259</v>
      </c>
      <c r="E160" t="s">
        <v>46</v>
      </c>
      <c r="F160" t="s">
        <v>669</v>
      </c>
      <c r="G160" t="s">
        <v>670</v>
      </c>
      <c r="H160" t="s">
        <v>22</v>
      </c>
      <c r="I160" t="s">
        <v>23</v>
      </c>
      <c r="J160" t="s">
        <v>671</v>
      </c>
      <c r="K160" t="s">
        <v>100</v>
      </c>
      <c r="L160">
        <v>78207</v>
      </c>
      <c r="M160" t="s">
        <v>101</v>
      </c>
      <c r="N160" t="s">
        <v>681</v>
      </c>
      <c r="O160" t="s">
        <v>42</v>
      </c>
      <c r="P160" t="s">
        <v>64</v>
      </c>
      <c r="Q160" t="s">
        <v>682</v>
      </c>
      <c r="R160">
        <v>32.064</v>
      </c>
      <c r="S160" t="str">
        <f>TEXT(sales_data[[#This Row],[Order Date]],"mm")</f>
        <v>09</v>
      </c>
      <c r="T160">
        <f>YEAR(sales_data[[#This Row],[Order Date]])</f>
        <v>2015</v>
      </c>
      <c r="U160" s="8" t="s">
        <v>1419</v>
      </c>
      <c r="V160" t="s">
        <v>681</v>
      </c>
    </row>
    <row r="161" spans="1:22" x14ac:dyDescent="0.35">
      <c r="A161">
        <v>170</v>
      </c>
      <c r="B161" t="s">
        <v>668</v>
      </c>
      <c r="C161" s="1">
        <v>42255</v>
      </c>
      <c r="D161" s="1">
        <v>42259</v>
      </c>
      <c r="E161" t="s">
        <v>46</v>
      </c>
      <c r="F161" t="s">
        <v>669</v>
      </c>
      <c r="G161" t="s">
        <v>670</v>
      </c>
      <c r="H161" t="s">
        <v>22</v>
      </c>
      <c r="I161" t="s">
        <v>23</v>
      </c>
      <c r="J161" t="s">
        <v>671</v>
      </c>
      <c r="K161" t="s">
        <v>100</v>
      </c>
      <c r="L161">
        <v>78207</v>
      </c>
      <c r="M161" t="s">
        <v>101</v>
      </c>
      <c r="N161" t="s">
        <v>683</v>
      </c>
      <c r="O161" t="s">
        <v>42</v>
      </c>
      <c r="P161" t="s">
        <v>74</v>
      </c>
      <c r="Q161" t="s">
        <v>684</v>
      </c>
      <c r="R161">
        <v>177.98</v>
      </c>
      <c r="S161" t="str">
        <f>TEXT(sales_data[[#This Row],[Order Date]],"mm")</f>
        <v>09</v>
      </c>
      <c r="T161">
        <f>YEAR(sales_data[[#This Row],[Order Date]])</f>
        <v>2015</v>
      </c>
      <c r="U161" s="8" t="s">
        <v>1436</v>
      </c>
      <c r="V161" t="s">
        <v>683</v>
      </c>
    </row>
    <row r="162" spans="1:22" x14ac:dyDescent="0.35">
      <c r="A162">
        <v>171</v>
      </c>
      <c r="B162" t="s">
        <v>668</v>
      </c>
      <c r="C162" s="1">
        <v>42255</v>
      </c>
      <c r="D162" s="1">
        <v>42259</v>
      </c>
      <c r="E162" t="s">
        <v>46</v>
      </c>
      <c r="F162" t="s">
        <v>669</v>
      </c>
      <c r="G162" t="s">
        <v>670</v>
      </c>
      <c r="H162" t="s">
        <v>22</v>
      </c>
      <c r="I162" t="s">
        <v>23</v>
      </c>
      <c r="J162" t="s">
        <v>671</v>
      </c>
      <c r="K162" t="s">
        <v>100</v>
      </c>
      <c r="L162">
        <v>78207</v>
      </c>
      <c r="M162" t="s">
        <v>101</v>
      </c>
      <c r="N162" t="s">
        <v>685</v>
      </c>
      <c r="O162" t="s">
        <v>67</v>
      </c>
      <c r="P162" t="s">
        <v>68</v>
      </c>
      <c r="Q162" t="s">
        <v>686</v>
      </c>
      <c r="R162">
        <v>143.976</v>
      </c>
      <c r="S162" t="str">
        <f>TEXT(sales_data[[#This Row],[Order Date]],"mm")</f>
        <v>09</v>
      </c>
      <c r="T162">
        <f>YEAR(sales_data[[#This Row],[Order Date]])</f>
        <v>2015</v>
      </c>
      <c r="U162" s="8" t="s">
        <v>1441</v>
      </c>
      <c r="V162" t="s">
        <v>685</v>
      </c>
    </row>
    <row r="163" spans="1:22" x14ac:dyDescent="0.35">
      <c r="A163">
        <v>172</v>
      </c>
      <c r="B163" t="s">
        <v>687</v>
      </c>
      <c r="C163" s="1">
        <v>42221</v>
      </c>
      <c r="D163" s="1">
        <v>42225</v>
      </c>
      <c r="E163" t="s">
        <v>46</v>
      </c>
      <c r="F163" t="s">
        <v>688</v>
      </c>
      <c r="G163" t="s">
        <v>689</v>
      </c>
      <c r="H163" t="s">
        <v>22</v>
      </c>
      <c r="I163" t="s">
        <v>23</v>
      </c>
      <c r="J163" t="s">
        <v>38</v>
      </c>
      <c r="K163" t="s">
        <v>39</v>
      </c>
      <c r="L163">
        <v>90004</v>
      </c>
      <c r="M163" t="s">
        <v>40</v>
      </c>
      <c r="N163" t="s">
        <v>690</v>
      </c>
      <c r="O163" t="s">
        <v>42</v>
      </c>
      <c r="P163" t="s">
        <v>86</v>
      </c>
      <c r="Q163" t="s">
        <v>691</v>
      </c>
      <c r="R163">
        <v>20.94</v>
      </c>
      <c r="S163" t="str">
        <f>TEXT(sales_data[[#This Row],[Order Date]],"mm")</f>
        <v>08</v>
      </c>
      <c r="T163">
        <f>YEAR(sales_data[[#This Row],[Order Date]])</f>
        <v>2015</v>
      </c>
      <c r="U163" s="7" t="s">
        <v>1447</v>
      </c>
      <c r="V163" t="s">
        <v>690</v>
      </c>
    </row>
    <row r="164" spans="1:22" x14ac:dyDescent="0.35">
      <c r="A164">
        <v>173</v>
      </c>
      <c r="B164" t="s">
        <v>687</v>
      </c>
      <c r="C164" s="1">
        <v>42221</v>
      </c>
      <c r="D164" s="1">
        <v>42225</v>
      </c>
      <c r="E164" t="s">
        <v>46</v>
      </c>
      <c r="F164" t="s">
        <v>688</v>
      </c>
      <c r="G164" t="s">
        <v>689</v>
      </c>
      <c r="H164" t="s">
        <v>22</v>
      </c>
      <c r="I164" t="s">
        <v>23</v>
      </c>
      <c r="J164" t="s">
        <v>38</v>
      </c>
      <c r="K164" t="s">
        <v>39</v>
      </c>
      <c r="L164">
        <v>90004</v>
      </c>
      <c r="M164" t="s">
        <v>40</v>
      </c>
      <c r="N164" t="s">
        <v>692</v>
      </c>
      <c r="O164" t="s">
        <v>42</v>
      </c>
      <c r="P164" t="s">
        <v>86</v>
      </c>
      <c r="Q164" t="s">
        <v>693</v>
      </c>
      <c r="R164">
        <v>110.96</v>
      </c>
      <c r="S164" t="str">
        <f>TEXT(sales_data[[#This Row],[Order Date]],"mm")</f>
        <v>08</v>
      </c>
      <c r="T164">
        <f>YEAR(sales_data[[#This Row],[Order Date]])</f>
        <v>2015</v>
      </c>
      <c r="U164" s="8" t="s">
        <v>1465</v>
      </c>
      <c r="V164" t="s">
        <v>692</v>
      </c>
    </row>
    <row r="165" spans="1:22" x14ac:dyDescent="0.35">
      <c r="A165">
        <v>174</v>
      </c>
      <c r="B165" t="s">
        <v>687</v>
      </c>
      <c r="C165" s="1">
        <v>42221</v>
      </c>
      <c r="D165" s="1">
        <v>42225</v>
      </c>
      <c r="E165" t="s">
        <v>46</v>
      </c>
      <c r="F165" t="s">
        <v>688</v>
      </c>
      <c r="G165" t="s">
        <v>689</v>
      </c>
      <c r="H165" t="s">
        <v>22</v>
      </c>
      <c r="I165" t="s">
        <v>23</v>
      </c>
      <c r="J165" t="s">
        <v>38</v>
      </c>
      <c r="K165" t="s">
        <v>39</v>
      </c>
      <c r="L165">
        <v>90004</v>
      </c>
      <c r="M165" t="s">
        <v>40</v>
      </c>
      <c r="N165" t="s">
        <v>694</v>
      </c>
      <c r="O165" t="s">
        <v>28</v>
      </c>
      <c r="P165" t="s">
        <v>32</v>
      </c>
      <c r="Q165" t="s">
        <v>695</v>
      </c>
      <c r="R165">
        <v>340.14400000000001</v>
      </c>
      <c r="S165" t="str">
        <f>TEXT(sales_data[[#This Row],[Order Date]],"mm")</f>
        <v>08</v>
      </c>
      <c r="T165">
        <f>YEAR(sales_data[[#This Row],[Order Date]])</f>
        <v>2015</v>
      </c>
      <c r="U165" s="8" t="s">
        <v>1473</v>
      </c>
      <c r="V165" t="s">
        <v>694</v>
      </c>
    </row>
    <row r="166" spans="1:22" x14ac:dyDescent="0.35">
      <c r="A166">
        <v>175</v>
      </c>
      <c r="B166" t="s">
        <v>696</v>
      </c>
      <c r="C166" s="1">
        <v>42261</v>
      </c>
      <c r="D166" s="1">
        <v>42266</v>
      </c>
      <c r="E166" t="s">
        <v>46</v>
      </c>
      <c r="F166" t="s">
        <v>697</v>
      </c>
      <c r="G166" t="s">
        <v>698</v>
      </c>
      <c r="H166" t="s">
        <v>37</v>
      </c>
      <c r="I166" t="s">
        <v>23</v>
      </c>
      <c r="J166" t="s">
        <v>298</v>
      </c>
      <c r="K166" t="s">
        <v>206</v>
      </c>
      <c r="L166">
        <v>60623</v>
      </c>
      <c r="M166" t="s">
        <v>101</v>
      </c>
      <c r="N166" t="s">
        <v>699</v>
      </c>
      <c r="O166" t="s">
        <v>42</v>
      </c>
      <c r="P166" t="s">
        <v>74</v>
      </c>
      <c r="Q166" t="s">
        <v>700</v>
      </c>
      <c r="R166">
        <v>52.448</v>
      </c>
      <c r="S166" t="str">
        <f>TEXT(sales_data[[#This Row],[Order Date]],"mm")</f>
        <v>09</v>
      </c>
      <c r="T166">
        <f>YEAR(sales_data[[#This Row],[Order Date]])</f>
        <v>2015</v>
      </c>
      <c r="U166" s="8" t="s">
        <v>1485</v>
      </c>
      <c r="V166" t="s">
        <v>699</v>
      </c>
    </row>
    <row r="167" spans="1:22" x14ac:dyDescent="0.35">
      <c r="A167">
        <v>176</v>
      </c>
      <c r="B167" t="s">
        <v>696</v>
      </c>
      <c r="C167" s="1">
        <v>42261</v>
      </c>
      <c r="D167" s="1">
        <v>42266</v>
      </c>
      <c r="E167" t="s">
        <v>46</v>
      </c>
      <c r="F167" t="s">
        <v>697</v>
      </c>
      <c r="G167" t="s">
        <v>698</v>
      </c>
      <c r="H167" t="s">
        <v>37</v>
      </c>
      <c r="I167" t="s">
        <v>23</v>
      </c>
      <c r="J167" t="s">
        <v>298</v>
      </c>
      <c r="K167" t="s">
        <v>206</v>
      </c>
      <c r="L167">
        <v>60623</v>
      </c>
      <c r="M167" t="s">
        <v>101</v>
      </c>
      <c r="N167" t="s">
        <v>701</v>
      </c>
      <c r="O167" t="s">
        <v>42</v>
      </c>
      <c r="P167" t="s">
        <v>43</v>
      </c>
      <c r="Q167" t="s">
        <v>702</v>
      </c>
      <c r="R167">
        <v>20.16</v>
      </c>
      <c r="S167" t="str">
        <f>TEXT(sales_data[[#This Row],[Order Date]],"mm")</f>
        <v>09</v>
      </c>
      <c r="T167">
        <f>YEAR(sales_data[[#This Row],[Order Date]])</f>
        <v>2015</v>
      </c>
      <c r="U167" s="8" t="s">
        <v>1491</v>
      </c>
      <c r="V167" t="s">
        <v>701</v>
      </c>
    </row>
    <row r="168" spans="1:22" x14ac:dyDescent="0.35">
      <c r="A168">
        <v>177</v>
      </c>
      <c r="B168" t="s">
        <v>703</v>
      </c>
      <c r="C168" s="1">
        <v>43211</v>
      </c>
      <c r="D168" s="1">
        <v>43215</v>
      </c>
      <c r="E168" t="s">
        <v>19</v>
      </c>
      <c r="F168" t="s">
        <v>704</v>
      </c>
      <c r="G168" t="s">
        <v>705</v>
      </c>
      <c r="H168" t="s">
        <v>22</v>
      </c>
      <c r="I168" t="s">
        <v>23</v>
      </c>
      <c r="J168" t="s">
        <v>179</v>
      </c>
      <c r="K168" t="s">
        <v>100</v>
      </c>
      <c r="L168">
        <v>77036</v>
      </c>
      <c r="M168" t="s">
        <v>101</v>
      </c>
      <c r="N168" t="s">
        <v>706</v>
      </c>
      <c r="O168" t="s">
        <v>42</v>
      </c>
      <c r="P168" t="s">
        <v>74</v>
      </c>
      <c r="Q168" t="s">
        <v>707</v>
      </c>
      <c r="R168">
        <v>97.263999999999996</v>
      </c>
      <c r="S168" t="str">
        <f>TEXT(sales_data[[#This Row],[Order Date]],"mm")</f>
        <v>04</v>
      </c>
      <c r="T168">
        <f>YEAR(sales_data[[#This Row],[Order Date]])</f>
        <v>2018</v>
      </c>
      <c r="U168" s="8" t="s">
        <v>1496</v>
      </c>
      <c r="V168" t="s">
        <v>706</v>
      </c>
    </row>
    <row r="169" spans="1:22" x14ac:dyDescent="0.35">
      <c r="A169">
        <v>178</v>
      </c>
      <c r="B169" t="s">
        <v>708</v>
      </c>
      <c r="C169" s="1">
        <v>42695</v>
      </c>
      <c r="D169" s="1">
        <v>42697</v>
      </c>
      <c r="E169" t="s">
        <v>19</v>
      </c>
      <c r="F169" t="s">
        <v>327</v>
      </c>
      <c r="G169" t="s">
        <v>328</v>
      </c>
      <c r="H169" t="s">
        <v>22</v>
      </c>
      <c r="I169" t="s">
        <v>23</v>
      </c>
      <c r="J169" t="s">
        <v>599</v>
      </c>
      <c r="K169" t="s">
        <v>493</v>
      </c>
      <c r="L169">
        <v>43055</v>
      </c>
      <c r="M169" t="s">
        <v>144</v>
      </c>
      <c r="N169" t="s">
        <v>709</v>
      </c>
      <c r="O169" t="s">
        <v>28</v>
      </c>
      <c r="P169" t="s">
        <v>32</v>
      </c>
      <c r="Q169" t="s">
        <v>710</v>
      </c>
      <c r="R169">
        <v>396.80200000000002</v>
      </c>
      <c r="S169" t="str">
        <f>TEXT(sales_data[[#This Row],[Order Date]],"mm")</f>
        <v>11</v>
      </c>
      <c r="T169">
        <f>YEAR(sales_data[[#This Row],[Order Date]])</f>
        <v>2016</v>
      </c>
      <c r="U169" s="8" t="s">
        <v>1507</v>
      </c>
      <c r="V169" t="s">
        <v>709</v>
      </c>
    </row>
    <row r="170" spans="1:22" x14ac:dyDescent="0.35">
      <c r="A170">
        <v>179</v>
      </c>
      <c r="B170" t="s">
        <v>708</v>
      </c>
      <c r="C170" s="1">
        <v>42695</v>
      </c>
      <c r="D170" s="1">
        <v>42697</v>
      </c>
      <c r="E170" t="s">
        <v>19</v>
      </c>
      <c r="F170" t="s">
        <v>327</v>
      </c>
      <c r="G170" t="s">
        <v>328</v>
      </c>
      <c r="H170" t="s">
        <v>22</v>
      </c>
      <c r="I170" t="s">
        <v>23</v>
      </c>
      <c r="J170" t="s">
        <v>599</v>
      </c>
      <c r="K170" t="s">
        <v>493</v>
      </c>
      <c r="L170">
        <v>43055</v>
      </c>
      <c r="M170" t="s">
        <v>144</v>
      </c>
      <c r="N170" t="s">
        <v>711</v>
      </c>
      <c r="O170" t="s">
        <v>42</v>
      </c>
      <c r="P170" t="s">
        <v>573</v>
      </c>
      <c r="Q170" t="s">
        <v>712</v>
      </c>
      <c r="R170">
        <v>15.88</v>
      </c>
      <c r="S170" t="str">
        <f>TEXT(sales_data[[#This Row],[Order Date]],"mm")</f>
        <v>11</v>
      </c>
      <c r="T170">
        <f>YEAR(sales_data[[#This Row],[Order Date]])</f>
        <v>2016</v>
      </c>
      <c r="U170" s="8" t="s">
        <v>1515</v>
      </c>
      <c r="V170" t="s">
        <v>711</v>
      </c>
    </row>
    <row r="171" spans="1:22" x14ac:dyDescent="0.35">
      <c r="A171">
        <v>180</v>
      </c>
      <c r="B171" t="s">
        <v>713</v>
      </c>
      <c r="C171" s="1">
        <v>42719</v>
      </c>
      <c r="D171" s="1">
        <v>42723</v>
      </c>
      <c r="E171" t="s">
        <v>46</v>
      </c>
      <c r="F171" t="s">
        <v>714</v>
      </c>
      <c r="G171" t="s">
        <v>715</v>
      </c>
      <c r="H171" t="s">
        <v>98</v>
      </c>
      <c r="I171" t="s">
        <v>23</v>
      </c>
      <c r="J171" t="s">
        <v>261</v>
      </c>
      <c r="K171" t="s">
        <v>262</v>
      </c>
      <c r="L171">
        <v>10009</v>
      </c>
      <c r="M171" t="s">
        <v>144</v>
      </c>
      <c r="N171" t="s">
        <v>716</v>
      </c>
      <c r="O171" t="s">
        <v>42</v>
      </c>
      <c r="P171" t="s">
        <v>64</v>
      </c>
      <c r="Q171" t="s">
        <v>717</v>
      </c>
      <c r="R171">
        <v>3.28</v>
      </c>
      <c r="S171" t="str">
        <f>TEXT(sales_data[[#This Row],[Order Date]],"mm")</f>
        <v>12</v>
      </c>
      <c r="T171">
        <f>YEAR(sales_data[[#This Row],[Order Date]])</f>
        <v>2016</v>
      </c>
      <c r="U171" s="8" t="s">
        <v>1520</v>
      </c>
      <c r="V171" t="s">
        <v>716</v>
      </c>
    </row>
    <row r="172" spans="1:22" x14ac:dyDescent="0.35">
      <c r="A172">
        <v>181</v>
      </c>
      <c r="B172" t="s">
        <v>718</v>
      </c>
      <c r="C172" s="1">
        <v>42343</v>
      </c>
      <c r="D172" s="1">
        <v>42347</v>
      </c>
      <c r="E172" t="s">
        <v>19</v>
      </c>
      <c r="F172" t="s">
        <v>719</v>
      </c>
      <c r="G172" t="s">
        <v>720</v>
      </c>
      <c r="H172" t="s">
        <v>37</v>
      </c>
      <c r="I172" t="s">
        <v>23</v>
      </c>
      <c r="J172" t="s">
        <v>352</v>
      </c>
      <c r="K172" t="s">
        <v>206</v>
      </c>
      <c r="L172">
        <v>62521</v>
      </c>
      <c r="M172" t="s">
        <v>101</v>
      </c>
      <c r="N172" t="s">
        <v>721</v>
      </c>
      <c r="O172" t="s">
        <v>42</v>
      </c>
      <c r="P172" t="s">
        <v>55</v>
      </c>
      <c r="Q172" t="s">
        <v>722</v>
      </c>
      <c r="R172">
        <v>24.815999999999999</v>
      </c>
      <c r="S172" t="str">
        <f>TEXT(sales_data[[#This Row],[Order Date]],"mm")</f>
        <v>12</v>
      </c>
      <c r="T172">
        <f>YEAR(sales_data[[#This Row],[Order Date]])</f>
        <v>2015</v>
      </c>
      <c r="U172" s="8" t="s">
        <v>1541</v>
      </c>
      <c r="V172" t="s">
        <v>721</v>
      </c>
    </row>
    <row r="173" spans="1:22" x14ac:dyDescent="0.35">
      <c r="A173">
        <v>182</v>
      </c>
      <c r="B173" t="s">
        <v>718</v>
      </c>
      <c r="C173" s="1">
        <v>42343</v>
      </c>
      <c r="D173" s="1">
        <v>42347</v>
      </c>
      <c r="E173" t="s">
        <v>19</v>
      </c>
      <c r="F173" t="s">
        <v>719</v>
      </c>
      <c r="G173" t="s">
        <v>720</v>
      </c>
      <c r="H173" t="s">
        <v>37</v>
      </c>
      <c r="I173" t="s">
        <v>23</v>
      </c>
      <c r="J173" t="s">
        <v>352</v>
      </c>
      <c r="K173" t="s">
        <v>206</v>
      </c>
      <c r="L173">
        <v>62521</v>
      </c>
      <c r="M173" t="s">
        <v>101</v>
      </c>
      <c r="N173" t="s">
        <v>723</v>
      </c>
      <c r="O173" t="s">
        <v>67</v>
      </c>
      <c r="P173" t="s">
        <v>156</v>
      </c>
      <c r="Q173" t="s">
        <v>724</v>
      </c>
      <c r="R173">
        <v>408.74400000000003</v>
      </c>
      <c r="S173" t="str">
        <f>TEXT(sales_data[[#This Row],[Order Date]],"mm")</f>
        <v>12</v>
      </c>
      <c r="T173">
        <f>YEAR(sales_data[[#This Row],[Order Date]])</f>
        <v>2015</v>
      </c>
      <c r="U173" s="7" t="s">
        <v>1546</v>
      </c>
      <c r="V173" t="s">
        <v>723</v>
      </c>
    </row>
    <row r="174" spans="1:22" x14ac:dyDescent="0.35">
      <c r="A174">
        <v>183</v>
      </c>
      <c r="B174" t="s">
        <v>725</v>
      </c>
      <c r="C174" s="1">
        <v>42327</v>
      </c>
      <c r="D174" s="1">
        <v>42332</v>
      </c>
      <c r="E174" t="s">
        <v>19</v>
      </c>
      <c r="F174" t="s">
        <v>726</v>
      </c>
      <c r="G174" t="s">
        <v>727</v>
      </c>
      <c r="H174" t="s">
        <v>98</v>
      </c>
      <c r="I174" t="s">
        <v>23</v>
      </c>
      <c r="J174" t="s">
        <v>728</v>
      </c>
      <c r="K174" t="s">
        <v>729</v>
      </c>
      <c r="L174">
        <v>71203</v>
      </c>
      <c r="M174" t="s">
        <v>26</v>
      </c>
      <c r="N174" t="s">
        <v>730</v>
      </c>
      <c r="O174" t="s">
        <v>67</v>
      </c>
      <c r="P174" t="s">
        <v>68</v>
      </c>
      <c r="Q174" t="s">
        <v>731</v>
      </c>
      <c r="R174">
        <v>503.96</v>
      </c>
      <c r="S174" t="str">
        <f>TEXT(sales_data[[#This Row],[Order Date]],"mm")</f>
        <v>11</v>
      </c>
      <c r="T174">
        <f>YEAR(sales_data[[#This Row],[Order Date]])</f>
        <v>2015</v>
      </c>
      <c r="U174" s="8" t="s">
        <v>1562</v>
      </c>
      <c r="V174" t="s">
        <v>730</v>
      </c>
    </row>
    <row r="175" spans="1:22" x14ac:dyDescent="0.35">
      <c r="A175">
        <v>184</v>
      </c>
      <c r="B175" t="s">
        <v>725</v>
      </c>
      <c r="C175" s="1">
        <v>42327</v>
      </c>
      <c r="D175" s="1">
        <v>42332</v>
      </c>
      <c r="E175" t="s">
        <v>19</v>
      </c>
      <c r="F175" t="s">
        <v>726</v>
      </c>
      <c r="G175" t="s">
        <v>727</v>
      </c>
      <c r="H175" t="s">
        <v>98</v>
      </c>
      <c r="I175" t="s">
        <v>23</v>
      </c>
      <c r="J175" t="s">
        <v>728</v>
      </c>
      <c r="K175" t="s">
        <v>729</v>
      </c>
      <c r="L175">
        <v>71203</v>
      </c>
      <c r="M175" t="s">
        <v>26</v>
      </c>
      <c r="N175" t="s">
        <v>732</v>
      </c>
      <c r="O175" t="s">
        <v>67</v>
      </c>
      <c r="P175" t="s">
        <v>68</v>
      </c>
      <c r="Q175" t="s">
        <v>733</v>
      </c>
      <c r="R175">
        <v>149.94999999999999</v>
      </c>
      <c r="S175" t="str">
        <f>TEXT(sales_data[[#This Row],[Order Date]],"mm")</f>
        <v>11</v>
      </c>
      <c r="T175">
        <f>YEAR(sales_data[[#This Row],[Order Date]])</f>
        <v>2015</v>
      </c>
      <c r="U175" s="8" t="s">
        <v>1571</v>
      </c>
      <c r="V175" t="s">
        <v>732</v>
      </c>
    </row>
    <row r="176" spans="1:22" x14ac:dyDescent="0.35">
      <c r="A176">
        <v>185</v>
      </c>
      <c r="B176" t="s">
        <v>725</v>
      </c>
      <c r="C176" s="1">
        <v>42327</v>
      </c>
      <c r="D176" s="1">
        <v>42332</v>
      </c>
      <c r="E176" t="s">
        <v>19</v>
      </c>
      <c r="F176" t="s">
        <v>726</v>
      </c>
      <c r="G176" t="s">
        <v>727</v>
      </c>
      <c r="H176" t="s">
        <v>98</v>
      </c>
      <c r="I176" t="s">
        <v>23</v>
      </c>
      <c r="J176" t="s">
        <v>728</v>
      </c>
      <c r="K176" t="s">
        <v>729</v>
      </c>
      <c r="L176">
        <v>71203</v>
      </c>
      <c r="M176" t="s">
        <v>26</v>
      </c>
      <c r="N176" t="s">
        <v>734</v>
      </c>
      <c r="O176" t="s">
        <v>67</v>
      </c>
      <c r="P176" t="s">
        <v>156</v>
      </c>
      <c r="Q176" t="s">
        <v>735</v>
      </c>
      <c r="R176">
        <v>29</v>
      </c>
      <c r="S176" t="str">
        <f>TEXT(sales_data[[#This Row],[Order Date]],"mm")</f>
        <v>11</v>
      </c>
      <c r="T176">
        <f>YEAR(sales_data[[#This Row],[Order Date]])</f>
        <v>2015</v>
      </c>
      <c r="U176" s="8" t="s">
        <v>1587</v>
      </c>
      <c r="V176" t="s">
        <v>734</v>
      </c>
    </row>
    <row r="177" spans="1:22" x14ac:dyDescent="0.35">
      <c r="A177">
        <v>186</v>
      </c>
      <c r="B177" t="s">
        <v>736</v>
      </c>
      <c r="C177" s="1">
        <v>43067</v>
      </c>
      <c r="D177" s="1">
        <v>43071</v>
      </c>
      <c r="E177" t="s">
        <v>46</v>
      </c>
      <c r="F177" t="s">
        <v>737</v>
      </c>
      <c r="G177" t="s">
        <v>738</v>
      </c>
      <c r="H177" t="s">
        <v>22</v>
      </c>
      <c r="I177" t="s">
        <v>23</v>
      </c>
      <c r="J177" t="s">
        <v>739</v>
      </c>
      <c r="K177" t="s">
        <v>740</v>
      </c>
      <c r="L177">
        <v>6824</v>
      </c>
      <c r="M177" t="s">
        <v>144</v>
      </c>
      <c r="N177" t="s">
        <v>741</v>
      </c>
      <c r="O177" t="s">
        <v>42</v>
      </c>
      <c r="P177" t="s">
        <v>71</v>
      </c>
      <c r="Q177" t="s">
        <v>742</v>
      </c>
      <c r="R177">
        <v>7.16</v>
      </c>
      <c r="S177" t="str">
        <f>TEXT(sales_data[[#This Row],[Order Date]],"mm")</f>
        <v>11</v>
      </c>
      <c r="T177">
        <f>YEAR(sales_data[[#This Row],[Order Date]])</f>
        <v>2017</v>
      </c>
      <c r="U177" s="7" t="s">
        <v>1597</v>
      </c>
      <c r="V177" t="s">
        <v>741</v>
      </c>
    </row>
    <row r="178" spans="1:22" x14ac:dyDescent="0.35">
      <c r="A178">
        <v>187</v>
      </c>
      <c r="B178" t="s">
        <v>743</v>
      </c>
      <c r="C178" s="1">
        <v>42242</v>
      </c>
      <c r="D178" s="1">
        <v>42246</v>
      </c>
      <c r="E178" t="s">
        <v>46</v>
      </c>
      <c r="F178" t="s">
        <v>744</v>
      </c>
      <c r="G178" t="s">
        <v>745</v>
      </c>
      <c r="H178" t="s">
        <v>98</v>
      </c>
      <c r="I178" t="s">
        <v>23</v>
      </c>
      <c r="J178" t="s">
        <v>38</v>
      </c>
      <c r="K178" t="s">
        <v>39</v>
      </c>
      <c r="L178">
        <v>90032</v>
      </c>
      <c r="M178" t="s">
        <v>40</v>
      </c>
      <c r="N178" t="s">
        <v>746</v>
      </c>
      <c r="O178" t="s">
        <v>67</v>
      </c>
      <c r="P178" t="s">
        <v>156</v>
      </c>
      <c r="Q178" t="s">
        <v>747</v>
      </c>
      <c r="R178">
        <v>176.8</v>
      </c>
      <c r="S178" t="str">
        <f>TEXT(sales_data[[#This Row],[Order Date]],"mm")</f>
        <v>08</v>
      </c>
      <c r="T178">
        <f>YEAR(sales_data[[#This Row],[Order Date]])</f>
        <v>2015</v>
      </c>
      <c r="U178" s="8" t="s">
        <v>1607</v>
      </c>
      <c r="V178" t="s">
        <v>746</v>
      </c>
    </row>
    <row r="179" spans="1:22" x14ac:dyDescent="0.35">
      <c r="A179">
        <v>188</v>
      </c>
      <c r="B179" t="s">
        <v>748</v>
      </c>
      <c r="C179" s="1">
        <v>42932</v>
      </c>
      <c r="D179" s="1">
        <v>42938</v>
      </c>
      <c r="E179" t="s">
        <v>46</v>
      </c>
      <c r="F179" t="s">
        <v>749</v>
      </c>
      <c r="G179" t="s">
        <v>750</v>
      </c>
      <c r="H179" t="s">
        <v>37</v>
      </c>
      <c r="I179" t="s">
        <v>23</v>
      </c>
      <c r="J179" t="s">
        <v>751</v>
      </c>
      <c r="K179" t="s">
        <v>100</v>
      </c>
      <c r="L179">
        <v>75051</v>
      </c>
      <c r="M179" t="s">
        <v>101</v>
      </c>
      <c r="N179" t="s">
        <v>752</v>
      </c>
      <c r="O179" t="s">
        <v>42</v>
      </c>
      <c r="P179" t="s">
        <v>55</v>
      </c>
      <c r="Q179" t="s">
        <v>753</v>
      </c>
      <c r="R179">
        <v>37.223999999999997</v>
      </c>
      <c r="S179" t="str">
        <f>TEXT(sales_data[[#This Row],[Order Date]],"mm")</f>
        <v>07</v>
      </c>
      <c r="T179">
        <f>YEAR(sales_data[[#This Row],[Order Date]])</f>
        <v>2017</v>
      </c>
      <c r="U179" s="7" t="s">
        <v>1613</v>
      </c>
      <c r="V179" t="s">
        <v>752</v>
      </c>
    </row>
    <row r="180" spans="1:22" x14ac:dyDescent="0.35">
      <c r="A180">
        <v>190</v>
      </c>
      <c r="B180" t="s">
        <v>754</v>
      </c>
      <c r="C180" s="1">
        <v>42655</v>
      </c>
      <c r="D180" s="1">
        <v>42657</v>
      </c>
      <c r="E180" t="s">
        <v>183</v>
      </c>
      <c r="F180" t="s">
        <v>755</v>
      </c>
      <c r="G180" t="s">
        <v>756</v>
      </c>
      <c r="H180" t="s">
        <v>98</v>
      </c>
      <c r="I180" t="s">
        <v>23</v>
      </c>
      <c r="J180" t="s">
        <v>261</v>
      </c>
      <c r="K180" t="s">
        <v>262</v>
      </c>
      <c r="L180">
        <v>10035</v>
      </c>
      <c r="M180" t="s">
        <v>144</v>
      </c>
      <c r="N180" t="s">
        <v>757</v>
      </c>
      <c r="O180" t="s">
        <v>28</v>
      </c>
      <c r="P180" t="s">
        <v>29</v>
      </c>
      <c r="Q180" t="s">
        <v>758</v>
      </c>
      <c r="R180">
        <v>899.13599999999997</v>
      </c>
      <c r="S180" t="str">
        <f>TEXT(sales_data[[#This Row],[Order Date]],"mm")</f>
        <v>10</v>
      </c>
      <c r="T180">
        <f>YEAR(sales_data[[#This Row],[Order Date]])</f>
        <v>2016</v>
      </c>
      <c r="U180" s="7" t="s">
        <v>1633</v>
      </c>
      <c r="V180" t="s">
        <v>757</v>
      </c>
    </row>
    <row r="181" spans="1:22" x14ac:dyDescent="0.35">
      <c r="A181">
        <v>191</v>
      </c>
      <c r="B181" t="s">
        <v>754</v>
      </c>
      <c r="C181" s="1">
        <v>42655</v>
      </c>
      <c r="D181" s="1">
        <v>42657</v>
      </c>
      <c r="E181" t="s">
        <v>183</v>
      </c>
      <c r="F181" t="s">
        <v>755</v>
      </c>
      <c r="G181" t="s">
        <v>756</v>
      </c>
      <c r="H181" t="s">
        <v>98</v>
      </c>
      <c r="I181" t="s">
        <v>23</v>
      </c>
      <c r="J181" t="s">
        <v>261</v>
      </c>
      <c r="K181" t="s">
        <v>262</v>
      </c>
      <c r="L181">
        <v>10035</v>
      </c>
      <c r="M181" t="s">
        <v>144</v>
      </c>
      <c r="N181" t="s">
        <v>759</v>
      </c>
      <c r="O181" t="s">
        <v>67</v>
      </c>
      <c r="P181" t="s">
        <v>68</v>
      </c>
      <c r="Q181" t="s">
        <v>760</v>
      </c>
      <c r="R181">
        <v>71.760000000000005</v>
      </c>
      <c r="S181" t="str">
        <f>TEXT(sales_data[[#This Row],[Order Date]],"mm")</f>
        <v>10</v>
      </c>
      <c r="T181">
        <f>YEAR(sales_data[[#This Row],[Order Date]])</f>
        <v>2016</v>
      </c>
      <c r="U181" s="8" t="s">
        <v>1640</v>
      </c>
      <c r="V181" t="s">
        <v>759</v>
      </c>
    </row>
    <row r="182" spans="1:22" x14ac:dyDescent="0.35">
      <c r="A182">
        <v>192</v>
      </c>
      <c r="B182" t="s">
        <v>754</v>
      </c>
      <c r="C182" s="1">
        <v>42655</v>
      </c>
      <c r="D182" s="1">
        <v>42657</v>
      </c>
      <c r="E182" t="s">
        <v>183</v>
      </c>
      <c r="F182" t="s">
        <v>755</v>
      </c>
      <c r="G182" t="s">
        <v>756</v>
      </c>
      <c r="H182" t="s">
        <v>98</v>
      </c>
      <c r="I182" t="s">
        <v>23</v>
      </c>
      <c r="J182" t="s">
        <v>261</v>
      </c>
      <c r="K182" t="s">
        <v>262</v>
      </c>
      <c r="L182">
        <v>10035</v>
      </c>
      <c r="M182" t="s">
        <v>144</v>
      </c>
      <c r="N182" t="s">
        <v>761</v>
      </c>
      <c r="O182" t="s">
        <v>42</v>
      </c>
      <c r="P182" t="s">
        <v>86</v>
      </c>
      <c r="Q182" t="s">
        <v>762</v>
      </c>
      <c r="R182">
        <v>51.84</v>
      </c>
      <c r="S182" t="str">
        <f>TEXT(sales_data[[#This Row],[Order Date]],"mm")</f>
        <v>10</v>
      </c>
      <c r="T182">
        <f>YEAR(sales_data[[#This Row],[Order Date]])</f>
        <v>2016</v>
      </c>
      <c r="U182" s="8" t="s">
        <v>1645</v>
      </c>
      <c r="V182" t="s">
        <v>761</v>
      </c>
    </row>
    <row r="183" spans="1:22" x14ac:dyDescent="0.35">
      <c r="A183">
        <v>194</v>
      </c>
      <c r="B183" t="s">
        <v>754</v>
      </c>
      <c r="C183" s="1">
        <v>42655</v>
      </c>
      <c r="D183" s="1">
        <v>42657</v>
      </c>
      <c r="E183" t="s">
        <v>183</v>
      </c>
      <c r="F183" t="s">
        <v>755</v>
      </c>
      <c r="G183" t="s">
        <v>756</v>
      </c>
      <c r="H183" t="s">
        <v>98</v>
      </c>
      <c r="I183" t="s">
        <v>23</v>
      </c>
      <c r="J183" t="s">
        <v>261</v>
      </c>
      <c r="K183" t="s">
        <v>262</v>
      </c>
      <c r="L183">
        <v>10035</v>
      </c>
      <c r="M183" t="s">
        <v>144</v>
      </c>
      <c r="N183" t="s">
        <v>763</v>
      </c>
      <c r="O183" t="s">
        <v>42</v>
      </c>
      <c r="P183" t="s">
        <v>64</v>
      </c>
      <c r="Q183" t="s">
        <v>764</v>
      </c>
      <c r="R183">
        <v>19.899999999999999</v>
      </c>
      <c r="S183" t="str">
        <f>TEXT(sales_data[[#This Row],[Order Date]],"mm")</f>
        <v>10</v>
      </c>
      <c r="T183">
        <f>YEAR(sales_data[[#This Row],[Order Date]])</f>
        <v>2016</v>
      </c>
      <c r="U183" s="7" t="s">
        <v>1659</v>
      </c>
      <c r="V183" t="s">
        <v>763</v>
      </c>
    </row>
    <row r="184" spans="1:22" x14ac:dyDescent="0.35">
      <c r="A184">
        <v>196</v>
      </c>
      <c r="B184" t="s">
        <v>768</v>
      </c>
      <c r="C184" s="1">
        <v>42084</v>
      </c>
      <c r="D184" s="1">
        <v>42088</v>
      </c>
      <c r="E184" t="s">
        <v>46</v>
      </c>
      <c r="F184" t="s">
        <v>769</v>
      </c>
      <c r="G184" t="s">
        <v>770</v>
      </c>
      <c r="H184" t="s">
        <v>22</v>
      </c>
      <c r="I184" t="s">
        <v>23</v>
      </c>
      <c r="J184" t="s">
        <v>771</v>
      </c>
      <c r="K184" t="s">
        <v>493</v>
      </c>
      <c r="L184">
        <v>45011</v>
      </c>
      <c r="M184" t="s">
        <v>144</v>
      </c>
      <c r="N184" t="s">
        <v>772</v>
      </c>
      <c r="O184" t="s">
        <v>42</v>
      </c>
      <c r="P184" t="s">
        <v>64</v>
      </c>
      <c r="Q184" t="s">
        <v>773</v>
      </c>
      <c r="R184">
        <v>7.4080000000000004</v>
      </c>
      <c r="S184" t="str">
        <f>TEXT(sales_data[[#This Row],[Order Date]],"mm")</f>
        <v>03</v>
      </c>
      <c r="T184">
        <f>YEAR(sales_data[[#This Row],[Order Date]])</f>
        <v>2015</v>
      </c>
      <c r="U184" s="7" t="s">
        <v>1672</v>
      </c>
      <c r="V184" t="s">
        <v>772</v>
      </c>
    </row>
    <row r="185" spans="1:22" x14ac:dyDescent="0.35">
      <c r="A185">
        <v>197</v>
      </c>
      <c r="B185" t="s">
        <v>768</v>
      </c>
      <c r="C185" s="1">
        <v>42084</v>
      </c>
      <c r="D185" s="1">
        <v>42088</v>
      </c>
      <c r="E185" t="s">
        <v>46</v>
      </c>
      <c r="F185" t="s">
        <v>769</v>
      </c>
      <c r="G185" t="s">
        <v>770</v>
      </c>
      <c r="H185" t="s">
        <v>22</v>
      </c>
      <c r="I185" t="s">
        <v>23</v>
      </c>
      <c r="J185" t="s">
        <v>771</v>
      </c>
      <c r="K185" t="s">
        <v>493</v>
      </c>
      <c r="L185">
        <v>45011</v>
      </c>
      <c r="M185" t="s">
        <v>144</v>
      </c>
      <c r="N185" t="s">
        <v>774</v>
      </c>
      <c r="O185" t="s">
        <v>42</v>
      </c>
      <c r="P185" t="s">
        <v>64</v>
      </c>
      <c r="Q185" t="s">
        <v>775</v>
      </c>
      <c r="R185">
        <v>6.048</v>
      </c>
      <c r="S185" t="str">
        <f>TEXT(sales_data[[#This Row],[Order Date]],"mm")</f>
        <v>03</v>
      </c>
      <c r="T185">
        <f>YEAR(sales_data[[#This Row],[Order Date]])</f>
        <v>2015</v>
      </c>
      <c r="U185" s="8" t="s">
        <v>1679</v>
      </c>
      <c r="V185" t="s">
        <v>774</v>
      </c>
    </row>
    <row r="186" spans="1:22" x14ac:dyDescent="0.35">
      <c r="A186">
        <v>198</v>
      </c>
      <c r="B186" t="s">
        <v>776</v>
      </c>
      <c r="C186" s="1">
        <v>43410</v>
      </c>
      <c r="D186" s="1">
        <v>43417</v>
      </c>
      <c r="E186" t="s">
        <v>46</v>
      </c>
      <c r="F186" t="s">
        <v>777</v>
      </c>
      <c r="G186" t="s">
        <v>778</v>
      </c>
      <c r="H186" t="s">
        <v>98</v>
      </c>
      <c r="I186" t="s">
        <v>23</v>
      </c>
      <c r="J186" t="s">
        <v>779</v>
      </c>
      <c r="K186" t="s">
        <v>780</v>
      </c>
      <c r="L186">
        <v>7090</v>
      </c>
      <c r="M186" t="s">
        <v>144</v>
      </c>
      <c r="N186" t="s">
        <v>781</v>
      </c>
      <c r="O186" t="s">
        <v>42</v>
      </c>
      <c r="P186" t="s">
        <v>55</v>
      </c>
      <c r="Q186" t="s">
        <v>782</v>
      </c>
      <c r="R186">
        <v>46.26</v>
      </c>
      <c r="S186" t="str">
        <f>TEXT(sales_data[[#This Row],[Order Date]],"mm")</f>
        <v>11</v>
      </c>
      <c r="T186">
        <f>YEAR(sales_data[[#This Row],[Order Date]])</f>
        <v>2018</v>
      </c>
      <c r="U186" s="8" t="s">
        <v>1684</v>
      </c>
      <c r="V186" t="s">
        <v>781</v>
      </c>
    </row>
    <row r="187" spans="1:22" x14ac:dyDescent="0.35">
      <c r="A187">
        <v>199</v>
      </c>
      <c r="B187" t="s">
        <v>783</v>
      </c>
      <c r="C187" s="1">
        <v>43287</v>
      </c>
      <c r="D187" s="1">
        <v>43294</v>
      </c>
      <c r="E187" t="s">
        <v>46</v>
      </c>
      <c r="F187" t="s">
        <v>784</v>
      </c>
      <c r="G187" t="s">
        <v>785</v>
      </c>
      <c r="H187" t="s">
        <v>37</v>
      </c>
      <c r="I187" t="s">
        <v>23</v>
      </c>
      <c r="J187" t="s">
        <v>142</v>
      </c>
      <c r="K187" t="s">
        <v>143</v>
      </c>
      <c r="L187">
        <v>19120</v>
      </c>
      <c r="M187" t="s">
        <v>144</v>
      </c>
      <c r="N187" t="s">
        <v>786</v>
      </c>
      <c r="O187" t="s">
        <v>42</v>
      </c>
      <c r="P187" t="s">
        <v>71</v>
      </c>
      <c r="Q187" t="s">
        <v>787</v>
      </c>
      <c r="R187">
        <v>2.9460000000000002</v>
      </c>
      <c r="S187" t="str">
        <f>TEXT(sales_data[[#This Row],[Order Date]],"mm")</f>
        <v>07</v>
      </c>
      <c r="T187">
        <f>YEAR(sales_data[[#This Row],[Order Date]])</f>
        <v>2018</v>
      </c>
      <c r="U187" s="8" t="s">
        <v>1689</v>
      </c>
      <c r="V187" t="s">
        <v>786</v>
      </c>
    </row>
    <row r="188" spans="1:22" x14ac:dyDescent="0.35">
      <c r="A188">
        <v>200</v>
      </c>
      <c r="B188" t="s">
        <v>783</v>
      </c>
      <c r="C188" s="1">
        <v>43287</v>
      </c>
      <c r="D188" s="1">
        <v>43294</v>
      </c>
      <c r="E188" t="s">
        <v>46</v>
      </c>
      <c r="F188" t="s">
        <v>784</v>
      </c>
      <c r="G188" t="s">
        <v>785</v>
      </c>
      <c r="H188" t="s">
        <v>37</v>
      </c>
      <c r="I188" t="s">
        <v>23</v>
      </c>
      <c r="J188" t="s">
        <v>142</v>
      </c>
      <c r="K188" t="s">
        <v>143</v>
      </c>
      <c r="L188">
        <v>19120</v>
      </c>
      <c r="M188" t="s">
        <v>144</v>
      </c>
      <c r="N188" t="s">
        <v>788</v>
      </c>
      <c r="O188" t="s">
        <v>42</v>
      </c>
      <c r="P188" t="s">
        <v>86</v>
      </c>
      <c r="Q188" t="s">
        <v>789</v>
      </c>
      <c r="R188">
        <v>16.056000000000001</v>
      </c>
      <c r="S188" t="str">
        <f>TEXT(sales_data[[#This Row],[Order Date]],"mm")</f>
        <v>07</v>
      </c>
      <c r="T188">
        <f>YEAR(sales_data[[#This Row],[Order Date]])</f>
        <v>2018</v>
      </c>
      <c r="U188" s="8" t="s">
        <v>1704</v>
      </c>
      <c r="V188" t="s">
        <v>788</v>
      </c>
    </row>
    <row r="189" spans="1:22" x14ac:dyDescent="0.35">
      <c r="A189">
        <v>201</v>
      </c>
      <c r="B189" t="s">
        <v>790</v>
      </c>
      <c r="C189" s="1">
        <v>43275</v>
      </c>
      <c r="D189" s="1">
        <v>43280</v>
      </c>
      <c r="E189" t="s">
        <v>46</v>
      </c>
      <c r="F189" t="s">
        <v>791</v>
      </c>
      <c r="G189" t="s">
        <v>792</v>
      </c>
      <c r="H189" t="s">
        <v>22</v>
      </c>
      <c r="I189" t="s">
        <v>23</v>
      </c>
      <c r="J189" t="s">
        <v>793</v>
      </c>
      <c r="K189" t="s">
        <v>493</v>
      </c>
      <c r="L189">
        <v>44312</v>
      </c>
      <c r="M189" t="s">
        <v>144</v>
      </c>
      <c r="N189" t="s">
        <v>794</v>
      </c>
      <c r="O189" t="s">
        <v>42</v>
      </c>
      <c r="P189" t="s">
        <v>86</v>
      </c>
      <c r="Q189" t="s">
        <v>795</v>
      </c>
      <c r="R189">
        <v>21.744</v>
      </c>
      <c r="S189" t="str">
        <f>TEXT(sales_data[[#This Row],[Order Date]],"mm")</f>
        <v>06</v>
      </c>
      <c r="T189">
        <f>YEAR(sales_data[[#This Row],[Order Date]])</f>
        <v>2018</v>
      </c>
      <c r="U189" s="8" t="s">
        <v>1718</v>
      </c>
      <c r="V189" t="s">
        <v>794</v>
      </c>
    </row>
    <row r="190" spans="1:22" x14ac:dyDescent="0.35">
      <c r="A190">
        <v>202</v>
      </c>
      <c r="B190" t="s">
        <v>796</v>
      </c>
      <c r="C190" s="1">
        <v>42219</v>
      </c>
      <c r="D190" s="1">
        <v>42221</v>
      </c>
      <c r="E190" t="s">
        <v>183</v>
      </c>
      <c r="F190" t="s">
        <v>797</v>
      </c>
      <c r="G190" t="s">
        <v>798</v>
      </c>
      <c r="H190" t="s">
        <v>22</v>
      </c>
      <c r="I190" t="s">
        <v>23</v>
      </c>
      <c r="J190" t="s">
        <v>799</v>
      </c>
      <c r="K190" t="s">
        <v>452</v>
      </c>
      <c r="L190">
        <v>80219</v>
      </c>
      <c r="M190" t="s">
        <v>40</v>
      </c>
      <c r="N190" t="s">
        <v>800</v>
      </c>
      <c r="O190" t="s">
        <v>28</v>
      </c>
      <c r="P190" t="s">
        <v>52</v>
      </c>
      <c r="Q190" t="s">
        <v>801</v>
      </c>
      <c r="R190">
        <v>218.75</v>
      </c>
      <c r="S190" t="str">
        <f>TEXT(sales_data[[#This Row],[Order Date]],"mm")</f>
        <v>08</v>
      </c>
      <c r="T190">
        <f>YEAR(sales_data[[#This Row],[Order Date]])</f>
        <v>2015</v>
      </c>
      <c r="U190" s="8" t="s">
        <v>1728</v>
      </c>
      <c r="V190" t="s">
        <v>800</v>
      </c>
    </row>
    <row r="191" spans="1:22" x14ac:dyDescent="0.35">
      <c r="A191">
        <v>203</v>
      </c>
      <c r="B191" t="s">
        <v>796</v>
      </c>
      <c r="C191" s="1">
        <v>42219</v>
      </c>
      <c r="D191" s="1">
        <v>42221</v>
      </c>
      <c r="E191" t="s">
        <v>183</v>
      </c>
      <c r="F191" t="s">
        <v>797</v>
      </c>
      <c r="G191" t="s">
        <v>798</v>
      </c>
      <c r="H191" t="s">
        <v>22</v>
      </c>
      <c r="I191" t="s">
        <v>23</v>
      </c>
      <c r="J191" t="s">
        <v>799</v>
      </c>
      <c r="K191" t="s">
        <v>452</v>
      </c>
      <c r="L191">
        <v>80219</v>
      </c>
      <c r="M191" t="s">
        <v>40</v>
      </c>
      <c r="N191" t="s">
        <v>802</v>
      </c>
      <c r="O191" t="s">
        <v>42</v>
      </c>
      <c r="P191" t="s">
        <v>74</v>
      </c>
      <c r="Q191" t="s">
        <v>803</v>
      </c>
      <c r="R191">
        <v>2.6</v>
      </c>
      <c r="S191" t="str">
        <f>TEXT(sales_data[[#This Row],[Order Date]],"mm")</f>
        <v>08</v>
      </c>
      <c r="T191">
        <f>YEAR(sales_data[[#This Row],[Order Date]])</f>
        <v>2015</v>
      </c>
      <c r="U191" s="8" t="s">
        <v>1736</v>
      </c>
      <c r="V191" t="s">
        <v>802</v>
      </c>
    </row>
    <row r="192" spans="1:22" x14ac:dyDescent="0.35">
      <c r="A192">
        <v>204</v>
      </c>
      <c r="B192" t="s">
        <v>804</v>
      </c>
      <c r="C192" s="1">
        <v>43451</v>
      </c>
      <c r="D192" s="1">
        <v>43455</v>
      </c>
      <c r="E192" t="s">
        <v>19</v>
      </c>
      <c r="F192" t="s">
        <v>805</v>
      </c>
      <c r="G192" t="s">
        <v>806</v>
      </c>
      <c r="H192" t="s">
        <v>22</v>
      </c>
      <c r="I192" t="s">
        <v>23</v>
      </c>
      <c r="J192" t="s">
        <v>807</v>
      </c>
      <c r="K192" t="s">
        <v>100</v>
      </c>
      <c r="L192">
        <v>75220</v>
      </c>
      <c r="M192" t="s">
        <v>101</v>
      </c>
      <c r="N192" t="s">
        <v>808</v>
      </c>
      <c r="O192" t="s">
        <v>42</v>
      </c>
      <c r="P192" t="s">
        <v>74</v>
      </c>
      <c r="Q192" t="s">
        <v>809</v>
      </c>
      <c r="R192">
        <v>66.284000000000006</v>
      </c>
      <c r="S192" t="str">
        <f>TEXT(sales_data[[#This Row],[Order Date]],"mm")</f>
        <v>12</v>
      </c>
      <c r="T192">
        <f>YEAR(sales_data[[#This Row],[Order Date]])</f>
        <v>2018</v>
      </c>
      <c r="U192" s="7" t="s">
        <v>1754</v>
      </c>
      <c r="V192" t="s">
        <v>808</v>
      </c>
    </row>
    <row r="193" spans="1:22" x14ac:dyDescent="0.35">
      <c r="A193">
        <v>205</v>
      </c>
      <c r="B193" t="s">
        <v>810</v>
      </c>
      <c r="C193" s="1">
        <v>43254</v>
      </c>
      <c r="D193" s="1">
        <v>43258</v>
      </c>
      <c r="E193" t="s">
        <v>46</v>
      </c>
      <c r="F193" t="s">
        <v>811</v>
      </c>
      <c r="G193" t="s">
        <v>812</v>
      </c>
      <c r="H193" t="s">
        <v>37</v>
      </c>
      <c r="I193" t="s">
        <v>23</v>
      </c>
      <c r="J193" t="s">
        <v>605</v>
      </c>
      <c r="K193" t="s">
        <v>330</v>
      </c>
      <c r="L193">
        <v>37064</v>
      </c>
      <c r="M193" t="s">
        <v>26</v>
      </c>
      <c r="N193" t="s">
        <v>813</v>
      </c>
      <c r="O193" t="s">
        <v>28</v>
      </c>
      <c r="P193" t="s">
        <v>61</v>
      </c>
      <c r="Q193" t="s">
        <v>814</v>
      </c>
      <c r="R193">
        <v>35.167999999999999</v>
      </c>
      <c r="S193" t="str">
        <f>TEXT(sales_data[[#This Row],[Order Date]],"mm")</f>
        <v>06</v>
      </c>
      <c r="T193">
        <f>YEAR(sales_data[[#This Row],[Order Date]])</f>
        <v>2018</v>
      </c>
      <c r="U193" s="8" t="s">
        <v>1760</v>
      </c>
      <c r="V193" t="s">
        <v>813</v>
      </c>
    </row>
    <row r="194" spans="1:22" x14ac:dyDescent="0.35">
      <c r="A194">
        <v>206</v>
      </c>
      <c r="B194" t="s">
        <v>815</v>
      </c>
      <c r="C194" s="1">
        <v>43443</v>
      </c>
      <c r="D194" s="1">
        <v>43448</v>
      </c>
      <c r="E194" t="s">
        <v>46</v>
      </c>
      <c r="F194" t="s">
        <v>816</v>
      </c>
      <c r="G194" t="s">
        <v>817</v>
      </c>
      <c r="H194" t="s">
        <v>22</v>
      </c>
      <c r="I194" t="s">
        <v>23</v>
      </c>
      <c r="J194" t="s">
        <v>818</v>
      </c>
      <c r="K194" t="s">
        <v>39</v>
      </c>
      <c r="L194">
        <v>90604</v>
      </c>
      <c r="M194" t="s">
        <v>40</v>
      </c>
      <c r="N194" t="s">
        <v>819</v>
      </c>
      <c r="O194" t="s">
        <v>67</v>
      </c>
      <c r="P194" t="s">
        <v>68</v>
      </c>
      <c r="Q194" t="s">
        <v>820</v>
      </c>
      <c r="R194">
        <v>444.76799999999997</v>
      </c>
      <c r="S194" t="str">
        <f>TEXT(sales_data[[#This Row],[Order Date]],"mm")</f>
        <v>12</v>
      </c>
      <c r="T194">
        <f>YEAR(sales_data[[#This Row],[Order Date]])</f>
        <v>2018</v>
      </c>
      <c r="U194" s="7" t="s">
        <v>1765</v>
      </c>
      <c r="V194" t="s">
        <v>819</v>
      </c>
    </row>
    <row r="195" spans="1:22" x14ac:dyDescent="0.35">
      <c r="A195">
        <v>207</v>
      </c>
      <c r="B195" t="s">
        <v>821</v>
      </c>
      <c r="C195" s="1">
        <v>43435</v>
      </c>
      <c r="D195" s="1">
        <v>43441</v>
      </c>
      <c r="E195" t="s">
        <v>46</v>
      </c>
      <c r="F195" t="s">
        <v>822</v>
      </c>
      <c r="G195" t="s">
        <v>823</v>
      </c>
      <c r="H195" t="s">
        <v>22</v>
      </c>
      <c r="I195" t="s">
        <v>23</v>
      </c>
      <c r="J195" t="s">
        <v>824</v>
      </c>
      <c r="K195" t="s">
        <v>233</v>
      </c>
      <c r="L195">
        <v>48601</v>
      </c>
      <c r="M195" t="s">
        <v>101</v>
      </c>
      <c r="N195" t="s">
        <v>825</v>
      </c>
      <c r="O195" t="s">
        <v>42</v>
      </c>
      <c r="P195" t="s">
        <v>55</v>
      </c>
      <c r="Q195" t="s">
        <v>826</v>
      </c>
      <c r="R195">
        <v>83.92</v>
      </c>
      <c r="S195" t="str">
        <f>TEXT(sales_data[[#This Row],[Order Date]],"mm")</f>
        <v>12</v>
      </c>
      <c r="T195">
        <f>YEAR(sales_data[[#This Row],[Order Date]])</f>
        <v>2018</v>
      </c>
      <c r="U195" s="8" t="s">
        <v>1769</v>
      </c>
      <c r="V195" t="s">
        <v>825</v>
      </c>
    </row>
    <row r="196" spans="1:22" x14ac:dyDescent="0.35">
      <c r="A196">
        <v>208</v>
      </c>
      <c r="B196" t="s">
        <v>821</v>
      </c>
      <c r="C196" s="1">
        <v>43435</v>
      </c>
      <c r="D196" s="1">
        <v>43441</v>
      </c>
      <c r="E196" t="s">
        <v>46</v>
      </c>
      <c r="F196" t="s">
        <v>822</v>
      </c>
      <c r="G196" t="s">
        <v>823</v>
      </c>
      <c r="H196" t="s">
        <v>22</v>
      </c>
      <c r="I196" t="s">
        <v>23</v>
      </c>
      <c r="J196" t="s">
        <v>824</v>
      </c>
      <c r="K196" t="s">
        <v>233</v>
      </c>
      <c r="L196">
        <v>48601</v>
      </c>
      <c r="M196" t="s">
        <v>101</v>
      </c>
      <c r="N196" t="s">
        <v>827</v>
      </c>
      <c r="O196" t="s">
        <v>67</v>
      </c>
      <c r="P196" t="s">
        <v>68</v>
      </c>
      <c r="Q196" t="s">
        <v>828</v>
      </c>
      <c r="R196">
        <v>131.97999999999999</v>
      </c>
      <c r="S196" t="str">
        <f>TEXT(sales_data[[#This Row],[Order Date]],"mm")</f>
        <v>12</v>
      </c>
      <c r="T196">
        <f>YEAR(sales_data[[#This Row],[Order Date]])</f>
        <v>2018</v>
      </c>
      <c r="U196" s="8" t="s">
        <v>1775</v>
      </c>
      <c r="V196" t="s">
        <v>827</v>
      </c>
    </row>
    <row r="197" spans="1:22" x14ac:dyDescent="0.35">
      <c r="A197">
        <v>210</v>
      </c>
      <c r="B197" t="s">
        <v>821</v>
      </c>
      <c r="C197" s="1">
        <v>43435</v>
      </c>
      <c r="D197" s="1">
        <v>43441</v>
      </c>
      <c r="E197" t="s">
        <v>46</v>
      </c>
      <c r="F197" t="s">
        <v>822</v>
      </c>
      <c r="G197" t="s">
        <v>823</v>
      </c>
      <c r="H197" t="s">
        <v>22</v>
      </c>
      <c r="I197" t="s">
        <v>23</v>
      </c>
      <c r="J197" t="s">
        <v>824</v>
      </c>
      <c r="K197" t="s">
        <v>233</v>
      </c>
      <c r="L197">
        <v>48601</v>
      </c>
      <c r="M197" t="s">
        <v>101</v>
      </c>
      <c r="N197" t="s">
        <v>829</v>
      </c>
      <c r="O197" t="s">
        <v>42</v>
      </c>
      <c r="P197" t="s">
        <v>264</v>
      </c>
      <c r="Q197" t="s">
        <v>830</v>
      </c>
      <c r="R197">
        <v>52.29</v>
      </c>
      <c r="S197" t="str">
        <f>TEXT(sales_data[[#This Row],[Order Date]],"mm")</f>
        <v>12</v>
      </c>
      <c r="T197">
        <f>YEAR(sales_data[[#This Row],[Order Date]])</f>
        <v>2018</v>
      </c>
      <c r="U197" s="8" t="s">
        <v>1789</v>
      </c>
      <c r="V197" t="s">
        <v>829</v>
      </c>
    </row>
    <row r="198" spans="1:22" x14ac:dyDescent="0.35">
      <c r="A198">
        <v>211</v>
      </c>
      <c r="B198" t="s">
        <v>821</v>
      </c>
      <c r="C198" s="1">
        <v>43435</v>
      </c>
      <c r="D198" s="1">
        <v>43441</v>
      </c>
      <c r="E198" t="s">
        <v>46</v>
      </c>
      <c r="F198" t="s">
        <v>822</v>
      </c>
      <c r="G198" t="s">
        <v>823</v>
      </c>
      <c r="H198" t="s">
        <v>22</v>
      </c>
      <c r="I198" t="s">
        <v>23</v>
      </c>
      <c r="J198" t="s">
        <v>824</v>
      </c>
      <c r="K198" t="s">
        <v>233</v>
      </c>
      <c r="L198">
        <v>48601</v>
      </c>
      <c r="M198" t="s">
        <v>101</v>
      </c>
      <c r="N198" t="s">
        <v>831</v>
      </c>
      <c r="O198" t="s">
        <v>42</v>
      </c>
      <c r="P198" t="s">
        <v>55</v>
      </c>
      <c r="Q198" t="s">
        <v>832</v>
      </c>
      <c r="R198">
        <v>91.99</v>
      </c>
      <c r="S198" t="str">
        <f>TEXT(sales_data[[#This Row],[Order Date]],"mm")</f>
        <v>12</v>
      </c>
      <c r="T198">
        <f>YEAR(sales_data[[#This Row],[Order Date]])</f>
        <v>2018</v>
      </c>
      <c r="U198" s="8" t="s">
        <v>1794</v>
      </c>
      <c r="V198" t="s">
        <v>831</v>
      </c>
    </row>
    <row r="199" spans="1:22" x14ac:dyDescent="0.35">
      <c r="A199">
        <v>212</v>
      </c>
      <c r="B199" t="s">
        <v>833</v>
      </c>
      <c r="C199" s="1">
        <v>42409</v>
      </c>
      <c r="D199" s="1">
        <v>42413</v>
      </c>
      <c r="E199" t="s">
        <v>19</v>
      </c>
      <c r="F199" t="s">
        <v>834</v>
      </c>
      <c r="G199" t="s">
        <v>835</v>
      </c>
      <c r="H199" t="s">
        <v>37</v>
      </c>
      <c r="I199" t="s">
        <v>23</v>
      </c>
      <c r="J199" t="s">
        <v>807</v>
      </c>
      <c r="K199" t="s">
        <v>100</v>
      </c>
      <c r="L199">
        <v>75220</v>
      </c>
      <c r="M199" t="s">
        <v>101</v>
      </c>
      <c r="N199" t="s">
        <v>836</v>
      </c>
      <c r="O199" t="s">
        <v>67</v>
      </c>
      <c r="P199" t="s">
        <v>156</v>
      </c>
      <c r="Q199" t="s">
        <v>837</v>
      </c>
      <c r="R199">
        <v>20.8</v>
      </c>
      <c r="S199" t="str">
        <f>TEXT(sales_data[[#This Row],[Order Date]],"mm")</f>
        <v>02</v>
      </c>
      <c r="T199">
        <f>YEAR(sales_data[[#This Row],[Order Date]])</f>
        <v>2016</v>
      </c>
      <c r="U199" s="7" t="s">
        <v>1800</v>
      </c>
      <c r="V199" t="s">
        <v>836</v>
      </c>
    </row>
    <row r="200" spans="1:22" x14ac:dyDescent="0.35">
      <c r="A200">
        <v>213</v>
      </c>
      <c r="B200" t="s">
        <v>838</v>
      </c>
      <c r="C200" s="1">
        <v>42371</v>
      </c>
      <c r="D200" s="1">
        <v>42378</v>
      </c>
      <c r="E200" t="s">
        <v>46</v>
      </c>
      <c r="F200" t="s">
        <v>839</v>
      </c>
      <c r="G200" t="s">
        <v>840</v>
      </c>
      <c r="H200" t="s">
        <v>37</v>
      </c>
      <c r="I200" t="s">
        <v>23</v>
      </c>
      <c r="J200" t="s">
        <v>841</v>
      </c>
      <c r="K200" t="s">
        <v>493</v>
      </c>
      <c r="L200">
        <v>44256</v>
      </c>
      <c r="M200" t="s">
        <v>144</v>
      </c>
      <c r="N200" t="s">
        <v>842</v>
      </c>
      <c r="O200" t="s">
        <v>42</v>
      </c>
      <c r="P200" t="s">
        <v>43</v>
      </c>
      <c r="Q200" t="s">
        <v>843</v>
      </c>
      <c r="R200">
        <v>23.68</v>
      </c>
      <c r="S200" t="str">
        <f>TEXT(sales_data[[#This Row],[Order Date]],"mm")</f>
        <v>01</v>
      </c>
      <c r="T200">
        <f>YEAR(sales_data[[#This Row],[Order Date]])</f>
        <v>2016</v>
      </c>
      <c r="U200" s="8" t="s">
        <v>1806</v>
      </c>
      <c r="V200" t="s">
        <v>842</v>
      </c>
    </row>
    <row r="201" spans="1:22" x14ac:dyDescent="0.35">
      <c r="A201">
        <v>214</v>
      </c>
      <c r="B201" t="s">
        <v>838</v>
      </c>
      <c r="C201" s="1">
        <v>42371</v>
      </c>
      <c r="D201" s="1">
        <v>42378</v>
      </c>
      <c r="E201" t="s">
        <v>46</v>
      </c>
      <c r="F201" t="s">
        <v>839</v>
      </c>
      <c r="G201" t="s">
        <v>840</v>
      </c>
      <c r="H201" t="s">
        <v>37</v>
      </c>
      <c r="I201" t="s">
        <v>23</v>
      </c>
      <c r="J201" t="s">
        <v>841</v>
      </c>
      <c r="K201" t="s">
        <v>493</v>
      </c>
      <c r="L201">
        <v>44256</v>
      </c>
      <c r="M201" t="s">
        <v>144</v>
      </c>
      <c r="N201" t="s">
        <v>844</v>
      </c>
      <c r="O201" t="s">
        <v>28</v>
      </c>
      <c r="P201" t="s">
        <v>29</v>
      </c>
      <c r="Q201" t="s">
        <v>845</v>
      </c>
      <c r="R201">
        <v>452.45</v>
      </c>
      <c r="S201" t="str">
        <f>TEXT(sales_data[[#This Row],[Order Date]],"mm")</f>
        <v>01</v>
      </c>
      <c r="T201">
        <f>YEAR(sales_data[[#This Row],[Order Date]])</f>
        <v>2016</v>
      </c>
      <c r="U201" s="8" t="s">
        <v>1814</v>
      </c>
      <c r="V201" t="s">
        <v>844</v>
      </c>
    </row>
    <row r="202" spans="1:22" x14ac:dyDescent="0.35">
      <c r="A202">
        <v>216</v>
      </c>
      <c r="B202" t="s">
        <v>838</v>
      </c>
      <c r="C202" s="1">
        <v>42371</v>
      </c>
      <c r="D202" s="1">
        <v>42378</v>
      </c>
      <c r="E202" t="s">
        <v>46</v>
      </c>
      <c r="F202" t="s">
        <v>839</v>
      </c>
      <c r="G202" t="s">
        <v>840</v>
      </c>
      <c r="H202" t="s">
        <v>37</v>
      </c>
      <c r="I202" t="s">
        <v>23</v>
      </c>
      <c r="J202" t="s">
        <v>841</v>
      </c>
      <c r="K202" t="s">
        <v>493</v>
      </c>
      <c r="L202">
        <v>44256</v>
      </c>
      <c r="M202" t="s">
        <v>144</v>
      </c>
      <c r="N202" t="s">
        <v>846</v>
      </c>
      <c r="O202" t="s">
        <v>67</v>
      </c>
      <c r="P202" t="s">
        <v>675</v>
      </c>
      <c r="Q202" t="s">
        <v>847</v>
      </c>
      <c r="R202">
        <v>1188</v>
      </c>
      <c r="S202" t="str">
        <f>TEXT(sales_data[[#This Row],[Order Date]],"mm")</f>
        <v>01</v>
      </c>
      <c r="T202">
        <f>YEAR(sales_data[[#This Row],[Order Date]])</f>
        <v>2016</v>
      </c>
      <c r="U202" s="8" t="s">
        <v>1829</v>
      </c>
      <c r="V202" t="s">
        <v>846</v>
      </c>
    </row>
    <row r="203" spans="1:22" x14ac:dyDescent="0.35">
      <c r="A203">
        <v>217</v>
      </c>
      <c r="B203" t="s">
        <v>838</v>
      </c>
      <c r="C203" s="1">
        <v>42371</v>
      </c>
      <c r="D203" s="1">
        <v>42378</v>
      </c>
      <c r="E203" t="s">
        <v>46</v>
      </c>
      <c r="F203" t="s">
        <v>839</v>
      </c>
      <c r="G203" t="s">
        <v>840</v>
      </c>
      <c r="H203" t="s">
        <v>37</v>
      </c>
      <c r="I203" t="s">
        <v>23</v>
      </c>
      <c r="J203" t="s">
        <v>841</v>
      </c>
      <c r="K203" t="s">
        <v>493</v>
      </c>
      <c r="L203">
        <v>44256</v>
      </c>
      <c r="M203" t="s">
        <v>144</v>
      </c>
      <c r="N203" t="s">
        <v>848</v>
      </c>
      <c r="O203" t="s">
        <v>67</v>
      </c>
      <c r="P203" t="s">
        <v>156</v>
      </c>
      <c r="Q203" t="s">
        <v>849</v>
      </c>
      <c r="R203">
        <v>89.584000000000003</v>
      </c>
      <c r="S203" t="str">
        <f>TEXT(sales_data[[#This Row],[Order Date]],"mm")</f>
        <v>01</v>
      </c>
      <c r="T203">
        <f>YEAR(sales_data[[#This Row],[Order Date]])</f>
        <v>2016</v>
      </c>
      <c r="U203" s="8" t="s">
        <v>1838</v>
      </c>
      <c r="V203" t="s">
        <v>848</v>
      </c>
    </row>
    <row r="204" spans="1:22" x14ac:dyDescent="0.35">
      <c r="A204">
        <v>219</v>
      </c>
      <c r="B204" t="s">
        <v>850</v>
      </c>
      <c r="C204" s="1">
        <v>43036</v>
      </c>
      <c r="D204" s="1">
        <v>43040</v>
      </c>
      <c r="E204" t="s">
        <v>46</v>
      </c>
      <c r="F204" t="s">
        <v>851</v>
      </c>
      <c r="G204" t="s">
        <v>852</v>
      </c>
      <c r="H204" t="s">
        <v>22</v>
      </c>
      <c r="I204" t="s">
        <v>23</v>
      </c>
      <c r="J204" t="s">
        <v>38</v>
      </c>
      <c r="K204" t="s">
        <v>39</v>
      </c>
      <c r="L204">
        <v>90032</v>
      </c>
      <c r="M204" t="s">
        <v>40</v>
      </c>
      <c r="N204" t="s">
        <v>853</v>
      </c>
      <c r="O204" t="s">
        <v>67</v>
      </c>
      <c r="P204" t="s">
        <v>68</v>
      </c>
      <c r="Q204" t="s">
        <v>854</v>
      </c>
      <c r="R204">
        <v>302.37599999999998</v>
      </c>
      <c r="S204" t="str">
        <f>TEXT(sales_data[[#This Row],[Order Date]],"mm")</f>
        <v>10</v>
      </c>
      <c r="T204">
        <f>YEAR(sales_data[[#This Row],[Order Date]])</f>
        <v>2017</v>
      </c>
      <c r="U204" s="8" t="s">
        <v>1855</v>
      </c>
      <c r="V204" t="s">
        <v>853</v>
      </c>
    </row>
    <row r="205" spans="1:22" x14ac:dyDescent="0.35">
      <c r="A205">
        <v>220</v>
      </c>
      <c r="B205" t="s">
        <v>855</v>
      </c>
      <c r="C205" s="1">
        <v>42728</v>
      </c>
      <c r="D205" s="1">
        <v>42731</v>
      </c>
      <c r="E205" t="s">
        <v>183</v>
      </c>
      <c r="F205" t="s">
        <v>856</v>
      </c>
      <c r="G205" t="s">
        <v>857</v>
      </c>
      <c r="H205" t="s">
        <v>22</v>
      </c>
      <c r="I205" t="s">
        <v>23</v>
      </c>
      <c r="J205" t="s">
        <v>858</v>
      </c>
      <c r="K205" t="s">
        <v>493</v>
      </c>
      <c r="L205">
        <v>43017</v>
      </c>
      <c r="M205" t="s">
        <v>144</v>
      </c>
      <c r="N205" t="s">
        <v>859</v>
      </c>
      <c r="O205" t="s">
        <v>42</v>
      </c>
      <c r="P205" t="s">
        <v>264</v>
      </c>
      <c r="Q205" t="s">
        <v>860</v>
      </c>
      <c r="R205">
        <v>5.5839999999999996</v>
      </c>
      <c r="S205" t="str">
        <f>TEXT(sales_data[[#This Row],[Order Date]],"mm")</f>
        <v>12</v>
      </c>
      <c r="T205">
        <f>YEAR(sales_data[[#This Row],[Order Date]])</f>
        <v>2016</v>
      </c>
      <c r="U205" s="7" t="s">
        <v>1864</v>
      </c>
      <c r="V205" t="s">
        <v>859</v>
      </c>
    </row>
    <row r="206" spans="1:22" x14ac:dyDescent="0.35">
      <c r="A206">
        <v>221</v>
      </c>
      <c r="B206" t="s">
        <v>855</v>
      </c>
      <c r="C206" s="1">
        <v>42728</v>
      </c>
      <c r="D206" s="1">
        <v>42731</v>
      </c>
      <c r="E206" t="s">
        <v>183</v>
      </c>
      <c r="F206" t="s">
        <v>856</v>
      </c>
      <c r="G206" t="s">
        <v>857</v>
      </c>
      <c r="H206" t="s">
        <v>22</v>
      </c>
      <c r="I206" t="s">
        <v>23</v>
      </c>
      <c r="J206" t="s">
        <v>858</v>
      </c>
      <c r="K206" t="s">
        <v>493</v>
      </c>
      <c r="L206">
        <v>43017</v>
      </c>
      <c r="M206" t="s">
        <v>144</v>
      </c>
      <c r="N206" t="s">
        <v>861</v>
      </c>
      <c r="O206" t="s">
        <v>42</v>
      </c>
      <c r="P206" t="s">
        <v>86</v>
      </c>
      <c r="Q206" t="s">
        <v>862</v>
      </c>
      <c r="R206">
        <v>22.704000000000001</v>
      </c>
      <c r="S206" t="str">
        <f>TEXT(sales_data[[#This Row],[Order Date]],"mm")</f>
        <v>12</v>
      </c>
      <c r="T206">
        <f>YEAR(sales_data[[#This Row],[Order Date]])</f>
        <v>2016</v>
      </c>
      <c r="U206" s="8" t="s">
        <v>1869</v>
      </c>
      <c r="V206" t="s">
        <v>861</v>
      </c>
    </row>
    <row r="207" spans="1:22" x14ac:dyDescent="0.35">
      <c r="A207">
        <v>223</v>
      </c>
      <c r="B207" t="s">
        <v>855</v>
      </c>
      <c r="C207" s="1">
        <v>42728</v>
      </c>
      <c r="D207" s="1">
        <v>42731</v>
      </c>
      <c r="E207" t="s">
        <v>183</v>
      </c>
      <c r="F207" t="s">
        <v>856</v>
      </c>
      <c r="G207" t="s">
        <v>857</v>
      </c>
      <c r="H207" t="s">
        <v>22</v>
      </c>
      <c r="I207" t="s">
        <v>23</v>
      </c>
      <c r="J207" t="s">
        <v>858</v>
      </c>
      <c r="K207" t="s">
        <v>493</v>
      </c>
      <c r="L207">
        <v>43017</v>
      </c>
      <c r="M207" t="s">
        <v>144</v>
      </c>
      <c r="N207" t="s">
        <v>863</v>
      </c>
      <c r="O207" t="s">
        <v>28</v>
      </c>
      <c r="P207" t="s">
        <v>61</v>
      </c>
      <c r="Q207" t="s">
        <v>864</v>
      </c>
      <c r="R207">
        <v>72.703999999999994</v>
      </c>
      <c r="S207" t="str">
        <f>TEXT(sales_data[[#This Row],[Order Date]],"mm")</f>
        <v>12</v>
      </c>
      <c r="T207">
        <f>YEAR(sales_data[[#This Row],[Order Date]])</f>
        <v>2016</v>
      </c>
      <c r="U207" s="8" t="s">
        <v>1883</v>
      </c>
      <c r="V207" t="s">
        <v>863</v>
      </c>
    </row>
    <row r="208" spans="1:22" x14ac:dyDescent="0.35">
      <c r="A208">
        <v>224</v>
      </c>
      <c r="B208" t="s">
        <v>855</v>
      </c>
      <c r="C208" s="1">
        <v>42728</v>
      </c>
      <c r="D208" s="1">
        <v>42731</v>
      </c>
      <c r="E208" t="s">
        <v>183</v>
      </c>
      <c r="F208" t="s">
        <v>856</v>
      </c>
      <c r="G208" t="s">
        <v>857</v>
      </c>
      <c r="H208" t="s">
        <v>22</v>
      </c>
      <c r="I208" t="s">
        <v>23</v>
      </c>
      <c r="J208" t="s">
        <v>858</v>
      </c>
      <c r="K208" t="s">
        <v>493</v>
      </c>
      <c r="L208">
        <v>43017</v>
      </c>
      <c r="M208" t="s">
        <v>144</v>
      </c>
      <c r="N208" t="s">
        <v>865</v>
      </c>
      <c r="O208" t="s">
        <v>67</v>
      </c>
      <c r="P208" t="s">
        <v>675</v>
      </c>
      <c r="Q208" t="s">
        <v>866</v>
      </c>
      <c r="R208">
        <v>479.988</v>
      </c>
      <c r="S208" t="str">
        <f>TEXT(sales_data[[#This Row],[Order Date]],"mm")</f>
        <v>12</v>
      </c>
      <c r="T208">
        <f>YEAR(sales_data[[#This Row],[Order Date]])</f>
        <v>2016</v>
      </c>
      <c r="U208" s="7" t="s">
        <v>1890</v>
      </c>
      <c r="V208" t="s">
        <v>865</v>
      </c>
    </row>
    <row r="209" spans="1:22" x14ac:dyDescent="0.35">
      <c r="A209">
        <v>225</v>
      </c>
      <c r="B209" t="s">
        <v>855</v>
      </c>
      <c r="C209" s="1">
        <v>42728</v>
      </c>
      <c r="D209" s="1">
        <v>42731</v>
      </c>
      <c r="E209" t="s">
        <v>183</v>
      </c>
      <c r="F209" t="s">
        <v>856</v>
      </c>
      <c r="G209" t="s">
        <v>857</v>
      </c>
      <c r="H209" t="s">
        <v>22</v>
      </c>
      <c r="I209" t="s">
        <v>23</v>
      </c>
      <c r="J209" t="s">
        <v>858</v>
      </c>
      <c r="K209" t="s">
        <v>493</v>
      </c>
      <c r="L209">
        <v>43017</v>
      </c>
      <c r="M209" t="s">
        <v>144</v>
      </c>
      <c r="N209" t="s">
        <v>867</v>
      </c>
      <c r="O209" t="s">
        <v>42</v>
      </c>
      <c r="P209" t="s">
        <v>64</v>
      </c>
      <c r="Q209" t="s">
        <v>868</v>
      </c>
      <c r="R209">
        <v>27.167999999999999</v>
      </c>
      <c r="S209" t="str">
        <f>TEXT(sales_data[[#This Row],[Order Date]],"mm")</f>
        <v>12</v>
      </c>
      <c r="T209">
        <f>YEAR(sales_data[[#This Row],[Order Date]])</f>
        <v>2016</v>
      </c>
      <c r="U209" s="8" t="s">
        <v>1895</v>
      </c>
      <c r="V209" t="s">
        <v>867</v>
      </c>
    </row>
    <row r="210" spans="1:22" x14ac:dyDescent="0.35">
      <c r="A210">
        <v>226</v>
      </c>
      <c r="B210" t="s">
        <v>869</v>
      </c>
      <c r="C210" s="1">
        <v>42591</v>
      </c>
      <c r="D210" s="1">
        <v>42598</v>
      </c>
      <c r="E210" t="s">
        <v>46</v>
      </c>
      <c r="F210" t="s">
        <v>870</v>
      </c>
      <c r="G210" t="s">
        <v>871</v>
      </c>
      <c r="H210" t="s">
        <v>37</v>
      </c>
      <c r="I210" t="s">
        <v>23</v>
      </c>
      <c r="J210" t="s">
        <v>872</v>
      </c>
      <c r="K210" t="s">
        <v>233</v>
      </c>
      <c r="L210">
        <v>48227</v>
      </c>
      <c r="M210" t="s">
        <v>101</v>
      </c>
      <c r="N210" t="s">
        <v>873</v>
      </c>
      <c r="O210" t="s">
        <v>42</v>
      </c>
      <c r="P210" t="s">
        <v>64</v>
      </c>
      <c r="Q210" t="s">
        <v>874</v>
      </c>
      <c r="R210">
        <v>2.2000000000000002</v>
      </c>
      <c r="S210" t="str">
        <f>TEXT(sales_data[[#This Row],[Order Date]],"mm")</f>
        <v>08</v>
      </c>
      <c r="T210">
        <f>YEAR(sales_data[[#This Row],[Order Date]])</f>
        <v>2016</v>
      </c>
      <c r="U210" s="8" t="s">
        <v>1900</v>
      </c>
      <c r="V210" t="s">
        <v>873</v>
      </c>
    </row>
    <row r="211" spans="1:22" x14ac:dyDescent="0.35">
      <c r="A211">
        <v>227</v>
      </c>
      <c r="B211" t="s">
        <v>869</v>
      </c>
      <c r="C211" s="1">
        <v>42591</v>
      </c>
      <c r="D211" s="1">
        <v>42598</v>
      </c>
      <c r="E211" t="s">
        <v>46</v>
      </c>
      <c r="F211" t="s">
        <v>870</v>
      </c>
      <c r="G211" t="s">
        <v>871</v>
      </c>
      <c r="H211" t="s">
        <v>37</v>
      </c>
      <c r="I211" t="s">
        <v>23</v>
      </c>
      <c r="J211" t="s">
        <v>872</v>
      </c>
      <c r="K211" t="s">
        <v>233</v>
      </c>
      <c r="L211">
        <v>48227</v>
      </c>
      <c r="M211" t="s">
        <v>101</v>
      </c>
      <c r="N211" t="s">
        <v>875</v>
      </c>
      <c r="O211" t="s">
        <v>28</v>
      </c>
      <c r="P211" t="s">
        <v>52</v>
      </c>
      <c r="Q211" t="s">
        <v>876</v>
      </c>
      <c r="R211">
        <v>622.45000000000005</v>
      </c>
      <c r="S211" t="str">
        <f>TEXT(sales_data[[#This Row],[Order Date]],"mm")</f>
        <v>08</v>
      </c>
      <c r="T211">
        <f>YEAR(sales_data[[#This Row],[Order Date]])</f>
        <v>2016</v>
      </c>
      <c r="U211" s="8" t="s">
        <v>1911</v>
      </c>
      <c r="V211" t="s">
        <v>875</v>
      </c>
    </row>
    <row r="212" spans="1:22" x14ac:dyDescent="0.35">
      <c r="A212">
        <v>228</v>
      </c>
      <c r="B212" t="s">
        <v>869</v>
      </c>
      <c r="C212" s="1">
        <v>42591</v>
      </c>
      <c r="D212" s="1">
        <v>42598</v>
      </c>
      <c r="E212" t="s">
        <v>46</v>
      </c>
      <c r="F212" t="s">
        <v>870</v>
      </c>
      <c r="G212" t="s">
        <v>871</v>
      </c>
      <c r="H212" t="s">
        <v>37</v>
      </c>
      <c r="I212" t="s">
        <v>23</v>
      </c>
      <c r="J212" t="s">
        <v>872</v>
      </c>
      <c r="K212" t="s">
        <v>233</v>
      </c>
      <c r="L212">
        <v>48227</v>
      </c>
      <c r="M212" t="s">
        <v>101</v>
      </c>
      <c r="N212" t="s">
        <v>877</v>
      </c>
      <c r="O212" t="s">
        <v>42</v>
      </c>
      <c r="P212" t="s">
        <v>55</v>
      </c>
      <c r="Q212" t="s">
        <v>878</v>
      </c>
      <c r="R212">
        <v>21.98</v>
      </c>
      <c r="S212" t="str">
        <f>TEXT(sales_data[[#This Row],[Order Date]],"mm")</f>
        <v>08</v>
      </c>
      <c r="T212">
        <f>YEAR(sales_data[[#This Row],[Order Date]])</f>
        <v>2016</v>
      </c>
      <c r="U212" s="8" t="s">
        <v>1916</v>
      </c>
      <c r="V212" t="s">
        <v>877</v>
      </c>
    </row>
    <row r="213" spans="1:22" x14ac:dyDescent="0.35">
      <c r="A213">
        <v>229</v>
      </c>
      <c r="B213" t="s">
        <v>879</v>
      </c>
      <c r="C213" s="1">
        <v>42428</v>
      </c>
      <c r="D213" s="1">
        <v>42433</v>
      </c>
      <c r="E213" t="s">
        <v>46</v>
      </c>
      <c r="F213" t="s">
        <v>880</v>
      </c>
      <c r="G213" t="s">
        <v>881</v>
      </c>
      <c r="H213" t="s">
        <v>22</v>
      </c>
      <c r="I213" t="s">
        <v>23</v>
      </c>
      <c r="J213" t="s">
        <v>377</v>
      </c>
      <c r="K213" t="s">
        <v>330</v>
      </c>
      <c r="L213">
        <v>38401</v>
      </c>
      <c r="M213" t="s">
        <v>26</v>
      </c>
      <c r="N213" t="s">
        <v>882</v>
      </c>
      <c r="O213" t="s">
        <v>28</v>
      </c>
      <c r="P213" t="s">
        <v>32</v>
      </c>
      <c r="Q213" t="s">
        <v>883</v>
      </c>
      <c r="R213">
        <v>161.56800000000001</v>
      </c>
      <c r="S213" t="str">
        <f>TEXT(sales_data[[#This Row],[Order Date]],"mm")</f>
        <v>02</v>
      </c>
      <c r="T213">
        <f>YEAR(sales_data[[#This Row],[Order Date]])</f>
        <v>2016</v>
      </c>
      <c r="U213" s="8" t="s">
        <v>1922</v>
      </c>
      <c r="V213" t="s">
        <v>882</v>
      </c>
    </row>
    <row r="214" spans="1:22" x14ac:dyDescent="0.35">
      <c r="A214">
        <v>230</v>
      </c>
      <c r="B214" t="s">
        <v>879</v>
      </c>
      <c r="C214" s="1">
        <v>42428</v>
      </c>
      <c r="D214" s="1">
        <v>42433</v>
      </c>
      <c r="E214" t="s">
        <v>46</v>
      </c>
      <c r="F214" t="s">
        <v>880</v>
      </c>
      <c r="G214" t="s">
        <v>881</v>
      </c>
      <c r="H214" t="s">
        <v>22</v>
      </c>
      <c r="I214" t="s">
        <v>23</v>
      </c>
      <c r="J214" t="s">
        <v>377</v>
      </c>
      <c r="K214" t="s">
        <v>330</v>
      </c>
      <c r="L214">
        <v>38401</v>
      </c>
      <c r="M214" t="s">
        <v>26</v>
      </c>
      <c r="N214" t="s">
        <v>884</v>
      </c>
      <c r="O214" t="s">
        <v>28</v>
      </c>
      <c r="P214" t="s">
        <v>32</v>
      </c>
      <c r="Q214" t="s">
        <v>885</v>
      </c>
      <c r="R214">
        <v>389.69600000000003</v>
      </c>
      <c r="S214" t="str">
        <f>TEXT(sales_data[[#This Row],[Order Date]],"mm")</f>
        <v>02</v>
      </c>
      <c r="T214">
        <f>YEAR(sales_data[[#This Row],[Order Date]])</f>
        <v>2016</v>
      </c>
      <c r="U214" s="8" t="s">
        <v>1929</v>
      </c>
      <c r="V214" t="s">
        <v>884</v>
      </c>
    </row>
    <row r="215" spans="1:22" x14ac:dyDescent="0.35">
      <c r="A215">
        <v>231</v>
      </c>
      <c r="B215" t="s">
        <v>886</v>
      </c>
      <c r="C215" s="1">
        <v>42260</v>
      </c>
      <c r="D215" s="1">
        <v>42264</v>
      </c>
      <c r="E215" t="s">
        <v>46</v>
      </c>
      <c r="F215" t="s">
        <v>887</v>
      </c>
      <c r="G215" t="s">
        <v>888</v>
      </c>
      <c r="H215" t="s">
        <v>37</v>
      </c>
      <c r="I215" t="s">
        <v>23</v>
      </c>
      <c r="J215" t="s">
        <v>462</v>
      </c>
      <c r="K215" t="s">
        <v>84</v>
      </c>
      <c r="L215">
        <v>28205</v>
      </c>
      <c r="M215" t="s">
        <v>26</v>
      </c>
      <c r="N215" t="s">
        <v>889</v>
      </c>
      <c r="O215" t="s">
        <v>42</v>
      </c>
      <c r="P215" t="s">
        <v>71</v>
      </c>
      <c r="Q215" t="s">
        <v>890</v>
      </c>
      <c r="R215">
        <v>18.648</v>
      </c>
      <c r="S215" t="str">
        <f>TEXT(sales_data[[#This Row],[Order Date]],"mm")</f>
        <v>09</v>
      </c>
      <c r="T215">
        <f>YEAR(sales_data[[#This Row],[Order Date]])</f>
        <v>2015</v>
      </c>
      <c r="U215" s="8" t="s">
        <v>1934</v>
      </c>
      <c r="V215" t="s">
        <v>889</v>
      </c>
    </row>
    <row r="216" spans="1:22" x14ac:dyDescent="0.35">
      <c r="A216">
        <v>232</v>
      </c>
      <c r="B216" t="s">
        <v>891</v>
      </c>
      <c r="C216" s="1">
        <v>43197</v>
      </c>
      <c r="D216" s="1">
        <v>43202</v>
      </c>
      <c r="E216" t="s">
        <v>46</v>
      </c>
      <c r="F216" t="s">
        <v>372</v>
      </c>
      <c r="G216" t="s">
        <v>373</v>
      </c>
      <c r="H216" t="s">
        <v>98</v>
      </c>
      <c r="I216" t="s">
        <v>23</v>
      </c>
      <c r="J216" t="s">
        <v>892</v>
      </c>
      <c r="K216" t="s">
        <v>50</v>
      </c>
      <c r="L216">
        <v>33614</v>
      </c>
      <c r="M216" t="s">
        <v>26</v>
      </c>
      <c r="N216" t="s">
        <v>893</v>
      </c>
      <c r="O216" t="s">
        <v>28</v>
      </c>
      <c r="P216" t="s">
        <v>52</v>
      </c>
      <c r="Q216" t="s">
        <v>894</v>
      </c>
      <c r="R216">
        <v>233.86</v>
      </c>
      <c r="S216" t="str">
        <f>TEXT(sales_data[[#This Row],[Order Date]],"mm")</f>
        <v>04</v>
      </c>
      <c r="T216">
        <f>YEAR(sales_data[[#This Row],[Order Date]])</f>
        <v>2018</v>
      </c>
      <c r="U216" s="7" t="s">
        <v>1939</v>
      </c>
      <c r="V216" t="s">
        <v>893</v>
      </c>
    </row>
    <row r="217" spans="1:22" x14ac:dyDescent="0.35">
      <c r="A217">
        <v>233</v>
      </c>
      <c r="B217" t="s">
        <v>891</v>
      </c>
      <c r="C217" s="1">
        <v>43197</v>
      </c>
      <c r="D217" s="1">
        <v>43202</v>
      </c>
      <c r="E217" t="s">
        <v>46</v>
      </c>
      <c r="F217" t="s">
        <v>372</v>
      </c>
      <c r="G217" t="s">
        <v>373</v>
      </c>
      <c r="H217" t="s">
        <v>98</v>
      </c>
      <c r="I217" t="s">
        <v>23</v>
      </c>
      <c r="J217" t="s">
        <v>892</v>
      </c>
      <c r="K217" t="s">
        <v>50</v>
      </c>
      <c r="L217">
        <v>33614</v>
      </c>
      <c r="M217" t="s">
        <v>26</v>
      </c>
      <c r="N217" t="s">
        <v>895</v>
      </c>
      <c r="O217" t="s">
        <v>28</v>
      </c>
      <c r="P217" t="s">
        <v>52</v>
      </c>
      <c r="Q217" t="s">
        <v>896</v>
      </c>
      <c r="R217">
        <v>620.61450000000002</v>
      </c>
      <c r="S217" t="str">
        <f>TEXT(sales_data[[#This Row],[Order Date]],"mm")</f>
        <v>04</v>
      </c>
      <c r="T217">
        <f>YEAR(sales_data[[#This Row],[Order Date]])</f>
        <v>2018</v>
      </c>
      <c r="U217" s="8" t="s">
        <v>1946</v>
      </c>
      <c r="V217" t="s">
        <v>895</v>
      </c>
    </row>
    <row r="218" spans="1:22" x14ac:dyDescent="0.35">
      <c r="A218">
        <v>235</v>
      </c>
      <c r="B218" t="s">
        <v>891</v>
      </c>
      <c r="C218" s="1">
        <v>43197</v>
      </c>
      <c r="D218" s="1">
        <v>43202</v>
      </c>
      <c r="E218" t="s">
        <v>46</v>
      </c>
      <c r="F218" t="s">
        <v>372</v>
      </c>
      <c r="G218" t="s">
        <v>373</v>
      </c>
      <c r="H218" t="s">
        <v>98</v>
      </c>
      <c r="I218" t="s">
        <v>23</v>
      </c>
      <c r="J218" t="s">
        <v>892</v>
      </c>
      <c r="K218" t="s">
        <v>50</v>
      </c>
      <c r="L218">
        <v>33614</v>
      </c>
      <c r="M218" t="s">
        <v>26</v>
      </c>
      <c r="N218" t="s">
        <v>897</v>
      </c>
      <c r="O218" t="s">
        <v>28</v>
      </c>
      <c r="P218" t="s">
        <v>61</v>
      </c>
      <c r="Q218" t="s">
        <v>898</v>
      </c>
      <c r="R218">
        <v>258.072</v>
      </c>
      <c r="S218" t="str">
        <f>TEXT(sales_data[[#This Row],[Order Date]],"mm")</f>
        <v>04</v>
      </c>
      <c r="T218">
        <f>YEAR(sales_data[[#This Row],[Order Date]])</f>
        <v>2018</v>
      </c>
      <c r="U218" s="8" t="s">
        <v>1961</v>
      </c>
      <c r="V218" t="s">
        <v>897</v>
      </c>
    </row>
    <row r="219" spans="1:22" x14ac:dyDescent="0.35">
      <c r="A219">
        <v>236</v>
      </c>
      <c r="B219" t="s">
        <v>891</v>
      </c>
      <c r="C219" s="1">
        <v>43197</v>
      </c>
      <c r="D219" s="1">
        <v>43202</v>
      </c>
      <c r="E219" t="s">
        <v>46</v>
      </c>
      <c r="F219" t="s">
        <v>372</v>
      </c>
      <c r="G219" t="s">
        <v>373</v>
      </c>
      <c r="H219" t="s">
        <v>98</v>
      </c>
      <c r="I219" t="s">
        <v>23</v>
      </c>
      <c r="J219" t="s">
        <v>892</v>
      </c>
      <c r="K219" t="s">
        <v>50</v>
      </c>
      <c r="L219">
        <v>33614</v>
      </c>
      <c r="M219" t="s">
        <v>26</v>
      </c>
      <c r="N219" t="s">
        <v>899</v>
      </c>
      <c r="O219" t="s">
        <v>67</v>
      </c>
      <c r="P219" t="s">
        <v>156</v>
      </c>
      <c r="Q219" t="s">
        <v>900</v>
      </c>
      <c r="R219">
        <v>617.976</v>
      </c>
      <c r="S219" t="str">
        <f>TEXT(sales_data[[#This Row],[Order Date]],"mm")</f>
        <v>04</v>
      </c>
      <c r="T219">
        <f>YEAR(sales_data[[#This Row],[Order Date]])</f>
        <v>2018</v>
      </c>
      <c r="U219" s="8" t="s">
        <v>1967</v>
      </c>
      <c r="V219" t="s">
        <v>899</v>
      </c>
    </row>
    <row r="220" spans="1:22" x14ac:dyDescent="0.35">
      <c r="A220">
        <v>237</v>
      </c>
      <c r="B220" t="s">
        <v>901</v>
      </c>
      <c r="C220" s="1">
        <v>43416</v>
      </c>
      <c r="D220" s="1">
        <v>43420</v>
      </c>
      <c r="E220" t="s">
        <v>46</v>
      </c>
      <c r="F220" t="s">
        <v>902</v>
      </c>
      <c r="G220" t="s">
        <v>903</v>
      </c>
      <c r="H220" t="s">
        <v>37</v>
      </c>
      <c r="I220" t="s">
        <v>23</v>
      </c>
      <c r="J220" t="s">
        <v>904</v>
      </c>
      <c r="K220" t="s">
        <v>39</v>
      </c>
      <c r="L220">
        <v>95051</v>
      </c>
      <c r="M220" t="s">
        <v>40</v>
      </c>
      <c r="N220" t="s">
        <v>905</v>
      </c>
      <c r="O220" t="s">
        <v>42</v>
      </c>
      <c r="P220" t="s">
        <v>86</v>
      </c>
      <c r="Q220" t="s">
        <v>906</v>
      </c>
      <c r="R220">
        <v>10.56</v>
      </c>
      <c r="S220" t="str">
        <f>TEXT(sales_data[[#This Row],[Order Date]],"mm")</f>
        <v>11</v>
      </c>
      <c r="T220">
        <f>YEAR(sales_data[[#This Row],[Order Date]])</f>
        <v>2018</v>
      </c>
      <c r="U220" s="8" t="s">
        <v>1974</v>
      </c>
      <c r="V220" t="s">
        <v>905</v>
      </c>
    </row>
    <row r="221" spans="1:22" x14ac:dyDescent="0.35">
      <c r="A221">
        <v>238</v>
      </c>
      <c r="B221" t="s">
        <v>907</v>
      </c>
      <c r="C221" s="1">
        <v>42890</v>
      </c>
      <c r="D221" s="1">
        <v>42895</v>
      </c>
      <c r="E221" t="s">
        <v>19</v>
      </c>
      <c r="F221" t="s">
        <v>908</v>
      </c>
      <c r="G221" t="s">
        <v>909</v>
      </c>
      <c r="H221" t="s">
        <v>22</v>
      </c>
      <c r="I221" t="s">
        <v>23</v>
      </c>
      <c r="J221" t="s">
        <v>298</v>
      </c>
      <c r="K221" t="s">
        <v>206</v>
      </c>
      <c r="L221">
        <v>60610</v>
      </c>
      <c r="M221" t="s">
        <v>101</v>
      </c>
      <c r="N221" t="s">
        <v>910</v>
      </c>
      <c r="O221" t="s">
        <v>42</v>
      </c>
      <c r="P221" t="s">
        <v>86</v>
      </c>
      <c r="Q221" t="s">
        <v>911</v>
      </c>
      <c r="R221">
        <v>25.92</v>
      </c>
      <c r="S221" t="str">
        <f>TEXT(sales_data[[#This Row],[Order Date]],"mm")</f>
        <v>06</v>
      </c>
      <c r="T221">
        <f>YEAR(sales_data[[#This Row],[Order Date]])</f>
        <v>2017</v>
      </c>
      <c r="U221" s="7" t="s">
        <v>1979</v>
      </c>
      <c r="V221" t="s">
        <v>910</v>
      </c>
    </row>
    <row r="222" spans="1:22" x14ac:dyDescent="0.35">
      <c r="A222">
        <v>239</v>
      </c>
      <c r="B222" t="s">
        <v>907</v>
      </c>
      <c r="C222" s="1">
        <v>42890</v>
      </c>
      <c r="D222" s="1">
        <v>42895</v>
      </c>
      <c r="E222" t="s">
        <v>19</v>
      </c>
      <c r="F222" t="s">
        <v>908</v>
      </c>
      <c r="G222" t="s">
        <v>909</v>
      </c>
      <c r="H222" t="s">
        <v>22</v>
      </c>
      <c r="I222" t="s">
        <v>23</v>
      </c>
      <c r="J222" t="s">
        <v>298</v>
      </c>
      <c r="K222" t="s">
        <v>206</v>
      </c>
      <c r="L222">
        <v>60610</v>
      </c>
      <c r="M222" t="s">
        <v>101</v>
      </c>
      <c r="N222" t="s">
        <v>912</v>
      </c>
      <c r="O222" t="s">
        <v>28</v>
      </c>
      <c r="P222" t="s">
        <v>61</v>
      </c>
      <c r="Q222" t="s">
        <v>913</v>
      </c>
      <c r="R222">
        <v>419.68</v>
      </c>
      <c r="S222" t="str">
        <f>TEXT(sales_data[[#This Row],[Order Date]],"mm")</f>
        <v>06</v>
      </c>
      <c r="T222">
        <f>YEAR(sales_data[[#This Row],[Order Date]])</f>
        <v>2017</v>
      </c>
      <c r="U222" s="8" t="s">
        <v>1986</v>
      </c>
      <c r="V222" t="s">
        <v>912</v>
      </c>
    </row>
    <row r="223" spans="1:22" x14ac:dyDescent="0.35">
      <c r="A223">
        <v>240</v>
      </c>
      <c r="B223" t="s">
        <v>907</v>
      </c>
      <c r="C223" s="1">
        <v>42890</v>
      </c>
      <c r="D223" s="1">
        <v>42895</v>
      </c>
      <c r="E223" t="s">
        <v>19</v>
      </c>
      <c r="F223" t="s">
        <v>908</v>
      </c>
      <c r="G223" t="s">
        <v>909</v>
      </c>
      <c r="H223" t="s">
        <v>22</v>
      </c>
      <c r="I223" t="s">
        <v>23</v>
      </c>
      <c r="J223" t="s">
        <v>298</v>
      </c>
      <c r="K223" t="s">
        <v>206</v>
      </c>
      <c r="L223">
        <v>60610</v>
      </c>
      <c r="M223" t="s">
        <v>101</v>
      </c>
      <c r="N223" t="s">
        <v>914</v>
      </c>
      <c r="O223" t="s">
        <v>28</v>
      </c>
      <c r="P223" t="s">
        <v>61</v>
      </c>
      <c r="Q223" t="s">
        <v>915</v>
      </c>
      <c r="R223">
        <v>11.688000000000001</v>
      </c>
      <c r="S223" t="str">
        <f>TEXT(sales_data[[#This Row],[Order Date]],"mm")</f>
        <v>06</v>
      </c>
      <c r="T223">
        <f>YEAR(sales_data[[#This Row],[Order Date]])</f>
        <v>2017</v>
      </c>
      <c r="U223" s="7" t="s">
        <v>1993</v>
      </c>
      <c r="V223" t="s">
        <v>914</v>
      </c>
    </row>
    <row r="224" spans="1:22" x14ac:dyDescent="0.35">
      <c r="A224">
        <v>241</v>
      </c>
      <c r="B224" t="s">
        <v>907</v>
      </c>
      <c r="C224" s="1">
        <v>42890</v>
      </c>
      <c r="D224" s="1">
        <v>42895</v>
      </c>
      <c r="E224" t="s">
        <v>19</v>
      </c>
      <c r="F224" t="s">
        <v>908</v>
      </c>
      <c r="G224" t="s">
        <v>909</v>
      </c>
      <c r="H224" t="s">
        <v>22</v>
      </c>
      <c r="I224" t="s">
        <v>23</v>
      </c>
      <c r="J224" t="s">
        <v>298</v>
      </c>
      <c r="K224" t="s">
        <v>206</v>
      </c>
      <c r="L224">
        <v>60610</v>
      </c>
      <c r="M224" t="s">
        <v>101</v>
      </c>
      <c r="N224" t="s">
        <v>916</v>
      </c>
      <c r="O224" t="s">
        <v>67</v>
      </c>
      <c r="P224" t="s">
        <v>68</v>
      </c>
      <c r="Q224" t="s">
        <v>917</v>
      </c>
      <c r="R224">
        <v>31.984000000000002</v>
      </c>
      <c r="S224" t="str">
        <f>TEXT(sales_data[[#This Row],[Order Date]],"mm")</f>
        <v>06</v>
      </c>
      <c r="T224">
        <f>YEAR(sales_data[[#This Row],[Order Date]])</f>
        <v>2017</v>
      </c>
      <c r="U224" s="8" t="s">
        <v>2000</v>
      </c>
      <c r="V224" t="s">
        <v>916</v>
      </c>
    </row>
    <row r="225" spans="1:22" x14ac:dyDescent="0.35">
      <c r="A225">
        <v>242</v>
      </c>
      <c r="B225" t="s">
        <v>907</v>
      </c>
      <c r="C225" s="1">
        <v>42890</v>
      </c>
      <c r="D225" s="1">
        <v>42895</v>
      </c>
      <c r="E225" t="s">
        <v>19</v>
      </c>
      <c r="F225" t="s">
        <v>908</v>
      </c>
      <c r="G225" t="s">
        <v>909</v>
      </c>
      <c r="H225" t="s">
        <v>22</v>
      </c>
      <c r="I225" t="s">
        <v>23</v>
      </c>
      <c r="J225" t="s">
        <v>298</v>
      </c>
      <c r="K225" t="s">
        <v>206</v>
      </c>
      <c r="L225">
        <v>60610</v>
      </c>
      <c r="M225" t="s">
        <v>101</v>
      </c>
      <c r="N225" t="s">
        <v>918</v>
      </c>
      <c r="O225" t="s">
        <v>28</v>
      </c>
      <c r="P225" t="s">
        <v>52</v>
      </c>
      <c r="Q225" t="s">
        <v>919</v>
      </c>
      <c r="R225">
        <v>177.22499999999999</v>
      </c>
      <c r="S225" t="str">
        <f>TEXT(sales_data[[#This Row],[Order Date]],"mm")</f>
        <v>06</v>
      </c>
      <c r="T225">
        <f>YEAR(sales_data[[#This Row],[Order Date]])</f>
        <v>2017</v>
      </c>
      <c r="U225" s="8" t="s">
        <v>2005</v>
      </c>
      <c r="V225" t="s">
        <v>918</v>
      </c>
    </row>
    <row r="226" spans="1:22" x14ac:dyDescent="0.35">
      <c r="A226">
        <v>243</v>
      </c>
      <c r="B226" t="s">
        <v>907</v>
      </c>
      <c r="C226" s="1">
        <v>42890</v>
      </c>
      <c r="D226" s="1">
        <v>42895</v>
      </c>
      <c r="E226" t="s">
        <v>19</v>
      </c>
      <c r="F226" t="s">
        <v>908</v>
      </c>
      <c r="G226" t="s">
        <v>909</v>
      </c>
      <c r="H226" t="s">
        <v>22</v>
      </c>
      <c r="I226" t="s">
        <v>23</v>
      </c>
      <c r="J226" t="s">
        <v>298</v>
      </c>
      <c r="K226" t="s">
        <v>206</v>
      </c>
      <c r="L226">
        <v>60610</v>
      </c>
      <c r="M226" t="s">
        <v>101</v>
      </c>
      <c r="N226" t="s">
        <v>920</v>
      </c>
      <c r="O226" t="s">
        <v>28</v>
      </c>
      <c r="P226" t="s">
        <v>61</v>
      </c>
      <c r="Q226" t="s">
        <v>921</v>
      </c>
      <c r="R226">
        <v>4.0439999999999996</v>
      </c>
      <c r="S226" t="str">
        <f>TEXT(sales_data[[#This Row],[Order Date]],"mm")</f>
        <v>06</v>
      </c>
      <c r="T226">
        <f>YEAR(sales_data[[#This Row],[Order Date]])</f>
        <v>2017</v>
      </c>
      <c r="U226" s="8" t="s">
        <v>2012</v>
      </c>
      <c r="V226" t="s">
        <v>920</v>
      </c>
    </row>
    <row r="227" spans="1:22" x14ac:dyDescent="0.35">
      <c r="A227">
        <v>246</v>
      </c>
      <c r="B227" t="s">
        <v>922</v>
      </c>
      <c r="C227" s="1">
        <v>42156</v>
      </c>
      <c r="D227" s="1">
        <v>42161</v>
      </c>
      <c r="E227" t="s">
        <v>19</v>
      </c>
      <c r="F227" t="s">
        <v>923</v>
      </c>
      <c r="G227" t="s">
        <v>924</v>
      </c>
      <c r="H227" t="s">
        <v>98</v>
      </c>
      <c r="I227" t="s">
        <v>23</v>
      </c>
      <c r="J227" t="s">
        <v>925</v>
      </c>
      <c r="K227" t="s">
        <v>224</v>
      </c>
      <c r="L227">
        <v>55044</v>
      </c>
      <c r="M227" t="s">
        <v>101</v>
      </c>
      <c r="N227" t="s">
        <v>926</v>
      </c>
      <c r="O227" t="s">
        <v>42</v>
      </c>
      <c r="P227" t="s">
        <v>55</v>
      </c>
      <c r="Q227" t="s">
        <v>927</v>
      </c>
      <c r="R227">
        <v>166.72</v>
      </c>
      <c r="S227" t="str">
        <f>TEXT(sales_data[[#This Row],[Order Date]],"mm")</f>
        <v>06</v>
      </c>
      <c r="T227">
        <f>YEAR(sales_data[[#This Row],[Order Date]])</f>
        <v>2015</v>
      </c>
      <c r="U227" s="8" t="s">
        <v>2034</v>
      </c>
      <c r="V227" t="s">
        <v>926</v>
      </c>
    </row>
    <row r="228" spans="1:22" x14ac:dyDescent="0.35">
      <c r="A228">
        <v>247</v>
      </c>
      <c r="B228" t="s">
        <v>922</v>
      </c>
      <c r="C228" s="1">
        <v>42156</v>
      </c>
      <c r="D228" s="1">
        <v>42161</v>
      </c>
      <c r="E228" t="s">
        <v>19</v>
      </c>
      <c r="F228" t="s">
        <v>923</v>
      </c>
      <c r="G228" t="s">
        <v>924</v>
      </c>
      <c r="H228" t="s">
        <v>98</v>
      </c>
      <c r="I228" t="s">
        <v>23</v>
      </c>
      <c r="J228" t="s">
        <v>925</v>
      </c>
      <c r="K228" t="s">
        <v>224</v>
      </c>
      <c r="L228">
        <v>55044</v>
      </c>
      <c r="M228" t="s">
        <v>101</v>
      </c>
      <c r="N228" t="s">
        <v>928</v>
      </c>
      <c r="O228" t="s">
        <v>42</v>
      </c>
      <c r="P228" t="s">
        <v>86</v>
      </c>
      <c r="Q228" t="s">
        <v>929</v>
      </c>
      <c r="R228">
        <v>47.88</v>
      </c>
      <c r="S228" t="str">
        <f>TEXT(sales_data[[#This Row],[Order Date]],"mm")</f>
        <v>06</v>
      </c>
      <c r="T228">
        <f>YEAR(sales_data[[#This Row],[Order Date]])</f>
        <v>2015</v>
      </c>
      <c r="U228" s="8" t="s">
        <v>2044</v>
      </c>
      <c r="V228" t="s">
        <v>928</v>
      </c>
    </row>
    <row r="229" spans="1:22" x14ac:dyDescent="0.35">
      <c r="A229">
        <v>248</v>
      </c>
      <c r="B229" t="s">
        <v>922</v>
      </c>
      <c r="C229" s="1">
        <v>42156</v>
      </c>
      <c r="D229" s="1">
        <v>42161</v>
      </c>
      <c r="E229" t="s">
        <v>19</v>
      </c>
      <c r="F229" t="s">
        <v>923</v>
      </c>
      <c r="G229" t="s">
        <v>924</v>
      </c>
      <c r="H229" t="s">
        <v>98</v>
      </c>
      <c r="I229" t="s">
        <v>23</v>
      </c>
      <c r="J229" t="s">
        <v>925</v>
      </c>
      <c r="K229" t="s">
        <v>224</v>
      </c>
      <c r="L229">
        <v>55044</v>
      </c>
      <c r="M229" t="s">
        <v>101</v>
      </c>
      <c r="N229" t="s">
        <v>930</v>
      </c>
      <c r="O229" t="s">
        <v>42</v>
      </c>
      <c r="P229" t="s">
        <v>74</v>
      </c>
      <c r="Q229" t="s">
        <v>931</v>
      </c>
      <c r="R229">
        <v>1503.25</v>
      </c>
      <c r="S229" t="str">
        <f>TEXT(sales_data[[#This Row],[Order Date]],"mm")</f>
        <v>06</v>
      </c>
      <c r="T229">
        <f>YEAR(sales_data[[#This Row],[Order Date]])</f>
        <v>2015</v>
      </c>
      <c r="U229" s="7" t="s">
        <v>2049</v>
      </c>
      <c r="V229" t="s">
        <v>930</v>
      </c>
    </row>
    <row r="230" spans="1:22" x14ac:dyDescent="0.35">
      <c r="A230">
        <v>250</v>
      </c>
      <c r="B230" t="s">
        <v>932</v>
      </c>
      <c r="C230" s="1">
        <v>43079</v>
      </c>
      <c r="D230" s="1">
        <v>43084</v>
      </c>
      <c r="E230" t="s">
        <v>19</v>
      </c>
      <c r="F230" t="s">
        <v>933</v>
      </c>
      <c r="G230" t="s">
        <v>934</v>
      </c>
      <c r="H230" t="s">
        <v>22</v>
      </c>
      <c r="I230" t="s">
        <v>23</v>
      </c>
      <c r="J230" t="s">
        <v>123</v>
      </c>
      <c r="K230" t="s">
        <v>39</v>
      </c>
      <c r="L230">
        <v>94109</v>
      </c>
      <c r="M230" t="s">
        <v>40</v>
      </c>
      <c r="N230" t="s">
        <v>935</v>
      </c>
      <c r="O230" t="s">
        <v>28</v>
      </c>
      <c r="P230" t="s">
        <v>32</v>
      </c>
      <c r="Q230" t="s">
        <v>936</v>
      </c>
      <c r="R230">
        <v>321.56799999999998</v>
      </c>
      <c r="S230" t="str">
        <f>TEXT(sales_data[[#This Row],[Order Date]],"mm")</f>
        <v>12</v>
      </c>
      <c r="T230">
        <f>YEAR(sales_data[[#This Row],[Order Date]])</f>
        <v>2017</v>
      </c>
      <c r="U230" s="7" t="s">
        <v>2069</v>
      </c>
      <c r="V230" t="s">
        <v>935</v>
      </c>
    </row>
    <row r="231" spans="1:22" x14ac:dyDescent="0.35">
      <c r="A231">
        <v>251</v>
      </c>
      <c r="B231" t="s">
        <v>937</v>
      </c>
      <c r="C231" s="1">
        <v>42989</v>
      </c>
      <c r="D231" s="1">
        <v>42995</v>
      </c>
      <c r="E231" t="s">
        <v>46</v>
      </c>
      <c r="F231" t="s">
        <v>938</v>
      </c>
      <c r="G231" t="s">
        <v>939</v>
      </c>
      <c r="H231" t="s">
        <v>22</v>
      </c>
      <c r="I231" t="s">
        <v>23</v>
      </c>
      <c r="J231" t="s">
        <v>940</v>
      </c>
      <c r="K231" t="s">
        <v>39</v>
      </c>
      <c r="L231">
        <v>92037</v>
      </c>
      <c r="M231" t="s">
        <v>40</v>
      </c>
      <c r="N231" t="s">
        <v>941</v>
      </c>
      <c r="O231" t="s">
        <v>42</v>
      </c>
      <c r="P231" t="s">
        <v>86</v>
      </c>
      <c r="Q231" t="s">
        <v>942</v>
      </c>
      <c r="R231">
        <v>7.61</v>
      </c>
      <c r="S231" t="str">
        <f>TEXT(sales_data[[#This Row],[Order Date]],"mm")</f>
        <v>09</v>
      </c>
      <c r="T231">
        <f>YEAR(sales_data[[#This Row],[Order Date]])</f>
        <v>2017</v>
      </c>
      <c r="U231" s="8" t="s">
        <v>2075</v>
      </c>
      <c r="V231" t="s">
        <v>941</v>
      </c>
    </row>
    <row r="232" spans="1:22" x14ac:dyDescent="0.35">
      <c r="A232">
        <v>253</v>
      </c>
      <c r="B232" t="s">
        <v>943</v>
      </c>
      <c r="C232" s="1">
        <v>43079</v>
      </c>
      <c r="D232" s="1">
        <v>43082</v>
      </c>
      <c r="E232" t="s">
        <v>183</v>
      </c>
      <c r="F232" t="s">
        <v>944</v>
      </c>
      <c r="G232" t="s">
        <v>945</v>
      </c>
      <c r="H232" t="s">
        <v>22</v>
      </c>
      <c r="I232" t="s">
        <v>23</v>
      </c>
      <c r="J232" t="s">
        <v>261</v>
      </c>
      <c r="K232" t="s">
        <v>262</v>
      </c>
      <c r="L232">
        <v>10024</v>
      </c>
      <c r="M232" t="s">
        <v>144</v>
      </c>
      <c r="N232" t="s">
        <v>946</v>
      </c>
      <c r="O232" t="s">
        <v>42</v>
      </c>
      <c r="P232" t="s">
        <v>55</v>
      </c>
      <c r="Q232" t="s">
        <v>947</v>
      </c>
      <c r="R232">
        <v>80.58</v>
      </c>
      <c r="S232" t="str">
        <f>TEXT(sales_data[[#This Row],[Order Date]],"mm")</f>
        <v>12</v>
      </c>
      <c r="T232">
        <f>YEAR(sales_data[[#This Row],[Order Date]])</f>
        <v>2017</v>
      </c>
      <c r="U232" s="8" t="s">
        <v>2091</v>
      </c>
      <c r="V232" t="s">
        <v>946</v>
      </c>
    </row>
    <row r="233" spans="1:22" x14ac:dyDescent="0.35">
      <c r="A233">
        <v>254</v>
      </c>
      <c r="B233" t="s">
        <v>943</v>
      </c>
      <c r="C233" s="1">
        <v>43079</v>
      </c>
      <c r="D233" s="1">
        <v>43082</v>
      </c>
      <c r="E233" t="s">
        <v>183</v>
      </c>
      <c r="F233" t="s">
        <v>944</v>
      </c>
      <c r="G233" t="s">
        <v>945</v>
      </c>
      <c r="H233" t="s">
        <v>22</v>
      </c>
      <c r="I233" t="s">
        <v>23</v>
      </c>
      <c r="J233" t="s">
        <v>261</v>
      </c>
      <c r="K233" t="s">
        <v>262</v>
      </c>
      <c r="L233">
        <v>10024</v>
      </c>
      <c r="M233" t="s">
        <v>144</v>
      </c>
      <c r="N233" t="s">
        <v>948</v>
      </c>
      <c r="O233" t="s">
        <v>42</v>
      </c>
      <c r="P233" t="s">
        <v>168</v>
      </c>
      <c r="Q233" t="s">
        <v>949</v>
      </c>
      <c r="R233">
        <v>361.92</v>
      </c>
      <c r="S233" t="str">
        <f>TEXT(sales_data[[#This Row],[Order Date]],"mm")</f>
        <v>12</v>
      </c>
      <c r="T233">
        <f>YEAR(sales_data[[#This Row],[Order Date]])</f>
        <v>2017</v>
      </c>
      <c r="U233" s="7" t="s">
        <v>2098</v>
      </c>
      <c r="V233" t="s">
        <v>948</v>
      </c>
    </row>
    <row r="234" spans="1:22" x14ac:dyDescent="0.35">
      <c r="A234">
        <v>256</v>
      </c>
      <c r="B234" t="s">
        <v>950</v>
      </c>
      <c r="C234" s="1">
        <v>42702</v>
      </c>
      <c r="D234" s="1">
        <v>42708</v>
      </c>
      <c r="E234" t="s">
        <v>46</v>
      </c>
      <c r="F234" t="s">
        <v>951</v>
      </c>
      <c r="G234" t="s">
        <v>952</v>
      </c>
      <c r="H234" t="s">
        <v>37</v>
      </c>
      <c r="I234" t="s">
        <v>23</v>
      </c>
      <c r="J234" t="s">
        <v>298</v>
      </c>
      <c r="K234" t="s">
        <v>206</v>
      </c>
      <c r="L234">
        <v>60623</v>
      </c>
      <c r="M234" t="s">
        <v>101</v>
      </c>
      <c r="N234" t="s">
        <v>953</v>
      </c>
      <c r="O234" t="s">
        <v>42</v>
      </c>
      <c r="P234" t="s">
        <v>55</v>
      </c>
      <c r="Q234" t="s">
        <v>954</v>
      </c>
      <c r="R234">
        <v>82.367999999999995</v>
      </c>
      <c r="S234" t="str">
        <f>TEXT(sales_data[[#This Row],[Order Date]],"mm")</f>
        <v>11</v>
      </c>
      <c r="T234">
        <f>YEAR(sales_data[[#This Row],[Order Date]])</f>
        <v>2016</v>
      </c>
      <c r="U234" s="8" t="s">
        <v>2115</v>
      </c>
      <c r="V234" t="s">
        <v>953</v>
      </c>
    </row>
    <row r="235" spans="1:22" x14ac:dyDescent="0.35">
      <c r="A235">
        <v>258</v>
      </c>
      <c r="B235" t="s">
        <v>950</v>
      </c>
      <c r="C235" s="1">
        <v>42702</v>
      </c>
      <c r="D235" s="1">
        <v>42708</v>
      </c>
      <c r="E235" t="s">
        <v>46</v>
      </c>
      <c r="F235" t="s">
        <v>951</v>
      </c>
      <c r="G235" t="s">
        <v>952</v>
      </c>
      <c r="H235" t="s">
        <v>37</v>
      </c>
      <c r="I235" t="s">
        <v>23</v>
      </c>
      <c r="J235" t="s">
        <v>298</v>
      </c>
      <c r="K235" t="s">
        <v>206</v>
      </c>
      <c r="L235">
        <v>60623</v>
      </c>
      <c r="M235" t="s">
        <v>101</v>
      </c>
      <c r="N235" t="s">
        <v>955</v>
      </c>
      <c r="O235" t="s">
        <v>67</v>
      </c>
      <c r="P235" t="s">
        <v>68</v>
      </c>
      <c r="Q235" t="s">
        <v>956</v>
      </c>
      <c r="R235">
        <v>647.904</v>
      </c>
      <c r="S235" t="str">
        <f>TEXT(sales_data[[#This Row],[Order Date]],"mm")</f>
        <v>11</v>
      </c>
      <c r="T235">
        <f>YEAR(sales_data[[#This Row],[Order Date]])</f>
        <v>2016</v>
      </c>
      <c r="U235" s="8" t="s">
        <v>2126</v>
      </c>
      <c r="V235" t="s">
        <v>955</v>
      </c>
    </row>
    <row r="236" spans="1:22" x14ac:dyDescent="0.35">
      <c r="A236">
        <v>259</v>
      </c>
      <c r="B236" t="s">
        <v>957</v>
      </c>
      <c r="C236" s="1">
        <v>43435</v>
      </c>
      <c r="D236" s="1">
        <v>43437</v>
      </c>
      <c r="E236" t="s">
        <v>19</v>
      </c>
      <c r="F236" t="s">
        <v>958</v>
      </c>
      <c r="G236" t="s">
        <v>959</v>
      </c>
      <c r="H236" t="s">
        <v>22</v>
      </c>
      <c r="I236" t="s">
        <v>23</v>
      </c>
      <c r="J236" t="s">
        <v>261</v>
      </c>
      <c r="K236" t="s">
        <v>262</v>
      </c>
      <c r="L236">
        <v>10009</v>
      </c>
      <c r="M236" t="s">
        <v>144</v>
      </c>
      <c r="N236" t="s">
        <v>960</v>
      </c>
      <c r="O236" t="s">
        <v>67</v>
      </c>
      <c r="P236" t="s">
        <v>156</v>
      </c>
      <c r="Q236" t="s">
        <v>961</v>
      </c>
      <c r="R236">
        <v>20.37</v>
      </c>
      <c r="S236" t="str">
        <f>TEXT(sales_data[[#This Row],[Order Date]],"mm")</f>
        <v>12</v>
      </c>
      <c r="T236">
        <f>YEAR(sales_data[[#This Row],[Order Date]])</f>
        <v>2018</v>
      </c>
      <c r="U236" s="8" t="s">
        <v>2134</v>
      </c>
      <c r="V236" t="s">
        <v>960</v>
      </c>
    </row>
    <row r="237" spans="1:22" x14ac:dyDescent="0.35">
      <c r="A237">
        <v>260</v>
      </c>
      <c r="B237" t="s">
        <v>957</v>
      </c>
      <c r="C237" s="1">
        <v>43435</v>
      </c>
      <c r="D237" s="1">
        <v>43437</v>
      </c>
      <c r="E237" t="s">
        <v>19</v>
      </c>
      <c r="F237" t="s">
        <v>958</v>
      </c>
      <c r="G237" t="s">
        <v>959</v>
      </c>
      <c r="H237" t="s">
        <v>22</v>
      </c>
      <c r="I237" t="s">
        <v>23</v>
      </c>
      <c r="J237" t="s">
        <v>261</v>
      </c>
      <c r="K237" t="s">
        <v>262</v>
      </c>
      <c r="L237">
        <v>10009</v>
      </c>
      <c r="M237" t="s">
        <v>144</v>
      </c>
      <c r="N237" t="s">
        <v>962</v>
      </c>
      <c r="O237" t="s">
        <v>42</v>
      </c>
      <c r="P237" t="s">
        <v>55</v>
      </c>
      <c r="Q237" t="s">
        <v>963</v>
      </c>
      <c r="R237">
        <v>221.55</v>
      </c>
      <c r="S237" t="str">
        <f>TEXT(sales_data[[#This Row],[Order Date]],"mm")</f>
        <v>12</v>
      </c>
      <c r="T237">
        <f>YEAR(sales_data[[#This Row],[Order Date]])</f>
        <v>2018</v>
      </c>
      <c r="U237" s="7" t="s">
        <v>2139</v>
      </c>
      <c r="V237" t="s">
        <v>962</v>
      </c>
    </row>
    <row r="238" spans="1:22" x14ac:dyDescent="0.35">
      <c r="A238">
        <v>261</v>
      </c>
      <c r="B238" t="s">
        <v>957</v>
      </c>
      <c r="C238" s="1">
        <v>43435</v>
      </c>
      <c r="D238" s="1">
        <v>43437</v>
      </c>
      <c r="E238" t="s">
        <v>19</v>
      </c>
      <c r="F238" t="s">
        <v>958</v>
      </c>
      <c r="G238" t="s">
        <v>959</v>
      </c>
      <c r="H238" t="s">
        <v>22</v>
      </c>
      <c r="I238" t="s">
        <v>23</v>
      </c>
      <c r="J238" t="s">
        <v>261</v>
      </c>
      <c r="K238" t="s">
        <v>262</v>
      </c>
      <c r="L238">
        <v>10009</v>
      </c>
      <c r="M238" t="s">
        <v>144</v>
      </c>
      <c r="N238" t="s">
        <v>964</v>
      </c>
      <c r="O238" t="s">
        <v>42</v>
      </c>
      <c r="P238" t="s">
        <v>71</v>
      </c>
      <c r="Q238" t="s">
        <v>965</v>
      </c>
      <c r="R238">
        <v>17.52</v>
      </c>
      <c r="S238" t="str">
        <f>TEXT(sales_data[[#This Row],[Order Date]],"mm")</f>
        <v>12</v>
      </c>
      <c r="T238">
        <f>YEAR(sales_data[[#This Row],[Order Date]])</f>
        <v>2018</v>
      </c>
      <c r="U238" s="8" t="s">
        <v>2142</v>
      </c>
      <c r="V238" t="s">
        <v>964</v>
      </c>
    </row>
    <row r="239" spans="1:22" x14ac:dyDescent="0.35">
      <c r="A239">
        <v>262</v>
      </c>
      <c r="B239" t="s">
        <v>966</v>
      </c>
      <c r="C239" s="1">
        <v>43259</v>
      </c>
      <c r="D239" s="1">
        <v>43263</v>
      </c>
      <c r="E239" t="s">
        <v>46</v>
      </c>
      <c r="F239" t="s">
        <v>967</v>
      </c>
      <c r="G239" t="s">
        <v>968</v>
      </c>
      <c r="H239" t="s">
        <v>37</v>
      </c>
      <c r="I239" t="s">
        <v>23</v>
      </c>
      <c r="J239" t="s">
        <v>595</v>
      </c>
      <c r="K239" t="s">
        <v>100</v>
      </c>
      <c r="L239">
        <v>77506</v>
      </c>
      <c r="M239" t="s">
        <v>101</v>
      </c>
      <c r="N239" t="s">
        <v>969</v>
      </c>
      <c r="O239" t="s">
        <v>42</v>
      </c>
      <c r="P239" t="s">
        <v>74</v>
      </c>
      <c r="Q239" t="s">
        <v>970</v>
      </c>
      <c r="R239">
        <v>1.6240000000000001</v>
      </c>
      <c r="S239" t="str">
        <f>TEXT(sales_data[[#This Row],[Order Date]],"mm")</f>
        <v>06</v>
      </c>
      <c r="T239">
        <f>YEAR(sales_data[[#This Row],[Order Date]])</f>
        <v>2018</v>
      </c>
      <c r="U239" s="8" t="s">
        <v>2149</v>
      </c>
      <c r="V239" t="s">
        <v>969</v>
      </c>
    </row>
    <row r="240" spans="1:22" x14ac:dyDescent="0.35">
      <c r="A240">
        <v>264</v>
      </c>
      <c r="B240" t="s">
        <v>971</v>
      </c>
      <c r="C240" s="1">
        <v>42266</v>
      </c>
      <c r="D240" s="1">
        <v>42268</v>
      </c>
      <c r="E240" t="s">
        <v>19</v>
      </c>
      <c r="F240" t="s">
        <v>972</v>
      </c>
      <c r="G240" t="s">
        <v>973</v>
      </c>
      <c r="H240" t="s">
        <v>37</v>
      </c>
      <c r="I240" t="s">
        <v>23</v>
      </c>
      <c r="J240" t="s">
        <v>179</v>
      </c>
      <c r="K240" t="s">
        <v>100</v>
      </c>
      <c r="L240">
        <v>77036</v>
      </c>
      <c r="M240" t="s">
        <v>101</v>
      </c>
      <c r="N240" t="s">
        <v>974</v>
      </c>
      <c r="O240" t="s">
        <v>67</v>
      </c>
      <c r="P240" t="s">
        <v>675</v>
      </c>
      <c r="Q240" t="s">
        <v>975</v>
      </c>
      <c r="R240">
        <v>2519.9580000000001</v>
      </c>
      <c r="S240" t="str">
        <f>TEXT(sales_data[[#This Row],[Order Date]],"mm")</f>
        <v>09</v>
      </c>
      <c r="T240">
        <f>YEAR(sales_data[[#This Row],[Order Date]])</f>
        <v>2015</v>
      </c>
      <c r="U240" s="8" t="s">
        <v>2170</v>
      </c>
      <c r="V240" t="s">
        <v>974</v>
      </c>
    </row>
    <row r="241" spans="1:22" x14ac:dyDescent="0.35">
      <c r="A241">
        <v>265</v>
      </c>
      <c r="B241" t="s">
        <v>976</v>
      </c>
      <c r="C241" s="1">
        <v>42892</v>
      </c>
      <c r="D241" s="1">
        <v>42899</v>
      </c>
      <c r="E241" t="s">
        <v>46</v>
      </c>
      <c r="F241" t="s">
        <v>977</v>
      </c>
      <c r="G241" t="s">
        <v>978</v>
      </c>
      <c r="H241" t="s">
        <v>22</v>
      </c>
      <c r="I241" t="s">
        <v>23</v>
      </c>
      <c r="J241" t="s">
        <v>298</v>
      </c>
      <c r="K241" t="s">
        <v>206</v>
      </c>
      <c r="L241">
        <v>60610</v>
      </c>
      <c r="M241" t="s">
        <v>101</v>
      </c>
      <c r="N241" t="s">
        <v>979</v>
      </c>
      <c r="O241" t="s">
        <v>67</v>
      </c>
      <c r="P241" t="s">
        <v>68</v>
      </c>
      <c r="Q241" t="s">
        <v>980</v>
      </c>
      <c r="R241">
        <v>328.22399999999999</v>
      </c>
      <c r="S241" t="str">
        <f>TEXT(sales_data[[#This Row],[Order Date]],"mm")</f>
        <v>06</v>
      </c>
      <c r="T241">
        <f>YEAR(sales_data[[#This Row],[Order Date]])</f>
        <v>2017</v>
      </c>
      <c r="U241" s="8" t="s">
        <v>2182</v>
      </c>
      <c r="V241" t="s">
        <v>979</v>
      </c>
    </row>
    <row r="242" spans="1:22" x14ac:dyDescent="0.35">
      <c r="A242">
        <v>266</v>
      </c>
      <c r="B242" t="s">
        <v>981</v>
      </c>
      <c r="C242" s="1">
        <v>42684</v>
      </c>
      <c r="D242" s="1">
        <v>42689</v>
      </c>
      <c r="E242" t="s">
        <v>46</v>
      </c>
      <c r="F242" t="s">
        <v>982</v>
      </c>
      <c r="G242" t="s">
        <v>983</v>
      </c>
      <c r="H242" t="s">
        <v>22</v>
      </c>
      <c r="I242" t="s">
        <v>23</v>
      </c>
      <c r="J242" t="s">
        <v>984</v>
      </c>
      <c r="K242" t="s">
        <v>39</v>
      </c>
      <c r="L242">
        <v>94513</v>
      </c>
      <c r="M242" t="s">
        <v>40</v>
      </c>
      <c r="N242" t="s">
        <v>985</v>
      </c>
      <c r="O242" t="s">
        <v>67</v>
      </c>
      <c r="P242" t="s">
        <v>156</v>
      </c>
      <c r="Q242" t="s">
        <v>986</v>
      </c>
      <c r="R242">
        <v>79.900000000000006</v>
      </c>
      <c r="S242" t="str">
        <f>TEXT(sales_data[[#This Row],[Order Date]],"mm")</f>
        <v>11</v>
      </c>
      <c r="T242">
        <f>YEAR(sales_data[[#This Row],[Order Date]])</f>
        <v>2016</v>
      </c>
      <c r="U242" s="7" t="s">
        <v>2189</v>
      </c>
      <c r="V242" t="s">
        <v>985</v>
      </c>
    </row>
    <row r="243" spans="1:22" x14ac:dyDescent="0.35">
      <c r="A243">
        <v>267</v>
      </c>
      <c r="B243" t="s">
        <v>987</v>
      </c>
      <c r="C243" s="1">
        <v>43267</v>
      </c>
      <c r="D243" s="1">
        <v>43271</v>
      </c>
      <c r="E243" t="s">
        <v>46</v>
      </c>
      <c r="F243" t="s">
        <v>988</v>
      </c>
      <c r="G243" t="s">
        <v>989</v>
      </c>
      <c r="H243" t="s">
        <v>37</v>
      </c>
      <c r="I243" t="s">
        <v>23</v>
      </c>
      <c r="J243" t="s">
        <v>990</v>
      </c>
      <c r="K243" t="s">
        <v>84</v>
      </c>
      <c r="L243">
        <v>27514</v>
      </c>
      <c r="M243" t="s">
        <v>26</v>
      </c>
      <c r="N243" t="s">
        <v>991</v>
      </c>
      <c r="O243" t="s">
        <v>42</v>
      </c>
      <c r="P243" t="s">
        <v>64</v>
      </c>
      <c r="Q243" t="s">
        <v>992</v>
      </c>
      <c r="R243">
        <v>14.016</v>
      </c>
      <c r="S243" t="str">
        <f>TEXT(sales_data[[#This Row],[Order Date]],"mm")</f>
        <v>06</v>
      </c>
      <c r="T243">
        <f>YEAR(sales_data[[#This Row],[Order Date]])</f>
        <v>2018</v>
      </c>
      <c r="U243" s="8" t="s">
        <v>2195</v>
      </c>
      <c r="V243" t="s">
        <v>991</v>
      </c>
    </row>
    <row r="244" spans="1:22" x14ac:dyDescent="0.35">
      <c r="A244">
        <v>268</v>
      </c>
      <c r="B244" t="s">
        <v>993</v>
      </c>
      <c r="C244" s="1">
        <v>42757</v>
      </c>
      <c r="D244" s="1">
        <v>42763</v>
      </c>
      <c r="E244" t="s">
        <v>46</v>
      </c>
      <c r="F244" t="s">
        <v>382</v>
      </c>
      <c r="G244" t="s">
        <v>383</v>
      </c>
      <c r="H244" t="s">
        <v>22</v>
      </c>
      <c r="I244" t="s">
        <v>23</v>
      </c>
      <c r="J244" t="s">
        <v>994</v>
      </c>
      <c r="K244" t="s">
        <v>780</v>
      </c>
      <c r="L244">
        <v>7960</v>
      </c>
      <c r="M244" t="s">
        <v>144</v>
      </c>
      <c r="N244" t="s">
        <v>995</v>
      </c>
      <c r="O244" t="s">
        <v>42</v>
      </c>
      <c r="P244" t="s">
        <v>264</v>
      </c>
      <c r="Q244" t="s">
        <v>996</v>
      </c>
      <c r="R244">
        <v>7.56</v>
      </c>
      <c r="S244" t="str">
        <f>TEXT(sales_data[[#This Row],[Order Date]],"mm")</f>
        <v>01</v>
      </c>
      <c r="T244">
        <f>YEAR(sales_data[[#This Row],[Order Date]])</f>
        <v>2017</v>
      </c>
      <c r="U244" s="8" t="s">
        <v>2200</v>
      </c>
      <c r="V244" t="s">
        <v>995</v>
      </c>
    </row>
    <row r="245" spans="1:22" x14ac:dyDescent="0.35">
      <c r="A245">
        <v>269</v>
      </c>
      <c r="B245" t="s">
        <v>997</v>
      </c>
      <c r="C245" s="1">
        <v>43443</v>
      </c>
      <c r="D245" s="1">
        <v>43447</v>
      </c>
      <c r="E245" t="s">
        <v>46</v>
      </c>
      <c r="F245" t="s">
        <v>998</v>
      </c>
      <c r="G245" t="s">
        <v>999</v>
      </c>
      <c r="H245" t="s">
        <v>37</v>
      </c>
      <c r="I245" t="s">
        <v>23</v>
      </c>
      <c r="J245" t="s">
        <v>1000</v>
      </c>
      <c r="K245" t="s">
        <v>493</v>
      </c>
      <c r="L245">
        <v>45231</v>
      </c>
      <c r="M245" t="s">
        <v>144</v>
      </c>
      <c r="N245" t="s">
        <v>1001</v>
      </c>
      <c r="O245" t="s">
        <v>42</v>
      </c>
      <c r="P245" t="s">
        <v>55</v>
      </c>
      <c r="Q245" t="s">
        <v>1002</v>
      </c>
      <c r="R245">
        <v>37.207999999999998</v>
      </c>
      <c r="S245" t="str">
        <f>TEXT(sales_data[[#This Row],[Order Date]],"mm")</f>
        <v>12</v>
      </c>
      <c r="T245">
        <f>YEAR(sales_data[[#This Row],[Order Date]])</f>
        <v>2018</v>
      </c>
      <c r="U245" s="8" t="s">
        <v>2205</v>
      </c>
      <c r="V245" t="s">
        <v>1001</v>
      </c>
    </row>
    <row r="246" spans="1:22" x14ac:dyDescent="0.35">
      <c r="A246">
        <v>270</v>
      </c>
      <c r="B246" t="s">
        <v>997</v>
      </c>
      <c r="C246" s="1">
        <v>43443</v>
      </c>
      <c r="D246" s="1">
        <v>43447</v>
      </c>
      <c r="E246" t="s">
        <v>46</v>
      </c>
      <c r="F246" t="s">
        <v>998</v>
      </c>
      <c r="G246" t="s">
        <v>999</v>
      </c>
      <c r="H246" t="s">
        <v>37</v>
      </c>
      <c r="I246" t="s">
        <v>23</v>
      </c>
      <c r="J246" t="s">
        <v>1000</v>
      </c>
      <c r="K246" t="s">
        <v>493</v>
      </c>
      <c r="L246">
        <v>45231</v>
      </c>
      <c r="M246" t="s">
        <v>144</v>
      </c>
      <c r="N246" t="s">
        <v>1003</v>
      </c>
      <c r="O246" t="s">
        <v>42</v>
      </c>
      <c r="P246" t="s">
        <v>168</v>
      </c>
      <c r="Q246" t="s">
        <v>1004</v>
      </c>
      <c r="R246">
        <v>57.576000000000001</v>
      </c>
      <c r="S246" t="str">
        <f>TEXT(sales_data[[#This Row],[Order Date]],"mm")</f>
        <v>12</v>
      </c>
      <c r="T246">
        <f>YEAR(sales_data[[#This Row],[Order Date]])</f>
        <v>2018</v>
      </c>
      <c r="U246" s="8" t="s">
        <v>2213</v>
      </c>
      <c r="V246" t="s">
        <v>1003</v>
      </c>
    </row>
    <row r="247" spans="1:22" x14ac:dyDescent="0.35">
      <c r="A247">
        <v>271</v>
      </c>
      <c r="B247" t="s">
        <v>1005</v>
      </c>
      <c r="C247" s="1">
        <v>43462</v>
      </c>
      <c r="D247" s="1">
        <v>43467</v>
      </c>
      <c r="E247" t="s">
        <v>19</v>
      </c>
      <c r="F247" t="s">
        <v>1006</v>
      </c>
      <c r="G247" t="s">
        <v>1007</v>
      </c>
      <c r="H247" t="s">
        <v>37</v>
      </c>
      <c r="I247" t="s">
        <v>23</v>
      </c>
      <c r="J247" t="s">
        <v>123</v>
      </c>
      <c r="K247" t="s">
        <v>39</v>
      </c>
      <c r="L247">
        <v>94110</v>
      </c>
      <c r="M247" t="s">
        <v>40</v>
      </c>
      <c r="N247" t="s">
        <v>1008</v>
      </c>
      <c r="O247" t="s">
        <v>42</v>
      </c>
      <c r="P247" t="s">
        <v>55</v>
      </c>
      <c r="Q247" t="s">
        <v>1009</v>
      </c>
      <c r="R247">
        <v>725.84</v>
      </c>
      <c r="S247" t="str">
        <f>TEXT(sales_data[[#This Row],[Order Date]],"mm")</f>
        <v>12</v>
      </c>
      <c r="T247">
        <f>YEAR(sales_data[[#This Row],[Order Date]])</f>
        <v>2018</v>
      </c>
      <c r="U247" s="8" t="s">
        <v>2220</v>
      </c>
      <c r="V247" t="s">
        <v>1008</v>
      </c>
    </row>
    <row r="248" spans="1:22" x14ac:dyDescent="0.35">
      <c r="A248">
        <v>272</v>
      </c>
      <c r="B248" t="s">
        <v>1010</v>
      </c>
      <c r="C248" s="1">
        <v>42581</v>
      </c>
      <c r="D248" s="1">
        <v>42582</v>
      </c>
      <c r="E248" t="s">
        <v>183</v>
      </c>
      <c r="F248" t="s">
        <v>593</v>
      </c>
      <c r="G248" t="s">
        <v>594</v>
      </c>
      <c r="H248" t="s">
        <v>22</v>
      </c>
      <c r="I248" t="s">
        <v>23</v>
      </c>
      <c r="J248" t="s">
        <v>123</v>
      </c>
      <c r="K248" t="s">
        <v>39</v>
      </c>
      <c r="L248">
        <v>94109</v>
      </c>
      <c r="M248" t="s">
        <v>40</v>
      </c>
      <c r="N248" t="s">
        <v>1011</v>
      </c>
      <c r="O248" t="s">
        <v>67</v>
      </c>
      <c r="P248" t="s">
        <v>156</v>
      </c>
      <c r="Q248" t="s">
        <v>1012</v>
      </c>
      <c r="R248">
        <v>209.93</v>
      </c>
      <c r="S248" t="str">
        <f>TEXT(sales_data[[#This Row],[Order Date]],"mm")</f>
        <v>07</v>
      </c>
      <c r="T248">
        <f>YEAR(sales_data[[#This Row],[Order Date]])</f>
        <v>2016</v>
      </c>
      <c r="U248" s="7" t="s">
        <v>2235</v>
      </c>
      <c r="V248" t="s">
        <v>1011</v>
      </c>
    </row>
    <row r="249" spans="1:22" x14ac:dyDescent="0.35">
      <c r="A249">
        <v>273</v>
      </c>
      <c r="B249" t="s">
        <v>1010</v>
      </c>
      <c r="C249" s="1">
        <v>42581</v>
      </c>
      <c r="D249" s="1">
        <v>42582</v>
      </c>
      <c r="E249" t="s">
        <v>183</v>
      </c>
      <c r="F249" t="s">
        <v>593</v>
      </c>
      <c r="G249" t="s">
        <v>594</v>
      </c>
      <c r="H249" t="s">
        <v>22</v>
      </c>
      <c r="I249" t="s">
        <v>23</v>
      </c>
      <c r="J249" t="s">
        <v>123</v>
      </c>
      <c r="K249" t="s">
        <v>39</v>
      </c>
      <c r="L249">
        <v>94109</v>
      </c>
      <c r="M249" t="s">
        <v>40</v>
      </c>
      <c r="N249" t="s">
        <v>1013</v>
      </c>
      <c r="O249" t="s">
        <v>28</v>
      </c>
      <c r="P249" t="s">
        <v>61</v>
      </c>
      <c r="Q249" t="s">
        <v>1014</v>
      </c>
      <c r="R249">
        <v>5.28</v>
      </c>
      <c r="S249" t="str">
        <f>TEXT(sales_data[[#This Row],[Order Date]],"mm")</f>
        <v>07</v>
      </c>
      <c r="T249">
        <f>YEAR(sales_data[[#This Row],[Order Date]])</f>
        <v>2016</v>
      </c>
      <c r="U249" s="8" t="s">
        <v>2240</v>
      </c>
      <c r="V249" t="s">
        <v>1013</v>
      </c>
    </row>
    <row r="250" spans="1:22" x14ac:dyDescent="0.35">
      <c r="A250">
        <v>274</v>
      </c>
      <c r="B250" t="s">
        <v>1010</v>
      </c>
      <c r="C250" s="1">
        <v>42581</v>
      </c>
      <c r="D250" s="1">
        <v>42582</v>
      </c>
      <c r="E250" t="s">
        <v>183</v>
      </c>
      <c r="F250" t="s">
        <v>593</v>
      </c>
      <c r="G250" t="s">
        <v>594</v>
      </c>
      <c r="H250" t="s">
        <v>22</v>
      </c>
      <c r="I250" t="s">
        <v>23</v>
      </c>
      <c r="J250" t="s">
        <v>123</v>
      </c>
      <c r="K250" t="s">
        <v>39</v>
      </c>
      <c r="L250">
        <v>94109</v>
      </c>
      <c r="M250" t="s">
        <v>40</v>
      </c>
      <c r="N250" t="s">
        <v>1015</v>
      </c>
      <c r="O250" t="s">
        <v>42</v>
      </c>
      <c r="P250" t="s">
        <v>71</v>
      </c>
      <c r="Q250" t="s">
        <v>1016</v>
      </c>
      <c r="R250">
        <v>10.92</v>
      </c>
      <c r="S250" t="str">
        <f>TEXT(sales_data[[#This Row],[Order Date]],"mm")</f>
        <v>07</v>
      </c>
      <c r="T250">
        <f>YEAR(sales_data[[#This Row],[Order Date]])</f>
        <v>2016</v>
      </c>
      <c r="U250" s="7" t="s">
        <v>2248</v>
      </c>
      <c r="V250" t="s">
        <v>1015</v>
      </c>
    </row>
    <row r="251" spans="1:22" x14ac:dyDescent="0.35">
      <c r="A251">
        <v>275</v>
      </c>
      <c r="B251" t="s">
        <v>1017</v>
      </c>
      <c r="C251" s="1">
        <v>43359</v>
      </c>
      <c r="D251" s="1">
        <v>43360</v>
      </c>
      <c r="E251" t="s">
        <v>183</v>
      </c>
      <c r="F251" t="s">
        <v>1018</v>
      </c>
      <c r="G251" t="s">
        <v>1019</v>
      </c>
      <c r="H251" t="s">
        <v>37</v>
      </c>
      <c r="I251" t="s">
        <v>23</v>
      </c>
      <c r="J251" t="s">
        <v>1020</v>
      </c>
      <c r="K251" t="s">
        <v>39</v>
      </c>
      <c r="L251">
        <v>90301</v>
      </c>
      <c r="M251" t="s">
        <v>40</v>
      </c>
      <c r="N251" t="s">
        <v>1021</v>
      </c>
      <c r="O251" t="s">
        <v>42</v>
      </c>
      <c r="P251" t="s">
        <v>86</v>
      </c>
      <c r="Q251" t="s">
        <v>1022</v>
      </c>
      <c r="R251">
        <v>8.82</v>
      </c>
      <c r="S251" t="str">
        <f>TEXT(sales_data[[#This Row],[Order Date]],"mm")</f>
        <v>09</v>
      </c>
      <c r="T251">
        <f>YEAR(sales_data[[#This Row],[Order Date]])</f>
        <v>2018</v>
      </c>
      <c r="U251" s="8" t="s">
        <v>2252</v>
      </c>
      <c r="V251" t="s">
        <v>1021</v>
      </c>
    </row>
    <row r="252" spans="1:22" x14ac:dyDescent="0.35">
      <c r="A252">
        <v>276</v>
      </c>
      <c r="B252" t="s">
        <v>1017</v>
      </c>
      <c r="C252" s="1">
        <v>43359</v>
      </c>
      <c r="D252" s="1">
        <v>43360</v>
      </c>
      <c r="E252" t="s">
        <v>183</v>
      </c>
      <c r="F252" t="s">
        <v>1018</v>
      </c>
      <c r="G252" t="s">
        <v>1019</v>
      </c>
      <c r="H252" t="s">
        <v>37</v>
      </c>
      <c r="I252" t="s">
        <v>23</v>
      </c>
      <c r="J252" t="s">
        <v>1020</v>
      </c>
      <c r="K252" t="s">
        <v>39</v>
      </c>
      <c r="L252">
        <v>90301</v>
      </c>
      <c r="M252" t="s">
        <v>40</v>
      </c>
      <c r="N252" t="s">
        <v>1023</v>
      </c>
      <c r="O252" t="s">
        <v>42</v>
      </c>
      <c r="P252" t="s">
        <v>64</v>
      </c>
      <c r="Q252" t="s">
        <v>1024</v>
      </c>
      <c r="R252">
        <v>5.98</v>
      </c>
      <c r="S252" t="str">
        <f>TEXT(sales_data[[#This Row],[Order Date]],"mm")</f>
        <v>09</v>
      </c>
      <c r="T252">
        <f>YEAR(sales_data[[#This Row],[Order Date]])</f>
        <v>2018</v>
      </c>
      <c r="U252" s="7" t="s">
        <v>2255</v>
      </c>
      <c r="V252" t="s">
        <v>1023</v>
      </c>
    </row>
    <row r="253" spans="1:22" x14ac:dyDescent="0.35">
      <c r="A253">
        <v>277</v>
      </c>
      <c r="B253" t="s">
        <v>1025</v>
      </c>
      <c r="C253" s="1">
        <v>43386</v>
      </c>
      <c r="D253" s="1">
        <v>43390</v>
      </c>
      <c r="E253" t="s">
        <v>46</v>
      </c>
      <c r="F253" t="s">
        <v>1026</v>
      </c>
      <c r="G253" t="s">
        <v>1027</v>
      </c>
      <c r="H253" t="s">
        <v>37</v>
      </c>
      <c r="I253" t="s">
        <v>23</v>
      </c>
      <c r="J253" t="s">
        <v>142</v>
      </c>
      <c r="K253" t="s">
        <v>143</v>
      </c>
      <c r="L253">
        <v>19140</v>
      </c>
      <c r="M253" t="s">
        <v>144</v>
      </c>
      <c r="N253" t="s">
        <v>1028</v>
      </c>
      <c r="O253" t="s">
        <v>42</v>
      </c>
      <c r="P253" t="s">
        <v>86</v>
      </c>
      <c r="Q253" t="s">
        <v>1029</v>
      </c>
      <c r="R253">
        <v>11.648</v>
      </c>
      <c r="S253" t="str">
        <f>TEXT(sales_data[[#This Row],[Order Date]],"mm")</f>
        <v>10</v>
      </c>
      <c r="T253">
        <f>YEAR(sales_data[[#This Row],[Order Date]])</f>
        <v>2018</v>
      </c>
      <c r="U253" s="8" t="s">
        <v>2261</v>
      </c>
      <c r="V253" t="s">
        <v>1028</v>
      </c>
    </row>
    <row r="254" spans="1:22" x14ac:dyDescent="0.35">
      <c r="A254">
        <v>278</v>
      </c>
      <c r="B254" t="s">
        <v>1025</v>
      </c>
      <c r="C254" s="1">
        <v>43386</v>
      </c>
      <c r="D254" s="1">
        <v>43390</v>
      </c>
      <c r="E254" t="s">
        <v>46</v>
      </c>
      <c r="F254" t="s">
        <v>1026</v>
      </c>
      <c r="G254" t="s">
        <v>1027</v>
      </c>
      <c r="H254" t="s">
        <v>37</v>
      </c>
      <c r="I254" t="s">
        <v>23</v>
      </c>
      <c r="J254" t="s">
        <v>142</v>
      </c>
      <c r="K254" t="s">
        <v>143</v>
      </c>
      <c r="L254">
        <v>19140</v>
      </c>
      <c r="M254" t="s">
        <v>144</v>
      </c>
      <c r="N254" t="s">
        <v>1030</v>
      </c>
      <c r="O254" t="s">
        <v>42</v>
      </c>
      <c r="P254" t="s">
        <v>86</v>
      </c>
      <c r="Q254" t="s">
        <v>1031</v>
      </c>
      <c r="R254">
        <v>18.175999999999998</v>
      </c>
      <c r="S254" t="str">
        <f>TEXT(sales_data[[#This Row],[Order Date]],"mm")</f>
        <v>10</v>
      </c>
      <c r="T254">
        <f>YEAR(sales_data[[#This Row],[Order Date]])</f>
        <v>2018</v>
      </c>
      <c r="U254" s="8" t="s">
        <v>2271</v>
      </c>
      <c r="V254" t="s">
        <v>1030</v>
      </c>
    </row>
    <row r="255" spans="1:22" x14ac:dyDescent="0.35">
      <c r="A255">
        <v>279</v>
      </c>
      <c r="B255" t="s">
        <v>1025</v>
      </c>
      <c r="C255" s="1">
        <v>43386</v>
      </c>
      <c r="D255" s="1">
        <v>43390</v>
      </c>
      <c r="E255" t="s">
        <v>46</v>
      </c>
      <c r="F255" t="s">
        <v>1026</v>
      </c>
      <c r="G255" t="s">
        <v>1027</v>
      </c>
      <c r="H255" t="s">
        <v>37</v>
      </c>
      <c r="I255" t="s">
        <v>23</v>
      </c>
      <c r="J255" t="s">
        <v>142</v>
      </c>
      <c r="K255" t="s">
        <v>143</v>
      </c>
      <c r="L255">
        <v>19140</v>
      </c>
      <c r="M255" t="s">
        <v>144</v>
      </c>
      <c r="N255" t="s">
        <v>1032</v>
      </c>
      <c r="O255" t="s">
        <v>42</v>
      </c>
      <c r="P255" t="s">
        <v>55</v>
      </c>
      <c r="Q255" t="s">
        <v>1033</v>
      </c>
      <c r="R255">
        <v>59.712000000000003</v>
      </c>
      <c r="S255" t="str">
        <f>TEXT(sales_data[[#This Row],[Order Date]],"mm")</f>
        <v>10</v>
      </c>
      <c r="T255">
        <f>YEAR(sales_data[[#This Row],[Order Date]])</f>
        <v>2018</v>
      </c>
      <c r="U255" s="8" t="s">
        <v>2276</v>
      </c>
      <c r="V255" t="s">
        <v>1032</v>
      </c>
    </row>
    <row r="256" spans="1:22" x14ac:dyDescent="0.35">
      <c r="A256">
        <v>280</v>
      </c>
      <c r="B256" t="s">
        <v>1025</v>
      </c>
      <c r="C256" s="1">
        <v>43386</v>
      </c>
      <c r="D256" s="1">
        <v>43390</v>
      </c>
      <c r="E256" t="s">
        <v>46</v>
      </c>
      <c r="F256" t="s">
        <v>1026</v>
      </c>
      <c r="G256" t="s">
        <v>1027</v>
      </c>
      <c r="H256" t="s">
        <v>37</v>
      </c>
      <c r="I256" t="s">
        <v>23</v>
      </c>
      <c r="J256" t="s">
        <v>142</v>
      </c>
      <c r="K256" t="s">
        <v>143</v>
      </c>
      <c r="L256">
        <v>19140</v>
      </c>
      <c r="M256" t="s">
        <v>144</v>
      </c>
      <c r="N256" t="s">
        <v>1034</v>
      </c>
      <c r="O256" t="s">
        <v>42</v>
      </c>
      <c r="P256" t="s">
        <v>43</v>
      </c>
      <c r="Q256" t="s">
        <v>1035</v>
      </c>
      <c r="R256">
        <v>24.84</v>
      </c>
      <c r="S256" t="str">
        <f>TEXT(sales_data[[#This Row],[Order Date]],"mm")</f>
        <v>10</v>
      </c>
      <c r="T256">
        <f>YEAR(sales_data[[#This Row],[Order Date]])</f>
        <v>2018</v>
      </c>
      <c r="U256" s="8" t="s">
        <v>2278</v>
      </c>
      <c r="V256" t="s">
        <v>1034</v>
      </c>
    </row>
    <row r="257" spans="1:22" x14ac:dyDescent="0.35">
      <c r="A257">
        <v>281</v>
      </c>
      <c r="B257" t="s">
        <v>1036</v>
      </c>
      <c r="C257" s="1">
        <v>42639</v>
      </c>
      <c r="D257" s="1">
        <v>42641</v>
      </c>
      <c r="E257" t="s">
        <v>19</v>
      </c>
      <c r="F257" t="s">
        <v>514</v>
      </c>
      <c r="G257" t="s">
        <v>515</v>
      </c>
      <c r="H257" t="s">
        <v>22</v>
      </c>
      <c r="I257" t="s">
        <v>23</v>
      </c>
      <c r="J257" t="s">
        <v>179</v>
      </c>
      <c r="K257" t="s">
        <v>100</v>
      </c>
      <c r="L257">
        <v>77070</v>
      </c>
      <c r="M257" t="s">
        <v>101</v>
      </c>
      <c r="N257" t="s">
        <v>1037</v>
      </c>
      <c r="O257" t="s">
        <v>42</v>
      </c>
      <c r="P257" t="s">
        <v>71</v>
      </c>
      <c r="Q257" t="s">
        <v>1038</v>
      </c>
      <c r="R257">
        <v>2.08</v>
      </c>
      <c r="S257" t="str">
        <f>TEXT(sales_data[[#This Row],[Order Date]],"mm")</f>
        <v>09</v>
      </c>
      <c r="T257">
        <f>YEAR(sales_data[[#This Row],[Order Date]])</f>
        <v>2016</v>
      </c>
      <c r="U257" s="8" t="s">
        <v>2288</v>
      </c>
      <c r="V257" t="s">
        <v>1037</v>
      </c>
    </row>
    <row r="258" spans="1:22" x14ac:dyDescent="0.35">
      <c r="A258">
        <v>282</v>
      </c>
      <c r="B258" t="s">
        <v>1036</v>
      </c>
      <c r="C258" s="1">
        <v>42639</v>
      </c>
      <c r="D258" s="1">
        <v>42641</v>
      </c>
      <c r="E258" t="s">
        <v>19</v>
      </c>
      <c r="F258" t="s">
        <v>514</v>
      </c>
      <c r="G258" t="s">
        <v>515</v>
      </c>
      <c r="H258" t="s">
        <v>22</v>
      </c>
      <c r="I258" t="s">
        <v>23</v>
      </c>
      <c r="J258" t="s">
        <v>179</v>
      </c>
      <c r="K258" t="s">
        <v>100</v>
      </c>
      <c r="L258">
        <v>77070</v>
      </c>
      <c r="M258" t="s">
        <v>101</v>
      </c>
      <c r="N258" t="s">
        <v>1039</v>
      </c>
      <c r="O258" t="s">
        <v>67</v>
      </c>
      <c r="P258" t="s">
        <v>68</v>
      </c>
      <c r="Q258" t="s">
        <v>1040</v>
      </c>
      <c r="R258">
        <v>1114.4000000000001</v>
      </c>
      <c r="S258" t="str">
        <f>TEXT(sales_data[[#This Row],[Order Date]],"mm")</f>
        <v>09</v>
      </c>
      <c r="T258">
        <f>YEAR(sales_data[[#This Row],[Order Date]])</f>
        <v>2016</v>
      </c>
      <c r="U258" s="8" t="s">
        <v>2293</v>
      </c>
      <c r="V258" t="s">
        <v>1039</v>
      </c>
    </row>
    <row r="259" spans="1:22" x14ac:dyDescent="0.35">
      <c r="A259">
        <v>283</v>
      </c>
      <c r="B259" t="s">
        <v>1041</v>
      </c>
      <c r="C259" s="1">
        <v>42676</v>
      </c>
      <c r="D259" s="1">
        <v>42680</v>
      </c>
      <c r="E259" t="s">
        <v>46</v>
      </c>
      <c r="F259" t="s">
        <v>1042</v>
      </c>
      <c r="G259" t="s">
        <v>1043</v>
      </c>
      <c r="H259" t="s">
        <v>22</v>
      </c>
      <c r="I259" t="s">
        <v>23</v>
      </c>
      <c r="J259" t="s">
        <v>38</v>
      </c>
      <c r="K259" t="s">
        <v>39</v>
      </c>
      <c r="L259">
        <v>90004</v>
      </c>
      <c r="M259" t="s">
        <v>40</v>
      </c>
      <c r="N259" t="s">
        <v>1044</v>
      </c>
      <c r="O259" t="s">
        <v>28</v>
      </c>
      <c r="P259" t="s">
        <v>52</v>
      </c>
      <c r="Q259" t="s">
        <v>1045</v>
      </c>
      <c r="R259">
        <v>1038.8399999999999</v>
      </c>
      <c r="S259" t="str">
        <f>TEXT(sales_data[[#This Row],[Order Date]],"mm")</f>
        <v>11</v>
      </c>
      <c r="T259">
        <f>YEAR(sales_data[[#This Row],[Order Date]])</f>
        <v>2016</v>
      </c>
      <c r="U259" s="8" t="s">
        <v>2299</v>
      </c>
      <c r="V259" t="s">
        <v>1044</v>
      </c>
    </row>
    <row r="260" spans="1:22" x14ac:dyDescent="0.35">
      <c r="A260">
        <v>284</v>
      </c>
      <c r="B260" t="s">
        <v>1046</v>
      </c>
      <c r="C260" s="1">
        <v>42639</v>
      </c>
      <c r="D260" s="1">
        <v>42645</v>
      </c>
      <c r="E260" t="s">
        <v>46</v>
      </c>
      <c r="F260" t="s">
        <v>159</v>
      </c>
      <c r="G260" t="s">
        <v>160</v>
      </c>
      <c r="H260" t="s">
        <v>22</v>
      </c>
      <c r="I260" t="s">
        <v>23</v>
      </c>
      <c r="J260" t="s">
        <v>414</v>
      </c>
      <c r="K260" t="s">
        <v>415</v>
      </c>
      <c r="L260">
        <v>97206</v>
      </c>
      <c r="M260" t="s">
        <v>40</v>
      </c>
      <c r="N260" t="s">
        <v>1047</v>
      </c>
      <c r="O260" t="s">
        <v>42</v>
      </c>
      <c r="P260" t="s">
        <v>86</v>
      </c>
      <c r="Q260" t="s">
        <v>181</v>
      </c>
      <c r="R260">
        <v>141.76</v>
      </c>
      <c r="S260" t="str">
        <f>TEXT(sales_data[[#This Row],[Order Date]],"mm")</f>
        <v>09</v>
      </c>
      <c r="T260">
        <f>YEAR(sales_data[[#This Row],[Order Date]])</f>
        <v>2016</v>
      </c>
      <c r="U260" s="7" t="s">
        <v>2306</v>
      </c>
      <c r="V260" t="s">
        <v>1047</v>
      </c>
    </row>
    <row r="261" spans="1:22" x14ac:dyDescent="0.35">
      <c r="A261">
        <v>285</v>
      </c>
      <c r="B261" t="s">
        <v>1046</v>
      </c>
      <c r="C261" s="1">
        <v>42639</v>
      </c>
      <c r="D261" s="1">
        <v>42645</v>
      </c>
      <c r="E261" t="s">
        <v>46</v>
      </c>
      <c r="F261" t="s">
        <v>159</v>
      </c>
      <c r="G261" t="s">
        <v>160</v>
      </c>
      <c r="H261" t="s">
        <v>22</v>
      </c>
      <c r="I261" t="s">
        <v>23</v>
      </c>
      <c r="J261" t="s">
        <v>414</v>
      </c>
      <c r="K261" t="s">
        <v>415</v>
      </c>
      <c r="L261">
        <v>97206</v>
      </c>
      <c r="M261" t="s">
        <v>40</v>
      </c>
      <c r="N261" t="s">
        <v>1048</v>
      </c>
      <c r="O261" t="s">
        <v>67</v>
      </c>
      <c r="P261" t="s">
        <v>156</v>
      </c>
      <c r="Q261" t="s">
        <v>1049</v>
      </c>
      <c r="R261">
        <v>239.8</v>
      </c>
      <c r="S261" t="str">
        <f>TEXT(sales_data[[#This Row],[Order Date]],"mm")</f>
        <v>09</v>
      </c>
      <c r="T261">
        <f>YEAR(sales_data[[#This Row],[Order Date]])</f>
        <v>2016</v>
      </c>
      <c r="U261" s="8" t="s">
        <v>2316</v>
      </c>
      <c r="V261" t="s">
        <v>1048</v>
      </c>
    </row>
    <row r="262" spans="1:22" x14ac:dyDescent="0.35">
      <c r="A262">
        <v>286</v>
      </c>
      <c r="B262" t="s">
        <v>1046</v>
      </c>
      <c r="C262" s="1">
        <v>42639</v>
      </c>
      <c r="D262" s="1">
        <v>42645</v>
      </c>
      <c r="E262" t="s">
        <v>46</v>
      </c>
      <c r="F262" t="s">
        <v>159</v>
      </c>
      <c r="G262" t="s">
        <v>160</v>
      </c>
      <c r="H262" t="s">
        <v>22</v>
      </c>
      <c r="I262" t="s">
        <v>23</v>
      </c>
      <c r="J262" t="s">
        <v>414</v>
      </c>
      <c r="K262" t="s">
        <v>415</v>
      </c>
      <c r="L262">
        <v>97206</v>
      </c>
      <c r="M262" t="s">
        <v>40</v>
      </c>
      <c r="N262" t="s">
        <v>1050</v>
      </c>
      <c r="O262" t="s">
        <v>42</v>
      </c>
      <c r="P262" t="s">
        <v>86</v>
      </c>
      <c r="Q262" t="s">
        <v>1051</v>
      </c>
      <c r="R262">
        <v>31.103999999999999</v>
      </c>
      <c r="S262" t="str">
        <f>TEXT(sales_data[[#This Row],[Order Date]],"mm")</f>
        <v>09</v>
      </c>
      <c r="T262">
        <f>YEAR(sales_data[[#This Row],[Order Date]])</f>
        <v>2016</v>
      </c>
      <c r="U262" s="7" t="s">
        <v>2328</v>
      </c>
      <c r="V262" t="s">
        <v>1050</v>
      </c>
    </row>
    <row r="263" spans="1:22" x14ac:dyDescent="0.35">
      <c r="A263">
        <v>287</v>
      </c>
      <c r="B263" t="s">
        <v>1052</v>
      </c>
      <c r="C263" s="1">
        <v>43087</v>
      </c>
      <c r="D263" s="1">
        <v>43089</v>
      </c>
      <c r="E263" t="s">
        <v>19</v>
      </c>
      <c r="F263" t="s">
        <v>1053</v>
      </c>
      <c r="G263" t="s">
        <v>1054</v>
      </c>
      <c r="H263" t="s">
        <v>37</v>
      </c>
      <c r="I263" t="s">
        <v>23</v>
      </c>
      <c r="J263" t="s">
        <v>1055</v>
      </c>
      <c r="K263" t="s">
        <v>50</v>
      </c>
      <c r="L263">
        <v>33319</v>
      </c>
      <c r="M263" t="s">
        <v>26</v>
      </c>
      <c r="N263" t="s">
        <v>1056</v>
      </c>
      <c r="O263" t="s">
        <v>42</v>
      </c>
      <c r="P263" t="s">
        <v>71</v>
      </c>
      <c r="Q263" t="s">
        <v>1057</v>
      </c>
      <c r="R263">
        <v>254.05799999999999</v>
      </c>
      <c r="S263" t="str">
        <f>TEXT(sales_data[[#This Row],[Order Date]],"mm")</f>
        <v>12</v>
      </c>
      <c r="T263">
        <f>YEAR(sales_data[[#This Row],[Order Date]])</f>
        <v>2017</v>
      </c>
      <c r="U263" s="8" t="s">
        <v>2335</v>
      </c>
      <c r="V263" t="s">
        <v>1056</v>
      </c>
    </row>
    <row r="264" spans="1:22" x14ac:dyDescent="0.35">
      <c r="A264">
        <v>289</v>
      </c>
      <c r="B264" t="s">
        <v>1052</v>
      </c>
      <c r="C264" s="1">
        <v>43087</v>
      </c>
      <c r="D264" s="1">
        <v>43089</v>
      </c>
      <c r="E264" t="s">
        <v>19</v>
      </c>
      <c r="F264" t="s">
        <v>1053</v>
      </c>
      <c r="G264" t="s">
        <v>1054</v>
      </c>
      <c r="H264" t="s">
        <v>37</v>
      </c>
      <c r="I264" t="s">
        <v>23</v>
      </c>
      <c r="J264" t="s">
        <v>1055</v>
      </c>
      <c r="K264" t="s">
        <v>50</v>
      </c>
      <c r="L264">
        <v>33319</v>
      </c>
      <c r="M264" t="s">
        <v>26</v>
      </c>
      <c r="N264" t="s">
        <v>1058</v>
      </c>
      <c r="O264" t="s">
        <v>42</v>
      </c>
      <c r="P264" t="s">
        <v>573</v>
      </c>
      <c r="Q264" t="s">
        <v>1059</v>
      </c>
      <c r="R264">
        <v>961.48</v>
      </c>
      <c r="S264" t="str">
        <f>TEXT(sales_data[[#This Row],[Order Date]],"mm")</f>
        <v>12</v>
      </c>
      <c r="T264">
        <f>YEAR(sales_data[[#This Row],[Order Date]])</f>
        <v>2017</v>
      </c>
      <c r="U264" s="8" t="s">
        <v>2348</v>
      </c>
      <c r="V264" t="s">
        <v>1058</v>
      </c>
    </row>
    <row r="265" spans="1:22" x14ac:dyDescent="0.35">
      <c r="A265">
        <v>290</v>
      </c>
      <c r="B265" t="s">
        <v>1060</v>
      </c>
      <c r="C265" s="1">
        <v>43059</v>
      </c>
      <c r="D265" s="1">
        <v>43063</v>
      </c>
      <c r="E265" t="s">
        <v>19</v>
      </c>
      <c r="F265" t="s">
        <v>1061</v>
      </c>
      <c r="G265" t="s">
        <v>1062</v>
      </c>
      <c r="H265" t="s">
        <v>98</v>
      </c>
      <c r="I265" t="s">
        <v>23</v>
      </c>
      <c r="J265" t="s">
        <v>492</v>
      </c>
      <c r="K265" t="s">
        <v>493</v>
      </c>
      <c r="L265">
        <v>43229</v>
      </c>
      <c r="M265" t="s">
        <v>144</v>
      </c>
      <c r="N265" t="s">
        <v>1063</v>
      </c>
      <c r="O265" t="s">
        <v>42</v>
      </c>
      <c r="P265" t="s">
        <v>264</v>
      </c>
      <c r="Q265" t="s">
        <v>1064</v>
      </c>
      <c r="R265">
        <v>19.096</v>
      </c>
      <c r="S265" t="str">
        <f>TEXT(sales_data[[#This Row],[Order Date]],"mm")</f>
        <v>11</v>
      </c>
      <c r="T265">
        <f>YEAR(sales_data[[#This Row],[Order Date]])</f>
        <v>2017</v>
      </c>
      <c r="U265" s="7" t="s">
        <v>2358</v>
      </c>
      <c r="V265" t="s">
        <v>1063</v>
      </c>
    </row>
    <row r="266" spans="1:22" x14ac:dyDescent="0.35">
      <c r="A266">
        <v>291</v>
      </c>
      <c r="B266" t="s">
        <v>1060</v>
      </c>
      <c r="C266" s="1">
        <v>43059</v>
      </c>
      <c r="D266" s="1">
        <v>43063</v>
      </c>
      <c r="E266" t="s">
        <v>19</v>
      </c>
      <c r="F266" t="s">
        <v>1061</v>
      </c>
      <c r="G266" t="s">
        <v>1062</v>
      </c>
      <c r="H266" t="s">
        <v>98</v>
      </c>
      <c r="I266" t="s">
        <v>23</v>
      </c>
      <c r="J266" t="s">
        <v>492</v>
      </c>
      <c r="K266" t="s">
        <v>493</v>
      </c>
      <c r="L266">
        <v>43229</v>
      </c>
      <c r="M266" t="s">
        <v>144</v>
      </c>
      <c r="N266" t="s">
        <v>1065</v>
      </c>
      <c r="O266" t="s">
        <v>42</v>
      </c>
      <c r="P266" t="s">
        <v>43</v>
      </c>
      <c r="Q266" t="s">
        <v>1066</v>
      </c>
      <c r="R266">
        <v>18.495999999999999</v>
      </c>
      <c r="S266" t="str">
        <f>TEXT(sales_data[[#This Row],[Order Date]],"mm")</f>
        <v>11</v>
      </c>
      <c r="T266">
        <f>YEAR(sales_data[[#This Row],[Order Date]])</f>
        <v>2017</v>
      </c>
      <c r="U266" s="8" t="s">
        <v>2365</v>
      </c>
      <c r="V266" t="s">
        <v>1065</v>
      </c>
    </row>
    <row r="267" spans="1:22" x14ac:dyDescent="0.35">
      <c r="A267">
        <v>292</v>
      </c>
      <c r="B267" t="s">
        <v>1060</v>
      </c>
      <c r="C267" s="1">
        <v>43059</v>
      </c>
      <c r="D267" s="1">
        <v>43063</v>
      </c>
      <c r="E267" t="s">
        <v>19</v>
      </c>
      <c r="F267" t="s">
        <v>1061</v>
      </c>
      <c r="G267" t="s">
        <v>1062</v>
      </c>
      <c r="H267" t="s">
        <v>98</v>
      </c>
      <c r="I267" t="s">
        <v>23</v>
      </c>
      <c r="J267" t="s">
        <v>492</v>
      </c>
      <c r="K267" t="s">
        <v>493</v>
      </c>
      <c r="L267">
        <v>43229</v>
      </c>
      <c r="M267" t="s">
        <v>144</v>
      </c>
      <c r="N267" t="s">
        <v>1067</v>
      </c>
      <c r="O267" t="s">
        <v>67</v>
      </c>
      <c r="P267" t="s">
        <v>156</v>
      </c>
      <c r="Q267" t="s">
        <v>1068</v>
      </c>
      <c r="R267">
        <v>255.98400000000001</v>
      </c>
      <c r="S267" t="str">
        <f>TEXT(sales_data[[#This Row],[Order Date]],"mm")</f>
        <v>11</v>
      </c>
      <c r="T267">
        <f>YEAR(sales_data[[#This Row],[Order Date]])</f>
        <v>2017</v>
      </c>
      <c r="U267" s="8" t="s">
        <v>2367</v>
      </c>
      <c r="V267" t="s">
        <v>1067</v>
      </c>
    </row>
    <row r="268" spans="1:22" x14ac:dyDescent="0.35">
      <c r="A268">
        <v>293</v>
      </c>
      <c r="B268" t="s">
        <v>1060</v>
      </c>
      <c r="C268" s="1">
        <v>43059</v>
      </c>
      <c r="D268" s="1">
        <v>43063</v>
      </c>
      <c r="E268" t="s">
        <v>19</v>
      </c>
      <c r="F268" t="s">
        <v>1061</v>
      </c>
      <c r="G268" t="s">
        <v>1062</v>
      </c>
      <c r="H268" t="s">
        <v>98</v>
      </c>
      <c r="I268" t="s">
        <v>23</v>
      </c>
      <c r="J268" t="s">
        <v>492</v>
      </c>
      <c r="K268" t="s">
        <v>493</v>
      </c>
      <c r="L268">
        <v>43229</v>
      </c>
      <c r="M268" t="s">
        <v>144</v>
      </c>
      <c r="N268" t="s">
        <v>1069</v>
      </c>
      <c r="O268" t="s">
        <v>28</v>
      </c>
      <c r="P268" t="s">
        <v>29</v>
      </c>
      <c r="Q268" t="s">
        <v>1070</v>
      </c>
      <c r="R268">
        <v>86.97</v>
      </c>
      <c r="S268" t="str">
        <f>TEXT(sales_data[[#This Row],[Order Date]],"mm")</f>
        <v>11</v>
      </c>
      <c r="T268">
        <f>YEAR(sales_data[[#This Row],[Order Date]])</f>
        <v>2017</v>
      </c>
      <c r="U268" s="8" t="s">
        <v>2369</v>
      </c>
      <c r="V268" t="s">
        <v>1069</v>
      </c>
    </row>
    <row r="269" spans="1:22" x14ac:dyDescent="0.35">
      <c r="A269">
        <v>294</v>
      </c>
      <c r="B269" t="s">
        <v>1071</v>
      </c>
      <c r="C269" s="1">
        <v>42364</v>
      </c>
      <c r="D269" s="1">
        <v>42366</v>
      </c>
      <c r="E269" t="s">
        <v>183</v>
      </c>
      <c r="F269" t="s">
        <v>1072</v>
      </c>
      <c r="G269" t="s">
        <v>1073</v>
      </c>
      <c r="H269" t="s">
        <v>37</v>
      </c>
      <c r="I269" t="s">
        <v>23</v>
      </c>
      <c r="J269" t="s">
        <v>1074</v>
      </c>
      <c r="K269" t="s">
        <v>452</v>
      </c>
      <c r="L269">
        <v>80906</v>
      </c>
      <c r="M269" t="s">
        <v>40</v>
      </c>
      <c r="N269" t="s">
        <v>1075</v>
      </c>
      <c r="O269" t="s">
        <v>28</v>
      </c>
      <c r="P269" t="s">
        <v>61</v>
      </c>
      <c r="Q269" t="s">
        <v>1076</v>
      </c>
      <c r="R269">
        <v>300.416</v>
      </c>
      <c r="S269" t="str">
        <f>TEXT(sales_data[[#This Row],[Order Date]],"mm")</f>
        <v>12</v>
      </c>
      <c r="T269">
        <f>YEAR(sales_data[[#This Row],[Order Date]])</f>
        <v>2015</v>
      </c>
      <c r="U269" s="8" t="s">
        <v>2374</v>
      </c>
      <c r="V269" t="s">
        <v>1075</v>
      </c>
    </row>
    <row r="270" spans="1:22" x14ac:dyDescent="0.35">
      <c r="A270">
        <v>295</v>
      </c>
      <c r="B270" t="s">
        <v>1071</v>
      </c>
      <c r="C270" s="1">
        <v>42364</v>
      </c>
      <c r="D270" s="1">
        <v>42366</v>
      </c>
      <c r="E270" t="s">
        <v>183</v>
      </c>
      <c r="F270" t="s">
        <v>1072</v>
      </c>
      <c r="G270" t="s">
        <v>1073</v>
      </c>
      <c r="H270" t="s">
        <v>37</v>
      </c>
      <c r="I270" t="s">
        <v>23</v>
      </c>
      <c r="J270" t="s">
        <v>1074</v>
      </c>
      <c r="K270" t="s">
        <v>452</v>
      </c>
      <c r="L270">
        <v>80906</v>
      </c>
      <c r="M270" t="s">
        <v>40</v>
      </c>
      <c r="N270" t="s">
        <v>1077</v>
      </c>
      <c r="O270" t="s">
        <v>28</v>
      </c>
      <c r="P270" t="s">
        <v>32</v>
      </c>
      <c r="Q270" t="s">
        <v>1078</v>
      </c>
      <c r="R270">
        <v>230.352</v>
      </c>
      <c r="S270" t="str">
        <f>TEXT(sales_data[[#This Row],[Order Date]],"mm")</f>
        <v>12</v>
      </c>
      <c r="T270">
        <f>YEAR(sales_data[[#This Row],[Order Date]])</f>
        <v>2015</v>
      </c>
      <c r="U270" s="8" t="s">
        <v>2377</v>
      </c>
      <c r="V270" t="s">
        <v>1077</v>
      </c>
    </row>
    <row r="271" spans="1:22" x14ac:dyDescent="0.35">
      <c r="A271">
        <v>296</v>
      </c>
      <c r="B271" t="s">
        <v>1071</v>
      </c>
      <c r="C271" s="1">
        <v>42364</v>
      </c>
      <c r="D271" s="1">
        <v>42366</v>
      </c>
      <c r="E271" t="s">
        <v>183</v>
      </c>
      <c r="F271" t="s">
        <v>1072</v>
      </c>
      <c r="G271" t="s">
        <v>1073</v>
      </c>
      <c r="H271" t="s">
        <v>37</v>
      </c>
      <c r="I271" t="s">
        <v>23</v>
      </c>
      <c r="J271" t="s">
        <v>1074</v>
      </c>
      <c r="K271" t="s">
        <v>452</v>
      </c>
      <c r="L271">
        <v>80906</v>
      </c>
      <c r="M271" t="s">
        <v>40</v>
      </c>
      <c r="N271" t="s">
        <v>1079</v>
      </c>
      <c r="O271" t="s">
        <v>28</v>
      </c>
      <c r="P271" t="s">
        <v>61</v>
      </c>
      <c r="Q271" t="s">
        <v>1080</v>
      </c>
      <c r="R271">
        <v>218.352</v>
      </c>
      <c r="S271" t="str">
        <f>TEXT(sales_data[[#This Row],[Order Date]],"mm")</f>
        <v>12</v>
      </c>
      <c r="T271">
        <f>YEAR(sales_data[[#This Row],[Order Date]])</f>
        <v>2015</v>
      </c>
      <c r="U271" s="8" t="s">
        <v>2389</v>
      </c>
      <c r="V271" t="s">
        <v>1079</v>
      </c>
    </row>
    <row r="272" spans="1:22" x14ac:dyDescent="0.35">
      <c r="A272">
        <v>297</v>
      </c>
      <c r="B272" t="s">
        <v>1071</v>
      </c>
      <c r="C272" s="1">
        <v>42364</v>
      </c>
      <c r="D272" s="1">
        <v>42366</v>
      </c>
      <c r="E272" t="s">
        <v>183</v>
      </c>
      <c r="F272" t="s">
        <v>1072</v>
      </c>
      <c r="G272" t="s">
        <v>1073</v>
      </c>
      <c r="H272" t="s">
        <v>37</v>
      </c>
      <c r="I272" t="s">
        <v>23</v>
      </c>
      <c r="J272" t="s">
        <v>1074</v>
      </c>
      <c r="K272" t="s">
        <v>452</v>
      </c>
      <c r="L272">
        <v>80906</v>
      </c>
      <c r="M272" t="s">
        <v>40</v>
      </c>
      <c r="N272" t="s">
        <v>1081</v>
      </c>
      <c r="O272" t="s">
        <v>42</v>
      </c>
      <c r="P272" t="s">
        <v>71</v>
      </c>
      <c r="Q272" t="s">
        <v>1082</v>
      </c>
      <c r="R272">
        <v>78.599999999999994</v>
      </c>
      <c r="S272" t="str">
        <f>TEXT(sales_data[[#This Row],[Order Date]],"mm")</f>
        <v>12</v>
      </c>
      <c r="T272">
        <f>YEAR(sales_data[[#This Row],[Order Date]])</f>
        <v>2015</v>
      </c>
      <c r="U272" s="8" t="s">
        <v>2397</v>
      </c>
      <c r="V272" t="s">
        <v>1081</v>
      </c>
    </row>
    <row r="273" spans="1:22" x14ac:dyDescent="0.35">
      <c r="A273">
        <v>298</v>
      </c>
      <c r="B273" t="s">
        <v>1071</v>
      </c>
      <c r="C273" s="1">
        <v>42364</v>
      </c>
      <c r="D273" s="1">
        <v>42366</v>
      </c>
      <c r="E273" t="s">
        <v>183</v>
      </c>
      <c r="F273" t="s">
        <v>1072</v>
      </c>
      <c r="G273" t="s">
        <v>1073</v>
      </c>
      <c r="H273" t="s">
        <v>37</v>
      </c>
      <c r="I273" t="s">
        <v>23</v>
      </c>
      <c r="J273" t="s">
        <v>1074</v>
      </c>
      <c r="K273" t="s">
        <v>452</v>
      </c>
      <c r="L273">
        <v>80906</v>
      </c>
      <c r="M273" t="s">
        <v>40</v>
      </c>
      <c r="N273" t="s">
        <v>1083</v>
      </c>
      <c r="O273" t="s">
        <v>42</v>
      </c>
      <c r="P273" t="s">
        <v>264</v>
      </c>
      <c r="Q273" t="s">
        <v>1084</v>
      </c>
      <c r="R273">
        <v>27.552</v>
      </c>
      <c r="S273" t="str">
        <f>TEXT(sales_data[[#This Row],[Order Date]],"mm")</f>
        <v>12</v>
      </c>
      <c r="T273">
        <f>YEAR(sales_data[[#This Row],[Order Date]])</f>
        <v>2015</v>
      </c>
      <c r="U273" s="8" t="s">
        <v>2408</v>
      </c>
      <c r="V273" t="s">
        <v>1083</v>
      </c>
    </row>
    <row r="274" spans="1:22" x14ac:dyDescent="0.35">
      <c r="A274">
        <v>299</v>
      </c>
      <c r="B274" t="s">
        <v>1085</v>
      </c>
      <c r="C274" s="1">
        <v>43036</v>
      </c>
      <c r="D274" s="1">
        <v>43042</v>
      </c>
      <c r="E274" t="s">
        <v>46</v>
      </c>
      <c r="F274" t="s">
        <v>575</v>
      </c>
      <c r="G274" t="s">
        <v>576</v>
      </c>
      <c r="H274" t="s">
        <v>37</v>
      </c>
      <c r="I274" t="s">
        <v>23</v>
      </c>
      <c r="J274" t="s">
        <v>1086</v>
      </c>
      <c r="K274" t="s">
        <v>780</v>
      </c>
      <c r="L274">
        <v>7109</v>
      </c>
      <c r="M274" t="s">
        <v>144</v>
      </c>
      <c r="N274" t="s">
        <v>1087</v>
      </c>
      <c r="O274" t="s">
        <v>42</v>
      </c>
      <c r="P274" t="s">
        <v>86</v>
      </c>
      <c r="Q274" t="s">
        <v>1088</v>
      </c>
      <c r="R274">
        <v>32.4</v>
      </c>
      <c r="S274" t="str">
        <f>TEXT(sales_data[[#This Row],[Order Date]],"mm")</f>
        <v>10</v>
      </c>
      <c r="T274">
        <f>YEAR(sales_data[[#This Row],[Order Date]])</f>
        <v>2017</v>
      </c>
      <c r="U274" s="8" t="s">
        <v>2418</v>
      </c>
      <c r="V274" t="s">
        <v>1087</v>
      </c>
    </row>
    <row r="275" spans="1:22" x14ac:dyDescent="0.35">
      <c r="A275">
        <v>300</v>
      </c>
      <c r="B275" t="s">
        <v>1085</v>
      </c>
      <c r="C275" s="1">
        <v>43036</v>
      </c>
      <c r="D275" s="1">
        <v>43042</v>
      </c>
      <c r="E275" t="s">
        <v>46</v>
      </c>
      <c r="F275" t="s">
        <v>575</v>
      </c>
      <c r="G275" t="s">
        <v>576</v>
      </c>
      <c r="H275" t="s">
        <v>37</v>
      </c>
      <c r="I275" t="s">
        <v>23</v>
      </c>
      <c r="J275" t="s">
        <v>1086</v>
      </c>
      <c r="K275" t="s">
        <v>780</v>
      </c>
      <c r="L275">
        <v>7109</v>
      </c>
      <c r="M275" t="s">
        <v>144</v>
      </c>
      <c r="N275" t="s">
        <v>1089</v>
      </c>
      <c r="O275" t="s">
        <v>42</v>
      </c>
      <c r="P275" t="s">
        <v>55</v>
      </c>
      <c r="Q275" t="s">
        <v>1090</v>
      </c>
      <c r="R275">
        <v>1082.48</v>
      </c>
      <c r="S275" t="str">
        <f>TEXT(sales_data[[#This Row],[Order Date]],"mm")</f>
        <v>10</v>
      </c>
      <c r="T275">
        <f>YEAR(sales_data[[#This Row],[Order Date]])</f>
        <v>2017</v>
      </c>
      <c r="U275" s="7" t="s">
        <v>2432</v>
      </c>
      <c r="V275" t="s">
        <v>1089</v>
      </c>
    </row>
    <row r="276" spans="1:22" x14ac:dyDescent="0.35">
      <c r="A276">
        <v>301</v>
      </c>
      <c r="B276" t="s">
        <v>1085</v>
      </c>
      <c r="C276" s="1">
        <v>43036</v>
      </c>
      <c r="D276" s="1">
        <v>43042</v>
      </c>
      <c r="E276" t="s">
        <v>46</v>
      </c>
      <c r="F276" t="s">
        <v>575</v>
      </c>
      <c r="G276" t="s">
        <v>576</v>
      </c>
      <c r="H276" t="s">
        <v>37</v>
      </c>
      <c r="I276" t="s">
        <v>23</v>
      </c>
      <c r="J276" t="s">
        <v>1086</v>
      </c>
      <c r="K276" t="s">
        <v>780</v>
      </c>
      <c r="L276">
        <v>7109</v>
      </c>
      <c r="M276" t="s">
        <v>144</v>
      </c>
      <c r="N276" t="s">
        <v>1091</v>
      </c>
      <c r="O276" t="s">
        <v>42</v>
      </c>
      <c r="P276" t="s">
        <v>86</v>
      </c>
      <c r="Q276" t="s">
        <v>1092</v>
      </c>
      <c r="R276">
        <v>56.91</v>
      </c>
      <c r="S276" t="str">
        <f>TEXT(sales_data[[#This Row],[Order Date]],"mm")</f>
        <v>10</v>
      </c>
      <c r="T276">
        <f>YEAR(sales_data[[#This Row],[Order Date]])</f>
        <v>2017</v>
      </c>
      <c r="U276" s="8" t="s">
        <v>2442</v>
      </c>
      <c r="V276" t="s">
        <v>1091</v>
      </c>
    </row>
    <row r="277" spans="1:22" x14ac:dyDescent="0.35">
      <c r="A277">
        <v>302</v>
      </c>
      <c r="B277" t="s">
        <v>1085</v>
      </c>
      <c r="C277" s="1">
        <v>43036</v>
      </c>
      <c r="D277" s="1">
        <v>43042</v>
      </c>
      <c r="E277" t="s">
        <v>46</v>
      </c>
      <c r="F277" t="s">
        <v>575</v>
      </c>
      <c r="G277" t="s">
        <v>576</v>
      </c>
      <c r="H277" t="s">
        <v>37</v>
      </c>
      <c r="I277" t="s">
        <v>23</v>
      </c>
      <c r="J277" t="s">
        <v>1086</v>
      </c>
      <c r="K277" t="s">
        <v>780</v>
      </c>
      <c r="L277">
        <v>7109</v>
      </c>
      <c r="M277" t="s">
        <v>144</v>
      </c>
      <c r="N277" t="s">
        <v>1093</v>
      </c>
      <c r="O277" t="s">
        <v>28</v>
      </c>
      <c r="P277" t="s">
        <v>61</v>
      </c>
      <c r="Q277" t="s">
        <v>1094</v>
      </c>
      <c r="R277">
        <v>77.599999999999994</v>
      </c>
      <c r="S277" t="str">
        <f>TEXT(sales_data[[#This Row],[Order Date]],"mm")</f>
        <v>10</v>
      </c>
      <c r="T277">
        <f>YEAR(sales_data[[#This Row],[Order Date]])</f>
        <v>2017</v>
      </c>
      <c r="U277" s="7" t="s">
        <v>2448</v>
      </c>
      <c r="V277" t="s">
        <v>1093</v>
      </c>
    </row>
    <row r="278" spans="1:22" x14ac:dyDescent="0.35">
      <c r="A278">
        <v>303</v>
      </c>
      <c r="B278" t="s">
        <v>1085</v>
      </c>
      <c r="C278" s="1">
        <v>43036</v>
      </c>
      <c r="D278" s="1">
        <v>43042</v>
      </c>
      <c r="E278" t="s">
        <v>46</v>
      </c>
      <c r="F278" t="s">
        <v>575</v>
      </c>
      <c r="G278" t="s">
        <v>576</v>
      </c>
      <c r="H278" t="s">
        <v>37</v>
      </c>
      <c r="I278" t="s">
        <v>23</v>
      </c>
      <c r="J278" t="s">
        <v>1086</v>
      </c>
      <c r="K278" t="s">
        <v>780</v>
      </c>
      <c r="L278">
        <v>7109</v>
      </c>
      <c r="M278" t="s">
        <v>144</v>
      </c>
      <c r="N278" t="s">
        <v>1095</v>
      </c>
      <c r="O278" t="s">
        <v>42</v>
      </c>
      <c r="P278" t="s">
        <v>71</v>
      </c>
      <c r="Q278" t="s">
        <v>1096</v>
      </c>
      <c r="R278">
        <v>14.28</v>
      </c>
      <c r="S278" t="str">
        <f>TEXT(sales_data[[#This Row],[Order Date]],"mm")</f>
        <v>10</v>
      </c>
      <c r="T278">
        <f>YEAR(sales_data[[#This Row],[Order Date]])</f>
        <v>2017</v>
      </c>
      <c r="U278" s="8" t="s">
        <v>2452</v>
      </c>
      <c r="V278" t="s">
        <v>1095</v>
      </c>
    </row>
    <row r="279" spans="1:22" x14ac:dyDescent="0.35">
      <c r="A279">
        <v>304</v>
      </c>
      <c r="B279" t="s">
        <v>1097</v>
      </c>
      <c r="C279" s="1">
        <v>43423</v>
      </c>
      <c r="D279" s="1">
        <v>43427</v>
      </c>
      <c r="E279" t="s">
        <v>46</v>
      </c>
      <c r="F279" t="s">
        <v>851</v>
      </c>
      <c r="G279" t="s">
        <v>852</v>
      </c>
      <c r="H279" t="s">
        <v>22</v>
      </c>
      <c r="I279" t="s">
        <v>23</v>
      </c>
      <c r="J279" t="s">
        <v>298</v>
      </c>
      <c r="K279" t="s">
        <v>206</v>
      </c>
      <c r="L279">
        <v>60623</v>
      </c>
      <c r="M279" t="s">
        <v>101</v>
      </c>
      <c r="N279" t="s">
        <v>1098</v>
      </c>
      <c r="O279" t="s">
        <v>28</v>
      </c>
      <c r="P279" t="s">
        <v>52</v>
      </c>
      <c r="Q279" t="s">
        <v>1099</v>
      </c>
      <c r="R279">
        <v>219.07499999999999</v>
      </c>
      <c r="S279" t="str">
        <f>TEXT(sales_data[[#This Row],[Order Date]],"mm")</f>
        <v>11</v>
      </c>
      <c r="T279">
        <f>YEAR(sales_data[[#This Row],[Order Date]])</f>
        <v>2018</v>
      </c>
      <c r="U279" s="7" t="s">
        <v>2459</v>
      </c>
      <c r="V279" t="s">
        <v>1098</v>
      </c>
    </row>
    <row r="280" spans="1:22" x14ac:dyDescent="0.35">
      <c r="A280">
        <v>305</v>
      </c>
      <c r="B280" t="s">
        <v>1100</v>
      </c>
      <c r="C280" s="1">
        <v>42494</v>
      </c>
      <c r="D280" s="1">
        <v>42499</v>
      </c>
      <c r="E280" t="s">
        <v>19</v>
      </c>
      <c r="F280" t="s">
        <v>1101</v>
      </c>
      <c r="G280" t="s">
        <v>1102</v>
      </c>
      <c r="H280" t="s">
        <v>37</v>
      </c>
      <c r="I280" t="s">
        <v>23</v>
      </c>
      <c r="J280" t="s">
        <v>261</v>
      </c>
      <c r="K280" t="s">
        <v>262</v>
      </c>
      <c r="L280">
        <v>10024</v>
      </c>
      <c r="M280" t="s">
        <v>144</v>
      </c>
      <c r="N280" t="s">
        <v>1103</v>
      </c>
      <c r="O280" t="s">
        <v>28</v>
      </c>
      <c r="P280" t="s">
        <v>61</v>
      </c>
      <c r="Q280" t="s">
        <v>1104</v>
      </c>
      <c r="R280">
        <v>26.8</v>
      </c>
      <c r="S280" t="str">
        <f>TEXT(sales_data[[#This Row],[Order Date]],"mm")</f>
        <v>05</v>
      </c>
      <c r="T280">
        <f>YEAR(sales_data[[#This Row],[Order Date]])</f>
        <v>2016</v>
      </c>
      <c r="U280" s="8" t="s">
        <v>2462</v>
      </c>
      <c r="V280" t="s">
        <v>1103</v>
      </c>
    </row>
    <row r="281" spans="1:22" x14ac:dyDescent="0.35">
      <c r="A281">
        <v>306</v>
      </c>
      <c r="B281" t="s">
        <v>1105</v>
      </c>
      <c r="C281" s="1">
        <v>42368</v>
      </c>
      <c r="D281" s="1">
        <v>42373</v>
      </c>
      <c r="E281" t="s">
        <v>46</v>
      </c>
      <c r="F281" t="s">
        <v>338</v>
      </c>
      <c r="G281" t="s">
        <v>339</v>
      </c>
      <c r="H281" t="s">
        <v>37</v>
      </c>
      <c r="I281" t="s">
        <v>23</v>
      </c>
      <c r="J281" t="s">
        <v>1106</v>
      </c>
      <c r="K281" t="s">
        <v>233</v>
      </c>
      <c r="L281">
        <v>48180</v>
      </c>
      <c r="M281" t="s">
        <v>101</v>
      </c>
      <c r="N281" t="s">
        <v>1107</v>
      </c>
      <c r="O281" t="s">
        <v>42</v>
      </c>
      <c r="P281" t="s">
        <v>64</v>
      </c>
      <c r="Q281" t="s">
        <v>1108</v>
      </c>
      <c r="R281">
        <v>9.84</v>
      </c>
      <c r="S281" t="str">
        <f>TEXT(sales_data[[#This Row],[Order Date]],"mm")</f>
        <v>12</v>
      </c>
      <c r="T281">
        <f>YEAR(sales_data[[#This Row],[Order Date]])</f>
        <v>2015</v>
      </c>
      <c r="U281" s="7" t="s">
        <v>2470</v>
      </c>
      <c r="V281" t="s">
        <v>1107</v>
      </c>
    </row>
    <row r="282" spans="1:22" x14ac:dyDescent="0.35">
      <c r="A282">
        <v>307</v>
      </c>
      <c r="B282" t="s">
        <v>1109</v>
      </c>
      <c r="C282" s="1">
        <v>42156</v>
      </c>
      <c r="D282" s="1">
        <v>42161</v>
      </c>
      <c r="E282" t="s">
        <v>46</v>
      </c>
      <c r="F282" t="s">
        <v>1110</v>
      </c>
      <c r="G282" t="s">
        <v>1111</v>
      </c>
      <c r="H282" t="s">
        <v>98</v>
      </c>
      <c r="I282" t="s">
        <v>23</v>
      </c>
      <c r="J282" t="s">
        <v>1112</v>
      </c>
      <c r="K282" t="s">
        <v>780</v>
      </c>
      <c r="L282">
        <v>8701</v>
      </c>
      <c r="M282" t="s">
        <v>144</v>
      </c>
      <c r="N282" t="s">
        <v>1113</v>
      </c>
      <c r="O282" t="s">
        <v>42</v>
      </c>
      <c r="P282" t="s">
        <v>71</v>
      </c>
      <c r="Q282" t="s">
        <v>1114</v>
      </c>
      <c r="R282">
        <v>45.48</v>
      </c>
      <c r="S282" t="str">
        <f>TEXT(sales_data[[#This Row],[Order Date]],"mm")</f>
        <v>06</v>
      </c>
      <c r="T282">
        <f>YEAR(sales_data[[#This Row],[Order Date]])</f>
        <v>2015</v>
      </c>
      <c r="U282" s="8" t="s">
        <v>2475</v>
      </c>
      <c r="V282" t="s">
        <v>1113</v>
      </c>
    </row>
    <row r="283" spans="1:22" x14ac:dyDescent="0.35">
      <c r="A283">
        <v>308</v>
      </c>
      <c r="B283" t="s">
        <v>1109</v>
      </c>
      <c r="C283" s="1">
        <v>42156</v>
      </c>
      <c r="D283" s="1">
        <v>42161</v>
      </c>
      <c r="E283" t="s">
        <v>46</v>
      </c>
      <c r="F283" t="s">
        <v>1110</v>
      </c>
      <c r="G283" t="s">
        <v>1111</v>
      </c>
      <c r="H283" t="s">
        <v>98</v>
      </c>
      <c r="I283" t="s">
        <v>23</v>
      </c>
      <c r="J283" t="s">
        <v>1112</v>
      </c>
      <c r="K283" t="s">
        <v>780</v>
      </c>
      <c r="L283">
        <v>8701</v>
      </c>
      <c r="M283" t="s">
        <v>144</v>
      </c>
      <c r="N283" t="s">
        <v>1115</v>
      </c>
      <c r="O283" t="s">
        <v>42</v>
      </c>
      <c r="P283" t="s">
        <v>64</v>
      </c>
      <c r="Q283" t="s">
        <v>1116</v>
      </c>
      <c r="R283">
        <v>289.2</v>
      </c>
      <c r="S283" t="str">
        <f>TEXT(sales_data[[#This Row],[Order Date]],"mm")</f>
        <v>06</v>
      </c>
      <c r="T283">
        <f>YEAR(sales_data[[#This Row],[Order Date]])</f>
        <v>2015</v>
      </c>
      <c r="U283" s="7" t="s">
        <v>2495</v>
      </c>
      <c r="V283" t="s">
        <v>1115</v>
      </c>
    </row>
    <row r="284" spans="1:22" x14ac:dyDescent="0.35">
      <c r="A284">
        <v>309</v>
      </c>
      <c r="B284" t="s">
        <v>1117</v>
      </c>
      <c r="C284" s="1">
        <v>43205</v>
      </c>
      <c r="D284" s="1">
        <v>43207</v>
      </c>
      <c r="E284" t="s">
        <v>183</v>
      </c>
      <c r="F284" t="s">
        <v>1118</v>
      </c>
      <c r="G284" t="s">
        <v>1119</v>
      </c>
      <c r="H284" t="s">
        <v>22</v>
      </c>
      <c r="I284" t="s">
        <v>23</v>
      </c>
      <c r="J284" t="s">
        <v>1120</v>
      </c>
      <c r="K284" t="s">
        <v>314</v>
      </c>
      <c r="L284">
        <v>22204</v>
      </c>
      <c r="M284" t="s">
        <v>26</v>
      </c>
      <c r="N284" t="s">
        <v>1121</v>
      </c>
      <c r="O284" t="s">
        <v>42</v>
      </c>
      <c r="P284" t="s">
        <v>64</v>
      </c>
      <c r="Q284" t="s">
        <v>1122</v>
      </c>
      <c r="R284">
        <v>4.8899999999999997</v>
      </c>
      <c r="S284" t="str">
        <f>TEXT(sales_data[[#This Row],[Order Date]],"mm")</f>
        <v>04</v>
      </c>
      <c r="T284">
        <f>YEAR(sales_data[[#This Row],[Order Date]])</f>
        <v>2018</v>
      </c>
      <c r="U284" s="8" t="s">
        <v>2500</v>
      </c>
      <c r="V284" t="s">
        <v>1121</v>
      </c>
    </row>
    <row r="285" spans="1:22" x14ac:dyDescent="0.35">
      <c r="A285">
        <v>310</v>
      </c>
      <c r="B285" t="s">
        <v>1123</v>
      </c>
      <c r="C285" s="1">
        <v>42990</v>
      </c>
      <c r="D285" s="1">
        <v>42992</v>
      </c>
      <c r="E285" t="s">
        <v>19</v>
      </c>
      <c r="F285" t="s">
        <v>1124</v>
      </c>
      <c r="G285" t="s">
        <v>1125</v>
      </c>
      <c r="H285" t="s">
        <v>37</v>
      </c>
      <c r="I285" t="s">
        <v>23</v>
      </c>
      <c r="J285" t="s">
        <v>1126</v>
      </c>
      <c r="K285" t="s">
        <v>452</v>
      </c>
      <c r="L285">
        <v>80004</v>
      </c>
      <c r="M285" t="s">
        <v>40</v>
      </c>
      <c r="N285" t="s">
        <v>1127</v>
      </c>
      <c r="O285" t="s">
        <v>28</v>
      </c>
      <c r="P285" t="s">
        <v>61</v>
      </c>
      <c r="Q285" t="s">
        <v>1128</v>
      </c>
      <c r="R285">
        <v>15.135999999999999</v>
      </c>
      <c r="S285" t="str">
        <f>TEXT(sales_data[[#This Row],[Order Date]],"mm")</f>
        <v>09</v>
      </c>
      <c r="T285">
        <f>YEAR(sales_data[[#This Row],[Order Date]])</f>
        <v>2017</v>
      </c>
      <c r="U285" s="8" t="s">
        <v>2516</v>
      </c>
      <c r="V285" t="s">
        <v>1127</v>
      </c>
    </row>
    <row r="286" spans="1:22" x14ac:dyDescent="0.35">
      <c r="A286">
        <v>311</v>
      </c>
      <c r="B286" t="s">
        <v>1123</v>
      </c>
      <c r="C286" s="1">
        <v>42990</v>
      </c>
      <c r="D286" s="1">
        <v>42992</v>
      </c>
      <c r="E286" t="s">
        <v>19</v>
      </c>
      <c r="F286" t="s">
        <v>1124</v>
      </c>
      <c r="G286" t="s">
        <v>1125</v>
      </c>
      <c r="H286" t="s">
        <v>37</v>
      </c>
      <c r="I286" t="s">
        <v>23</v>
      </c>
      <c r="J286" t="s">
        <v>1126</v>
      </c>
      <c r="K286" t="s">
        <v>452</v>
      </c>
      <c r="L286">
        <v>80004</v>
      </c>
      <c r="M286" t="s">
        <v>40</v>
      </c>
      <c r="N286" t="s">
        <v>1129</v>
      </c>
      <c r="O286" t="s">
        <v>28</v>
      </c>
      <c r="P286" t="s">
        <v>32</v>
      </c>
      <c r="Q286" t="s">
        <v>1130</v>
      </c>
      <c r="R286">
        <v>466.76799999999997</v>
      </c>
      <c r="S286" t="str">
        <f>TEXT(sales_data[[#This Row],[Order Date]],"mm")</f>
        <v>09</v>
      </c>
      <c r="T286">
        <f>YEAR(sales_data[[#This Row],[Order Date]])</f>
        <v>2017</v>
      </c>
      <c r="U286" s="8" t="s">
        <v>2521</v>
      </c>
      <c r="V286" t="s">
        <v>1129</v>
      </c>
    </row>
    <row r="287" spans="1:22" x14ac:dyDescent="0.35">
      <c r="A287">
        <v>312</v>
      </c>
      <c r="B287" t="s">
        <v>1123</v>
      </c>
      <c r="C287" s="1">
        <v>42990</v>
      </c>
      <c r="D287" s="1">
        <v>42992</v>
      </c>
      <c r="E287" t="s">
        <v>19</v>
      </c>
      <c r="F287" t="s">
        <v>1124</v>
      </c>
      <c r="G287" t="s">
        <v>1125</v>
      </c>
      <c r="H287" t="s">
        <v>37</v>
      </c>
      <c r="I287" t="s">
        <v>23</v>
      </c>
      <c r="J287" t="s">
        <v>1126</v>
      </c>
      <c r="K287" t="s">
        <v>452</v>
      </c>
      <c r="L287">
        <v>80004</v>
      </c>
      <c r="M287" t="s">
        <v>40</v>
      </c>
      <c r="N287" t="s">
        <v>1131</v>
      </c>
      <c r="O287" t="s">
        <v>28</v>
      </c>
      <c r="P287" t="s">
        <v>61</v>
      </c>
      <c r="Q287" t="s">
        <v>1132</v>
      </c>
      <c r="R287">
        <v>15.231999999999999</v>
      </c>
      <c r="S287" t="str">
        <f>TEXT(sales_data[[#This Row],[Order Date]],"mm")</f>
        <v>09</v>
      </c>
      <c r="T287">
        <f>YEAR(sales_data[[#This Row],[Order Date]])</f>
        <v>2017</v>
      </c>
      <c r="U287" s="7" t="s">
        <v>2553</v>
      </c>
      <c r="V287" t="s">
        <v>1131</v>
      </c>
    </row>
    <row r="288" spans="1:22" x14ac:dyDescent="0.35">
      <c r="A288">
        <v>313</v>
      </c>
      <c r="B288" t="s">
        <v>1123</v>
      </c>
      <c r="C288" s="1">
        <v>42990</v>
      </c>
      <c r="D288" s="1">
        <v>42992</v>
      </c>
      <c r="E288" t="s">
        <v>19</v>
      </c>
      <c r="F288" t="s">
        <v>1124</v>
      </c>
      <c r="G288" t="s">
        <v>1125</v>
      </c>
      <c r="H288" t="s">
        <v>37</v>
      </c>
      <c r="I288" t="s">
        <v>23</v>
      </c>
      <c r="J288" t="s">
        <v>1126</v>
      </c>
      <c r="K288" t="s">
        <v>452</v>
      </c>
      <c r="L288">
        <v>80004</v>
      </c>
      <c r="M288" t="s">
        <v>40</v>
      </c>
      <c r="N288" t="s">
        <v>1133</v>
      </c>
      <c r="O288" t="s">
        <v>42</v>
      </c>
      <c r="P288" t="s">
        <v>43</v>
      </c>
      <c r="Q288" t="s">
        <v>1134</v>
      </c>
      <c r="R288">
        <v>6.2640000000000002</v>
      </c>
      <c r="S288" t="str">
        <f>TEXT(sales_data[[#This Row],[Order Date]],"mm")</f>
        <v>09</v>
      </c>
      <c r="T288">
        <f>YEAR(sales_data[[#This Row],[Order Date]])</f>
        <v>2017</v>
      </c>
      <c r="U288" s="8" t="s">
        <v>2558</v>
      </c>
      <c r="V288" t="s">
        <v>1133</v>
      </c>
    </row>
    <row r="289" spans="1:22" x14ac:dyDescent="0.35">
      <c r="A289">
        <v>314</v>
      </c>
      <c r="B289" t="s">
        <v>1135</v>
      </c>
      <c r="C289" s="1">
        <v>42274</v>
      </c>
      <c r="D289" s="1">
        <v>42280</v>
      </c>
      <c r="E289" t="s">
        <v>46</v>
      </c>
      <c r="F289" t="s">
        <v>1136</v>
      </c>
      <c r="G289" t="s">
        <v>1137</v>
      </c>
      <c r="H289" t="s">
        <v>37</v>
      </c>
      <c r="I289" t="s">
        <v>23</v>
      </c>
      <c r="J289" t="s">
        <v>1138</v>
      </c>
      <c r="K289" t="s">
        <v>780</v>
      </c>
      <c r="L289">
        <v>7601</v>
      </c>
      <c r="M289" t="s">
        <v>144</v>
      </c>
      <c r="N289" t="s">
        <v>1139</v>
      </c>
      <c r="O289" t="s">
        <v>28</v>
      </c>
      <c r="P289" t="s">
        <v>61</v>
      </c>
      <c r="Q289" t="s">
        <v>1140</v>
      </c>
      <c r="R289">
        <v>87.54</v>
      </c>
      <c r="S289" t="str">
        <f>TEXT(sales_data[[#This Row],[Order Date]],"mm")</f>
        <v>09</v>
      </c>
      <c r="T289">
        <f>YEAR(sales_data[[#This Row],[Order Date]])</f>
        <v>2015</v>
      </c>
      <c r="U289" s="8" t="s">
        <v>2565</v>
      </c>
      <c r="V289" t="s">
        <v>1139</v>
      </c>
    </row>
    <row r="290" spans="1:22" x14ac:dyDescent="0.35">
      <c r="A290">
        <v>315</v>
      </c>
      <c r="B290" t="s">
        <v>1141</v>
      </c>
      <c r="C290" s="1">
        <v>42225</v>
      </c>
      <c r="D290" s="1">
        <v>42232</v>
      </c>
      <c r="E290" t="s">
        <v>46</v>
      </c>
      <c r="F290" t="s">
        <v>1142</v>
      </c>
      <c r="G290" t="s">
        <v>1143</v>
      </c>
      <c r="H290" t="s">
        <v>37</v>
      </c>
      <c r="I290" t="s">
        <v>23</v>
      </c>
      <c r="J290" t="s">
        <v>1144</v>
      </c>
      <c r="K290" t="s">
        <v>50</v>
      </c>
      <c r="L290">
        <v>33710</v>
      </c>
      <c r="M290" t="s">
        <v>26</v>
      </c>
      <c r="N290" t="s">
        <v>1145</v>
      </c>
      <c r="O290" t="s">
        <v>67</v>
      </c>
      <c r="P290" t="s">
        <v>68</v>
      </c>
      <c r="Q290" t="s">
        <v>1146</v>
      </c>
      <c r="R290">
        <v>178.38399999999999</v>
      </c>
      <c r="S290" t="str">
        <f>TEXT(sales_data[[#This Row],[Order Date]],"mm")</f>
        <v>08</v>
      </c>
      <c r="T290">
        <f>YEAR(sales_data[[#This Row],[Order Date]])</f>
        <v>2015</v>
      </c>
      <c r="U290" s="8" t="s">
        <v>2575</v>
      </c>
      <c r="V290" t="s">
        <v>1145</v>
      </c>
    </row>
    <row r="291" spans="1:22" x14ac:dyDescent="0.35">
      <c r="A291">
        <v>316</v>
      </c>
      <c r="B291" t="s">
        <v>1141</v>
      </c>
      <c r="C291" s="1">
        <v>42225</v>
      </c>
      <c r="D291" s="1">
        <v>42232</v>
      </c>
      <c r="E291" t="s">
        <v>46</v>
      </c>
      <c r="F291" t="s">
        <v>1142</v>
      </c>
      <c r="G291" t="s">
        <v>1143</v>
      </c>
      <c r="H291" t="s">
        <v>37</v>
      </c>
      <c r="I291" t="s">
        <v>23</v>
      </c>
      <c r="J291" t="s">
        <v>1144</v>
      </c>
      <c r="K291" t="s">
        <v>50</v>
      </c>
      <c r="L291">
        <v>33710</v>
      </c>
      <c r="M291" t="s">
        <v>26</v>
      </c>
      <c r="N291" t="s">
        <v>1147</v>
      </c>
      <c r="O291" t="s">
        <v>42</v>
      </c>
      <c r="P291" t="s">
        <v>86</v>
      </c>
      <c r="Q291" t="s">
        <v>1148</v>
      </c>
      <c r="R291">
        <v>15.552</v>
      </c>
      <c r="S291" t="str">
        <f>TEXT(sales_data[[#This Row],[Order Date]],"mm")</f>
        <v>08</v>
      </c>
      <c r="T291">
        <f>YEAR(sales_data[[#This Row],[Order Date]])</f>
        <v>2015</v>
      </c>
      <c r="U291" s="8" t="s">
        <v>2577</v>
      </c>
      <c r="V291" t="s">
        <v>1147</v>
      </c>
    </row>
    <row r="292" spans="1:22" x14ac:dyDescent="0.35">
      <c r="A292">
        <v>317</v>
      </c>
      <c r="B292" t="s">
        <v>1149</v>
      </c>
      <c r="C292" s="1">
        <v>42366</v>
      </c>
      <c r="D292" s="1">
        <v>42368</v>
      </c>
      <c r="E292" t="s">
        <v>183</v>
      </c>
      <c r="F292" t="s">
        <v>1150</v>
      </c>
      <c r="G292" t="s">
        <v>1151</v>
      </c>
      <c r="H292" t="s">
        <v>37</v>
      </c>
      <c r="I292" t="s">
        <v>23</v>
      </c>
      <c r="J292" t="s">
        <v>142</v>
      </c>
      <c r="K292" t="s">
        <v>143</v>
      </c>
      <c r="L292">
        <v>19143</v>
      </c>
      <c r="M292" t="s">
        <v>144</v>
      </c>
      <c r="N292" t="s">
        <v>1152</v>
      </c>
      <c r="O292" t="s">
        <v>42</v>
      </c>
      <c r="P292" t="s">
        <v>64</v>
      </c>
      <c r="Q292" t="s">
        <v>1153</v>
      </c>
      <c r="R292">
        <v>99.135999999999996</v>
      </c>
      <c r="S292" t="str">
        <f>TEXT(sales_data[[#This Row],[Order Date]],"mm")</f>
        <v>12</v>
      </c>
      <c r="T292">
        <f>YEAR(sales_data[[#This Row],[Order Date]])</f>
        <v>2015</v>
      </c>
      <c r="U292" s="8" t="s">
        <v>2583</v>
      </c>
      <c r="V292" t="s">
        <v>1152</v>
      </c>
    </row>
    <row r="293" spans="1:22" x14ac:dyDescent="0.35">
      <c r="A293">
        <v>318</v>
      </c>
      <c r="B293" t="s">
        <v>1154</v>
      </c>
      <c r="C293" s="1">
        <v>42312</v>
      </c>
      <c r="D293" s="1">
        <v>42317</v>
      </c>
      <c r="E293" t="s">
        <v>46</v>
      </c>
      <c r="F293" t="s">
        <v>1155</v>
      </c>
      <c r="G293" t="s">
        <v>1156</v>
      </c>
      <c r="H293" t="s">
        <v>98</v>
      </c>
      <c r="I293" t="s">
        <v>23</v>
      </c>
      <c r="J293" t="s">
        <v>261</v>
      </c>
      <c r="K293" t="s">
        <v>262</v>
      </c>
      <c r="L293">
        <v>10024</v>
      </c>
      <c r="M293" t="s">
        <v>144</v>
      </c>
      <c r="N293" t="s">
        <v>1157</v>
      </c>
      <c r="O293" t="s">
        <v>28</v>
      </c>
      <c r="P293" t="s">
        <v>32</v>
      </c>
      <c r="Q293" t="s">
        <v>1158</v>
      </c>
      <c r="R293">
        <v>135.88200000000001</v>
      </c>
      <c r="S293" t="str">
        <f>TEXT(sales_data[[#This Row],[Order Date]],"mm")</f>
        <v>11</v>
      </c>
      <c r="T293">
        <f>YEAR(sales_data[[#This Row],[Order Date]])</f>
        <v>2015</v>
      </c>
      <c r="U293" s="8" t="s">
        <v>2589</v>
      </c>
      <c r="V293" t="s">
        <v>1157</v>
      </c>
    </row>
    <row r="294" spans="1:22" x14ac:dyDescent="0.35">
      <c r="A294">
        <v>319</v>
      </c>
      <c r="B294" t="s">
        <v>1154</v>
      </c>
      <c r="C294" s="1">
        <v>42312</v>
      </c>
      <c r="D294" s="1">
        <v>42317</v>
      </c>
      <c r="E294" t="s">
        <v>46</v>
      </c>
      <c r="F294" t="s">
        <v>1155</v>
      </c>
      <c r="G294" t="s">
        <v>1156</v>
      </c>
      <c r="H294" t="s">
        <v>98</v>
      </c>
      <c r="I294" t="s">
        <v>23</v>
      </c>
      <c r="J294" t="s">
        <v>261</v>
      </c>
      <c r="K294" t="s">
        <v>262</v>
      </c>
      <c r="L294">
        <v>10024</v>
      </c>
      <c r="M294" t="s">
        <v>144</v>
      </c>
      <c r="N294" t="s">
        <v>1159</v>
      </c>
      <c r="O294" t="s">
        <v>67</v>
      </c>
      <c r="P294" t="s">
        <v>675</v>
      </c>
      <c r="Q294" t="s">
        <v>1160</v>
      </c>
      <c r="R294">
        <v>3991.98</v>
      </c>
      <c r="S294" t="str">
        <f>TEXT(sales_data[[#This Row],[Order Date]],"mm")</f>
        <v>11</v>
      </c>
      <c r="T294">
        <f>YEAR(sales_data[[#This Row],[Order Date]])</f>
        <v>2015</v>
      </c>
      <c r="U294" s="8" t="s">
        <v>2597</v>
      </c>
      <c r="V294" t="s">
        <v>1159</v>
      </c>
    </row>
    <row r="295" spans="1:22" x14ac:dyDescent="0.35">
      <c r="A295">
        <v>321</v>
      </c>
      <c r="B295" t="s">
        <v>1154</v>
      </c>
      <c r="C295" s="1">
        <v>42312</v>
      </c>
      <c r="D295" s="1">
        <v>42317</v>
      </c>
      <c r="E295" t="s">
        <v>46</v>
      </c>
      <c r="F295" t="s">
        <v>1155</v>
      </c>
      <c r="G295" t="s">
        <v>1156</v>
      </c>
      <c r="H295" t="s">
        <v>98</v>
      </c>
      <c r="I295" t="s">
        <v>23</v>
      </c>
      <c r="J295" t="s">
        <v>261</v>
      </c>
      <c r="K295" t="s">
        <v>262</v>
      </c>
      <c r="L295">
        <v>10024</v>
      </c>
      <c r="M295" t="s">
        <v>144</v>
      </c>
      <c r="N295" t="s">
        <v>1161</v>
      </c>
      <c r="O295" t="s">
        <v>67</v>
      </c>
      <c r="P295" t="s">
        <v>156</v>
      </c>
      <c r="Q295" t="s">
        <v>1162</v>
      </c>
      <c r="R295">
        <v>360</v>
      </c>
      <c r="S295" t="str">
        <f>TEXT(sales_data[[#This Row],[Order Date]],"mm")</f>
        <v>11</v>
      </c>
      <c r="T295">
        <f>YEAR(sales_data[[#This Row],[Order Date]])</f>
        <v>2015</v>
      </c>
      <c r="U295" s="8" t="s">
        <v>2608</v>
      </c>
      <c r="V295" t="s">
        <v>1161</v>
      </c>
    </row>
    <row r="296" spans="1:22" x14ac:dyDescent="0.35">
      <c r="A296">
        <v>323</v>
      </c>
      <c r="B296" t="s">
        <v>1163</v>
      </c>
      <c r="C296" s="1">
        <v>42266</v>
      </c>
      <c r="D296" s="1">
        <v>42271</v>
      </c>
      <c r="E296" t="s">
        <v>46</v>
      </c>
      <c r="F296" t="s">
        <v>1164</v>
      </c>
      <c r="G296" t="s">
        <v>1165</v>
      </c>
      <c r="H296" t="s">
        <v>37</v>
      </c>
      <c r="I296" t="s">
        <v>23</v>
      </c>
      <c r="J296" t="s">
        <v>1166</v>
      </c>
      <c r="K296" t="s">
        <v>39</v>
      </c>
      <c r="L296">
        <v>90805</v>
      </c>
      <c r="M296" t="s">
        <v>40</v>
      </c>
      <c r="N296" t="s">
        <v>1167</v>
      </c>
      <c r="O296" t="s">
        <v>42</v>
      </c>
      <c r="P296" t="s">
        <v>264</v>
      </c>
      <c r="Q296" t="s">
        <v>1168</v>
      </c>
      <c r="R296">
        <v>7.16</v>
      </c>
      <c r="S296" t="str">
        <f>TEXT(sales_data[[#This Row],[Order Date]],"mm")</f>
        <v>09</v>
      </c>
      <c r="T296">
        <f>YEAR(sales_data[[#This Row],[Order Date]])</f>
        <v>2015</v>
      </c>
      <c r="U296" s="8" t="s">
        <v>2627</v>
      </c>
      <c r="V296" t="s">
        <v>1167</v>
      </c>
    </row>
    <row r="297" spans="1:22" x14ac:dyDescent="0.35">
      <c r="A297">
        <v>325</v>
      </c>
      <c r="B297" t="s">
        <v>1169</v>
      </c>
      <c r="C297" s="1">
        <v>42848</v>
      </c>
      <c r="D297" s="1">
        <v>42852</v>
      </c>
      <c r="E297" t="s">
        <v>46</v>
      </c>
      <c r="F297" t="s">
        <v>1170</v>
      </c>
      <c r="G297" t="s">
        <v>1171</v>
      </c>
      <c r="H297" t="s">
        <v>37</v>
      </c>
      <c r="I297" t="s">
        <v>23</v>
      </c>
      <c r="J297" t="s">
        <v>1172</v>
      </c>
      <c r="K297" t="s">
        <v>39</v>
      </c>
      <c r="L297">
        <v>92345</v>
      </c>
      <c r="M297" t="s">
        <v>40</v>
      </c>
      <c r="N297" t="s">
        <v>1173</v>
      </c>
      <c r="O297" t="s">
        <v>67</v>
      </c>
      <c r="P297" t="s">
        <v>156</v>
      </c>
      <c r="Q297" t="s">
        <v>1174</v>
      </c>
      <c r="R297">
        <v>99.99</v>
      </c>
      <c r="S297" t="str">
        <f>TEXT(sales_data[[#This Row],[Order Date]],"mm")</f>
        <v>04</v>
      </c>
      <c r="T297">
        <f>YEAR(sales_data[[#This Row],[Order Date]])</f>
        <v>2017</v>
      </c>
      <c r="U297" s="8" t="s">
        <v>2637</v>
      </c>
      <c r="V297" t="s">
        <v>1173</v>
      </c>
    </row>
    <row r="298" spans="1:22" x14ac:dyDescent="0.35">
      <c r="A298">
        <v>326</v>
      </c>
      <c r="B298" t="s">
        <v>1175</v>
      </c>
      <c r="C298" s="1">
        <v>43407</v>
      </c>
      <c r="D298" s="1">
        <v>43409</v>
      </c>
      <c r="E298" t="s">
        <v>19</v>
      </c>
      <c r="F298" t="s">
        <v>1176</v>
      </c>
      <c r="G298" t="s">
        <v>1177</v>
      </c>
      <c r="H298" t="s">
        <v>37</v>
      </c>
      <c r="I298" t="s">
        <v>23</v>
      </c>
      <c r="J298" t="s">
        <v>1178</v>
      </c>
      <c r="K298" t="s">
        <v>330</v>
      </c>
      <c r="L298">
        <v>37130</v>
      </c>
      <c r="M298" t="s">
        <v>26</v>
      </c>
      <c r="N298" t="s">
        <v>1179</v>
      </c>
      <c r="O298" t="s">
        <v>28</v>
      </c>
      <c r="P298" t="s">
        <v>61</v>
      </c>
      <c r="Q298" t="s">
        <v>1180</v>
      </c>
      <c r="R298">
        <v>15.992000000000001</v>
      </c>
      <c r="S298" t="str">
        <f>TEXT(sales_data[[#This Row],[Order Date]],"mm")</f>
        <v>11</v>
      </c>
      <c r="T298">
        <f>YEAR(sales_data[[#This Row],[Order Date]])</f>
        <v>2018</v>
      </c>
      <c r="U298" s="8" t="s">
        <v>2645</v>
      </c>
      <c r="V298" t="s">
        <v>1179</v>
      </c>
    </row>
    <row r="299" spans="1:22" x14ac:dyDescent="0.35">
      <c r="A299">
        <v>327</v>
      </c>
      <c r="B299" t="s">
        <v>1181</v>
      </c>
      <c r="C299" s="1">
        <v>42977</v>
      </c>
      <c r="D299" s="1">
        <v>42979</v>
      </c>
      <c r="E299" t="s">
        <v>183</v>
      </c>
      <c r="F299" t="s">
        <v>1182</v>
      </c>
      <c r="G299" t="s">
        <v>1183</v>
      </c>
      <c r="H299" t="s">
        <v>22</v>
      </c>
      <c r="I299" t="s">
        <v>23</v>
      </c>
      <c r="J299" t="s">
        <v>142</v>
      </c>
      <c r="K299" t="s">
        <v>143</v>
      </c>
      <c r="L299">
        <v>19143</v>
      </c>
      <c r="M299" t="s">
        <v>144</v>
      </c>
      <c r="N299" t="s">
        <v>1184</v>
      </c>
      <c r="O299" t="s">
        <v>67</v>
      </c>
      <c r="P299" t="s">
        <v>68</v>
      </c>
      <c r="Q299" t="s">
        <v>1185</v>
      </c>
      <c r="R299">
        <v>290.89800000000002</v>
      </c>
      <c r="S299" t="str">
        <f>TEXT(sales_data[[#This Row],[Order Date]],"mm")</f>
        <v>08</v>
      </c>
      <c r="T299">
        <f>YEAR(sales_data[[#This Row],[Order Date]])</f>
        <v>2017</v>
      </c>
      <c r="U299" s="8" t="s">
        <v>2653</v>
      </c>
      <c r="V299" t="s">
        <v>1184</v>
      </c>
    </row>
    <row r="300" spans="1:22" x14ac:dyDescent="0.35">
      <c r="A300">
        <v>328</v>
      </c>
      <c r="B300" t="s">
        <v>1181</v>
      </c>
      <c r="C300" s="1">
        <v>42977</v>
      </c>
      <c r="D300" s="1">
        <v>42979</v>
      </c>
      <c r="E300" t="s">
        <v>183</v>
      </c>
      <c r="F300" t="s">
        <v>1182</v>
      </c>
      <c r="G300" t="s">
        <v>1183</v>
      </c>
      <c r="H300" t="s">
        <v>22</v>
      </c>
      <c r="I300" t="s">
        <v>23</v>
      </c>
      <c r="J300" t="s">
        <v>142</v>
      </c>
      <c r="K300" t="s">
        <v>143</v>
      </c>
      <c r="L300">
        <v>19143</v>
      </c>
      <c r="M300" t="s">
        <v>144</v>
      </c>
      <c r="N300" t="s">
        <v>1186</v>
      </c>
      <c r="O300" t="s">
        <v>42</v>
      </c>
      <c r="P300" t="s">
        <v>55</v>
      </c>
      <c r="Q300" t="s">
        <v>1187</v>
      </c>
      <c r="R300">
        <v>54.223999999999997</v>
      </c>
      <c r="S300" t="str">
        <f>TEXT(sales_data[[#This Row],[Order Date]],"mm")</f>
        <v>08</v>
      </c>
      <c r="T300">
        <f>YEAR(sales_data[[#This Row],[Order Date]])</f>
        <v>2017</v>
      </c>
      <c r="U300" s="7" t="s">
        <v>2660</v>
      </c>
      <c r="V300" t="s">
        <v>1186</v>
      </c>
    </row>
    <row r="301" spans="1:22" x14ac:dyDescent="0.35">
      <c r="A301">
        <v>329</v>
      </c>
      <c r="B301" t="s">
        <v>1181</v>
      </c>
      <c r="C301" s="1">
        <v>42977</v>
      </c>
      <c r="D301" s="1">
        <v>42979</v>
      </c>
      <c r="E301" t="s">
        <v>183</v>
      </c>
      <c r="F301" t="s">
        <v>1182</v>
      </c>
      <c r="G301" t="s">
        <v>1183</v>
      </c>
      <c r="H301" t="s">
        <v>22</v>
      </c>
      <c r="I301" t="s">
        <v>23</v>
      </c>
      <c r="J301" t="s">
        <v>142</v>
      </c>
      <c r="K301" t="s">
        <v>143</v>
      </c>
      <c r="L301">
        <v>19143</v>
      </c>
      <c r="M301" t="s">
        <v>144</v>
      </c>
      <c r="N301" t="s">
        <v>1188</v>
      </c>
      <c r="O301" t="s">
        <v>28</v>
      </c>
      <c r="P301" t="s">
        <v>32</v>
      </c>
      <c r="Q301" t="s">
        <v>1189</v>
      </c>
      <c r="R301">
        <v>786.74400000000003</v>
      </c>
      <c r="S301" t="str">
        <f>TEXT(sales_data[[#This Row],[Order Date]],"mm")</f>
        <v>08</v>
      </c>
      <c r="T301">
        <f>YEAR(sales_data[[#This Row],[Order Date]])</f>
        <v>2017</v>
      </c>
      <c r="U301" s="8" t="s">
        <v>2662</v>
      </c>
      <c r="V301" t="s">
        <v>1188</v>
      </c>
    </row>
    <row r="302" spans="1:22" x14ac:dyDescent="0.35">
      <c r="A302">
        <v>330</v>
      </c>
      <c r="B302" t="s">
        <v>1181</v>
      </c>
      <c r="C302" s="1">
        <v>42977</v>
      </c>
      <c r="D302" s="1">
        <v>42979</v>
      </c>
      <c r="E302" t="s">
        <v>183</v>
      </c>
      <c r="F302" t="s">
        <v>1182</v>
      </c>
      <c r="G302" t="s">
        <v>1183</v>
      </c>
      <c r="H302" t="s">
        <v>22</v>
      </c>
      <c r="I302" t="s">
        <v>23</v>
      </c>
      <c r="J302" t="s">
        <v>142</v>
      </c>
      <c r="K302" t="s">
        <v>143</v>
      </c>
      <c r="L302">
        <v>19143</v>
      </c>
      <c r="M302" t="s">
        <v>144</v>
      </c>
      <c r="N302" t="s">
        <v>1190</v>
      </c>
      <c r="O302" t="s">
        <v>42</v>
      </c>
      <c r="P302" t="s">
        <v>43</v>
      </c>
      <c r="Q302" t="s">
        <v>1191</v>
      </c>
      <c r="R302">
        <v>100.24</v>
      </c>
      <c r="S302" t="str">
        <f>TEXT(sales_data[[#This Row],[Order Date]],"mm")</f>
        <v>08</v>
      </c>
      <c r="T302">
        <f>YEAR(sales_data[[#This Row],[Order Date]])</f>
        <v>2017</v>
      </c>
      <c r="U302" s="7" t="s">
        <v>2667</v>
      </c>
      <c r="V302" t="s">
        <v>1190</v>
      </c>
    </row>
    <row r="303" spans="1:22" x14ac:dyDescent="0.35">
      <c r="A303">
        <v>331</v>
      </c>
      <c r="B303" t="s">
        <v>1181</v>
      </c>
      <c r="C303" s="1">
        <v>42977</v>
      </c>
      <c r="D303" s="1">
        <v>42979</v>
      </c>
      <c r="E303" t="s">
        <v>183</v>
      </c>
      <c r="F303" t="s">
        <v>1182</v>
      </c>
      <c r="G303" t="s">
        <v>1183</v>
      </c>
      <c r="H303" t="s">
        <v>22</v>
      </c>
      <c r="I303" t="s">
        <v>23</v>
      </c>
      <c r="J303" t="s">
        <v>142</v>
      </c>
      <c r="K303" t="s">
        <v>143</v>
      </c>
      <c r="L303">
        <v>19143</v>
      </c>
      <c r="M303" t="s">
        <v>144</v>
      </c>
      <c r="N303" t="s">
        <v>1192</v>
      </c>
      <c r="O303" t="s">
        <v>42</v>
      </c>
      <c r="P303" t="s">
        <v>71</v>
      </c>
      <c r="Q303" t="s">
        <v>1193</v>
      </c>
      <c r="R303">
        <v>37.764000000000003</v>
      </c>
      <c r="S303" t="str">
        <f>TEXT(sales_data[[#This Row],[Order Date]],"mm")</f>
        <v>08</v>
      </c>
      <c r="T303">
        <f>YEAR(sales_data[[#This Row],[Order Date]])</f>
        <v>2017</v>
      </c>
      <c r="U303" s="8" t="s">
        <v>2674</v>
      </c>
      <c r="V303" t="s">
        <v>1192</v>
      </c>
    </row>
    <row r="304" spans="1:22" x14ac:dyDescent="0.35">
      <c r="A304">
        <v>332</v>
      </c>
      <c r="B304" t="s">
        <v>1194</v>
      </c>
      <c r="C304" s="1">
        <v>42850</v>
      </c>
      <c r="D304" s="1">
        <v>42854</v>
      </c>
      <c r="E304" t="s">
        <v>19</v>
      </c>
      <c r="F304" t="s">
        <v>1195</v>
      </c>
      <c r="G304" t="s">
        <v>1196</v>
      </c>
      <c r="H304" t="s">
        <v>22</v>
      </c>
      <c r="I304" t="s">
        <v>23</v>
      </c>
      <c r="J304" t="s">
        <v>142</v>
      </c>
      <c r="K304" t="s">
        <v>143</v>
      </c>
      <c r="L304">
        <v>19134</v>
      </c>
      <c r="M304" t="s">
        <v>144</v>
      </c>
      <c r="N304" t="s">
        <v>1197</v>
      </c>
      <c r="O304" t="s">
        <v>67</v>
      </c>
      <c r="P304" t="s">
        <v>68</v>
      </c>
      <c r="Q304" t="s">
        <v>1198</v>
      </c>
      <c r="R304">
        <v>82.8</v>
      </c>
      <c r="S304" t="str">
        <f>TEXT(sales_data[[#This Row],[Order Date]],"mm")</f>
        <v>04</v>
      </c>
      <c r="T304">
        <f>YEAR(sales_data[[#This Row],[Order Date]])</f>
        <v>2017</v>
      </c>
      <c r="U304" s="8" t="s">
        <v>2688</v>
      </c>
      <c r="V304" t="s">
        <v>1197</v>
      </c>
    </row>
    <row r="305" spans="1:22" x14ac:dyDescent="0.35">
      <c r="A305">
        <v>333</v>
      </c>
      <c r="B305" t="s">
        <v>1194</v>
      </c>
      <c r="C305" s="1">
        <v>42850</v>
      </c>
      <c r="D305" s="1">
        <v>42854</v>
      </c>
      <c r="E305" t="s">
        <v>19</v>
      </c>
      <c r="F305" t="s">
        <v>1195</v>
      </c>
      <c r="G305" t="s">
        <v>1196</v>
      </c>
      <c r="H305" t="s">
        <v>22</v>
      </c>
      <c r="I305" t="s">
        <v>23</v>
      </c>
      <c r="J305" t="s">
        <v>142</v>
      </c>
      <c r="K305" t="s">
        <v>143</v>
      </c>
      <c r="L305">
        <v>19134</v>
      </c>
      <c r="M305" t="s">
        <v>144</v>
      </c>
      <c r="N305" t="s">
        <v>1199</v>
      </c>
      <c r="O305" t="s">
        <v>42</v>
      </c>
      <c r="P305" t="s">
        <v>71</v>
      </c>
      <c r="Q305" t="s">
        <v>1200</v>
      </c>
      <c r="R305">
        <v>20.724</v>
      </c>
      <c r="S305" t="str">
        <f>TEXT(sales_data[[#This Row],[Order Date]],"mm")</f>
        <v>04</v>
      </c>
      <c r="T305">
        <f>YEAR(sales_data[[#This Row],[Order Date]])</f>
        <v>2017</v>
      </c>
      <c r="U305" s="8" t="s">
        <v>2693</v>
      </c>
      <c r="V305" t="s">
        <v>1199</v>
      </c>
    </row>
    <row r="306" spans="1:22" x14ac:dyDescent="0.35">
      <c r="A306">
        <v>334</v>
      </c>
      <c r="B306" t="s">
        <v>1194</v>
      </c>
      <c r="C306" s="1">
        <v>42850</v>
      </c>
      <c r="D306" s="1">
        <v>42854</v>
      </c>
      <c r="E306" t="s">
        <v>19</v>
      </c>
      <c r="F306" t="s">
        <v>1195</v>
      </c>
      <c r="G306" t="s">
        <v>1196</v>
      </c>
      <c r="H306" t="s">
        <v>22</v>
      </c>
      <c r="I306" t="s">
        <v>23</v>
      </c>
      <c r="J306" t="s">
        <v>142</v>
      </c>
      <c r="K306" t="s">
        <v>143</v>
      </c>
      <c r="L306">
        <v>19134</v>
      </c>
      <c r="M306" t="s">
        <v>144</v>
      </c>
      <c r="N306" t="s">
        <v>1201</v>
      </c>
      <c r="O306" t="s">
        <v>42</v>
      </c>
      <c r="P306" t="s">
        <v>71</v>
      </c>
      <c r="Q306" t="s">
        <v>1202</v>
      </c>
      <c r="R306">
        <v>4.8959999999999999</v>
      </c>
      <c r="S306" t="str">
        <f>TEXT(sales_data[[#This Row],[Order Date]],"mm")</f>
        <v>04</v>
      </c>
      <c r="T306">
        <f>YEAR(sales_data[[#This Row],[Order Date]])</f>
        <v>2017</v>
      </c>
      <c r="U306" s="7" t="s">
        <v>2696</v>
      </c>
      <c r="V306" t="s">
        <v>1201</v>
      </c>
    </row>
    <row r="307" spans="1:22" x14ac:dyDescent="0.35">
      <c r="A307">
        <v>335</v>
      </c>
      <c r="B307" t="s">
        <v>1203</v>
      </c>
      <c r="C307" s="1">
        <v>42614</v>
      </c>
      <c r="D307" s="1">
        <v>42617</v>
      </c>
      <c r="E307" t="s">
        <v>19</v>
      </c>
      <c r="F307" t="s">
        <v>1204</v>
      </c>
      <c r="G307" t="s">
        <v>1205</v>
      </c>
      <c r="H307" t="s">
        <v>22</v>
      </c>
      <c r="I307" t="s">
        <v>23</v>
      </c>
      <c r="J307" t="s">
        <v>38</v>
      </c>
      <c r="K307" t="s">
        <v>39</v>
      </c>
      <c r="L307">
        <v>90045</v>
      </c>
      <c r="M307" t="s">
        <v>40</v>
      </c>
      <c r="N307" t="s">
        <v>1206</v>
      </c>
      <c r="O307" t="s">
        <v>42</v>
      </c>
      <c r="P307" t="s">
        <v>71</v>
      </c>
      <c r="Q307" t="s">
        <v>1207</v>
      </c>
      <c r="R307">
        <v>4.7519999999999998</v>
      </c>
      <c r="S307" t="str">
        <f>TEXT(sales_data[[#This Row],[Order Date]],"mm")</f>
        <v>09</v>
      </c>
      <c r="T307">
        <f>YEAR(sales_data[[#This Row],[Order Date]])</f>
        <v>2016</v>
      </c>
      <c r="U307" s="8" t="s">
        <v>2699</v>
      </c>
      <c r="V307" t="s">
        <v>1206</v>
      </c>
    </row>
    <row r="308" spans="1:22" x14ac:dyDescent="0.35">
      <c r="A308">
        <v>336</v>
      </c>
      <c r="B308" t="s">
        <v>1203</v>
      </c>
      <c r="C308" s="1">
        <v>42614</v>
      </c>
      <c r="D308" s="1">
        <v>42617</v>
      </c>
      <c r="E308" t="s">
        <v>19</v>
      </c>
      <c r="F308" t="s">
        <v>1204</v>
      </c>
      <c r="G308" t="s">
        <v>1205</v>
      </c>
      <c r="H308" t="s">
        <v>22</v>
      </c>
      <c r="I308" t="s">
        <v>23</v>
      </c>
      <c r="J308" t="s">
        <v>38</v>
      </c>
      <c r="K308" t="s">
        <v>39</v>
      </c>
      <c r="L308">
        <v>90045</v>
      </c>
      <c r="M308" t="s">
        <v>40</v>
      </c>
      <c r="N308" t="s">
        <v>1208</v>
      </c>
      <c r="O308" t="s">
        <v>67</v>
      </c>
      <c r="P308" t="s">
        <v>1209</v>
      </c>
      <c r="Q308" t="s">
        <v>1210</v>
      </c>
      <c r="R308">
        <v>959.98400000000004</v>
      </c>
      <c r="S308" t="str">
        <f>TEXT(sales_data[[#This Row],[Order Date]],"mm")</f>
        <v>09</v>
      </c>
      <c r="T308">
        <f>YEAR(sales_data[[#This Row],[Order Date]])</f>
        <v>2016</v>
      </c>
      <c r="U308" s="7" t="s">
        <v>2704</v>
      </c>
      <c r="V308" t="s">
        <v>1208</v>
      </c>
    </row>
    <row r="309" spans="1:22" x14ac:dyDescent="0.35">
      <c r="A309">
        <v>337</v>
      </c>
      <c r="B309" t="s">
        <v>1203</v>
      </c>
      <c r="C309" s="1">
        <v>42614</v>
      </c>
      <c r="D309" s="1">
        <v>42617</v>
      </c>
      <c r="E309" t="s">
        <v>19</v>
      </c>
      <c r="F309" t="s">
        <v>1204</v>
      </c>
      <c r="G309" t="s">
        <v>1205</v>
      </c>
      <c r="H309" t="s">
        <v>22</v>
      </c>
      <c r="I309" t="s">
        <v>23</v>
      </c>
      <c r="J309" t="s">
        <v>38</v>
      </c>
      <c r="K309" t="s">
        <v>39</v>
      </c>
      <c r="L309">
        <v>90045</v>
      </c>
      <c r="M309" t="s">
        <v>40</v>
      </c>
      <c r="N309" t="s">
        <v>1211</v>
      </c>
      <c r="O309" t="s">
        <v>42</v>
      </c>
      <c r="P309" t="s">
        <v>71</v>
      </c>
      <c r="Q309" t="s">
        <v>1212</v>
      </c>
      <c r="R309">
        <v>14.368</v>
      </c>
      <c r="S309" t="str">
        <f>TEXT(sales_data[[#This Row],[Order Date]],"mm")</f>
        <v>09</v>
      </c>
      <c r="T309">
        <f>YEAR(sales_data[[#This Row],[Order Date]])</f>
        <v>2016</v>
      </c>
      <c r="U309" s="8" t="s">
        <v>2727</v>
      </c>
      <c r="V309" t="s">
        <v>1211</v>
      </c>
    </row>
    <row r="310" spans="1:22" x14ac:dyDescent="0.35">
      <c r="A310">
        <v>338</v>
      </c>
      <c r="B310" t="s">
        <v>1213</v>
      </c>
      <c r="C310" s="1">
        <v>42197</v>
      </c>
      <c r="D310" s="1">
        <v>42202</v>
      </c>
      <c r="E310" t="s">
        <v>46</v>
      </c>
      <c r="F310" t="s">
        <v>1214</v>
      </c>
      <c r="G310" t="s">
        <v>1215</v>
      </c>
      <c r="H310" t="s">
        <v>37</v>
      </c>
      <c r="I310" t="s">
        <v>23</v>
      </c>
      <c r="J310" t="s">
        <v>123</v>
      </c>
      <c r="K310" t="s">
        <v>39</v>
      </c>
      <c r="L310">
        <v>94122</v>
      </c>
      <c r="M310" t="s">
        <v>40</v>
      </c>
      <c r="N310" t="s">
        <v>1216</v>
      </c>
      <c r="O310" t="s">
        <v>42</v>
      </c>
      <c r="P310" t="s">
        <v>71</v>
      </c>
      <c r="Q310" t="s">
        <v>1217</v>
      </c>
      <c r="R310">
        <v>7.7119999999999997</v>
      </c>
      <c r="S310" t="str">
        <f>TEXT(sales_data[[#This Row],[Order Date]],"mm")</f>
        <v>07</v>
      </c>
      <c r="T310">
        <f>YEAR(sales_data[[#This Row],[Order Date]])</f>
        <v>2015</v>
      </c>
      <c r="U310" s="8" t="s">
        <v>2735</v>
      </c>
      <c r="V310" t="s">
        <v>1216</v>
      </c>
    </row>
    <row r="311" spans="1:22" x14ac:dyDescent="0.35">
      <c r="A311">
        <v>339</v>
      </c>
      <c r="B311" t="s">
        <v>1213</v>
      </c>
      <c r="C311" s="1">
        <v>42197</v>
      </c>
      <c r="D311" s="1">
        <v>42202</v>
      </c>
      <c r="E311" t="s">
        <v>46</v>
      </c>
      <c r="F311" t="s">
        <v>1214</v>
      </c>
      <c r="G311" t="s">
        <v>1215</v>
      </c>
      <c r="H311" t="s">
        <v>37</v>
      </c>
      <c r="I311" t="s">
        <v>23</v>
      </c>
      <c r="J311" t="s">
        <v>123</v>
      </c>
      <c r="K311" t="s">
        <v>39</v>
      </c>
      <c r="L311">
        <v>94122</v>
      </c>
      <c r="M311" t="s">
        <v>40</v>
      </c>
      <c r="N311" t="s">
        <v>1218</v>
      </c>
      <c r="O311" t="s">
        <v>28</v>
      </c>
      <c r="P311" t="s">
        <v>52</v>
      </c>
      <c r="Q311" t="s">
        <v>1219</v>
      </c>
      <c r="R311">
        <v>698.35199999999998</v>
      </c>
      <c r="S311" t="str">
        <f>TEXT(sales_data[[#This Row],[Order Date]],"mm")</f>
        <v>07</v>
      </c>
      <c r="T311">
        <f>YEAR(sales_data[[#This Row],[Order Date]])</f>
        <v>2015</v>
      </c>
      <c r="U311" s="8" t="s">
        <v>2741</v>
      </c>
      <c r="V311" t="s">
        <v>1218</v>
      </c>
    </row>
    <row r="312" spans="1:22" x14ac:dyDescent="0.35">
      <c r="A312">
        <v>340</v>
      </c>
      <c r="B312" t="s">
        <v>1220</v>
      </c>
      <c r="C312" s="1">
        <v>42543</v>
      </c>
      <c r="D312" s="1">
        <v>42547</v>
      </c>
      <c r="E312" t="s">
        <v>19</v>
      </c>
      <c r="F312" t="s">
        <v>908</v>
      </c>
      <c r="G312" t="s">
        <v>909</v>
      </c>
      <c r="H312" t="s">
        <v>22</v>
      </c>
      <c r="I312" t="s">
        <v>23</v>
      </c>
      <c r="J312" t="s">
        <v>1221</v>
      </c>
      <c r="K312" t="s">
        <v>117</v>
      </c>
      <c r="L312">
        <v>84041</v>
      </c>
      <c r="M312" t="s">
        <v>40</v>
      </c>
      <c r="N312" t="s">
        <v>1222</v>
      </c>
      <c r="O312" t="s">
        <v>42</v>
      </c>
      <c r="P312" t="s">
        <v>264</v>
      </c>
      <c r="Q312" t="s">
        <v>1223</v>
      </c>
      <c r="R312">
        <v>4.96</v>
      </c>
      <c r="S312" t="str">
        <f>TEXT(sales_data[[#This Row],[Order Date]],"mm")</f>
        <v>06</v>
      </c>
      <c r="T312">
        <f>YEAR(sales_data[[#This Row],[Order Date]])</f>
        <v>2016</v>
      </c>
      <c r="U312" s="7" t="s">
        <v>2747</v>
      </c>
      <c r="V312" t="s">
        <v>1222</v>
      </c>
    </row>
    <row r="313" spans="1:22" x14ac:dyDescent="0.35">
      <c r="A313">
        <v>341</v>
      </c>
      <c r="B313" t="s">
        <v>1224</v>
      </c>
      <c r="C313" s="1">
        <v>42107</v>
      </c>
      <c r="D313" s="1">
        <v>42111</v>
      </c>
      <c r="E313" t="s">
        <v>19</v>
      </c>
      <c r="F313" t="s">
        <v>575</v>
      </c>
      <c r="G313" t="s">
        <v>576</v>
      </c>
      <c r="H313" t="s">
        <v>37</v>
      </c>
      <c r="I313" t="s">
        <v>23</v>
      </c>
      <c r="J313" t="s">
        <v>142</v>
      </c>
      <c r="K313" t="s">
        <v>143</v>
      </c>
      <c r="L313">
        <v>19140</v>
      </c>
      <c r="M313" t="s">
        <v>144</v>
      </c>
      <c r="N313" t="s">
        <v>1225</v>
      </c>
      <c r="O313" t="s">
        <v>42</v>
      </c>
      <c r="P313" t="s">
        <v>64</v>
      </c>
      <c r="Q313" t="s">
        <v>1226</v>
      </c>
      <c r="R313">
        <v>17.856000000000002</v>
      </c>
      <c r="S313" t="str">
        <f>TEXT(sales_data[[#This Row],[Order Date]],"mm")</f>
        <v>04</v>
      </c>
      <c r="T313">
        <f>YEAR(sales_data[[#This Row],[Order Date]])</f>
        <v>2015</v>
      </c>
      <c r="U313" s="8" t="s">
        <v>2755</v>
      </c>
      <c r="V313" t="s">
        <v>1225</v>
      </c>
    </row>
    <row r="314" spans="1:22" x14ac:dyDescent="0.35">
      <c r="A314">
        <v>344</v>
      </c>
      <c r="B314" t="s">
        <v>1224</v>
      </c>
      <c r="C314" s="1">
        <v>42107</v>
      </c>
      <c r="D314" s="1">
        <v>42111</v>
      </c>
      <c r="E314" t="s">
        <v>19</v>
      </c>
      <c r="F314" t="s">
        <v>575</v>
      </c>
      <c r="G314" t="s">
        <v>576</v>
      </c>
      <c r="H314" t="s">
        <v>37</v>
      </c>
      <c r="I314" t="s">
        <v>23</v>
      </c>
      <c r="J314" t="s">
        <v>142</v>
      </c>
      <c r="K314" t="s">
        <v>143</v>
      </c>
      <c r="L314">
        <v>19140</v>
      </c>
      <c r="M314" t="s">
        <v>144</v>
      </c>
      <c r="N314" t="s">
        <v>1227</v>
      </c>
      <c r="O314" t="s">
        <v>67</v>
      </c>
      <c r="P314" t="s">
        <v>68</v>
      </c>
      <c r="Q314" t="s">
        <v>1228</v>
      </c>
      <c r="R314">
        <v>71.927999999999997</v>
      </c>
      <c r="S314" t="str">
        <f>TEXT(sales_data[[#This Row],[Order Date]],"mm")</f>
        <v>04</v>
      </c>
      <c r="T314">
        <f>YEAR(sales_data[[#This Row],[Order Date]])</f>
        <v>2015</v>
      </c>
      <c r="U314" s="8" t="s">
        <v>2770</v>
      </c>
      <c r="V314" t="s">
        <v>1227</v>
      </c>
    </row>
    <row r="315" spans="1:22" x14ac:dyDescent="0.35">
      <c r="A315">
        <v>349</v>
      </c>
      <c r="B315" t="s">
        <v>1231</v>
      </c>
      <c r="C315" s="1">
        <v>43289</v>
      </c>
      <c r="D315" s="1">
        <v>43293</v>
      </c>
      <c r="E315" t="s">
        <v>46</v>
      </c>
      <c r="F315" t="s">
        <v>1232</v>
      </c>
      <c r="G315" t="s">
        <v>1233</v>
      </c>
      <c r="H315" t="s">
        <v>22</v>
      </c>
      <c r="I315" t="s">
        <v>23</v>
      </c>
      <c r="J315" t="s">
        <v>1234</v>
      </c>
      <c r="K315" t="s">
        <v>1235</v>
      </c>
      <c r="L315">
        <v>1852</v>
      </c>
      <c r="M315" t="s">
        <v>144</v>
      </c>
      <c r="N315" t="s">
        <v>1236</v>
      </c>
      <c r="O315" t="s">
        <v>42</v>
      </c>
      <c r="P315" t="s">
        <v>64</v>
      </c>
      <c r="Q315" t="s">
        <v>1237</v>
      </c>
      <c r="R315">
        <v>12.96</v>
      </c>
      <c r="S315" t="str">
        <f>TEXT(sales_data[[#This Row],[Order Date]],"mm")</f>
        <v>07</v>
      </c>
      <c r="T315">
        <f>YEAR(sales_data[[#This Row],[Order Date]])</f>
        <v>2018</v>
      </c>
      <c r="U315" s="8" t="s">
        <v>2817</v>
      </c>
      <c r="V315" t="s">
        <v>1236</v>
      </c>
    </row>
    <row r="316" spans="1:22" x14ac:dyDescent="0.35">
      <c r="A316">
        <v>351</v>
      </c>
      <c r="B316" t="s">
        <v>1238</v>
      </c>
      <c r="C316" s="1">
        <v>42979</v>
      </c>
      <c r="D316" s="1">
        <v>42981</v>
      </c>
      <c r="E316" t="s">
        <v>183</v>
      </c>
      <c r="F316" t="s">
        <v>1239</v>
      </c>
      <c r="G316" t="s">
        <v>1240</v>
      </c>
      <c r="H316" t="s">
        <v>98</v>
      </c>
      <c r="I316" t="s">
        <v>23</v>
      </c>
      <c r="J316" t="s">
        <v>261</v>
      </c>
      <c r="K316" t="s">
        <v>262</v>
      </c>
      <c r="L316">
        <v>10009</v>
      </c>
      <c r="M316" t="s">
        <v>144</v>
      </c>
      <c r="N316" t="s">
        <v>1241</v>
      </c>
      <c r="O316" t="s">
        <v>42</v>
      </c>
      <c r="P316" t="s">
        <v>86</v>
      </c>
      <c r="Q316" t="s">
        <v>1242</v>
      </c>
      <c r="R316">
        <v>24.56</v>
      </c>
      <c r="S316" t="str">
        <f>TEXT(sales_data[[#This Row],[Order Date]],"mm")</f>
        <v>09</v>
      </c>
      <c r="T316">
        <f>YEAR(sales_data[[#This Row],[Order Date]])</f>
        <v>2017</v>
      </c>
      <c r="U316" s="8" t="s">
        <v>2821</v>
      </c>
      <c r="V316" t="s">
        <v>1241</v>
      </c>
    </row>
    <row r="317" spans="1:22" x14ac:dyDescent="0.35">
      <c r="A317">
        <v>352</v>
      </c>
      <c r="B317" t="s">
        <v>1238</v>
      </c>
      <c r="C317" s="1">
        <v>42979</v>
      </c>
      <c r="D317" s="1">
        <v>42981</v>
      </c>
      <c r="E317" t="s">
        <v>183</v>
      </c>
      <c r="F317" t="s">
        <v>1239</v>
      </c>
      <c r="G317" t="s">
        <v>1240</v>
      </c>
      <c r="H317" t="s">
        <v>98</v>
      </c>
      <c r="I317" t="s">
        <v>23</v>
      </c>
      <c r="J317" t="s">
        <v>261</v>
      </c>
      <c r="K317" t="s">
        <v>262</v>
      </c>
      <c r="L317">
        <v>10009</v>
      </c>
      <c r="M317" t="s">
        <v>144</v>
      </c>
      <c r="N317" t="s">
        <v>1243</v>
      </c>
      <c r="O317" t="s">
        <v>42</v>
      </c>
      <c r="P317" t="s">
        <v>71</v>
      </c>
      <c r="Q317" t="s">
        <v>1244</v>
      </c>
      <c r="R317">
        <v>3.048</v>
      </c>
      <c r="S317" t="str">
        <f>TEXT(sales_data[[#This Row],[Order Date]],"mm")</f>
        <v>09</v>
      </c>
      <c r="T317">
        <f>YEAR(sales_data[[#This Row],[Order Date]])</f>
        <v>2017</v>
      </c>
      <c r="U317" s="7" t="s">
        <v>2828</v>
      </c>
      <c r="V317" t="s">
        <v>1243</v>
      </c>
    </row>
    <row r="318" spans="1:22" x14ac:dyDescent="0.35">
      <c r="A318">
        <v>354</v>
      </c>
      <c r="B318" t="s">
        <v>1238</v>
      </c>
      <c r="C318" s="1">
        <v>42979</v>
      </c>
      <c r="D318" s="1">
        <v>42981</v>
      </c>
      <c r="E318" t="s">
        <v>183</v>
      </c>
      <c r="F318" t="s">
        <v>1239</v>
      </c>
      <c r="G318" t="s">
        <v>1240</v>
      </c>
      <c r="H318" t="s">
        <v>98</v>
      </c>
      <c r="I318" t="s">
        <v>23</v>
      </c>
      <c r="J318" t="s">
        <v>261</v>
      </c>
      <c r="K318" t="s">
        <v>262</v>
      </c>
      <c r="L318">
        <v>10009</v>
      </c>
      <c r="M318" t="s">
        <v>144</v>
      </c>
      <c r="N318" t="s">
        <v>1245</v>
      </c>
      <c r="O318" t="s">
        <v>42</v>
      </c>
      <c r="P318" t="s">
        <v>71</v>
      </c>
      <c r="Q318" t="s">
        <v>1246</v>
      </c>
      <c r="R318">
        <v>4355.1679999999997</v>
      </c>
      <c r="S318" t="str">
        <f>TEXT(sales_data[[#This Row],[Order Date]],"mm")</f>
        <v>09</v>
      </c>
      <c r="T318">
        <f>YEAR(sales_data[[#This Row],[Order Date]])</f>
        <v>2017</v>
      </c>
      <c r="U318" s="7" t="s">
        <v>2835</v>
      </c>
      <c r="V318" t="s">
        <v>1245</v>
      </c>
    </row>
    <row r="319" spans="1:22" x14ac:dyDescent="0.35">
      <c r="A319">
        <v>355</v>
      </c>
      <c r="B319" t="s">
        <v>1247</v>
      </c>
      <c r="C319" s="1">
        <v>42833</v>
      </c>
      <c r="D319" s="1">
        <v>42838</v>
      </c>
      <c r="E319" t="s">
        <v>46</v>
      </c>
      <c r="F319" t="s">
        <v>1248</v>
      </c>
      <c r="G319" t="s">
        <v>1249</v>
      </c>
      <c r="H319" t="s">
        <v>22</v>
      </c>
      <c r="I319" t="s">
        <v>23</v>
      </c>
      <c r="J319" t="s">
        <v>261</v>
      </c>
      <c r="K319" t="s">
        <v>262</v>
      </c>
      <c r="L319">
        <v>10035</v>
      </c>
      <c r="M319" t="s">
        <v>144</v>
      </c>
      <c r="N319" t="s">
        <v>1250</v>
      </c>
      <c r="O319" t="s">
        <v>28</v>
      </c>
      <c r="P319" t="s">
        <v>29</v>
      </c>
      <c r="Q319" t="s">
        <v>1251</v>
      </c>
      <c r="R319">
        <v>388.70400000000001</v>
      </c>
      <c r="S319" t="str">
        <f>TEXT(sales_data[[#This Row],[Order Date]],"mm")</f>
        <v>04</v>
      </c>
      <c r="T319">
        <f>YEAR(sales_data[[#This Row],[Order Date]])</f>
        <v>2017</v>
      </c>
      <c r="U319" s="8" t="s">
        <v>2844</v>
      </c>
      <c r="V319" t="s">
        <v>1250</v>
      </c>
    </row>
    <row r="320" spans="1:22" x14ac:dyDescent="0.35">
      <c r="A320">
        <v>356</v>
      </c>
      <c r="B320" t="s">
        <v>1247</v>
      </c>
      <c r="C320" s="1">
        <v>42833</v>
      </c>
      <c r="D320" s="1">
        <v>42838</v>
      </c>
      <c r="E320" t="s">
        <v>46</v>
      </c>
      <c r="F320" t="s">
        <v>1248</v>
      </c>
      <c r="G320" t="s">
        <v>1249</v>
      </c>
      <c r="H320" t="s">
        <v>22</v>
      </c>
      <c r="I320" t="s">
        <v>23</v>
      </c>
      <c r="J320" t="s">
        <v>261</v>
      </c>
      <c r="K320" t="s">
        <v>262</v>
      </c>
      <c r="L320">
        <v>10035</v>
      </c>
      <c r="M320" t="s">
        <v>144</v>
      </c>
      <c r="N320" t="s">
        <v>1252</v>
      </c>
      <c r="O320" t="s">
        <v>42</v>
      </c>
      <c r="P320" t="s">
        <v>168</v>
      </c>
      <c r="Q320" t="s">
        <v>1253</v>
      </c>
      <c r="R320">
        <v>8.26</v>
      </c>
      <c r="S320" t="str">
        <f>TEXT(sales_data[[#This Row],[Order Date]],"mm")</f>
        <v>04</v>
      </c>
      <c r="T320">
        <f>YEAR(sales_data[[#This Row],[Order Date]])</f>
        <v>2017</v>
      </c>
      <c r="U320" s="8" t="s">
        <v>2860</v>
      </c>
      <c r="V320" t="s">
        <v>1252</v>
      </c>
    </row>
    <row r="321" spans="1:22" x14ac:dyDescent="0.35">
      <c r="A321">
        <v>357</v>
      </c>
      <c r="B321" t="s">
        <v>1247</v>
      </c>
      <c r="C321" s="1">
        <v>42833</v>
      </c>
      <c r="D321" s="1">
        <v>42838</v>
      </c>
      <c r="E321" t="s">
        <v>46</v>
      </c>
      <c r="F321" t="s">
        <v>1248</v>
      </c>
      <c r="G321" t="s">
        <v>1249</v>
      </c>
      <c r="H321" t="s">
        <v>22</v>
      </c>
      <c r="I321" t="s">
        <v>23</v>
      </c>
      <c r="J321" t="s">
        <v>261</v>
      </c>
      <c r="K321" t="s">
        <v>262</v>
      </c>
      <c r="L321">
        <v>10035</v>
      </c>
      <c r="M321" t="s">
        <v>144</v>
      </c>
      <c r="N321" t="s">
        <v>1254</v>
      </c>
      <c r="O321" t="s">
        <v>42</v>
      </c>
      <c r="P321" t="s">
        <v>64</v>
      </c>
      <c r="Q321" t="s">
        <v>1255</v>
      </c>
      <c r="R321">
        <v>17.04</v>
      </c>
      <c r="S321" t="str">
        <f>TEXT(sales_data[[#This Row],[Order Date]],"mm")</f>
        <v>04</v>
      </c>
      <c r="T321">
        <f>YEAR(sales_data[[#This Row],[Order Date]])</f>
        <v>2017</v>
      </c>
      <c r="U321" s="8" t="s">
        <v>2866</v>
      </c>
      <c r="V321" t="s">
        <v>1254</v>
      </c>
    </row>
    <row r="322" spans="1:22" x14ac:dyDescent="0.35">
      <c r="A322">
        <v>358</v>
      </c>
      <c r="B322" t="s">
        <v>1247</v>
      </c>
      <c r="C322" s="1">
        <v>42833</v>
      </c>
      <c r="D322" s="1">
        <v>42838</v>
      </c>
      <c r="E322" t="s">
        <v>46</v>
      </c>
      <c r="F322" t="s">
        <v>1248</v>
      </c>
      <c r="G322" t="s">
        <v>1249</v>
      </c>
      <c r="H322" t="s">
        <v>22</v>
      </c>
      <c r="I322" t="s">
        <v>23</v>
      </c>
      <c r="J322" t="s">
        <v>261</v>
      </c>
      <c r="K322" t="s">
        <v>262</v>
      </c>
      <c r="L322">
        <v>10035</v>
      </c>
      <c r="M322" t="s">
        <v>144</v>
      </c>
      <c r="N322" t="s">
        <v>1256</v>
      </c>
      <c r="O322" t="s">
        <v>42</v>
      </c>
      <c r="P322" t="s">
        <v>86</v>
      </c>
      <c r="Q322" t="s">
        <v>1257</v>
      </c>
      <c r="R322">
        <v>34.4</v>
      </c>
      <c r="S322" t="str">
        <f>TEXT(sales_data[[#This Row],[Order Date]],"mm")</f>
        <v>04</v>
      </c>
      <c r="T322">
        <f>YEAR(sales_data[[#This Row],[Order Date]])</f>
        <v>2017</v>
      </c>
      <c r="U322" s="8" t="s">
        <v>2873</v>
      </c>
      <c r="V322" t="s">
        <v>1256</v>
      </c>
    </row>
    <row r="323" spans="1:22" x14ac:dyDescent="0.35">
      <c r="A323">
        <v>360</v>
      </c>
      <c r="B323" t="s">
        <v>1258</v>
      </c>
      <c r="C323" s="1">
        <v>43167</v>
      </c>
      <c r="D323" s="1">
        <v>43170</v>
      </c>
      <c r="E323" t="s">
        <v>183</v>
      </c>
      <c r="F323" t="s">
        <v>1259</v>
      </c>
      <c r="G323" t="s">
        <v>1260</v>
      </c>
      <c r="H323" t="s">
        <v>37</v>
      </c>
      <c r="I323" t="s">
        <v>23</v>
      </c>
      <c r="J323" t="s">
        <v>492</v>
      </c>
      <c r="K323" t="s">
        <v>1261</v>
      </c>
      <c r="L323">
        <v>31907</v>
      </c>
      <c r="M323" t="s">
        <v>26</v>
      </c>
      <c r="N323" t="s">
        <v>1262</v>
      </c>
      <c r="O323" t="s">
        <v>42</v>
      </c>
      <c r="P323" t="s">
        <v>74</v>
      </c>
      <c r="Q323" t="s">
        <v>1263</v>
      </c>
      <c r="R323">
        <v>647.84</v>
      </c>
      <c r="S323" t="str">
        <f>TEXT(sales_data[[#This Row],[Order Date]],"mm")</f>
        <v>03</v>
      </c>
      <c r="T323">
        <f>YEAR(sales_data[[#This Row],[Order Date]])</f>
        <v>2018</v>
      </c>
      <c r="U323" s="8" t="s">
        <v>2887</v>
      </c>
      <c r="V323" t="s">
        <v>1262</v>
      </c>
    </row>
    <row r="324" spans="1:22" x14ac:dyDescent="0.35">
      <c r="A324">
        <v>361</v>
      </c>
      <c r="B324" t="s">
        <v>1258</v>
      </c>
      <c r="C324" s="1">
        <v>43167</v>
      </c>
      <c r="D324" s="1">
        <v>43170</v>
      </c>
      <c r="E324" t="s">
        <v>183</v>
      </c>
      <c r="F324" t="s">
        <v>1259</v>
      </c>
      <c r="G324" t="s">
        <v>1260</v>
      </c>
      <c r="H324" t="s">
        <v>37</v>
      </c>
      <c r="I324" t="s">
        <v>23</v>
      </c>
      <c r="J324" t="s">
        <v>492</v>
      </c>
      <c r="K324" t="s">
        <v>1261</v>
      </c>
      <c r="L324">
        <v>31907</v>
      </c>
      <c r="M324" t="s">
        <v>26</v>
      </c>
      <c r="N324" t="s">
        <v>1264</v>
      </c>
      <c r="O324" t="s">
        <v>42</v>
      </c>
      <c r="P324" t="s">
        <v>43</v>
      </c>
      <c r="Q324" t="s">
        <v>1265</v>
      </c>
      <c r="R324">
        <v>20.7</v>
      </c>
      <c r="S324" t="str">
        <f>TEXT(sales_data[[#This Row],[Order Date]],"mm")</f>
        <v>03</v>
      </c>
      <c r="T324">
        <f>YEAR(sales_data[[#This Row],[Order Date]])</f>
        <v>2018</v>
      </c>
      <c r="U324" s="8" t="s">
        <v>2893</v>
      </c>
      <c r="V324" t="s">
        <v>1264</v>
      </c>
    </row>
    <row r="325" spans="1:22" x14ac:dyDescent="0.35">
      <c r="A325">
        <v>363</v>
      </c>
      <c r="B325" t="s">
        <v>1266</v>
      </c>
      <c r="C325" s="1">
        <v>43368</v>
      </c>
      <c r="D325" s="1">
        <v>43374</v>
      </c>
      <c r="E325" t="s">
        <v>46</v>
      </c>
      <c r="F325" t="s">
        <v>1267</v>
      </c>
      <c r="G325" t="s">
        <v>1268</v>
      </c>
      <c r="H325" t="s">
        <v>22</v>
      </c>
      <c r="I325" t="s">
        <v>23</v>
      </c>
      <c r="J325" t="s">
        <v>261</v>
      </c>
      <c r="K325" t="s">
        <v>262</v>
      </c>
      <c r="L325">
        <v>10009</v>
      </c>
      <c r="M325" t="s">
        <v>144</v>
      </c>
      <c r="N325" t="s">
        <v>1269</v>
      </c>
      <c r="O325" t="s">
        <v>28</v>
      </c>
      <c r="P325" t="s">
        <v>32</v>
      </c>
      <c r="Q325" t="s">
        <v>1270</v>
      </c>
      <c r="R325">
        <v>488.64600000000002</v>
      </c>
      <c r="S325" t="str">
        <f>TEXT(sales_data[[#This Row],[Order Date]],"mm")</f>
        <v>09</v>
      </c>
      <c r="T325">
        <f>YEAR(sales_data[[#This Row],[Order Date]])</f>
        <v>2018</v>
      </c>
      <c r="U325" s="8" t="s">
        <v>2911</v>
      </c>
      <c r="V325" t="s">
        <v>1269</v>
      </c>
    </row>
    <row r="326" spans="1:22" x14ac:dyDescent="0.35">
      <c r="A326">
        <v>364</v>
      </c>
      <c r="B326" t="s">
        <v>1266</v>
      </c>
      <c r="C326" s="1">
        <v>43368</v>
      </c>
      <c r="D326" s="1">
        <v>43374</v>
      </c>
      <c r="E326" t="s">
        <v>46</v>
      </c>
      <c r="F326" t="s">
        <v>1267</v>
      </c>
      <c r="G326" t="s">
        <v>1268</v>
      </c>
      <c r="H326" t="s">
        <v>22</v>
      </c>
      <c r="I326" t="s">
        <v>23</v>
      </c>
      <c r="J326" t="s">
        <v>261</v>
      </c>
      <c r="K326" t="s">
        <v>262</v>
      </c>
      <c r="L326">
        <v>10009</v>
      </c>
      <c r="M326" t="s">
        <v>144</v>
      </c>
      <c r="N326" t="s">
        <v>1271</v>
      </c>
      <c r="O326" t="s">
        <v>42</v>
      </c>
      <c r="P326" t="s">
        <v>64</v>
      </c>
      <c r="Q326" t="s">
        <v>1272</v>
      </c>
      <c r="R326">
        <v>5.56</v>
      </c>
      <c r="S326" t="str">
        <f>TEXT(sales_data[[#This Row],[Order Date]],"mm")</f>
        <v>09</v>
      </c>
      <c r="T326">
        <f>YEAR(sales_data[[#This Row],[Order Date]])</f>
        <v>2018</v>
      </c>
      <c r="U326" s="8" t="s">
        <v>2917</v>
      </c>
      <c r="V326" t="s">
        <v>1271</v>
      </c>
    </row>
    <row r="327" spans="1:22" x14ac:dyDescent="0.35">
      <c r="A327">
        <v>365</v>
      </c>
      <c r="B327" t="s">
        <v>1266</v>
      </c>
      <c r="C327" s="1">
        <v>43368</v>
      </c>
      <c r="D327" s="1">
        <v>43374</v>
      </c>
      <c r="E327" t="s">
        <v>46</v>
      </c>
      <c r="F327" t="s">
        <v>1267</v>
      </c>
      <c r="G327" t="s">
        <v>1268</v>
      </c>
      <c r="H327" t="s">
        <v>22</v>
      </c>
      <c r="I327" t="s">
        <v>23</v>
      </c>
      <c r="J327" t="s">
        <v>261</v>
      </c>
      <c r="K327" t="s">
        <v>262</v>
      </c>
      <c r="L327">
        <v>10009</v>
      </c>
      <c r="M327" t="s">
        <v>144</v>
      </c>
      <c r="N327" t="s">
        <v>1273</v>
      </c>
      <c r="O327" t="s">
        <v>28</v>
      </c>
      <c r="P327" t="s">
        <v>61</v>
      </c>
      <c r="Q327" t="s">
        <v>1274</v>
      </c>
      <c r="R327">
        <v>47.12</v>
      </c>
      <c r="S327" t="str">
        <f>TEXT(sales_data[[#This Row],[Order Date]],"mm")</f>
        <v>09</v>
      </c>
      <c r="T327">
        <f>YEAR(sales_data[[#This Row],[Order Date]])</f>
        <v>2018</v>
      </c>
      <c r="U327" s="8" t="s">
        <v>2922</v>
      </c>
      <c r="V327" t="s">
        <v>1273</v>
      </c>
    </row>
    <row r="328" spans="1:22" x14ac:dyDescent="0.35">
      <c r="A328">
        <v>367</v>
      </c>
      <c r="B328" t="s">
        <v>1276</v>
      </c>
      <c r="C328" s="1">
        <v>43029</v>
      </c>
      <c r="D328" s="1">
        <v>43029</v>
      </c>
      <c r="E328" t="s">
        <v>1277</v>
      </c>
      <c r="F328" t="s">
        <v>1278</v>
      </c>
      <c r="G328" t="s">
        <v>1279</v>
      </c>
      <c r="H328" t="s">
        <v>37</v>
      </c>
      <c r="I328" t="s">
        <v>23</v>
      </c>
      <c r="J328" t="s">
        <v>1280</v>
      </c>
      <c r="K328" t="s">
        <v>740</v>
      </c>
      <c r="L328">
        <v>6040</v>
      </c>
      <c r="M328" t="s">
        <v>144</v>
      </c>
      <c r="N328" t="s">
        <v>1281</v>
      </c>
      <c r="O328" t="s">
        <v>42</v>
      </c>
      <c r="P328" t="s">
        <v>71</v>
      </c>
      <c r="Q328" t="s">
        <v>1282</v>
      </c>
      <c r="R328">
        <v>23.2</v>
      </c>
      <c r="S328" t="str">
        <f>TEXT(sales_data[[#This Row],[Order Date]],"mm")</f>
        <v>10</v>
      </c>
      <c r="T328">
        <f>YEAR(sales_data[[#This Row],[Order Date]])</f>
        <v>2017</v>
      </c>
      <c r="U328" s="8" t="s">
        <v>2936</v>
      </c>
      <c r="V328" t="s">
        <v>1281</v>
      </c>
    </row>
    <row r="329" spans="1:22" x14ac:dyDescent="0.35">
      <c r="A329">
        <v>368</v>
      </c>
      <c r="B329" t="s">
        <v>1276</v>
      </c>
      <c r="C329" s="1">
        <v>43029</v>
      </c>
      <c r="D329" s="1">
        <v>43029</v>
      </c>
      <c r="E329" t="s">
        <v>1277</v>
      </c>
      <c r="F329" t="s">
        <v>1278</v>
      </c>
      <c r="G329" t="s">
        <v>1279</v>
      </c>
      <c r="H329" t="s">
        <v>37</v>
      </c>
      <c r="I329" t="s">
        <v>23</v>
      </c>
      <c r="J329" t="s">
        <v>1280</v>
      </c>
      <c r="K329" t="s">
        <v>740</v>
      </c>
      <c r="L329">
        <v>6040</v>
      </c>
      <c r="M329" t="s">
        <v>144</v>
      </c>
      <c r="N329" t="s">
        <v>1283</v>
      </c>
      <c r="O329" t="s">
        <v>42</v>
      </c>
      <c r="P329" t="s">
        <v>573</v>
      </c>
      <c r="Q329" t="s">
        <v>1284</v>
      </c>
      <c r="R329">
        <v>7.36</v>
      </c>
      <c r="S329" t="str">
        <f>TEXT(sales_data[[#This Row],[Order Date]],"mm")</f>
        <v>10</v>
      </c>
      <c r="T329">
        <f>YEAR(sales_data[[#This Row],[Order Date]])</f>
        <v>2017</v>
      </c>
      <c r="U329" s="8" t="s">
        <v>2956</v>
      </c>
      <c r="V329" t="s">
        <v>1283</v>
      </c>
    </row>
    <row r="330" spans="1:22" x14ac:dyDescent="0.35">
      <c r="A330">
        <v>369</v>
      </c>
      <c r="B330" t="s">
        <v>1276</v>
      </c>
      <c r="C330" s="1">
        <v>43029</v>
      </c>
      <c r="D330" s="1">
        <v>43029</v>
      </c>
      <c r="E330" t="s">
        <v>1277</v>
      </c>
      <c r="F330" t="s">
        <v>1278</v>
      </c>
      <c r="G330" t="s">
        <v>1279</v>
      </c>
      <c r="H330" t="s">
        <v>37</v>
      </c>
      <c r="I330" t="s">
        <v>23</v>
      </c>
      <c r="J330" t="s">
        <v>1280</v>
      </c>
      <c r="K330" t="s">
        <v>740</v>
      </c>
      <c r="L330">
        <v>6040</v>
      </c>
      <c r="M330" t="s">
        <v>144</v>
      </c>
      <c r="N330" t="s">
        <v>1285</v>
      </c>
      <c r="O330" t="s">
        <v>42</v>
      </c>
      <c r="P330" t="s">
        <v>55</v>
      </c>
      <c r="Q330" t="s">
        <v>1286</v>
      </c>
      <c r="R330">
        <v>104.79</v>
      </c>
      <c r="S330" t="str">
        <f>TEXT(sales_data[[#This Row],[Order Date]],"mm")</f>
        <v>10</v>
      </c>
      <c r="T330">
        <f>YEAR(sales_data[[#This Row],[Order Date]])</f>
        <v>2017</v>
      </c>
      <c r="U330" s="8" t="s">
        <v>2961</v>
      </c>
      <c r="V330" t="s">
        <v>1285</v>
      </c>
    </row>
    <row r="331" spans="1:22" x14ac:dyDescent="0.35">
      <c r="A331">
        <v>371</v>
      </c>
      <c r="B331" t="s">
        <v>1287</v>
      </c>
      <c r="C331" s="1">
        <v>43249</v>
      </c>
      <c r="D331" s="1">
        <v>43255</v>
      </c>
      <c r="E331" t="s">
        <v>46</v>
      </c>
      <c r="F331" t="s">
        <v>1288</v>
      </c>
      <c r="G331" t="s">
        <v>1289</v>
      </c>
      <c r="H331" t="s">
        <v>22</v>
      </c>
      <c r="I331" t="s">
        <v>23</v>
      </c>
      <c r="J331" t="s">
        <v>1290</v>
      </c>
      <c r="K331" t="s">
        <v>100</v>
      </c>
      <c r="L331">
        <v>78550</v>
      </c>
      <c r="M331" t="s">
        <v>101</v>
      </c>
      <c r="N331" t="s">
        <v>1291</v>
      </c>
      <c r="O331" t="s">
        <v>42</v>
      </c>
      <c r="P331" t="s">
        <v>86</v>
      </c>
      <c r="Q331" t="s">
        <v>1292</v>
      </c>
      <c r="R331">
        <v>25.92</v>
      </c>
      <c r="S331" t="str">
        <f>TEXT(sales_data[[#This Row],[Order Date]],"mm")</f>
        <v>05</v>
      </c>
      <c r="T331">
        <f>YEAR(sales_data[[#This Row],[Order Date]])</f>
        <v>2018</v>
      </c>
      <c r="U331" s="8" t="s">
        <v>2984</v>
      </c>
      <c r="V331" t="s">
        <v>1291</v>
      </c>
    </row>
    <row r="332" spans="1:22" x14ac:dyDescent="0.35">
      <c r="A332">
        <v>372</v>
      </c>
      <c r="B332" t="s">
        <v>1287</v>
      </c>
      <c r="C332" s="1">
        <v>43249</v>
      </c>
      <c r="D332" s="1">
        <v>43255</v>
      </c>
      <c r="E332" t="s">
        <v>46</v>
      </c>
      <c r="F332" t="s">
        <v>1288</v>
      </c>
      <c r="G332" t="s">
        <v>1289</v>
      </c>
      <c r="H332" t="s">
        <v>22</v>
      </c>
      <c r="I332" t="s">
        <v>23</v>
      </c>
      <c r="J332" t="s">
        <v>1290</v>
      </c>
      <c r="K332" t="s">
        <v>100</v>
      </c>
      <c r="L332">
        <v>78550</v>
      </c>
      <c r="M332" t="s">
        <v>101</v>
      </c>
      <c r="N332" t="s">
        <v>1293</v>
      </c>
      <c r="O332" t="s">
        <v>42</v>
      </c>
      <c r="P332" t="s">
        <v>55</v>
      </c>
      <c r="Q332" t="s">
        <v>1294</v>
      </c>
      <c r="R332">
        <v>53.423999999999999</v>
      </c>
      <c r="S332" t="str">
        <f>TEXT(sales_data[[#This Row],[Order Date]],"mm")</f>
        <v>05</v>
      </c>
      <c r="T332">
        <f>YEAR(sales_data[[#This Row],[Order Date]])</f>
        <v>2018</v>
      </c>
      <c r="U332" s="8" t="s">
        <v>2989</v>
      </c>
      <c r="V332" t="s">
        <v>1293</v>
      </c>
    </row>
    <row r="333" spans="1:22" x14ac:dyDescent="0.35">
      <c r="A333">
        <v>374</v>
      </c>
      <c r="B333" t="s">
        <v>1295</v>
      </c>
      <c r="C333" s="1">
        <v>42208</v>
      </c>
      <c r="D333" s="1">
        <v>42212</v>
      </c>
      <c r="E333" t="s">
        <v>46</v>
      </c>
      <c r="F333" t="s">
        <v>1296</v>
      </c>
      <c r="G333" t="s">
        <v>1297</v>
      </c>
      <c r="H333" t="s">
        <v>22</v>
      </c>
      <c r="I333" t="s">
        <v>23</v>
      </c>
      <c r="J333" t="s">
        <v>1298</v>
      </c>
      <c r="K333" t="s">
        <v>305</v>
      </c>
      <c r="L333">
        <v>85705</v>
      </c>
      <c r="M333" t="s">
        <v>40</v>
      </c>
      <c r="N333" t="s">
        <v>1299</v>
      </c>
      <c r="O333" t="s">
        <v>67</v>
      </c>
      <c r="P333" t="s">
        <v>156</v>
      </c>
      <c r="Q333" t="s">
        <v>1300</v>
      </c>
      <c r="R333">
        <v>1023.936</v>
      </c>
      <c r="S333" t="str">
        <f>TEXT(sales_data[[#This Row],[Order Date]],"mm")</f>
        <v>07</v>
      </c>
      <c r="T333">
        <f>YEAR(sales_data[[#This Row],[Order Date]])</f>
        <v>2015</v>
      </c>
      <c r="U333" s="7" t="s">
        <v>2996</v>
      </c>
      <c r="V333" t="s">
        <v>1299</v>
      </c>
    </row>
    <row r="334" spans="1:22" x14ac:dyDescent="0.35">
      <c r="A334">
        <v>375</v>
      </c>
      <c r="B334" t="s">
        <v>1295</v>
      </c>
      <c r="C334" s="1">
        <v>42208</v>
      </c>
      <c r="D334" s="1">
        <v>42212</v>
      </c>
      <c r="E334" t="s">
        <v>46</v>
      </c>
      <c r="F334" t="s">
        <v>1296</v>
      </c>
      <c r="G334" t="s">
        <v>1297</v>
      </c>
      <c r="H334" t="s">
        <v>22</v>
      </c>
      <c r="I334" t="s">
        <v>23</v>
      </c>
      <c r="J334" t="s">
        <v>1298</v>
      </c>
      <c r="K334" t="s">
        <v>305</v>
      </c>
      <c r="L334">
        <v>85705</v>
      </c>
      <c r="M334" t="s">
        <v>40</v>
      </c>
      <c r="N334" t="s">
        <v>1301</v>
      </c>
      <c r="O334" t="s">
        <v>42</v>
      </c>
      <c r="P334" t="s">
        <v>64</v>
      </c>
      <c r="Q334" t="s">
        <v>1302</v>
      </c>
      <c r="R334">
        <v>9.24</v>
      </c>
      <c r="S334" t="str">
        <f>TEXT(sales_data[[#This Row],[Order Date]],"mm")</f>
        <v>07</v>
      </c>
      <c r="T334">
        <f>YEAR(sales_data[[#This Row],[Order Date]])</f>
        <v>2015</v>
      </c>
      <c r="U334" s="8" t="s">
        <v>3003</v>
      </c>
      <c r="V334" t="s">
        <v>1301</v>
      </c>
    </row>
    <row r="335" spans="1:22" x14ac:dyDescent="0.35">
      <c r="A335">
        <v>376</v>
      </c>
      <c r="B335" t="s">
        <v>1295</v>
      </c>
      <c r="C335" s="1">
        <v>42208</v>
      </c>
      <c r="D335" s="1">
        <v>42212</v>
      </c>
      <c r="E335" t="s">
        <v>46</v>
      </c>
      <c r="F335" t="s">
        <v>1296</v>
      </c>
      <c r="G335" t="s">
        <v>1297</v>
      </c>
      <c r="H335" t="s">
        <v>22</v>
      </c>
      <c r="I335" t="s">
        <v>23</v>
      </c>
      <c r="J335" t="s">
        <v>1298</v>
      </c>
      <c r="K335" t="s">
        <v>305</v>
      </c>
      <c r="L335">
        <v>85705</v>
      </c>
      <c r="M335" t="s">
        <v>40</v>
      </c>
      <c r="N335" t="s">
        <v>1303</v>
      </c>
      <c r="O335" t="s">
        <v>67</v>
      </c>
      <c r="P335" t="s">
        <v>156</v>
      </c>
      <c r="Q335" t="s">
        <v>1304</v>
      </c>
      <c r="R335">
        <v>479.04</v>
      </c>
      <c r="S335" t="str">
        <f>TEXT(sales_data[[#This Row],[Order Date]],"mm")</f>
        <v>07</v>
      </c>
      <c r="T335">
        <f>YEAR(sales_data[[#This Row],[Order Date]])</f>
        <v>2015</v>
      </c>
      <c r="U335" s="8" t="s">
        <v>3014</v>
      </c>
      <c r="V335" t="s">
        <v>1303</v>
      </c>
    </row>
    <row r="336" spans="1:22" x14ac:dyDescent="0.35">
      <c r="A336">
        <v>377</v>
      </c>
      <c r="B336" t="s">
        <v>1305</v>
      </c>
      <c r="C336" s="1">
        <v>43006</v>
      </c>
      <c r="D336" s="1">
        <v>43009</v>
      </c>
      <c r="E336" t="s">
        <v>183</v>
      </c>
      <c r="F336" t="s">
        <v>1306</v>
      </c>
      <c r="G336" t="s">
        <v>1307</v>
      </c>
      <c r="H336" t="s">
        <v>37</v>
      </c>
      <c r="I336" t="s">
        <v>23</v>
      </c>
      <c r="J336" t="s">
        <v>1308</v>
      </c>
      <c r="K336" t="s">
        <v>206</v>
      </c>
      <c r="L336">
        <v>62301</v>
      </c>
      <c r="M336" t="s">
        <v>101</v>
      </c>
      <c r="N336" t="s">
        <v>1309</v>
      </c>
      <c r="O336" t="s">
        <v>42</v>
      </c>
      <c r="P336" t="s">
        <v>86</v>
      </c>
      <c r="Q336" t="s">
        <v>1310</v>
      </c>
      <c r="R336">
        <v>99.135999999999996</v>
      </c>
      <c r="S336" t="str">
        <f>TEXT(sales_data[[#This Row],[Order Date]],"mm")</f>
        <v>09</v>
      </c>
      <c r="T336">
        <f>YEAR(sales_data[[#This Row],[Order Date]])</f>
        <v>2017</v>
      </c>
      <c r="U336" s="8" t="s">
        <v>3023</v>
      </c>
      <c r="V336" t="s">
        <v>1309</v>
      </c>
    </row>
    <row r="337" spans="1:22" x14ac:dyDescent="0.35">
      <c r="A337">
        <v>378</v>
      </c>
      <c r="B337" t="s">
        <v>1311</v>
      </c>
      <c r="C337" s="1">
        <v>43339</v>
      </c>
      <c r="D337" s="1">
        <v>43344</v>
      </c>
      <c r="E337" t="s">
        <v>46</v>
      </c>
      <c r="F337" t="s">
        <v>1312</v>
      </c>
      <c r="G337" t="s">
        <v>1313</v>
      </c>
      <c r="H337" t="s">
        <v>37</v>
      </c>
      <c r="I337" t="s">
        <v>23</v>
      </c>
      <c r="J337" t="s">
        <v>605</v>
      </c>
      <c r="K337" t="s">
        <v>1235</v>
      </c>
      <c r="L337">
        <v>2038</v>
      </c>
      <c r="M337" t="s">
        <v>144</v>
      </c>
      <c r="N337" t="s">
        <v>1314</v>
      </c>
      <c r="O337" t="s">
        <v>28</v>
      </c>
      <c r="P337" t="s">
        <v>52</v>
      </c>
      <c r="Q337" t="s">
        <v>1315</v>
      </c>
      <c r="R337">
        <v>1488.424</v>
      </c>
      <c r="S337" t="str">
        <f>TEXT(sales_data[[#This Row],[Order Date]],"mm")</f>
        <v>08</v>
      </c>
      <c r="T337">
        <f>YEAR(sales_data[[#This Row],[Order Date]])</f>
        <v>2018</v>
      </c>
      <c r="U337" s="7" t="s">
        <v>3037</v>
      </c>
      <c r="V337" t="s">
        <v>1314</v>
      </c>
    </row>
    <row r="338" spans="1:22" x14ac:dyDescent="0.35">
      <c r="A338">
        <v>379</v>
      </c>
      <c r="B338" t="s">
        <v>1316</v>
      </c>
      <c r="C338" s="1">
        <v>42488</v>
      </c>
      <c r="D338" s="1">
        <v>42495</v>
      </c>
      <c r="E338" t="s">
        <v>46</v>
      </c>
      <c r="F338" t="s">
        <v>1317</v>
      </c>
      <c r="G338" t="s">
        <v>1318</v>
      </c>
      <c r="H338" t="s">
        <v>22</v>
      </c>
      <c r="I338" t="s">
        <v>23</v>
      </c>
      <c r="J338" t="s">
        <v>179</v>
      </c>
      <c r="K338" t="s">
        <v>100</v>
      </c>
      <c r="L338">
        <v>77095</v>
      </c>
      <c r="M338" t="s">
        <v>101</v>
      </c>
      <c r="N338" t="s">
        <v>1319</v>
      </c>
      <c r="O338" t="s">
        <v>42</v>
      </c>
      <c r="P338" t="s">
        <v>74</v>
      </c>
      <c r="Q338" t="s">
        <v>1320</v>
      </c>
      <c r="R338">
        <v>8.6519999999999992</v>
      </c>
      <c r="S338" t="str">
        <f>TEXT(sales_data[[#This Row],[Order Date]],"mm")</f>
        <v>04</v>
      </c>
      <c r="T338">
        <f>YEAR(sales_data[[#This Row],[Order Date]])</f>
        <v>2016</v>
      </c>
      <c r="U338" s="8" t="s">
        <v>3042</v>
      </c>
      <c r="V338" t="s">
        <v>1319</v>
      </c>
    </row>
    <row r="339" spans="1:22" x14ac:dyDescent="0.35">
      <c r="A339">
        <v>380</v>
      </c>
      <c r="B339" t="s">
        <v>1316</v>
      </c>
      <c r="C339" s="1">
        <v>42488</v>
      </c>
      <c r="D339" s="1">
        <v>42495</v>
      </c>
      <c r="E339" t="s">
        <v>46</v>
      </c>
      <c r="F339" t="s">
        <v>1317</v>
      </c>
      <c r="G339" t="s">
        <v>1318</v>
      </c>
      <c r="H339" t="s">
        <v>22</v>
      </c>
      <c r="I339" t="s">
        <v>23</v>
      </c>
      <c r="J339" t="s">
        <v>179</v>
      </c>
      <c r="K339" t="s">
        <v>100</v>
      </c>
      <c r="L339">
        <v>77095</v>
      </c>
      <c r="M339" t="s">
        <v>101</v>
      </c>
      <c r="N339" t="s">
        <v>1321</v>
      </c>
      <c r="O339" t="s">
        <v>42</v>
      </c>
      <c r="P339" t="s">
        <v>55</v>
      </c>
      <c r="Q339" t="s">
        <v>1322</v>
      </c>
      <c r="R339">
        <v>23.832000000000001</v>
      </c>
      <c r="S339" t="str">
        <f>TEXT(sales_data[[#This Row],[Order Date]],"mm")</f>
        <v>04</v>
      </c>
      <c r="T339">
        <f>YEAR(sales_data[[#This Row],[Order Date]])</f>
        <v>2016</v>
      </c>
      <c r="U339" s="7" t="s">
        <v>3052</v>
      </c>
      <c r="V339" t="s">
        <v>1321</v>
      </c>
    </row>
    <row r="340" spans="1:22" x14ac:dyDescent="0.35">
      <c r="A340">
        <v>381</v>
      </c>
      <c r="B340" t="s">
        <v>1316</v>
      </c>
      <c r="C340" s="1">
        <v>42488</v>
      </c>
      <c r="D340" s="1">
        <v>42495</v>
      </c>
      <c r="E340" t="s">
        <v>46</v>
      </c>
      <c r="F340" t="s">
        <v>1317</v>
      </c>
      <c r="G340" t="s">
        <v>1318</v>
      </c>
      <c r="H340" t="s">
        <v>22</v>
      </c>
      <c r="I340" t="s">
        <v>23</v>
      </c>
      <c r="J340" t="s">
        <v>179</v>
      </c>
      <c r="K340" t="s">
        <v>100</v>
      </c>
      <c r="L340">
        <v>77095</v>
      </c>
      <c r="M340" t="s">
        <v>101</v>
      </c>
      <c r="N340" t="s">
        <v>1323</v>
      </c>
      <c r="O340" t="s">
        <v>42</v>
      </c>
      <c r="P340" t="s">
        <v>71</v>
      </c>
      <c r="Q340" t="s">
        <v>1324</v>
      </c>
      <c r="R340">
        <v>12.176</v>
      </c>
      <c r="S340" t="str">
        <f>TEXT(sales_data[[#This Row],[Order Date]],"mm")</f>
        <v>04</v>
      </c>
      <c r="T340">
        <f>YEAR(sales_data[[#This Row],[Order Date]])</f>
        <v>2016</v>
      </c>
      <c r="U340" s="8" t="s">
        <v>3054</v>
      </c>
      <c r="V340" t="s">
        <v>1323</v>
      </c>
    </row>
    <row r="341" spans="1:22" x14ac:dyDescent="0.35">
      <c r="A341">
        <v>382</v>
      </c>
      <c r="B341" t="s">
        <v>1325</v>
      </c>
      <c r="C341" s="1">
        <v>43036</v>
      </c>
      <c r="D341" s="1">
        <v>43037</v>
      </c>
      <c r="E341" t="s">
        <v>183</v>
      </c>
      <c r="F341" t="s">
        <v>1326</v>
      </c>
      <c r="G341" t="s">
        <v>1327</v>
      </c>
      <c r="H341" t="s">
        <v>37</v>
      </c>
      <c r="I341" t="s">
        <v>23</v>
      </c>
      <c r="J341" t="s">
        <v>123</v>
      </c>
      <c r="K341" t="s">
        <v>39</v>
      </c>
      <c r="L341">
        <v>94109</v>
      </c>
      <c r="M341" t="s">
        <v>40</v>
      </c>
      <c r="N341" t="s">
        <v>1328</v>
      </c>
      <c r="O341" t="s">
        <v>42</v>
      </c>
      <c r="P341" t="s">
        <v>86</v>
      </c>
      <c r="Q341" t="s">
        <v>1329</v>
      </c>
      <c r="R341">
        <v>50.96</v>
      </c>
      <c r="S341" t="str">
        <f>TEXT(sales_data[[#This Row],[Order Date]],"mm")</f>
        <v>10</v>
      </c>
      <c r="T341">
        <f>YEAR(sales_data[[#This Row],[Order Date]])</f>
        <v>2017</v>
      </c>
      <c r="U341" s="8" t="s">
        <v>3055</v>
      </c>
      <c r="V341" t="s">
        <v>1328</v>
      </c>
    </row>
    <row r="342" spans="1:22" x14ac:dyDescent="0.35">
      <c r="A342">
        <v>383</v>
      </c>
      <c r="B342" t="s">
        <v>1325</v>
      </c>
      <c r="C342" s="1">
        <v>43036</v>
      </c>
      <c r="D342" s="1">
        <v>43037</v>
      </c>
      <c r="E342" t="s">
        <v>183</v>
      </c>
      <c r="F342" t="s">
        <v>1326</v>
      </c>
      <c r="G342" t="s">
        <v>1327</v>
      </c>
      <c r="H342" t="s">
        <v>37</v>
      </c>
      <c r="I342" t="s">
        <v>23</v>
      </c>
      <c r="J342" t="s">
        <v>123</v>
      </c>
      <c r="K342" t="s">
        <v>39</v>
      </c>
      <c r="L342">
        <v>94109</v>
      </c>
      <c r="M342" t="s">
        <v>40</v>
      </c>
      <c r="N342" t="s">
        <v>1330</v>
      </c>
      <c r="O342" t="s">
        <v>42</v>
      </c>
      <c r="P342" t="s">
        <v>71</v>
      </c>
      <c r="Q342" t="s">
        <v>1331</v>
      </c>
      <c r="R342">
        <v>49.536000000000001</v>
      </c>
      <c r="S342" t="str">
        <f>TEXT(sales_data[[#This Row],[Order Date]],"mm")</f>
        <v>10</v>
      </c>
      <c r="T342">
        <f>YEAR(sales_data[[#This Row],[Order Date]])</f>
        <v>2017</v>
      </c>
      <c r="U342" s="8" t="s">
        <v>3057</v>
      </c>
      <c r="V342" t="s">
        <v>1330</v>
      </c>
    </row>
    <row r="343" spans="1:22" x14ac:dyDescent="0.35">
      <c r="A343">
        <v>384</v>
      </c>
      <c r="B343" t="s">
        <v>1332</v>
      </c>
      <c r="C343" s="1">
        <v>42547</v>
      </c>
      <c r="D343" s="1">
        <v>42550</v>
      </c>
      <c r="E343" t="s">
        <v>19</v>
      </c>
      <c r="F343" t="s">
        <v>1333</v>
      </c>
      <c r="G343" t="s">
        <v>1334</v>
      </c>
      <c r="H343" t="s">
        <v>37</v>
      </c>
      <c r="I343" t="s">
        <v>23</v>
      </c>
      <c r="J343" t="s">
        <v>1106</v>
      </c>
      <c r="K343" t="s">
        <v>233</v>
      </c>
      <c r="L343">
        <v>48180</v>
      </c>
      <c r="M343" t="s">
        <v>101</v>
      </c>
      <c r="N343" t="s">
        <v>1335</v>
      </c>
      <c r="O343" t="s">
        <v>67</v>
      </c>
      <c r="P343" t="s">
        <v>156</v>
      </c>
      <c r="Q343" t="s">
        <v>1336</v>
      </c>
      <c r="R343">
        <v>41.9</v>
      </c>
      <c r="S343" t="str">
        <f>TEXT(sales_data[[#This Row],[Order Date]],"mm")</f>
        <v>06</v>
      </c>
      <c r="T343">
        <f>YEAR(sales_data[[#This Row],[Order Date]])</f>
        <v>2016</v>
      </c>
      <c r="U343" s="8" t="s">
        <v>3060</v>
      </c>
      <c r="V343" t="s">
        <v>1335</v>
      </c>
    </row>
    <row r="344" spans="1:22" x14ac:dyDescent="0.35">
      <c r="A344">
        <v>385</v>
      </c>
      <c r="B344" t="s">
        <v>1337</v>
      </c>
      <c r="C344" s="1">
        <v>42701</v>
      </c>
      <c r="D344" s="1">
        <v>42706</v>
      </c>
      <c r="E344" t="s">
        <v>46</v>
      </c>
      <c r="F344" t="s">
        <v>1338</v>
      </c>
      <c r="G344" t="s">
        <v>1339</v>
      </c>
      <c r="H344" t="s">
        <v>22</v>
      </c>
      <c r="I344" t="s">
        <v>23</v>
      </c>
      <c r="J344" t="s">
        <v>1340</v>
      </c>
      <c r="K344" t="s">
        <v>50</v>
      </c>
      <c r="L344">
        <v>33024</v>
      </c>
      <c r="M344" t="s">
        <v>26</v>
      </c>
      <c r="N344" t="s">
        <v>1341</v>
      </c>
      <c r="O344" t="s">
        <v>28</v>
      </c>
      <c r="P344" t="s">
        <v>52</v>
      </c>
      <c r="Q344" t="s">
        <v>1342</v>
      </c>
      <c r="R344">
        <v>375.45749999999998</v>
      </c>
      <c r="S344" t="str">
        <f>TEXT(sales_data[[#This Row],[Order Date]],"mm")</f>
        <v>11</v>
      </c>
      <c r="T344">
        <f>YEAR(sales_data[[#This Row],[Order Date]])</f>
        <v>2016</v>
      </c>
      <c r="U344" s="8" t="s">
        <v>3065</v>
      </c>
      <c r="V344" t="s">
        <v>1341</v>
      </c>
    </row>
    <row r="345" spans="1:22" x14ac:dyDescent="0.35">
      <c r="A345">
        <v>386</v>
      </c>
      <c r="B345" t="s">
        <v>1337</v>
      </c>
      <c r="C345" s="1">
        <v>42701</v>
      </c>
      <c r="D345" s="1">
        <v>42706</v>
      </c>
      <c r="E345" t="s">
        <v>46</v>
      </c>
      <c r="F345" t="s">
        <v>1338</v>
      </c>
      <c r="G345" t="s">
        <v>1339</v>
      </c>
      <c r="H345" t="s">
        <v>22</v>
      </c>
      <c r="I345" t="s">
        <v>23</v>
      </c>
      <c r="J345" t="s">
        <v>1340</v>
      </c>
      <c r="K345" t="s">
        <v>50</v>
      </c>
      <c r="L345">
        <v>33024</v>
      </c>
      <c r="M345" t="s">
        <v>26</v>
      </c>
      <c r="N345" t="s">
        <v>1343</v>
      </c>
      <c r="O345" t="s">
        <v>67</v>
      </c>
      <c r="P345" t="s">
        <v>156</v>
      </c>
      <c r="Q345" t="s">
        <v>1344</v>
      </c>
      <c r="R345">
        <v>83.975999999999999</v>
      </c>
      <c r="S345" t="str">
        <f>TEXT(sales_data[[#This Row],[Order Date]],"mm")</f>
        <v>11</v>
      </c>
      <c r="T345">
        <f>YEAR(sales_data[[#This Row],[Order Date]])</f>
        <v>2016</v>
      </c>
      <c r="U345" s="8" t="s">
        <v>3072</v>
      </c>
      <c r="V345" t="s">
        <v>1343</v>
      </c>
    </row>
    <row r="346" spans="1:22" x14ac:dyDescent="0.35">
      <c r="A346">
        <v>387</v>
      </c>
      <c r="B346" t="s">
        <v>1345</v>
      </c>
      <c r="C346" s="1">
        <v>42707</v>
      </c>
      <c r="D346" s="1">
        <v>42711</v>
      </c>
      <c r="E346" t="s">
        <v>46</v>
      </c>
      <c r="F346" t="s">
        <v>1346</v>
      </c>
      <c r="G346" t="s">
        <v>1347</v>
      </c>
      <c r="H346" t="s">
        <v>37</v>
      </c>
      <c r="I346" t="s">
        <v>23</v>
      </c>
      <c r="J346" t="s">
        <v>142</v>
      </c>
      <c r="K346" t="s">
        <v>143</v>
      </c>
      <c r="L346">
        <v>19140</v>
      </c>
      <c r="M346" t="s">
        <v>144</v>
      </c>
      <c r="N346" t="s">
        <v>1348</v>
      </c>
      <c r="O346" t="s">
        <v>67</v>
      </c>
      <c r="P346" t="s">
        <v>675</v>
      </c>
      <c r="Q346" t="s">
        <v>1349</v>
      </c>
      <c r="R346">
        <v>482.34</v>
      </c>
      <c r="S346" t="str">
        <f>TEXT(sales_data[[#This Row],[Order Date]],"mm")</f>
        <v>12</v>
      </c>
      <c r="T346">
        <f>YEAR(sales_data[[#This Row],[Order Date]])</f>
        <v>2016</v>
      </c>
      <c r="U346" s="8" t="s">
        <v>3077</v>
      </c>
      <c r="V346" t="s">
        <v>1348</v>
      </c>
    </row>
    <row r="347" spans="1:22" x14ac:dyDescent="0.35">
      <c r="A347">
        <v>388</v>
      </c>
      <c r="B347" t="s">
        <v>1345</v>
      </c>
      <c r="C347" s="1">
        <v>42707</v>
      </c>
      <c r="D347" s="1">
        <v>42711</v>
      </c>
      <c r="E347" t="s">
        <v>46</v>
      </c>
      <c r="F347" t="s">
        <v>1346</v>
      </c>
      <c r="G347" t="s">
        <v>1347</v>
      </c>
      <c r="H347" t="s">
        <v>37</v>
      </c>
      <c r="I347" t="s">
        <v>23</v>
      </c>
      <c r="J347" t="s">
        <v>142</v>
      </c>
      <c r="K347" t="s">
        <v>143</v>
      </c>
      <c r="L347">
        <v>19140</v>
      </c>
      <c r="M347" t="s">
        <v>144</v>
      </c>
      <c r="N347" t="s">
        <v>1350</v>
      </c>
      <c r="O347" t="s">
        <v>28</v>
      </c>
      <c r="P347" t="s">
        <v>61</v>
      </c>
      <c r="Q347" t="s">
        <v>1351</v>
      </c>
      <c r="R347">
        <v>2.96</v>
      </c>
      <c r="S347" t="str">
        <f>TEXT(sales_data[[#This Row],[Order Date]],"mm")</f>
        <v>12</v>
      </c>
      <c r="T347">
        <f>YEAR(sales_data[[#This Row],[Order Date]])</f>
        <v>2016</v>
      </c>
      <c r="U347" s="8" t="s">
        <v>3082</v>
      </c>
      <c r="V347" t="s">
        <v>1350</v>
      </c>
    </row>
    <row r="348" spans="1:22" x14ac:dyDescent="0.35">
      <c r="A348">
        <v>389</v>
      </c>
      <c r="B348" t="s">
        <v>1352</v>
      </c>
      <c r="C348" s="1">
        <v>42332</v>
      </c>
      <c r="D348" s="1">
        <v>42334</v>
      </c>
      <c r="E348" t="s">
        <v>183</v>
      </c>
      <c r="F348" t="s">
        <v>1353</v>
      </c>
      <c r="G348" t="s">
        <v>1354</v>
      </c>
      <c r="H348" t="s">
        <v>22</v>
      </c>
      <c r="I348" t="s">
        <v>23</v>
      </c>
      <c r="J348" t="s">
        <v>1000</v>
      </c>
      <c r="K348" t="s">
        <v>493</v>
      </c>
      <c r="L348">
        <v>45231</v>
      </c>
      <c r="M348" t="s">
        <v>144</v>
      </c>
      <c r="N348" t="s">
        <v>1355</v>
      </c>
      <c r="O348" t="s">
        <v>42</v>
      </c>
      <c r="P348" t="s">
        <v>64</v>
      </c>
      <c r="Q348" t="s">
        <v>1356</v>
      </c>
      <c r="R348">
        <v>2.6240000000000001</v>
      </c>
      <c r="S348" t="str">
        <f>TEXT(sales_data[[#This Row],[Order Date]],"mm")</f>
        <v>11</v>
      </c>
      <c r="T348">
        <f>YEAR(sales_data[[#This Row],[Order Date]])</f>
        <v>2015</v>
      </c>
      <c r="U348" s="8" t="s">
        <v>3096</v>
      </c>
      <c r="V348" t="s">
        <v>1355</v>
      </c>
    </row>
    <row r="349" spans="1:22" x14ac:dyDescent="0.35">
      <c r="A349">
        <v>390</v>
      </c>
      <c r="B349" t="s">
        <v>1357</v>
      </c>
      <c r="C349" s="1">
        <v>43445</v>
      </c>
      <c r="D349" s="1">
        <v>43449</v>
      </c>
      <c r="E349" t="s">
        <v>46</v>
      </c>
      <c r="F349" t="s">
        <v>1358</v>
      </c>
      <c r="G349" t="s">
        <v>1359</v>
      </c>
      <c r="H349" t="s">
        <v>22</v>
      </c>
      <c r="I349" t="s">
        <v>23</v>
      </c>
      <c r="J349" t="s">
        <v>261</v>
      </c>
      <c r="K349" t="s">
        <v>262</v>
      </c>
      <c r="L349">
        <v>10009</v>
      </c>
      <c r="M349" t="s">
        <v>144</v>
      </c>
      <c r="N349" t="s">
        <v>1360</v>
      </c>
      <c r="O349" t="s">
        <v>42</v>
      </c>
      <c r="P349" t="s">
        <v>71</v>
      </c>
      <c r="Q349" t="s">
        <v>1361</v>
      </c>
      <c r="R349">
        <v>23.36</v>
      </c>
      <c r="S349" t="str">
        <f>TEXT(sales_data[[#This Row],[Order Date]],"mm")</f>
        <v>12</v>
      </c>
      <c r="T349">
        <f>YEAR(sales_data[[#This Row],[Order Date]])</f>
        <v>2018</v>
      </c>
      <c r="U349" s="7" t="s">
        <v>3110</v>
      </c>
      <c r="V349" t="s">
        <v>1360</v>
      </c>
    </row>
    <row r="350" spans="1:22" x14ac:dyDescent="0.35">
      <c r="A350">
        <v>392</v>
      </c>
      <c r="B350" t="s">
        <v>1362</v>
      </c>
      <c r="C350" s="1">
        <v>42268</v>
      </c>
      <c r="D350" s="1">
        <v>42270</v>
      </c>
      <c r="E350" t="s">
        <v>19</v>
      </c>
      <c r="F350" t="s">
        <v>1363</v>
      </c>
      <c r="G350" t="s">
        <v>1364</v>
      </c>
      <c r="H350" t="s">
        <v>22</v>
      </c>
      <c r="I350" t="s">
        <v>23</v>
      </c>
      <c r="J350" t="s">
        <v>1365</v>
      </c>
      <c r="K350" t="s">
        <v>92</v>
      </c>
      <c r="L350">
        <v>98198</v>
      </c>
      <c r="M350" t="s">
        <v>40</v>
      </c>
      <c r="N350" t="s">
        <v>1366</v>
      </c>
      <c r="O350" t="s">
        <v>67</v>
      </c>
      <c r="P350" t="s">
        <v>68</v>
      </c>
      <c r="Q350" t="s">
        <v>1367</v>
      </c>
      <c r="R350">
        <v>246.38399999999999</v>
      </c>
      <c r="S350" t="str">
        <f>TEXT(sales_data[[#This Row],[Order Date]],"mm")</f>
        <v>09</v>
      </c>
      <c r="T350">
        <f>YEAR(sales_data[[#This Row],[Order Date]])</f>
        <v>2015</v>
      </c>
      <c r="U350" s="8" t="s">
        <v>3126</v>
      </c>
      <c r="V350" t="s">
        <v>1366</v>
      </c>
    </row>
    <row r="351" spans="1:22" x14ac:dyDescent="0.35">
      <c r="A351">
        <v>393</v>
      </c>
      <c r="B351" t="s">
        <v>1362</v>
      </c>
      <c r="C351" s="1">
        <v>42268</v>
      </c>
      <c r="D351" s="1">
        <v>42270</v>
      </c>
      <c r="E351" t="s">
        <v>19</v>
      </c>
      <c r="F351" t="s">
        <v>1363</v>
      </c>
      <c r="G351" t="s">
        <v>1364</v>
      </c>
      <c r="H351" t="s">
        <v>22</v>
      </c>
      <c r="I351" t="s">
        <v>23</v>
      </c>
      <c r="J351" t="s">
        <v>1365</v>
      </c>
      <c r="K351" t="s">
        <v>92</v>
      </c>
      <c r="L351">
        <v>98198</v>
      </c>
      <c r="M351" t="s">
        <v>40</v>
      </c>
      <c r="N351" t="s">
        <v>1368</v>
      </c>
      <c r="O351" t="s">
        <v>67</v>
      </c>
      <c r="P351" t="s">
        <v>1209</v>
      </c>
      <c r="Q351" t="s">
        <v>1369</v>
      </c>
      <c r="R351">
        <v>1799.97</v>
      </c>
      <c r="S351" t="str">
        <f>TEXT(sales_data[[#This Row],[Order Date]],"mm")</f>
        <v>09</v>
      </c>
      <c r="T351">
        <f>YEAR(sales_data[[#This Row],[Order Date]])</f>
        <v>2015</v>
      </c>
      <c r="U351" s="8" t="s">
        <v>3135</v>
      </c>
      <c r="V351" t="s">
        <v>1368</v>
      </c>
    </row>
    <row r="352" spans="1:22" x14ac:dyDescent="0.35">
      <c r="A352">
        <v>394</v>
      </c>
      <c r="B352" t="s">
        <v>1370</v>
      </c>
      <c r="C352" s="1">
        <v>42162</v>
      </c>
      <c r="D352" s="1">
        <v>42165</v>
      </c>
      <c r="E352" t="s">
        <v>19</v>
      </c>
      <c r="F352" t="s">
        <v>1371</v>
      </c>
      <c r="G352" t="s">
        <v>1372</v>
      </c>
      <c r="H352" t="s">
        <v>37</v>
      </c>
      <c r="I352" t="s">
        <v>23</v>
      </c>
      <c r="J352" t="s">
        <v>1373</v>
      </c>
      <c r="K352" t="s">
        <v>206</v>
      </c>
      <c r="L352">
        <v>61604</v>
      </c>
      <c r="M352" t="s">
        <v>101</v>
      </c>
      <c r="N352" t="s">
        <v>1374</v>
      </c>
      <c r="O352" t="s">
        <v>42</v>
      </c>
      <c r="P352" t="s">
        <v>71</v>
      </c>
      <c r="Q352" t="s">
        <v>1375</v>
      </c>
      <c r="R352">
        <v>12.462</v>
      </c>
      <c r="S352" t="str">
        <f>TEXT(sales_data[[#This Row],[Order Date]],"mm")</f>
        <v>06</v>
      </c>
      <c r="T352">
        <f>YEAR(sales_data[[#This Row],[Order Date]])</f>
        <v>2015</v>
      </c>
      <c r="U352" s="8" t="s">
        <v>3153</v>
      </c>
      <c r="V352" t="s">
        <v>1374</v>
      </c>
    </row>
    <row r="353" spans="1:22" x14ac:dyDescent="0.35">
      <c r="A353">
        <v>395</v>
      </c>
      <c r="B353" t="s">
        <v>1376</v>
      </c>
      <c r="C353" s="1">
        <v>43281</v>
      </c>
      <c r="D353" s="1">
        <v>43286</v>
      </c>
      <c r="E353" t="s">
        <v>46</v>
      </c>
      <c r="F353" t="s">
        <v>1377</v>
      </c>
      <c r="G353" t="s">
        <v>1378</v>
      </c>
      <c r="H353" t="s">
        <v>98</v>
      </c>
      <c r="I353" t="s">
        <v>23</v>
      </c>
      <c r="J353" t="s">
        <v>1379</v>
      </c>
      <c r="K353" t="s">
        <v>1380</v>
      </c>
      <c r="L353">
        <v>89115</v>
      </c>
      <c r="M353" t="s">
        <v>40</v>
      </c>
      <c r="N353" t="s">
        <v>1381</v>
      </c>
      <c r="O353" t="s">
        <v>42</v>
      </c>
      <c r="P353" t="s">
        <v>71</v>
      </c>
      <c r="Q353" t="s">
        <v>1382</v>
      </c>
      <c r="R353">
        <v>75.792000000000002</v>
      </c>
      <c r="S353" t="str">
        <f>TEXT(sales_data[[#This Row],[Order Date]],"mm")</f>
        <v>06</v>
      </c>
      <c r="T353">
        <f>YEAR(sales_data[[#This Row],[Order Date]])</f>
        <v>2018</v>
      </c>
      <c r="U353" s="8" t="s">
        <v>3156</v>
      </c>
      <c r="V353" t="s">
        <v>1381</v>
      </c>
    </row>
    <row r="354" spans="1:22" x14ac:dyDescent="0.35">
      <c r="A354">
        <v>396</v>
      </c>
      <c r="B354" t="s">
        <v>1383</v>
      </c>
      <c r="C354" s="1">
        <v>43390</v>
      </c>
      <c r="D354" s="1">
        <v>43392</v>
      </c>
      <c r="E354" t="s">
        <v>19</v>
      </c>
      <c r="F354" t="s">
        <v>1384</v>
      </c>
      <c r="G354" t="s">
        <v>1385</v>
      </c>
      <c r="H354" t="s">
        <v>37</v>
      </c>
      <c r="I354" t="s">
        <v>23</v>
      </c>
      <c r="J354" t="s">
        <v>1386</v>
      </c>
      <c r="K354" t="s">
        <v>1387</v>
      </c>
      <c r="L354">
        <v>2886</v>
      </c>
      <c r="M354" t="s">
        <v>144</v>
      </c>
      <c r="N354" t="s">
        <v>1388</v>
      </c>
      <c r="O354" t="s">
        <v>42</v>
      </c>
      <c r="P354" t="s">
        <v>55</v>
      </c>
      <c r="Q354" t="s">
        <v>1389</v>
      </c>
      <c r="R354">
        <v>49.96</v>
      </c>
      <c r="S354" t="str">
        <f>TEXT(sales_data[[#This Row],[Order Date]],"mm")</f>
        <v>10</v>
      </c>
      <c r="T354">
        <f>YEAR(sales_data[[#This Row],[Order Date]])</f>
        <v>2018</v>
      </c>
      <c r="U354" s="8" t="s">
        <v>3181</v>
      </c>
      <c r="V354" t="s">
        <v>1388</v>
      </c>
    </row>
    <row r="355" spans="1:22" x14ac:dyDescent="0.35">
      <c r="A355">
        <v>397</v>
      </c>
      <c r="B355" t="s">
        <v>1383</v>
      </c>
      <c r="C355" s="1">
        <v>43390</v>
      </c>
      <c r="D355" s="1">
        <v>43392</v>
      </c>
      <c r="E355" t="s">
        <v>19</v>
      </c>
      <c r="F355" t="s">
        <v>1384</v>
      </c>
      <c r="G355" t="s">
        <v>1385</v>
      </c>
      <c r="H355" t="s">
        <v>37</v>
      </c>
      <c r="I355" t="s">
        <v>23</v>
      </c>
      <c r="J355" t="s">
        <v>1386</v>
      </c>
      <c r="K355" t="s">
        <v>1387</v>
      </c>
      <c r="L355">
        <v>2886</v>
      </c>
      <c r="M355" t="s">
        <v>144</v>
      </c>
      <c r="N355" t="s">
        <v>1390</v>
      </c>
      <c r="O355" t="s">
        <v>42</v>
      </c>
      <c r="P355" t="s">
        <v>86</v>
      </c>
      <c r="Q355" t="s">
        <v>1391</v>
      </c>
      <c r="R355">
        <v>12.96</v>
      </c>
      <c r="S355" t="str">
        <f>TEXT(sales_data[[#This Row],[Order Date]],"mm")</f>
        <v>10</v>
      </c>
      <c r="T355">
        <f>YEAR(sales_data[[#This Row],[Order Date]])</f>
        <v>2018</v>
      </c>
      <c r="U355" s="8" t="s">
        <v>3196</v>
      </c>
      <c r="V355" t="s">
        <v>1390</v>
      </c>
    </row>
    <row r="356" spans="1:22" x14ac:dyDescent="0.35">
      <c r="A356">
        <v>398</v>
      </c>
      <c r="B356" t="s">
        <v>1392</v>
      </c>
      <c r="C356" s="1">
        <v>42674</v>
      </c>
      <c r="D356" s="1">
        <v>42678</v>
      </c>
      <c r="E356" t="s">
        <v>46</v>
      </c>
      <c r="F356" t="s">
        <v>96</v>
      </c>
      <c r="G356" t="s">
        <v>97</v>
      </c>
      <c r="H356" t="s">
        <v>98</v>
      </c>
      <c r="I356" t="s">
        <v>23</v>
      </c>
      <c r="J356" t="s">
        <v>323</v>
      </c>
      <c r="K356" t="s">
        <v>233</v>
      </c>
      <c r="L356">
        <v>49201</v>
      </c>
      <c r="M356" t="s">
        <v>101</v>
      </c>
      <c r="N356" t="s">
        <v>1393</v>
      </c>
      <c r="O356" t="s">
        <v>42</v>
      </c>
      <c r="P356" t="s">
        <v>573</v>
      </c>
      <c r="Q356" t="s">
        <v>1394</v>
      </c>
      <c r="R356">
        <v>70.12</v>
      </c>
      <c r="S356" t="str">
        <f>TEXT(sales_data[[#This Row],[Order Date]],"mm")</f>
        <v>10</v>
      </c>
      <c r="T356">
        <f>YEAR(sales_data[[#This Row],[Order Date]])</f>
        <v>2016</v>
      </c>
      <c r="U356" s="7" t="s">
        <v>3225</v>
      </c>
      <c r="V356" t="s">
        <v>1393</v>
      </c>
    </row>
    <row r="357" spans="1:22" x14ac:dyDescent="0.35">
      <c r="A357">
        <v>399</v>
      </c>
      <c r="B357" t="s">
        <v>1395</v>
      </c>
      <c r="C357" s="1">
        <v>42986</v>
      </c>
      <c r="D357" s="1">
        <v>42988</v>
      </c>
      <c r="E357" t="s">
        <v>19</v>
      </c>
      <c r="F357" t="s">
        <v>1396</v>
      </c>
      <c r="G357" t="s">
        <v>1397</v>
      </c>
      <c r="H357" t="s">
        <v>22</v>
      </c>
      <c r="I357" t="s">
        <v>23</v>
      </c>
      <c r="J357" t="s">
        <v>179</v>
      </c>
      <c r="K357" t="s">
        <v>100</v>
      </c>
      <c r="L357">
        <v>77036</v>
      </c>
      <c r="M357" t="s">
        <v>101</v>
      </c>
      <c r="N357" t="s">
        <v>1398</v>
      </c>
      <c r="O357" t="s">
        <v>42</v>
      </c>
      <c r="P357" t="s">
        <v>55</v>
      </c>
      <c r="Q357" t="s">
        <v>1399</v>
      </c>
      <c r="R357">
        <v>35.951999999999998</v>
      </c>
      <c r="S357" t="str">
        <f>TEXT(sales_data[[#This Row],[Order Date]],"mm")</f>
        <v>09</v>
      </c>
      <c r="T357">
        <f>YEAR(sales_data[[#This Row],[Order Date]])</f>
        <v>2017</v>
      </c>
      <c r="U357" s="8" t="s">
        <v>3227</v>
      </c>
      <c r="V357" t="s">
        <v>1398</v>
      </c>
    </row>
    <row r="358" spans="1:22" x14ac:dyDescent="0.35">
      <c r="A358">
        <v>401</v>
      </c>
      <c r="B358" t="s">
        <v>1395</v>
      </c>
      <c r="C358" s="1">
        <v>42986</v>
      </c>
      <c r="D358" s="1">
        <v>42988</v>
      </c>
      <c r="E358" t="s">
        <v>19</v>
      </c>
      <c r="F358" t="s">
        <v>1396</v>
      </c>
      <c r="G358" t="s">
        <v>1397</v>
      </c>
      <c r="H358" t="s">
        <v>22</v>
      </c>
      <c r="I358" t="s">
        <v>23</v>
      </c>
      <c r="J358" t="s">
        <v>179</v>
      </c>
      <c r="K358" t="s">
        <v>100</v>
      </c>
      <c r="L358">
        <v>77036</v>
      </c>
      <c r="M358" t="s">
        <v>101</v>
      </c>
      <c r="N358" t="s">
        <v>1400</v>
      </c>
      <c r="O358" t="s">
        <v>42</v>
      </c>
      <c r="P358" t="s">
        <v>55</v>
      </c>
      <c r="Q358" t="s">
        <v>1401</v>
      </c>
      <c r="R358">
        <v>131.136</v>
      </c>
      <c r="S358" t="str">
        <f>TEXT(sales_data[[#This Row],[Order Date]],"mm")</f>
        <v>09</v>
      </c>
      <c r="T358">
        <f>YEAR(sales_data[[#This Row],[Order Date]])</f>
        <v>2017</v>
      </c>
      <c r="U358" s="8" t="s">
        <v>3235</v>
      </c>
      <c r="V358" t="s">
        <v>1400</v>
      </c>
    </row>
    <row r="359" spans="1:22" x14ac:dyDescent="0.35">
      <c r="A359">
        <v>402</v>
      </c>
      <c r="B359" t="s">
        <v>1395</v>
      </c>
      <c r="C359" s="1">
        <v>42986</v>
      </c>
      <c r="D359" s="1">
        <v>42988</v>
      </c>
      <c r="E359" t="s">
        <v>19</v>
      </c>
      <c r="F359" t="s">
        <v>1396</v>
      </c>
      <c r="G359" t="s">
        <v>1397</v>
      </c>
      <c r="H359" t="s">
        <v>22</v>
      </c>
      <c r="I359" t="s">
        <v>23</v>
      </c>
      <c r="J359" t="s">
        <v>179</v>
      </c>
      <c r="K359" t="s">
        <v>100</v>
      </c>
      <c r="L359">
        <v>77036</v>
      </c>
      <c r="M359" t="s">
        <v>101</v>
      </c>
      <c r="N359" t="s">
        <v>1402</v>
      </c>
      <c r="O359" t="s">
        <v>67</v>
      </c>
      <c r="P359" t="s">
        <v>156</v>
      </c>
      <c r="Q359" t="s">
        <v>1403</v>
      </c>
      <c r="R359">
        <v>57.584000000000003</v>
      </c>
      <c r="S359" t="str">
        <f>TEXT(sales_data[[#This Row],[Order Date]],"mm")</f>
        <v>09</v>
      </c>
      <c r="T359">
        <f>YEAR(sales_data[[#This Row],[Order Date]])</f>
        <v>2017</v>
      </c>
      <c r="U359" s="8" t="s">
        <v>3254</v>
      </c>
      <c r="V359" t="s">
        <v>1402</v>
      </c>
    </row>
    <row r="360" spans="1:22" x14ac:dyDescent="0.35">
      <c r="A360">
        <v>403</v>
      </c>
      <c r="B360" t="s">
        <v>1404</v>
      </c>
      <c r="C360" s="1">
        <v>42362</v>
      </c>
      <c r="D360" s="1">
        <v>42364</v>
      </c>
      <c r="E360" t="s">
        <v>183</v>
      </c>
      <c r="F360" t="s">
        <v>1405</v>
      </c>
      <c r="G360" t="s">
        <v>1406</v>
      </c>
      <c r="H360" t="s">
        <v>22</v>
      </c>
      <c r="I360" t="s">
        <v>23</v>
      </c>
      <c r="J360" t="s">
        <v>1407</v>
      </c>
      <c r="K360" t="s">
        <v>50</v>
      </c>
      <c r="L360">
        <v>33180</v>
      </c>
      <c r="M360" t="s">
        <v>26</v>
      </c>
      <c r="N360" t="s">
        <v>1408</v>
      </c>
      <c r="O360" t="s">
        <v>42</v>
      </c>
      <c r="P360" t="s">
        <v>86</v>
      </c>
      <c r="Q360" t="s">
        <v>1409</v>
      </c>
      <c r="R360">
        <v>9.5679999999999996</v>
      </c>
      <c r="S360" t="str">
        <f>TEXT(sales_data[[#This Row],[Order Date]],"mm")</f>
        <v>12</v>
      </c>
      <c r="T360">
        <f>YEAR(sales_data[[#This Row],[Order Date]])</f>
        <v>2015</v>
      </c>
      <c r="U360" s="8" t="s">
        <v>3262</v>
      </c>
      <c r="V360" t="s">
        <v>1408</v>
      </c>
    </row>
    <row r="361" spans="1:22" x14ac:dyDescent="0.35">
      <c r="A361">
        <v>404</v>
      </c>
      <c r="B361" t="s">
        <v>1410</v>
      </c>
      <c r="C361" s="1">
        <v>42110</v>
      </c>
      <c r="D361" s="1">
        <v>42114</v>
      </c>
      <c r="E361" t="s">
        <v>46</v>
      </c>
      <c r="F361" t="s">
        <v>621</v>
      </c>
      <c r="G361" t="s">
        <v>622</v>
      </c>
      <c r="H361" t="s">
        <v>37</v>
      </c>
      <c r="I361" t="s">
        <v>23</v>
      </c>
      <c r="J361" t="s">
        <v>516</v>
      </c>
      <c r="K361" t="s">
        <v>84</v>
      </c>
      <c r="L361">
        <v>28403</v>
      </c>
      <c r="M361" t="s">
        <v>26</v>
      </c>
      <c r="N361" t="s">
        <v>1411</v>
      </c>
      <c r="O361" t="s">
        <v>42</v>
      </c>
      <c r="P361" t="s">
        <v>64</v>
      </c>
      <c r="Q361" t="s">
        <v>1412</v>
      </c>
      <c r="R361">
        <v>39.072000000000003</v>
      </c>
      <c r="S361" t="str">
        <f>TEXT(sales_data[[#This Row],[Order Date]],"mm")</f>
        <v>04</v>
      </c>
      <c r="T361">
        <f>YEAR(sales_data[[#This Row],[Order Date]])</f>
        <v>2015</v>
      </c>
      <c r="U361" s="8" t="s">
        <v>3272</v>
      </c>
      <c r="V361" t="s">
        <v>1411</v>
      </c>
    </row>
    <row r="362" spans="1:22" x14ac:dyDescent="0.35">
      <c r="A362">
        <v>405</v>
      </c>
      <c r="B362" t="s">
        <v>1413</v>
      </c>
      <c r="C362" s="1">
        <v>43458</v>
      </c>
      <c r="D362" s="1">
        <v>43463</v>
      </c>
      <c r="E362" t="s">
        <v>46</v>
      </c>
      <c r="F362" t="s">
        <v>1414</v>
      </c>
      <c r="G362" t="s">
        <v>1415</v>
      </c>
      <c r="H362" t="s">
        <v>22</v>
      </c>
      <c r="I362" t="s">
        <v>23</v>
      </c>
      <c r="J362" t="s">
        <v>261</v>
      </c>
      <c r="K362" t="s">
        <v>262</v>
      </c>
      <c r="L362">
        <v>10024</v>
      </c>
      <c r="M362" t="s">
        <v>144</v>
      </c>
      <c r="N362" t="s">
        <v>1416</v>
      </c>
      <c r="O362" t="s">
        <v>42</v>
      </c>
      <c r="P362" t="s">
        <v>74</v>
      </c>
      <c r="Q362" t="s">
        <v>1417</v>
      </c>
      <c r="R362">
        <v>35.909999999999997</v>
      </c>
      <c r="S362" t="str">
        <f>TEXT(sales_data[[#This Row],[Order Date]],"mm")</f>
        <v>12</v>
      </c>
      <c r="T362">
        <f>YEAR(sales_data[[#This Row],[Order Date]])</f>
        <v>2018</v>
      </c>
      <c r="U362" s="8" t="s">
        <v>3279</v>
      </c>
      <c r="V362" t="s">
        <v>1416</v>
      </c>
    </row>
    <row r="363" spans="1:22" x14ac:dyDescent="0.35">
      <c r="A363">
        <v>407</v>
      </c>
      <c r="B363" t="s">
        <v>1418</v>
      </c>
      <c r="C363" s="1">
        <v>43442</v>
      </c>
      <c r="D363" s="1">
        <v>43446</v>
      </c>
      <c r="E363" t="s">
        <v>46</v>
      </c>
      <c r="F363" t="s">
        <v>1419</v>
      </c>
      <c r="G363" t="s">
        <v>1420</v>
      </c>
      <c r="H363" t="s">
        <v>22</v>
      </c>
      <c r="I363" t="s">
        <v>23</v>
      </c>
      <c r="J363" t="s">
        <v>123</v>
      </c>
      <c r="K363" t="s">
        <v>39</v>
      </c>
      <c r="L363">
        <v>94110</v>
      </c>
      <c r="M363" t="s">
        <v>40</v>
      </c>
      <c r="N363" t="s">
        <v>1421</v>
      </c>
      <c r="O363" t="s">
        <v>67</v>
      </c>
      <c r="P363" t="s">
        <v>1209</v>
      </c>
      <c r="Q363" t="s">
        <v>1422</v>
      </c>
      <c r="R363">
        <v>1199.9760000000001</v>
      </c>
      <c r="S363" t="str">
        <f>TEXT(sales_data[[#This Row],[Order Date]],"mm")</f>
        <v>12</v>
      </c>
      <c r="T363">
        <f>YEAR(sales_data[[#This Row],[Order Date]])</f>
        <v>2018</v>
      </c>
      <c r="U363" s="8" t="s">
        <v>3301</v>
      </c>
      <c r="V363" t="s">
        <v>1421</v>
      </c>
    </row>
    <row r="364" spans="1:22" x14ac:dyDescent="0.35">
      <c r="A364">
        <v>408</v>
      </c>
      <c r="B364" t="s">
        <v>1418</v>
      </c>
      <c r="C364" s="1">
        <v>43442</v>
      </c>
      <c r="D364" s="1">
        <v>43446</v>
      </c>
      <c r="E364" t="s">
        <v>46</v>
      </c>
      <c r="F364" t="s">
        <v>1419</v>
      </c>
      <c r="G364" t="s">
        <v>1420</v>
      </c>
      <c r="H364" t="s">
        <v>22</v>
      </c>
      <c r="I364" t="s">
        <v>23</v>
      </c>
      <c r="J364" t="s">
        <v>123</v>
      </c>
      <c r="K364" t="s">
        <v>39</v>
      </c>
      <c r="L364">
        <v>94110</v>
      </c>
      <c r="M364" t="s">
        <v>40</v>
      </c>
      <c r="N364" t="s">
        <v>1423</v>
      </c>
      <c r="O364" t="s">
        <v>42</v>
      </c>
      <c r="P364" t="s">
        <v>86</v>
      </c>
      <c r="Q364" t="s">
        <v>1424</v>
      </c>
      <c r="R364">
        <v>27.15</v>
      </c>
      <c r="S364" t="str">
        <f>TEXT(sales_data[[#This Row],[Order Date]],"mm")</f>
        <v>12</v>
      </c>
      <c r="T364">
        <f>YEAR(sales_data[[#This Row],[Order Date]])</f>
        <v>2018</v>
      </c>
      <c r="U364" s="8" t="s">
        <v>3308</v>
      </c>
      <c r="V364" t="s">
        <v>1423</v>
      </c>
    </row>
    <row r="365" spans="1:22" x14ac:dyDescent="0.35">
      <c r="A365">
        <v>409</v>
      </c>
      <c r="B365" t="s">
        <v>1418</v>
      </c>
      <c r="C365" s="1">
        <v>43442</v>
      </c>
      <c r="D365" s="1">
        <v>43446</v>
      </c>
      <c r="E365" t="s">
        <v>46</v>
      </c>
      <c r="F365" t="s">
        <v>1419</v>
      </c>
      <c r="G365" t="s">
        <v>1420</v>
      </c>
      <c r="H365" t="s">
        <v>22</v>
      </c>
      <c r="I365" t="s">
        <v>23</v>
      </c>
      <c r="J365" t="s">
        <v>123</v>
      </c>
      <c r="K365" t="s">
        <v>39</v>
      </c>
      <c r="L365">
        <v>94110</v>
      </c>
      <c r="M365" t="s">
        <v>40</v>
      </c>
      <c r="N365" t="s">
        <v>1425</v>
      </c>
      <c r="O365" t="s">
        <v>28</v>
      </c>
      <c r="P365" t="s">
        <v>52</v>
      </c>
      <c r="Q365" t="s">
        <v>1426</v>
      </c>
      <c r="R365">
        <v>1004.024</v>
      </c>
      <c r="S365" t="str">
        <f>TEXT(sales_data[[#This Row],[Order Date]],"mm")</f>
        <v>12</v>
      </c>
      <c r="T365">
        <f>YEAR(sales_data[[#This Row],[Order Date]])</f>
        <v>2018</v>
      </c>
      <c r="U365" s="8" t="s">
        <v>3317</v>
      </c>
      <c r="V365" t="s">
        <v>1425</v>
      </c>
    </row>
    <row r="366" spans="1:22" x14ac:dyDescent="0.35">
      <c r="A366">
        <v>410</v>
      </c>
      <c r="B366" t="s">
        <v>1418</v>
      </c>
      <c r="C366" s="1">
        <v>43442</v>
      </c>
      <c r="D366" s="1">
        <v>43446</v>
      </c>
      <c r="E366" t="s">
        <v>46</v>
      </c>
      <c r="F366" t="s">
        <v>1419</v>
      </c>
      <c r="G366" t="s">
        <v>1420</v>
      </c>
      <c r="H366" t="s">
        <v>22</v>
      </c>
      <c r="I366" t="s">
        <v>23</v>
      </c>
      <c r="J366" t="s">
        <v>123</v>
      </c>
      <c r="K366" t="s">
        <v>39</v>
      </c>
      <c r="L366">
        <v>94110</v>
      </c>
      <c r="M366" t="s">
        <v>40</v>
      </c>
      <c r="N366" t="s">
        <v>1427</v>
      </c>
      <c r="O366" t="s">
        <v>42</v>
      </c>
      <c r="P366" t="s">
        <v>86</v>
      </c>
      <c r="Q366" t="s">
        <v>1428</v>
      </c>
      <c r="R366">
        <v>9.68</v>
      </c>
      <c r="S366" t="str">
        <f>TEXT(sales_data[[#This Row],[Order Date]],"mm")</f>
        <v>12</v>
      </c>
      <c r="T366">
        <f>YEAR(sales_data[[#This Row],[Order Date]])</f>
        <v>2018</v>
      </c>
      <c r="U366" s="7" t="s">
        <v>3331</v>
      </c>
      <c r="V366" t="s">
        <v>1427</v>
      </c>
    </row>
    <row r="367" spans="1:22" x14ac:dyDescent="0.35">
      <c r="A367">
        <v>411</v>
      </c>
      <c r="B367" t="s">
        <v>1418</v>
      </c>
      <c r="C367" s="1">
        <v>43442</v>
      </c>
      <c r="D367" s="1">
        <v>43446</v>
      </c>
      <c r="E367" t="s">
        <v>46</v>
      </c>
      <c r="F367" t="s">
        <v>1419</v>
      </c>
      <c r="G367" t="s">
        <v>1420</v>
      </c>
      <c r="H367" t="s">
        <v>22</v>
      </c>
      <c r="I367" t="s">
        <v>23</v>
      </c>
      <c r="J367" t="s">
        <v>123</v>
      </c>
      <c r="K367" t="s">
        <v>39</v>
      </c>
      <c r="L367">
        <v>94110</v>
      </c>
      <c r="M367" t="s">
        <v>40</v>
      </c>
      <c r="N367" t="s">
        <v>1429</v>
      </c>
      <c r="O367" t="s">
        <v>42</v>
      </c>
      <c r="P367" t="s">
        <v>43</v>
      </c>
      <c r="Q367" t="s">
        <v>1430</v>
      </c>
      <c r="R367">
        <v>28.35</v>
      </c>
      <c r="S367" t="str">
        <f>TEXT(sales_data[[#This Row],[Order Date]],"mm")</f>
        <v>12</v>
      </c>
      <c r="T367">
        <f>YEAR(sales_data[[#This Row],[Order Date]])</f>
        <v>2018</v>
      </c>
      <c r="U367" s="8" t="s">
        <v>3337</v>
      </c>
      <c r="V367" t="s">
        <v>1429</v>
      </c>
    </row>
    <row r="368" spans="1:22" x14ac:dyDescent="0.35">
      <c r="A368">
        <v>413</v>
      </c>
      <c r="B368" t="s">
        <v>1418</v>
      </c>
      <c r="C368" s="1">
        <v>43442</v>
      </c>
      <c r="D368" s="1">
        <v>43446</v>
      </c>
      <c r="E368" t="s">
        <v>46</v>
      </c>
      <c r="F368" t="s">
        <v>1419</v>
      </c>
      <c r="G368" t="s">
        <v>1420</v>
      </c>
      <c r="H368" t="s">
        <v>22</v>
      </c>
      <c r="I368" t="s">
        <v>23</v>
      </c>
      <c r="J368" t="s">
        <v>123</v>
      </c>
      <c r="K368" t="s">
        <v>39</v>
      </c>
      <c r="L368">
        <v>94110</v>
      </c>
      <c r="M368" t="s">
        <v>40</v>
      </c>
      <c r="N368" t="s">
        <v>1431</v>
      </c>
      <c r="O368" t="s">
        <v>28</v>
      </c>
      <c r="P368" t="s">
        <v>29</v>
      </c>
      <c r="Q368" t="s">
        <v>1432</v>
      </c>
      <c r="R368">
        <v>1336.829</v>
      </c>
      <c r="S368" t="str">
        <f>TEXT(sales_data[[#This Row],[Order Date]],"mm")</f>
        <v>12</v>
      </c>
      <c r="T368">
        <f>YEAR(sales_data[[#This Row],[Order Date]])</f>
        <v>2018</v>
      </c>
      <c r="U368" s="8" t="s">
        <v>3361</v>
      </c>
      <c r="V368" t="s">
        <v>1431</v>
      </c>
    </row>
    <row r="369" spans="1:22" x14ac:dyDescent="0.35">
      <c r="A369">
        <v>414</v>
      </c>
      <c r="B369" t="s">
        <v>1418</v>
      </c>
      <c r="C369" s="1">
        <v>43442</v>
      </c>
      <c r="D369" s="1">
        <v>43446</v>
      </c>
      <c r="E369" t="s">
        <v>46</v>
      </c>
      <c r="F369" t="s">
        <v>1419</v>
      </c>
      <c r="G369" t="s">
        <v>1420</v>
      </c>
      <c r="H369" t="s">
        <v>22</v>
      </c>
      <c r="I369" t="s">
        <v>23</v>
      </c>
      <c r="J369" t="s">
        <v>123</v>
      </c>
      <c r="K369" t="s">
        <v>39</v>
      </c>
      <c r="L369">
        <v>94110</v>
      </c>
      <c r="M369" t="s">
        <v>40</v>
      </c>
      <c r="N369" t="s">
        <v>1433</v>
      </c>
      <c r="O369" t="s">
        <v>28</v>
      </c>
      <c r="P369" t="s">
        <v>32</v>
      </c>
      <c r="Q369" t="s">
        <v>1434</v>
      </c>
      <c r="R369">
        <v>113.568</v>
      </c>
      <c r="S369" t="str">
        <f>TEXT(sales_data[[#This Row],[Order Date]],"mm")</f>
        <v>12</v>
      </c>
      <c r="T369">
        <f>YEAR(sales_data[[#This Row],[Order Date]])</f>
        <v>2018</v>
      </c>
      <c r="U369" s="7" t="s">
        <v>3367</v>
      </c>
      <c r="V369" t="s">
        <v>1433</v>
      </c>
    </row>
    <row r="370" spans="1:22" x14ac:dyDescent="0.35">
      <c r="A370">
        <v>415</v>
      </c>
      <c r="B370" t="s">
        <v>1435</v>
      </c>
      <c r="C370" s="1">
        <v>43407</v>
      </c>
      <c r="D370" s="1">
        <v>43411</v>
      </c>
      <c r="E370" t="s">
        <v>46</v>
      </c>
      <c r="F370" t="s">
        <v>1436</v>
      </c>
      <c r="G370" t="s">
        <v>1437</v>
      </c>
      <c r="H370" t="s">
        <v>37</v>
      </c>
      <c r="I370" t="s">
        <v>23</v>
      </c>
      <c r="J370" t="s">
        <v>91</v>
      </c>
      <c r="K370" t="s">
        <v>92</v>
      </c>
      <c r="L370">
        <v>98105</v>
      </c>
      <c r="M370" t="s">
        <v>40</v>
      </c>
      <c r="N370" t="s">
        <v>1438</v>
      </c>
      <c r="O370" t="s">
        <v>42</v>
      </c>
      <c r="P370" t="s">
        <v>86</v>
      </c>
      <c r="Q370" t="s">
        <v>1439</v>
      </c>
      <c r="R370">
        <v>139.86000000000001</v>
      </c>
      <c r="S370" t="str">
        <f>TEXT(sales_data[[#This Row],[Order Date]],"mm")</f>
        <v>11</v>
      </c>
      <c r="T370">
        <f>YEAR(sales_data[[#This Row],[Order Date]])</f>
        <v>2018</v>
      </c>
      <c r="U370" s="8" t="s">
        <v>3384</v>
      </c>
      <c r="V370" t="s">
        <v>1438</v>
      </c>
    </row>
    <row r="371" spans="1:22" x14ac:dyDescent="0.35">
      <c r="A371">
        <v>417</v>
      </c>
      <c r="B371" t="s">
        <v>1440</v>
      </c>
      <c r="C371" s="1">
        <v>43275</v>
      </c>
      <c r="D371" s="1">
        <v>43279</v>
      </c>
      <c r="E371" t="s">
        <v>46</v>
      </c>
      <c r="F371" t="s">
        <v>1441</v>
      </c>
      <c r="G371" t="s">
        <v>1442</v>
      </c>
      <c r="H371" t="s">
        <v>22</v>
      </c>
      <c r="I371" t="s">
        <v>23</v>
      </c>
      <c r="J371" t="s">
        <v>1443</v>
      </c>
      <c r="K371" t="s">
        <v>39</v>
      </c>
      <c r="L371">
        <v>92646</v>
      </c>
      <c r="M371" t="s">
        <v>40</v>
      </c>
      <c r="N371" t="s">
        <v>1444</v>
      </c>
      <c r="O371" t="s">
        <v>42</v>
      </c>
      <c r="P371" t="s">
        <v>64</v>
      </c>
      <c r="Q371" t="s">
        <v>1445</v>
      </c>
      <c r="R371">
        <v>95.92</v>
      </c>
      <c r="S371" t="str">
        <f>TEXT(sales_data[[#This Row],[Order Date]],"mm")</f>
        <v>06</v>
      </c>
      <c r="T371">
        <f>YEAR(sales_data[[#This Row],[Order Date]])</f>
        <v>2018</v>
      </c>
      <c r="U371" s="8" t="s">
        <v>3399</v>
      </c>
      <c r="V371" t="s">
        <v>1444</v>
      </c>
    </row>
    <row r="372" spans="1:22" x14ac:dyDescent="0.35">
      <c r="A372">
        <v>418</v>
      </c>
      <c r="B372" t="s">
        <v>1446</v>
      </c>
      <c r="C372" s="1">
        <v>42839</v>
      </c>
      <c r="D372" s="1">
        <v>42843</v>
      </c>
      <c r="E372" t="s">
        <v>46</v>
      </c>
      <c r="F372" t="s">
        <v>1447</v>
      </c>
      <c r="G372" t="s">
        <v>1448</v>
      </c>
      <c r="H372" t="s">
        <v>22</v>
      </c>
      <c r="I372" t="s">
        <v>23</v>
      </c>
      <c r="J372" t="s">
        <v>38</v>
      </c>
      <c r="K372" t="s">
        <v>39</v>
      </c>
      <c r="L372">
        <v>90004</v>
      </c>
      <c r="M372" t="s">
        <v>40</v>
      </c>
      <c r="N372" t="s">
        <v>1449</v>
      </c>
      <c r="O372" t="s">
        <v>28</v>
      </c>
      <c r="P372" t="s">
        <v>32</v>
      </c>
      <c r="Q372" t="s">
        <v>1450</v>
      </c>
      <c r="R372">
        <v>383.8</v>
      </c>
      <c r="S372" t="str">
        <f>TEXT(sales_data[[#This Row],[Order Date]],"mm")</f>
        <v>04</v>
      </c>
      <c r="T372">
        <f>YEAR(sales_data[[#This Row],[Order Date]])</f>
        <v>2017</v>
      </c>
      <c r="U372" s="7" t="s">
        <v>3404</v>
      </c>
      <c r="V372" t="s">
        <v>1449</v>
      </c>
    </row>
    <row r="373" spans="1:22" x14ac:dyDescent="0.35">
      <c r="A373">
        <v>419</v>
      </c>
      <c r="B373" t="s">
        <v>1451</v>
      </c>
      <c r="C373" s="1">
        <v>43410</v>
      </c>
      <c r="D373" s="1">
        <v>43414</v>
      </c>
      <c r="E373" t="s">
        <v>46</v>
      </c>
      <c r="F373" t="s">
        <v>1259</v>
      </c>
      <c r="G373" t="s">
        <v>1260</v>
      </c>
      <c r="H373" t="s">
        <v>37</v>
      </c>
      <c r="I373" t="s">
        <v>23</v>
      </c>
      <c r="J373" t="s">
        <v>1452</v>
      </c>
      <c r="K373" t="s">
        <v>25</v>
      </c>
      <c r="L373">
        <v>40475</v>
      </c>
      <c r="M373" t="s">
        <v>26</v>
      </c>
      <c r="N373" t="s">
        <v>1453</v>
      </c>
      <c r="O373" t="s">
        <v>42</v>
      </c>
      <c r="P373" t="s">
        <v>86</v>
      </c>
      <c r="Q373" t="s">
        <v>1454</v>
      </c>
      <c r="R373">
        <v>5.78</v>
      </c>
      <c r="S373" t="str">
        <f>TEXT(sales_data[[#This Row],[Order Date]],"mm")</f>
        <v>11</v>
      </c>
      <c r="T373">
        <f>YEAR(sales_data[[#This Row],[Order Date]])</f>
        <v>2018</v>
      </c>
      <c r="U373" s="8" t="s">
        <v>3407</v>
      </c>
      <c r="V373" t="s">
        <v>1453</v>
      </c>
    </row>
    <row r="374" spans="1:22" x14ac:dyDescent="0.35">
      <c r="A374">
        <v>420</v>
      </c>
      <c r="B374" t="s">
        <v>1455</v>
      </c>
      <c r="C374" s="1">
        <v>43163</v>
      </c>
      <c r="D374" s="1">
        <v>43168</v>
      </c>
      <c r="E374" t="s">
        <v>46</v>
      </c>
      <c r="F374" t="s">
        <v>1150</v>
      </c>
      <c r="G374" t="s">
        <v>1151</v>
      </c>
      <c r="H374" t="s">
        <v>37</v>
      </c>
      <c r="I374" t="s">
        <v>23</v>
      </c>
      <c r="J374" t="s">
        <v>38</v>
      </c>
      <c r="K374" t="s">
        <v>39</v>
      </c>
      <c r="L374">
        <v>90045</v>
      </c>
      <c r="M374" t="s">
        <v>40</v>
      </c>
      <c r="N374" t="s">
        <v>1456</v>
      </c>
      <c r="O374" t="s">
        <v>42</v>
      </c>
      <c r="P374" t="s">
        <v>64</v>
      </c>
      <c r="Q374" t="s">
        <v>1457</v>
      </c>
      <c r="R374">
        <v>9.32</v>
      </c>
      <c r="S374" t="str">
        <f>TEXT(sales_data[[#This Row],[Order Date]],"mm")</f>
        <v>03</v>
      </c>
      <c r="T374">
        <f>YEAR(sales_data[[#This Row],[Order Date]])</f>
        <v>2018</v>
      </c>
      <c r="U374" s="7" t="s">
        <v>3412</v>
      </c>
      <c r="V374" t="s">
        <v>1456</v>
      </c>
    </row>
    <row r="375" spans="1:22" x14ac:dyDescent="0.35">
      <c r="A375">
        <v>421</v>
      </c>
      <c r="B375" t="s">
        <v>1455</v>
      </c>
      <c r="C375" s="1">
        <v>43163</v>
      </c>
      <c r="D375" s="1">
        <v>43168</v>
      </c>
      <c r="E375" t="s">
        <v>46</v>
      </c>
      <c r="F375" t="s">
        <v>1150</v>
      </c>
      <c r="G375" t="s">
        <v>1151</v>
      </c>
      <c r="H375" t="s">
        <v>37</v>
      </c>
      <c r="I375" t="s">
        <v>23</v>
      </c>
      <c r="J375" t="s">
        <v>38</v>
      </c>
      <c r="K375" t="s">
        <v>39</v>
      </c>
      <c r="L375">
        <v>90045</v>
      </c>
      <c r="M375" t="s">
        <v>40</v>
      </c>
      <c r="N375" t="s">
        <v>1458</v>
      </c>
      <c r="O375" t="s">
        <v>42</v>
      </c>
      <c r="P375" t="s">
        <v>168</v>
      </c>
      <c r="Q375" t="s">
        <v>1459</v>
      </c>
      <c r="R375">
        <v>15.25</v>
      </c>
      <c r="S375" t="str">
        <f>TEXT(sales_data[[#This Row],[Order Date]],"mm")</f>
        <v>03</v>
      </c>
      <c r="T375">
        <f>YEAR(sales_data[[#This Row],[Order Date]])</f>
        <v>2018</v>
      </c>
      <c r="U375" s="8" t="s">
        <v>3427</v>
      </c>
      <c r="V375" t="s">
        <v>1458</v>
      </c>
    </row>
    <row r="376" spans="1:22" x14ac:dyDescent="0.35">
      <c r="A376">
        <v>422</v>
      </c>
      <c r="B376" t="s">
        <v>1460</v>
      </c>
      <c r="C376" s="1">
        <v>42177</v>
      </c>
      <c r="D376" s="1">
        <v>42180</v>
      </c>
      <c r="E376" t="s">
        <v>183</v>
      </c>
      <c r="F376" t="s">
        <v>327</v>
      </c>
      <c r="G376" t="s">
        <v>328</v>
      </c>
      <c r="H376" t="s">
        <v>22</v>
      </c>
      <c r="I376" t="s">
        <v>23</v>
      </c>
      <c r="J376" t="s">
        <v>1461</v>
      </c>
      <c r="K376" t="s">
        <v>452</v>
      </c>
      <c r="L376">
        <v>80027</v>
      </c>
      <c r="M376" t="s">
        <v>40</v>
      </c>
      <c r="N376" t="s">
        <v>1462</v>
      </c>
      <c r="O376" t="s">
        <v>67</v>
      </c>
      <c r="P376" t="s">
        <v>156</v>
      </c>
      <c r="Q376" t="s">
        <v>1463</v>
      </c>
      <c r="R376">
        <v>196.75200000000001</v>
      </c>
      <c r="S376" t="str">
        <f>TEXT(sales_data[[#This Row],[Order Date]],"mm")</f>
        <v>06</v>
      </c>
      <c r="T376">
        <f>YEAR(sales_data[[#This Row],[Order Date]])</f>
        <v>2015</v>
      </c>
      <c r="U376" s="7" t="s">
        <v>3451</v>
      </c>
      <c r="V376" t="s">
        <v>1462</v>
      </c>
    </row>
    <row r="377" spans="1:22" x14ac:dyDescent="0.35">
      <c r="A377">
        <v>423</v>
      </c>
      <c r="B377" t="s">
        <v>1464</v>
      </c>
      <c r="C377" s="1">
        <v>43392</v>
      </c>
      <c r="D377" s="1">
        <v>43396</v>
      </c>
      <c r="E377" t="s">
        <v>46</v>
      </c>
      <c r="F377" t="s">
        <v>1465</v>
      </c>
      <c r="G377" t="s">
        <v>1466</v>
      </c>
      <c r="H377" t="s">
        <v>37</v>
      </c>
      <c r="I377" t="s">
        <v>23</v>
      </c>
      <c r="J377" t="s">
        <v>1467</v>
      </c>
      <c r="K377" t="s">
        <v>1235</v>
      </c>
      <c r="L377">
        <v>1841</v>
      </c>
      <c r="M377" t="s">
        <v>144</v>
      </c>
      <c r="N377" t="s">
        <v>1468</v>
      </c>
      <c r="O377" t="s">
        <v>28</v>
      </c>
      <c r="P377" t="s">
        <v>61</v>
      </c>
      <c r="Q377" t="s">
        <v>1469</v>
      </c>
      <c r="R377">
        <v>56.56</v>
      </c>
      <c r="S377" t="str">
        <f>TEXT(sales_data[[#This Row],[Order Date]],"mm")</f>
        <v>10</v>
      </c>
      <c r="T377">
        <f>YEAR(sales_data[[#This Row],[Order Date]])</f>
        <v>2018</v>
      </c>
      <c r="U377" s="8" t="s">
        <v>3458</v>
      </c>
      <c r="V377" t="s">
        <v>1468</v>
      </c>
    </row>
    <row r="378" spans="1:22" x14ac:dyDescent="0.35">
      <c r="A378">
        <v>424</v>
      </c>
      <c r="B378" t="s">
        <v>1464</v>
      </c>
      <c r="C378" s="1">
        <v>43392</v>
      </c>
      <c r="D378" s="1">
        <v>43396</v>
      </c>
      <c r="E378" t="s">
        <v>46</v>
      </c>
      <c r="F378" t="s">
        <v>1465</v>
      </c>
      <c r="G378" t="s">
        <v>1466</v>
      </c>
      <c r="H378" t="s">
        <v>37</v>
      </c>
      <c r="I378" t="s">
        <v>23</v>
      </c>
      <c r="J378" t="s">
        <v>1467</v>
      </c>
      <c r="K378" t="s">
        <v>1235</v>
      </c>
      <c r="L378">
        <v>1841</v>
      </c>
      <c r="M378" t="s">
        <v>144</v>
      </c>
      <c r="N378" t="s">
        <v>1470</v>
      </c>
      <c r="O378" t="s">
        <v>42</v>
      </c>
      <c r="P378" t="s">
        <v>55</v>
      </c>
      <c r="Q378" t="s">
        <v>1471</v>
      </c>
      <c r="R378">
        <v>32.700000000000003</v>
      </c>
      <c r="S378" t="str">
        <f>TEXT(sales_data[[#This Row],[Order Date]],"mm")</f>
        <v>10</v>
      </c>
      <c r="T378">
        <f>YEAR(sales_data[[#This Row],[Order Date]])</f>
        <v>2018</v>
      </c>
      <c r="U378" s="7" t="s">
        <v>3468</v>
      </c>
      <c r="V378" t="s">
        <v>1470</v>
      </c>
    </row>
    <row r="379" spans="1:22" x14ac:dyDescent="0.35">
      <c r="A379">
        <v>425</v>
      </c>
      <c r="B379" t="s">
        <v>1472</v>
      </c>
      <c r="C379" s="1">
        <v>43333</v>
      </c>
      <c r="D379" s="1">
        <v>43335</v>
      </c>
      <c r="E379" t="s">
        <v>19</v>
      </c>
      <c r="F379" t="s">
        <v>1473</v>
      </c>
      <c r="G379" t="s">
        <v>1474</v>
      </c>
      <c r="H379" t="s">
        <v>22</v>
      </c>
      <c r="I379" t="s">
        <v>23</v>
      </c>
      <c r="J379" t="s">
        <v>323</v>
      </c>
      <c r="K379" t="s">
        <v>1475</v>
      </c>
      <c r="L379">
        <v>39212</v>
      </c>
      <c r="M379" t="s">
        <v>26</v>
      </c>
      <c r="N379" t="s">
        <v>1476</v>
      </c>
      <c r="O379" t="s">
        <v>28</v>
      </c>
      <c r="P379" t="s">
        <v>32</v>
      </c>
      <c r="Q379" t="s">
        <v>1477</v>
      </c>
      <c r="R379">
        <v>866.4</v>
      </c>
      <c r="S379" t="str">
        <f>TEXT(sales_data[[#This Row],[Order Date]],"mm")</f>
        <v>08</v>
      </c>
      <c r="T379">
        <f>YEAR(sales_data[[#This Row],[Order Date]])</f>
        <v>2018</v>
      </c>
      <c r="U379" s="8" t="s">
        <v>3470</v>
      </c>
      <c r="V379" t="s">
        <v>1476</v>
      </c>
    </row>
    <row r="380" spans="1:22" x14ac:dyDescent="0.35">
      <c r="A380">
        <v>426</v>
      </c>
      <c r="B380" t="s">
        <v>1478</v>
      </c>
      <c r="C380" s="1">
        <v>43427</v>
      </c>
      <c r="D380" s="1">
        <v>43430</v>
      </c>
      <c r="E380" t="s">
        <v>19</v>
      </c>
      <c r="F380" t="s">
        <v>259</v>
      </c>
      <c r="G380" t="s">
        <v>260</v>
      </c>
      <c r="H380" t="s">
        <v>37</v>
      </c>
      <c r="I380" t="s">
        <v>23</v>
      </c>
      <c r="J380" t="s">
        <v>1479</v>
      </c>
      <c r="K380" t="s">
        <v>233</v>
      </c>
      <c r="L380">
        <v>48187</v>
      </c>
      <c r="M380" t="s">
        <v>101</v>
      </c>
      <c r="N380" t="s">
        <v>1480</v>
      </c>
      <c r="O380" t="s">
        <v>28</v>
      </c>
      <c r="P380" t="s">
        <v>61</v>
      </c>
      <c r="Q380" t="s">
        <v>1481</v>
      </c>
      <c r="R380">
        <v>28.4</v>
      </c>
      <c r="S380" t="str">
        <f>TEXT(sales_data[[#This Row],[Order Date]],"mm")</f>
        <v>11</v>
      </c>
      <c r="T380">
        <f>YEAR(sales_data[[#This Row],[Order Date]])</f>
        <v>2018</v>
      </c>
      <c r="U380" s="8" t="s">
        <v>3471</v>
      </c>
      <c r="V380" t="s">
        <v>1480</v>
      </c>
    </row>
    <row r="381" spans="1:22" x14ac:dyDescent="0.35">
      <c r="A381">
        <v>427</v>
      </c>
      <c r="B381" t="s">
        <v>1478</v>
      </c>
      <c r="C381" s="1">
        <v>43427</v>
      </c>
      <c r="D381" s="1">
        <v>43430</v>
      </c>
      <c r="E381" t="s">
        <v>19</v>
      </c>
      <c r="F381" t="s">
        <v>259</v>
      </c>
      <c r="G381" t="s">
        <v>260</v>
      </c>
      <c r="H381" t="s">
        <v>37</v>
      </c>
      <c r="I381" t="s">
        <v>23</v>
      </c>
      <c r="J381" t="s">
        <v>1479</v>
      </c>
      <c r="K381" t="s">
        <v>233</v>
      </c>
      <c r="L381">
        <v>48187</v>
      </c>
      <c r="M381" t="s">
        <v>101</v>
      </c>
      <c r="N381" t="s">
        <v>1482</v>
      </c>
      <c r="O381" t="s">
        <v>42</v>
      </c>
      <c r="P381" t="s">
        <v>71</v>
      </c>
      <c r="Q381" t="s">
        <v>1483</v>
      </c>
      <c r="R381">
        <v>287.92</v>
      </c>
      <c r="S381" t="str">
        <f>TEXT(sales_data[[#This Row],[Order Date]],"mm")</f>
        <v>11</v>
      </c>
      <c r="T381">
        <f>YEAR(sales_data[[#This Row],[Order Date]])</f>
        <v>2018</v>
      </c>
      <c r="U381" s="8" t="s">
        <v>3474</v>
      </c>
      <c r="V381" t="s">
        <v>1482</v>
      </c>
    </row>
    <row r="382" spans="1:22" x14ac:dyDescent="0.35">
      <c r="A382">
        <v>428</v>
      </c>
      <c r="B382" t="s">
        <v>1484</v>
      </c>
      <c r="C382" s="1">
        <v>42259</v>
      </c>
      <c r="D382" s="1">
        <v>42260</v>
      </c>
      <c r="E382" t="s">
        <v>183</v>
      </c>
      <c r="F382" t="s">
        <v>1485</v>
      </c>
      <c r="G382" t="s">
        <v>1486</v>
      </c>
      <c r="H382" t="s">
        <v>98</v>
      </c>
      <c r="I382" t="s">
        <v>23</v>
      </c>
      <c r="J382" t="s">
        <v>1487</v>
      </c>
      <c r="K382" t="s">
        <v>262</v>
      </c>
      <c r="L382">
        <v>10801</v>
      </c>
      <c r="M382" t="s">
        <v>144</v>
      </c>
      <c r="N382" t="s">
        <v>1488</v>
      </c>
      <c r="O382" t="s">
        <v>67</v>
      </c>
      <c r="P382" t="s">
        <v>675</v>
      </c>
      <c r="Q382" t="s">
        <v>1489</v>
      </c>
      <c r="R382">
        <v>69.989999999999995</v>
      </c>
      <c r="S382" t="str">
        <f>TEXT(sales_data[[#This Row],[Order Date]],"mm")</f>
        <v>09</v>
      </c>
      <c r="T382">
        <f>YEAR(sales_data[[#This Row],[Order Date]])</f>
        <v>2015</v>
      </c>
      <c r="U382" s="7" t="s">
        <v>3479</v>
      </c>
      <c r="V382" t="s">
        <v>1488</v>
      </c>
    </row>
    <row r="383" spans="1:22" x14ac:dyDescent="0.35">
      <c r="A383">
        <v>429</v>
      </c>
      <c r="B383" t="s">
        <v>1490</v>
      </c>
      <c r="C383" s="1">
        <v>43374</v>
      </c>
      <c r="D383" s="1">
        <v>43381</v>
      </c>
      <c r="E383" t="s">
        <v>46</v>
      </c>
      <c r="F383" t="s">
        <v>1491</v>
      </c>
      <c r="G383" t="s">
        <v>1492</v>
      </c>
      <c r="H383" t="s">
        <v>37</v>
      </c>
      <c r="I383" t="s">
        <v>23</v>
      </c>
      <c r="J383" t="s">
        <v>671</v>
      </c>
      <c r="K383" t="s">
        <v>100</v>
      </c>
      <c r="L383">
        <v>78207</v>
      </c>
      <c r="M383" t="s">
        <v>101</v>
      </c>
      <c r="N383" t="s">
        <v>1493</v>
      </c>
      <c r="O383" t="s">
        <v>42</v>
      </c>
      <c r="P383" t="s">
        <v>64</v>
      </c>
      <c r="Q383" t="s">
        <v>1494</v>
      </c>
      <c r="R383">
        <v>6.6719999999999997</v>
      </c>
      <c r="S383" t="str">
        <f>TEXT(sales_data[[#This Row],[Order Date]],"mm")</f>
        <v>10</v>
      </c>
      <c r="T383">
        <f>YEAR(sales_data[[#This Row],[Order Date]])</f>
        <v>2018</v>
      </c>
      <c r="U383" s="8" t="s">
        <v>3497</v>
      </c>
      <c r="V383" t="s">
        <v>1493</v>
      </c>
    </row>
    <row r="384" spans="1:22" x14ac:dyDescent="0.35">
      <c r="A384">
        <v>430</v>
      </c>
      <c r="B384" t="s">
        <v>1495</v>
      </c>
      <c r="C384" s="1">
        <v>42840</v>
      </c>
      <c r="D384" s="1">
        <v>42846</v>
      </c>
      <c r="E384" t="s">
        <v>46</v>
      </c>
      <c r="F384" t="s">
        <v>1496</v>
      </c>
      <c r="G384" t="s">
        <v>1497</v>
      </c>
      <c r="H384" t="s">
        <v>98</v>
      </c>
      <c r="I384" t="s">
        <v>23</v>
      </c>
      <c r="J384" t="s">
        <v>1498</v>
      </c>
      <c r="K384" t="s">
        <v>84</v>
      </c>
      <c r="L384">
        <v>28052</v>
      </c>
      <c r="M384" t="s">
        <v>26</v>
      </c>
      <c r="N384" t="s">
        <v>1499</v>
      </c>
      <c r="O384" t="s">
        <v>42</v>
      </c>
      <c r="P384" t="s">
        <v>71</v>
      </c>
      <c r="Q384" t="s">
        <v>1500</v>
      </c>
      <c r="R384">
        <v>189.58799999999999</v>
      </c>
      <c r="S384" t="str">
        <f>TEXT(sales_data[[#This Row],[Order Date]],"mm")</f>
        <v>04</v>
      </c>
      <c r="T384">
        <f>YEAR(sales_data[[#This Row],[Order Date]])</f>
        <v>2017</v>
      </c>
      <c r="U384" s="8" t="s">
        <v>3506</v>
      </c>
      <c r="V384" t="s">
        <v>1499</v>
      </c>
    </row>
    <row r="385" spans="1:22" x14ac:dyDescent="0.35">
      <c r="A385">
        <v>433</v>
      </c>
      <c r="B385" t="s">
        <v>1495</v>
      </c>
      <c r="C385" s="1">
        <v>42840</v>
      </c>
      <c r="D385" s="1">
        <v>42846</v>
      </c>
      <c r="E385" t="s">
        <v>46</v>
      </c>
      <c r="F385" t="s">
        <v>1496</v>
      </c>
      <c r="G385" t="s">
        <v>1497</v>
      </c>
      <c r="H385" t="s">
        <v>98</v>
      </c>
      <c r="I385" t="s">
        <v>23</v>
      </c>
      <c r="J385" t="s">
        <v>1498</v>
      </c>
      <c r="K385" t="s">
        <v>84</v>
      </c>
      <c r="L385">
        <v>28052</v>
      </c>
      <c r="M385" t="s">
        <v>26</v>
      </c>
      <c r="N385" t="s">
        <v>1501</v>
      </c>
      <c r="O385" t="s">
        <v>42</v>
      </c>
      <c r="P385" t="s">
        <v>55</v>
      </c>
      <c r="Q385" t="s">
        <v>1502</v>
      </c>
      <c r="R385">
        <v>4.7679999999999998</v>
      </c>
      <c r="S385" t="str">
        <f>TEXT(sales_data[[#This Row],[Order Date]],"mm")</f>
        <v>04</v>
      </c>
      <c r="T385">
        <f>YEAR(sales_data[[#This Row],[Order Date]])</f>
        <v>2017</v>
      </c>
      <c r="U385" s="8" t="s">
        <v>3517</v>
      </c>
      <c r="V385" t="s">
        <v>1501</v>
      </c>
    </row>
    <row r="386" spans="1:22" x14ac:dyDescent="0.35">
      <c r="A386">
        <v>434</v>
      </c>
      <c r="B386" t="s">
        <v>1503</v>
      </c>
      <c r="C386" s="1">
        <v>42892</v>
      </c>
      <c r="D386" s="1">
        <v>42893</v>
      </c>
      <c r="E386" t="s">
        <v>183</v>
      </c>
      <c r="F386" t="s">
        <v>635</v>
      </c>
      <c r="G386" t="s">
        <v>636</v>
      </c>
      <c r="H386" t="s">
        <v>22</v>
      </c>
      <c r="I386" t="s">
        <v>23</v>
      </c>
      <c r="J386" t="s">
        <v>1234</v>
      </c>
      <c r="K386" t="s">
        <v>1235</v>
      </c>
      <c r="L386">
        <v>1852</v>
      </c>
      <c r="M386" t="s">
        <v>144</v>
      </c>
      <c r="N386" t="s">
        <v>1504</v>
      </c>
      <c r="O386" t="s">
        <v>42</v>
      </c>
      <c r="P386" t="s">
        <v>55</v>
      </c>
      <c r="Q386" t="s">
        <v>1505</v>
      </c>
      <c r="R386">
        <v>714.3</v>
      </c>
      <c r="S386" t="str">
        <f>TEXT(sales_data[[#This Row],[Order Date]],"mm")</f>
        <v>06</v>
      </c>
      <c r="T386">
        <f>YEAR(sales_data[[#This Row],[Order Date]])</f>
        <v>2017</v>
      </c>
      <c r="U386" s="8" t="s">
        <v>3521</v>
      </c>
      <c r="V386" t="s">
        <v>1504</v>
      </c>
    </row>
    <row r="387" spans="1:22" x14ac:dyDescent="0.35">
      <c r="A387">
        <v>435</v>
      </c>
      <c r="B387" t="s">
        <v>1506</v>
      </c>
      <c r="C387" s="1">
        <v>42357</v>
      </c>
      <c r="D387" s="1">
        <v>42363</v>
      </c>
      <c r="E387" t="s">
        <v>46</v>
      </c>
      <c r="F387" t="s">
        <v>1507</v>
      </c>
      <c r="G387" t="s">
        <v>1508</v>
      </c>
      <c r="H387" t="s">
        <v>22</v>
      </c>
      <c r="I387" t="s">
        <v>23</v>
      </c>
      <c r="J387" t="s">
        <v>1509</v>
      </c>
      <c r="K387" t="s">
        <v>50</v>
      </c>
      <c r="L387">
        <v>32216</v>
      </c>
      <c r="M387" t="s">
        <v>26</v>
      </c>
      <c r="N387" t="s">
        <v>1510</v>
      </c>
      <c r="O387" t="s">
        <v>42</v>
      </c>
      <c r="P387" t="s">
        <v>71</v>
      </c>
      <c r="Q387" t="s">
        <v>1511</v>
      </c>
      <c r="R387">
        <v>4.8120000000000003</v>
      </c>
      <c r="S387" t="str">
        <f>TEXT(sales_data[[#This Row],[Order Date]],"mm")</f>
        <v>12</v>
      </c>
      <c r="T387">
        <f>YEAR(sales_data[[#This Row],[Order Date]])</f>
        <v>2015</v>
      </c>
      <c r="U387" s="8" t="s">
        <v>3525</v>
      </c>
      <c r="V387" t="s">
        <v>1510</v>
      </c>
    </row>
    <row r="388" spans="1:22" x14ac:dyDescent="0.35">
      <c r="A388">
        <v>436</v>
      </c>
      <c r="B388" t="s">
        <v>1506</v>
      </c>
      <c r="C388" s="1">
        <v>42357</v>
      </c>
      <c r="D388" s="1">
        <v>42363</v>
      </c>
      <c r="E388" t="s">
        <v>46</v>
      </c>
      <c r="F388" t="s">
        <v>1507</v>
      </c>
      <c r="G388" t="s">
        <v>1508</v>
      </c>
      <c r="H388" t="s">
        <v>22</v>
      </c>
      <c r="I388" t="s">
        <v>23</v>
      </c>
      <c r="J388" t="s">
        <v>1509</v>
      </c>
      <c r="K388" t="s">
        <v>50</v>
      </c>
      <c r="L388">
        <v>32216</v>
      </c>
      <c r="M388" t="s">
        <v>26</v>
      </c>
      <c r="N388" t="s">
        <v>1512</v>
      </c>
      <c r="O388" t="s">
        <v>67</v>
      </c>
      <c r="P388" t="s">
        <v>156</v>
      </c>
      <c r="Q388" t="s">
        <v>1513</v>
      </c>
      <c r="R388">
        <v>247.8</v>
      </c>
      <c r="S388" t="str">
        <f>TEXT(sales_data[[#This Row],[Order Date]],"mm")</f>
        <v>12</v>
      </c>
      <c r="T388">
        <f>YEAR(sales_data[[#This Row],[Order Date]])</f>
        <v>2015</v>
      </c>
      <c r="U388" s="8" t="s">
        <v>3528</v>
      </c>
      <c r="V388" t="s">
        <v>1512</v>
      </c>
    </row>
    <row r="389" spans="1:22" x14ac:dyDescent="0.35">
      <c r="A389">
        <v>437</v>
      </c>
      <c r="B389" t="s">
        <v>1514</v>
      </c>
      <c r="C389" s="1">
        <v>42898</v>
      </c>
      <c r="D389" s="1">
        <v>42900</v>
      </c>
      <c r="E389" t="s">
        <v>19</v>
      </c>
      <c r="F389" t="s">
        <v>1515</v>
      </c>
      <c r="G389" t="s">
        <v>1516</v>
      </c>
      <c r="H389" t="s">
        <v>98</v>
      </c>
      <c r="I389" t="s">
        <v>23</v>
      </c>
      <c r="J389" t="s">
        <v>298</v>
      </c>
      <c r="K389" t="s">
        <v>206</v>
      </c>
      <c r="L389">
        <v>60623</v>
      </c>
      <c r="M389" t="s">
        <v>101</v>
      </c>
      <c r="N389" t="s">
        <v>1517</v>
      </c>
      <c r="O389" t="s">
        <v>67</v>
      </c>
      <c r="P389" t="s">
        <v>675</v>
      </c>
      <c r="Q389" t="s">
        <v>1518</v>
      </c>
      <c r="R389">
        <v>1007.979</v>
      </c>
      <c r="S389" t="str">
        <f>TEXT(sales_data[[#This Row],[Order Date]],"mm")</f>
        <v>06</v>
      </c>
      <c r="T389">
        <f>YEAR(sales_data[[#This Row],[Order Date]])</f>
        <v>2017</v>
      </c>
      <c r="U389" s="8" t="s">
        <v>3532</v>
      </c>
      <c r="V389" t="s">
        <v>1517</v>
      </c>
    </row>
    <row r="390" spans="1:22" x14ac:dyDescent="0.35">
      <c r="A390">
        <v>439</v>
      </c>
      <c r="B390" t="s">
        <v>1519</v>
      </c>
      <c r="C390" s="1">
        <v>43358</v>
      </c>
      <c r="D390" s="1">
        <v>43362</v>
      </c>
      <c r="E390" t="s">
        <v>46</v>
      </c>
      <c r="F390" t="s">
        <v>1520</v>
      </c>
      <c r="G390" t="s">
        <v>1521</v>
      </c>
      <c r="H390" t="s">
        <v>37</v>
      </c>
      <c r="I390" t="s">
        <v>23</v>
      </c>
      <c r="J390" t="s">
        <v>179</v>
      </c>
      <c r="K390" t="s">
        <v>100</v>
      </c>
      <c r="L390">
        <v>77070</v>
      </c>
      <c r="M390" t="s">
        <v>101</v>
      </c>
      <c r="N390" t="s">
        <v>1522</v>
      </c>
      <c r="O390" t="s">
        <v>42</v>
      </c>
      <c r="P390" t="s">
        <v>86</v>
      </c>
      <c r="Q390" t="s">
        <v>1523</v>
      </c>
      <c r="R390">
        <v>31.872</v>
      </c>
      <c r="S390" t="str">
        <f>TEXT(sales_data[[#This Row],[Order Date]],"mm")</f>
        <v>09</v>
      </c>
      <c r="T390">
        <f>YEAR(sales_data[[#This Row],[Order Date]])</f>
        <v>2018</v>
      </c>
      <c r="U390" s="8" t="s">
        <v>3536</v>
      </c>
      <c r="V390" t="s">
        <v>1522</v>
      </c>
    </row>
    <row r="391" spans="1:22" x14ac:dyDescent="0.35">
      <c r="A391">
        <v>440</v>
      </c>
      <c r="B391" t="s">
        <v>1524</v>
      </c>
      <c r="C391" s="1">
        <v>43120</v>
      </c>
      <c r="D391" s="1">
        <v>43123</v>
      </c>
      <c r="E391" t="s">
        <v>19</v>
      </c>
      <c r="F391" t="s">
        <v>476</v>
      </c>
      <c r="G391" t="s">
        <v>477</v>
      </c>
      <c r="H391" t="s">
        <v>37</v>
      </c>
      <c r="I391" t="s">
        <v>23</v>
      </c>
      <c r="J391" t="s">
        <v>261</v>
      </c>
      <c r="K391" t="s">
        <v>262</v>
      </c>
      <c r="L391">
        <v>10024</v>
      </c>
      <c r="M391" t="s">
        <v>144</v>
      </c>
      <c r="N391" t="s">
        <v>1525</v>
      </c>
      <c r="O391" t="s">
        <v>28</v>
      </c>
      <c r="P391" t="s">
        <v>32</v>
      </c>
      <c r="Q391" t="s">
        <v>1526</v>
      </c>
      <c r="R391">
        <v>207.846</v>
      </c>
      <c r="S391" t="str">
        <f>TEXT(sales_data[[#This Row],[Order Date]],"mm")</f>
        <v>01</v>
      </c>
      <c r="T391">
        <f>YEAR(sales_data[[#This Row],[Order Date]])</f>
        <v>2018</v>
      </c>
      <c r="U391" s="7" t="s">
        <v>3541</v>
      </c>
      <c r="V391" t="s">
        <v>1525</v>
      </c>
    </row>
    <row r="392" spans="1:22" x14ac:dyDescent="0.35">
      <c r="A392">
        <v>441</v>
      </c>
      <c r="B392" t="s">
        <v>1527</v>
      </c>
      <c r="C392" s="1">
        <v>42983</v>
      </c>
      <c r="D392" s="1">
        <v>42985</v>
      </c>
      <c r="E392" t="s">
        <v>19</v>
      </c>
      <c r="F392" t="s">
        <v>107</v>
      </c>
      <c r="G392" t="s">
        <v>108</v>
      </c>
      <c r="H392" t="s">
        <v>22</v>
      </c>
      <c r="I392" t="s">
        <v>23</v>
      </c>
      <c r="J392" t="s">
        <v>872</v>
      </c>
      <c r="K392" t="s">
        <v>233</v>
      </c>
      <c r="L392">
        <v>48227</v>
      </c>
      <c r="M392" t="s">
        <v>101</v>
      </c>
      <c r="N392" t="s">
        <v>1528</v>
      </c>
      <c r="O392" t="s">
        <v>28</v>
      </c>
      <c r="P392" t="s">
        <v>61</v>
      </c>
      <c r="Q392" t="s">
        <v>1529</v>
      </c>
      <c r="R392">
        <v>12.22</v>
      </c>
      <c r="S392" t="str">
        <f>TEXT(sales_data[[#This Row],[Order Date]],"mm")</f>
        <v>09</v>
      </c>
      <c r="T392">
        <f>YEAR(sales_data[[#This Row],[Order Date]])</f>
        <v>2017</v>
      </c>
      <c r="U392" s="8" t="s">
        <v>3546</v>
      </c>
      <c r="V392" t="s">
        <v>1528</v>
      </c>
    </row>
    <row r="393" spans="1:22" x14ac:dyDescent="0.35">
      <c r="A393">
        <v>442</v>
      </c>
      <c r="B393" t="s">
        <v>1527</v>
      </c>
      <c r="C393" s="1">
        <v>42983</v>
      </c>
      <c r="D393" s="1">
        <v>42985</v>
      </c>
      <c r="E393" t="s">
        <v>19</v>
      </c>
      <c r="F393" t="s">
        <v>107</v>
      </c>
      <c r="G393" t="s">
        <v>108</v>
      </c>
      <c r="H393" t="s">
        <v>22</v>
      </c>
      <c r="I393" t="s">
        <v>23</v>
      </c>
      <c r="J393" t="s">
        <v>872</v>
      </c>
      <c r="K393" t="s">
        <v>233</v>
      </c>
      <c r="L393">
        <v>48227</v>
      </c>
      <c r="M393" t="s">
        <v>101</v>
      </c>
      <c r="N393" t="s">
        <v>1530</v>
      </c>
      <c r="O393" t="s">
        <v>42</v>
      </c>
      <c r="P393" t="s">
        <v>55</v>
      </c>
      <c r="Q393" t="s">
        <v>1531</v>
      </c>
      <c r="R393">
        <v>194.94</v>
      </c>
      <c r="S393" t="str">
        <f>TEXT(sales_data[[#This Row],[Order Date]],"mm")</f>
        <v>09</v>
      </c>
      <c r="T393">
        <f>YEAR(sales_data[[#This Row],[Order Date]])</f>
        <v>2017</v>
      </c>
      <c r="U393" s="7" t="s">
        <v>3548</v>
      </c>
      <c r="V393" t="s">
        <v>1530</v>
      </c>
    </row>
    <row r="394" spans="1:22" x14ac:dyDescent="0.35">
      <c r="A394">
        <v>443</v>
      </c>
      <c r="B394" t="s">
        <v>1527</v>
      </c>
      <c r="C394" s="1">
        <v>42983</v>
      </c>
      <c r="D394" s="1">
        <v>42985</v>
      </c>
      <c r="E394" t="s">
        <v>19</v>
      </c>
      <c r="F394" t="s">
        <v>107</v>
      </c>
      <c r="G394" t="s">
        <v>108</v>
      </c>
      <c r="H394" t="s">
        <v>22</v>
      </c>
      <c r="I394" t="s">
        <v>23</v>
      </c>
      <c r="J394" t="s">
        <v>872</v>
      </c>
      <c r="K394" t="s">
        <v>233</v>
      </c>
      <c r="L394">
        <v>48227</v>
      </c>
      <c r="M394" t="s">
        <v>101</v>
      </c>
      <c r="N394" t="s">
        <v>1532</v>
      </c>
      <c r="O394" t="s">
        <v>42</v>
      </c>
      <c r="P394" t="s">
        <v>55</v>
      </c>
      <c r="Q394" t="s">
        <v>1533</v>
      </c>
      <c r="R394">
        <v>70.95</v>
      </c>
      <c r="S394" t="str">
        <f>TEXT(sales_data[[#This Row],[Order Date]],"mm")</f>
        <v>09</v>
      </c>
      <c r="T394">
        <f>YEAR(sales_data[[#This Row],[Order Date]])</f>
        <v>2017</v>
      </c>
      <c r="U394" s="8" t="s">
        <v>3557</v>
      </c>
      <c r="V394" t="s">
        <v>1532</v>
      </c>
    </row>
    <row r="395" spans="1:22" x14ac:dyDescent="0.35">
      <c r="A395">
        <v>444</v>
      </c>
      <c r="B395" t="s">
        <v>1527</v>
      </c>
      <c r="C395" s="1">
        <v>42983</v>
      </c>
      <c r="D395" s="1">
        <v>42985</v>
      </c>
      <c r="E395" t="s">
        <v>19</v>
      </c>
      <c r="F395" t="s">
        <v>107</v>
      </c>
      <c r="G395" t="s">
        <v>108</v>
      </c>
      <c r="H395" t="s">
        <v>22</v>
      </c>
      <c r="I395" t="s">
        <v>23</v>
      </c>
      <c r="J395" t="s">
        <v>872</v>
      </c>
      <c r="K395" t="s">
        <v>233</v>
      </c>
      <c r="L395">
        <v>48227</v>
      </c>
      <c r="M395" t="s">
        <v>101</v>
      </c>
      <c r="N395" t="s">
        <v>1534</v>
      </c>
      <c r="O395" t="s">
        <v>42</v>
      </c>
      <c r="P395" t="s">
        <v>86</v>
      </c>
      <c r="Q395" t="s">
        <v>1535</v>
      </c>
      <c r="R395">
        <v>91.36</v>
      </c>
      <c r="S395" t="str">
        <f>TEXT(sales_data[[#This Row],[Order Date]],"mm")</f>
        <v>09</v>
      </c>
      <c r="T395">
        <f>YEAR(sales_data[[#This Row],[Order Date]])</f>
        <v>2017</v>
      </c>
      <c r="U395" s="8" t="s">
        <v>3576</v>
      </c>
      <c r="V395" t="s">
        <v>1534</v>
      </c>
    </row>
    <row r="396" spans="1:22" x14ac:dyDescent="0.35">
      <c r="A396">
        <v>445</v>
      </c>
      <c r="B396" t="s">
        <v>1527</v>
      </c>
      <c r="C396" s="1">
        <v>42983</v>
      </c>
      <c r="D396" s="1">
        <v>42985</v>
      </c>
      <c r="E396" t="s">
        <v>19</v>
      </c>
      <c r="F396" t="s">
        <v>107</v>
      </c>
      <c r="G396" t="s">
        <v>108</v>
      </c>
      <c r="H396" t="s">
        <v>22</v>
      </c>
      <c r="I396" t="s">
        <v>23</v>
      </c>
      <c r="J396" t="s">
        <v>872</v>
      </c>
      <c r="K396" t="s">
        <v>233</v>
      </c>
      <c r="L396">
        <v>48227</v>
      </c>
      <c r="M396" t="s">
        <v>101</v>
      </c>
      <c r="N396" t="s">
        <v>1536</v>
      </c>
      <c r="O396" t="s">
        <v>28</v>
      </c>
      <c r="P396" t="s">
        <v>32</v>
      </c>
      <c r="Q396" t="s">
        <v>1537</v>
      </c>
      <c r="R396">
        <v>242.94</v>
      </c>
      <c r="S396" t="str">
        <f>TEXT(sales_data[[#This Row],[Order Date]],"mm")</f>
        <v>09</v>
      </c>
      <c r="T396">
        <f>YEAR(sales_data[[#This Row],[Order Date]])</f>
        <v>2017</v>
      </c>
      <c r="U396" s="8" t="s">
        <v>3581</v>
      </c>
      <c r="V396" t="s">
        <v>1536</v>
      </c>
    </row>
    <row r="397" spans="1:22" x14ac:dyDescent="0.35">
      <c r="A397">
        <v>446</v>
      </c>
      <c r="B397" t="s">
        <v>1527</v>
      </c>
      <c r="C397" s="1">
        <v>42983</v>
      </c>
      <c r="D397" s="1">
        <v>42985</v>
      </c>
      <c r="E397" t="s">
        <v>19</v>
      </c>
      <c r="F397" t="s">
        <v>107</v>
      </c>
      <c r="G397" t="s">
        <v>108</v>
      </c>
      <c r="H397" t="s">
        <v>22</v>
      </c>
      <c r="I397" t="s">
        <v>23</v>
      </c>
      <c r="J397" t="s">
        <v>872</v>
      </c>
      <c r="K397" t="s">
        <v>233</v>
      </c>
      <c r="L397">
        <v>48227</v>
      </c>
      <c r="M397" t="s">
        <v>101</v>
      </c>
      <c r="N397" t="s">
        <v>1538</v>
      </c>
      <c r="O397" t="s">
        <v>42</v>
      </c>
      <c r="P397" t="s">
        <v>43</v>
      </c>
      <c r="Q397" t="s">
        <v>1539</v>
      </c>
      <c r="R397">
        <v>22.05</v>
      </c>
      <c r="S397" t="str">
        <f>TEXT(sales_data[[#This Row],[Order Date]],"mm")</f>
        <v>09</v>
      </c>
      <c r="T397">
        <f>YEAR(sales_data[[#This Row],[Order Date]])</f>
        <v>2017</v>
      </c>
      <c r="U397" s="8" t="s">
        <v>3585</v>
      </c>
      <c r="V397" t="s">
        <v>1538</v>
      </c>
    </row>
    <row r="398" spans="1:22" x14ac:dyDescent="0.35">
      <c r="A398">
        <v>447</v>
      </c>
      <c r="B398" t="s">
        <v>1540</v>
      </c>
      <c r="C398" s="1">
        <v>43179</v>
      </c>
      <c r="D398" s="1">
        <v>43184</v>
      </c>
      <c r="E398" t="s">
        <v>19</v>
      </c>
      <c r="F398" t="s">
        <v>1541</v>
      </c>
      <c r="G398" t="s">
        <v>1542</v>
      </c>
      <c r="H398" t="s">
        <v>22</v>
      </c>
      <c r="I398" t="s">
        <v>23</v>
      </c>
      <c r="J398" t="s">
        <v>492</v>
      </c>
      <c r="K398" t="s">
        <v>249</v>
      </c>
      <c r="L398">
        <v>47201</v>
      </c>
      <c r="M398" t="s">
        <v>101</v>
      </c>
      <c r="N398" t="s">
        <v>1543</v>
      </c>
      <c r="O398" t="s">
        <v>28</v>
      </c>
      <c r="P398" t="s">
        <v>61</v>
      </c>
      <c r="Q398" t="s">
        <v>1544</v>
      </c>
      <c r="R398">
        <v>2.91</v>
      </c>
      <c r="S398" t="str">
        <f>TEXT(sales_data[[#This Row],[Order Date]],"mm")</f>
        <v>03</v>
      </c>
      <c r="T398">
        <f>YEAR(sales_data[[#This Row],[Order Date]])</f>
        <v>2018</v>
      </c>
      <c r="U398" s="8" t="s">
        <v>3587</v>
      </c>
      <c r="V398" t="s">
        <v>1543</v>
      </c>
    </row>
    <row r="399" spans="1:22" x14ac:dyDescent="0.35">
      <c r="A399">
        <v>448</v>
      </c>
      <c r="B399" t="s">
        <v>1545</v>
      </c>
      <c r="C399" s="1">
        <v>42826</v>
      </c>
      <c r="D399" s="1">
        <v>42828</v>
      </c>
      <c r="E399" t="s">
        <v>19</v>
      </c>
      <c r="F399" t="s">
        <v>1546</v>
      </c>
      <c r="G399" t="s">
        <v>1547</v>
      </c>
      <c r="H399" t="s">
        <v>22</v>
      </c>
      <c r="I399" t="s">
        <v>23</v>
      </c>
      <c r="J399" t="s">
        <v>1548</v>
      </c>
      <c r="K399" t="s">
        <v>262</v>
      </c>
      <c r="L399">
        <v>13021</v>
      </c>
      <c r="M399" t="s">
        <v>144</v>
      </c>
      <c r="N399" t="s">
        <v>1549</v>
      </c>
      <c r="O399" t="s">
        <v>42</v>
      </c>
      <c r="P399" t="s">
        <v>64</v>
      </c>
      <c r="Q399" t="s">
        <v>1550</v>
      </c>
      <c r="R399">
        <v>59.52</v>
      </c>
      <c r="S399" t="str">
        <f>TEXT(sales_data[[#This Row],[Order Date]],"mm")</f>
        <v>04</v>
      </c>
      <c r="T399">
        <f>YEAR(sales_data[[#This Row],[Order Date]])</f>
        <v>2017</v>
      </c>
      <c r="U399" s="8" t="s">
        <v>3592</v>
      </c>
      <c r="V399" t="s">
        <v>1549</v>
      </c>
    </row>
    <row r="400" spans="1:22" x14ac:dyDescent="0.35">
      <c r="A400">
        <v>449</v>
      </c>
      <c r="B400" t="s">
        <v>1545</v>
      </c>
      <c r="C400" s="1">
        <v>42826</v>
      </c>
      <c r="D400" s="1">
        <v>42828</v>
      </c>
      <c r="E400" t="s">
        <v>19</v>
      </c>
      <c r="F400" t="s">
        <v>1546</v>
      </c>
      <c r="G400" t="s">
        <v>1547</v>
      </c>
      <c r="H400" t="s">
        <v>22</v>
      </c>
      <c r="I400" t="s">
        <v>23</v>
      </c>
      <c r="J400" t="s">
        <v>1548</v>
      </c>
      <c r="K400" t="s">
        <v>262</v>
      </c>
      <c r="L400">
        <v>13021</v>
      </c>
      <c r="M400" t="s">
        <v>144</v>
      </c>
      <c r="N400" t="s">
        <v>1551</v>
      </c>
      <c r="O400" t="s">
        <v>42</v>
      </c>
      <c r="P400" t="s">
        <v>55</v>
      </c>
      <c r="Q400" t="s">
        <v>1552</v>
      </c>
      <c r="R400">
        <v>161.94</v>
      </c>
      <c r="S400" t="str">
        <f>TEXT(sales_data[[#This Row],[Order Date]],"mm")</f>
        <v>04</v>
      </c>
      <c r="T400">
        <f>YEAR(sales_data[[#This Row],[Order Date]])</f>
        <v>2017</v>
      </c>
      <c r="U400" s="8" t="s">
        <v>3599</v>
      </c>
      <c r="V400" t="s">
        <v>1551</v>
      </c>
    </row>
    <row r="401" spans="1:22" x14ac:dyDescent="0.35">
      <c r="A401">
        <v>450</v>
      </c>
      <c r="B401" t="s">
        <v>1545</v>
      </c>
      <c r="C401" s="1">
        <v>42826</v>
      </c>
      <c r="D401" s="1">
        <v>42828</v>
      </c>
      <c r="E401" t="s">
        <v>19</v>
      </c>
      <c r="F401" t="s">
        <v>1546</v>
      </c>
      <c r="G401" t="s">
        <v>1547</v>
      </c>
      <c r="H401" t="s">
        <v>22</v>
      </c>
      <c r="I401" t="s">
        <v>23</v>
      </c>
      <c r="J401" t="s">
        <v>1548</v>
      </c>
      <c r="K401" t="s">
        <v>262</v>
      </c>
      <c r="L401">
        <v>13021</v>
      </c>
      <c r="M401" t="s">
        <v>144</v>
      </c>
      <c r="N401" t="s">
        <v>1553</v>
      </c>
      <c r="O401" t="s">
        <v>42</v>
      </c>
      <c r="P401" t="s">
        <v>64</v>
      </c>
      <c r="Q401" t="s">
        <v>1554</v>
      </c>
      <c r="R401">
        <v>263.88</v>
      </c>
      <c r="S401" t="str">
        <f>TEXT(sales_data[[#This Row],[Order Date]],"mm")</f>
        <v>04</v>
      </c>
      <c r="T401">
        <f>YEAR(sales_data[[#This Row],[Order Date]])</f>
        <v>2017</v>
      </c>
      <c r="U401" s="8" t="s">
        <v>3605</v>
      </c>
      <c r="V401" t="s">
        <v>1553</v>
      </c>
    </row>
    <row r="402" spans="1:22" x14ac:dyDescent="0.35">
      <c r="A402">
        <v>451</v>
      </c>
      <c r="B402" t="s">
        <v>1545</v>
      </c>
      <c r="C402" s="1">
        <v>42826</v>
      </c>
      <c r="D402" s="1">
        <v>42828</v>
      </c>
      <c r="E402" t="s">
        <v>19</v>
      </c>
      <c r="F402" t="s">
        <v>1546</v>
      </c>
      <c r="G402" t="s">
        <v>1547</v>
      </c>
      <c r="H402" t="s">
        <v>22</v>
      </c>
      <c r="I402" t="s">
        <v>23</v>
      </c>
      <c r="J402" t="s">
        <v>1548</v>
      </c>
      <c r="K402" t="s">
        <v>262</v>
      </c>
      <c r="L402">
        <v>13021</v>
      </c>
      <c r="M402" t="s">
        <v>144</v>
      </c>
      <c r="N402" t="s">
        <v>1555</v>
      </c>
      <c r="O402" t="s">
        <v>42</v>
      </c>
      <c r="P402" t="s">
        <v>64</v>
      </c>
      <c r="Q402" t="s">
        <v>1556</v>
      </c>
      <c r="R402">
        <v>30.48</v>
      </c>
      <c r="S402" t="str">
        <f>TEXT(sales_data[[#This Row],[Order Date]],"mm")</f>
        <v>04</v>
      </c>
      <c r="T402">
        <f>YEAR(sales_data[[#This Row],[Order Date]])</f>
        <v>2017</v>
      </c>
      <c r="U402" s="8" t="s">
        <v>3608</v>
      </c>
      <c r="V402" t="s">
        <v>1555</v>
      </c>
    </row>
    <row r="403" spans="1:22" x14ac:dyDescent="0.35">
      <c r="A403">
        <v>452</v>
      </c>
      <c r="B403" t="s">
        <v>1545</v>
      </c>
      <c r="C403" s="1">
        <v>42826</v>
      </c>
      <c r="D403" s="1">
        <v>42828</v>
      </c>
      <c r="E403" t="s">
        <v>19</v>
      </c>
      <c r="F403" t="s">
        <v>1546</v>
      </c>
      <c r="G403" t="s">
        <v>1547</v>
      </c>
      <c r="H403" t="s">
        <v>22</v>
      </c>
      <c r="I403" t="s">
        <v>23</v>
      </c>
      <c r="J403" t="s">
        <v>1548</v>
      </c>
      <c r="K403" t="s">
        <v>262</v>
      </c>
      <c r="L403">
        <v>13021</v>
      </c>
      <c r="M403" t="s">
        <v>144</v>
      </c>
      <c r="N403" t="s">
        <v>1557</v>
      </c>
      <c r="O403" t="s">
        <v>42</v>
      </c>
      <c r="P403" t="s">
        <v>64</v>
      </c>
      <c r="Q403" t="s">
        <v>1558</v>
      </c>
      <c r="R403">
        <v>9.84</v>
      </c>
      <c r="S403" t="str">
        <f>TEXT(sales_data[[#This Row],[Order Date]],"mm")</f>
        <v>04</v>
      </c>
      <c r="T403">
        <f>YEAR(sales_data[[#This Row],[Order Date]])</f>
        <v>2017</v>
      </c>
      <c r="U403" s="7" t="s">
        <v>3631</v>
      </c>
      <c r="V403" t="s">
        <v>1557</v>
      </c>
    </row>
    <row r="404" spans="1:22" x14ac:dyDescent="0.35">
      <c r="A404">
        <v>453</v>
      </c>
      <c r="B404" t="s">
        <v>1545</v>
      </c>
      <c r="C404" s="1">
        <v>42826</v>
      </c>
      <c r="D404" s="1">
        <v>42828</v>
      </c>
      <c r="E404" t="s">
        <v>19</v>
      </c>
      <c r="F404" t="s">
        <v>1546</v>
      </c>
      <c r="G404" t="s">
        <v>1547</v>
      </c>
      <c r="H404" t="s">
        <v>22</v>
      </c>
      <c r="I404" t="s">
        <v>23</v>
      </c>
      <c r="J404" t="s">
        <v>1548</v>
      </c>
      <c r="K404" t="s">
        <v>262</v>
      </c>
      <c r="L404">
        <v>13021</v>
      </c>
      <c r="M404" t="s">
        <v>144</v>
      </c>
      <c r="N404" t="s">
        <v>1559</v>
      </c>
      <c r="O404" t="s">
        <v>67</v>
      </c>
      <c r="P404" t="s">
        <v>68</v>
      </c>
      <c r="Q404" t="s">
        <v>1560</v>
      </c>
      <c r="R404">
        <v>35.119999999999997</v>
      </c>
      <c r="S404" t="str">
        <f>TEXT(sales_data[[#This Row],[Order Date]],"mm")</f>
        <v>04</v>
      </c>
      <c r="T404">
        <f>YEAR(sales_data[[#This Row],[Order Date]])</f>
        <v>2017</v>
      </c>
      <c r="U404" s="8" t="s">
        <v>3634</v>
      </c>
      <c r="V404" t="s">
        <v>1559</v>
      </c>
    </row>
    <row r="405" spans="1:22" x14ac:dyDescent="0.35">
      <c r="A405">
        <v>455</v>
      </c>
      <c r="B405" t="s">
        <v>1561</v>
      </c>
      <c r="C405" s="1">
        <v>43393</v>
      </c>
      <c r="D405" s="1">
        <v>43397</v>
      </c>
      <c r="E405" t="s">
        <v>46</v>
      </c>
      <c r="F405" t="s">
        <v>1562</v>
      </c>
      <c r="G405" t="s">
        <v>1563</v>
      </c>
      <c r="H405" t="s">
        <v>37</v>
      </c>
      <c r="I405" t="s">
        <v>23</v>
      </c>
      <c r="J405" t="s">
        <v>793</v>
      </c>
      <c r="K405" t="s">
        <v>493</v>
      </c>
      <c r="L405">
        <v>44312</v>
      </c>
      <c r="M405" t="s">
        <v>144</v>
      </c>
      <c r="N405" t="s">
        <v>1564</v>
      </c>
      <c r="O405" t="s">
        <v>42</v>
      </c>
      <c r="P405" t="s">
        <v>55</v>
      </c>
      <c r="Q405" t="s">
        <v>1565</v>
      </c>
      <c r="R405">
        <v>665.40800000000002</v>
      </c>
      <c r="S405" t="str">
        <f>TEXT(sales_data[[#This Row],[Order Date]],"mm")</f>
        <v>10</v>
      </c>
      <c r="T405">
        <f>YEAR(sales_data[[#This Row],[Order Date]])</f>
        <v>2018</v>
      </c>
      <c r="U405" s="8" t="s">
        <v>3654</v>
      </c>
      <c r="V405" t="s">
        <v>1564</v>
      </c>
    </row>
    <row r="406" spans="1:22" x14ac:dyDescent="0.35">
      <c r="A406">
        <v>456</v>
      </c>
      <c r="B406" t="s">
        <v>1566</v>
      </c>
      <c r="C406" s="1">
        <v>43082</v>
      </c>
      <c r="D406" s="1">
        <v>43086</v>
      </c>
      <c r="E406" t="s">
        <v>46</v>
      </c>
      <c r="F406" t="s">
        <v>1491</v>
      </c>
      <c r="G406" t="s">
        <v>1492</v>
      </c>
      <c r="H406" t="s">
        <v>37</v>
      </c>
      <c r="I406" t="s">
        <v>23</v>
      </c>
      <c r="J406" t="s">
        <v>1567</v>
      </c>
      <c r="K406" t="s">
        <v>641</v>
      </c>
      <c r="L406">
        <v>73071</v>
      </c>
      <c r="M406" t="s">
        <v>101</v>
      </c>
      <c r="N406" t="s">
        <v>1568</v>
      </c>
      <c r="O406" t="s">
        <v>67</v>
      </c>
      <c r="P406" t="s">
        <v>156</v>
      </c>
      <c r="Q406" t="s">
        <v>1569</v>
      </c>
      <c r="R406">
        <v>63.88</v>
      </c>
      <c r="S406" t="str">
        <f>TEXT(sales_data[[#This Row],[Order Date]],"mm")</f>
        <v>12</v>
      </c>
      <c r="T406">
        <f>YEAR(sales_data[[#This Row],[Order Date]])</f>
        <v>2017</v>
      </c>
      <c r="U406" s="7" t="s">
        <v>3665</v>
      </c>
      <c r="V406" t="s">
        <v>1568</v>
      </c>
    </row>
    <row r="407" spans="1:22" x14ac:dyDescent="0.35">
      <c r="A407">
        <v>457</v>
      </c>
      <c r="B407" t="s">
        <v>1570</v>
      </c>
      <c r="C407" s="1">
        <v>42047</v>
      </c>
      <c r="D407" s="1">
        <v>42053</v>
      </c>
      <c r="E407" t="s">
        <v>46</v>
      </c>
      <c r="F407" t="s">
        <v>1571</v>
      </c>
      <c r="G407" t="s">
        <v>1572</v>
      </c>
      <c r="H407" t="s">
        <v>22</v>
      </c>
      <c r="I407" t="s">
        <v>23</v>
      </c>
      <c r="J407" t="s">
        <v>83</v>
      </c>
      <c r="K407" t="s">
        <v>39</v>
      </c>
      <c r="L407">
        <v>94521</v>
      </c>
      <c r="M407" t="s">
        <v>40</v>
      </c>
      <c r="N407" t="s">
        <v>1573</v>
      </c>
      <c r="O407" t="s">
        <v>28</v>
      </c>
      <c r="P407" t="s">
        <v>32</v>
      </c>
      <c r="Q407" t="s">
        <v>1574</v>
      </c>
      <c r="R407">
        <v>129.56800000000001</v>
      </c>
      <c r="S407" t="str">
        <f>TEXT(sales_data[[#This Row],[Order Date]],"mm")</f>
        <v>02</v>
      </c>
      <c r="T407">
        <f>YEAR(sales_data[[#This Row],[Order Date]])</f>
        <v>2015</v>
      </c>
      <c r="U407" s="8" t="s">
        <v>3668</v>
      </c>
      <c r="V407" t="s">
        <v>1573</v>
      </c>
    </row>
    <row r="408" spans="1:22" x14ac:dyDescent="0.35">
      <c r="A408">
        <v>458</v>
      </c>
      <c r="B408" t="s">
        <v>1575</v>
      </c>
      <c r="C408" s="1">
        <v>43004</v>
      </c>
      <c r="D408" s="1">
        <v>43009</v>
      </c>
      <c r="E408" t="s">
        <v>46</v>
      </c>
      <c r="F408" t="s">
        <v>1473</v>
      </c>
      <c r="G408" t="s">
        <v>1474</v>
      </c>
      <c r="H408" t="s">
        <v>22</v>
      </c>
      <c r="I408" t="s">
        <v>23</v>
      </c>
      <c r="J408" t="s">
        <v>352</v>
      </c>
      <c r="K408" t="s">
        <v>206</v>
      </c>
      <c r="L408">
        <v>62521</v>
      </c>
      <c r="M408" t="s">
        <v>101</v>
      </c>
      <c r="N408" t="s">
        <v>1576</v>
      </c>
      <c r="O408" t="s">
        <v>28</v>
      </c>
      <c r="P408" t="s">
        <v>32</v>
      </c>
      <c r="Q408" t="s">
        <v>1577</v>
      </c>
      <c r="R408">
        <v>747.55799999999999</v>
      </c>
      <c r="S408" t="str">
        <f>TEXT(sales_data[[#This Row],[Order Date]],"mm")</f>
        <v>09</v>
      </c>
      <c r="T408">
        <f>YEAR(sales_data[[#This Row],[Order Date]])</f>
        <v>2017</v>
      </c>
      <c r="U408" s="8" t="s">
        <v>3673</v>
      </c>
      <c r="V408" t="s">
        <v>1576</v>
      </c>
    </row>
    <row r="409" spans="1:22" x14ac:dyDescent="0.35">
      <c r="A409">
        <v>459</v>
      </c>
      <c r="B409" t="s">
        <v>1575</v>
      </c>
      <c r="C409" s="1">
        <v>43004</v>
      </c>
      <c r="D409" s="1">
        <v>43009</v>
      </c>
      <c r="E409" t="s">
        <v>46</v>
      </c>
      <c r="F409" t="s">
        <v>1473</v>
      </c>
      <c r="G409" t="s">
        <v>1474</v>
      </c>
      <c r="H409" t="s">
        <v>22</v>
      </c>
      <c r="I409" t="s">
        <v>23</v>
      </c>
      <c r="J409" t="s">
        <v>352</v>
      </c>
      <c r="K409" t="s">
        <v>206</v>
      </c>
      <c r="L409">
        <v>62521</v>
      </c>
      <c r="M409" t="s">
        <v>101</v>
      </c>
      <c r="N409" t="s">
        <v>1578</v>
      </c>
      <c r="O409" t="s">
        <v>42</v>
      </c>
      <c r="P409" t="s">
        <v>168</v>
      </c>
      <c r="Q409" t="s">
        <v>662</v>
      </c>
      <c r="R409">
        <v>8.9280000000000008</v>
      </c>
      <c r="S409" t="str">
        <f>TEXT(sales_data[[#This Row],[Order Date]],"mm")</f>
        <v>09</v>
      </c>
      <c r="T409">
        <f>YEAR(sales_data[[#This Row],[Order Date]])</f>
        <v>2017</v>
      </c>
      <c r="U409" s="8" t="s">
        <v>3678</v>
      </c>
      <c r="V409" t="s">
        <v>1578</v>
      </c>
    </row>
    <row r="410" spans="1:22" x14ac:dyDescent="0.35">
      <c r="A410">
        <v>460</v>
      </c>
      <c r="B410" t="s">
        <v>1579</v>
      </c>
      <c r="C410" s="1">
        <v>42719</v>
      </c>
      <c r="D410" s="1">
        <v>42726</v>
      </c>
      <c r="E410" t="s">
        <v>46</v>
      </c>
      <c r="F410" t="s">
        <v>822</v>
      </c>
      <c r="G410" t="s">
        <v>823</v>
      </c>
      <c r="H410" t="s">
        <v>22</v>
      </c>
      <c r="I410" t="s">
        <v>23</v>
      </c>
      <c r="J410" t="s">
        <v>91</v>
      </c>
      <c r="K410" t="s">
        <v>92</v>
      </c>
      <c r="L410">
        <v>98115</v>
      </c>
      <c r="M410" t="s">
        <v>40</v>
      </c>
      <c r="N410" t="s">
        <v>1580</v>
      </c>
      <c r="O410" t="s">
        <v>42</v>
      </c>
      <c r="P410" t="s">
        <v>74</v>
      </c>
      <c r="Q410" t="s">
        <v>1581</v>
      </c>
      <c r="R410">
        <v>103.92</v>
      </c>
      <c r="S410" t="str">
        <f>TEXT(sales_data[[#This Row],[Order Date]],"mm")</f>
        <v>12</v>
      </c>
      <c r="T410">
        <f>YEAR(sales_data[[#This Row],[Order Date]])</f>
        <v>2016</v>
      </c>
      <c r="U410" s="7" t="s">
        <v>3683</v>
      </c>
      <c r="V410" t="s">
        <v>1580</v>
      </c>
    </row>
    <row r="411" spans="1:22" x14ac:dyDescent="0.35">
      <c r="A411">
        <v>461</v>
      </c>
      <c r="B411" t="s">
        <v>1579</v>
      </c>
      <c r="C411" s="1">
        <v>42719</v>
      </c>
      <c r="D411" s="1">
        <v>42726</v>
      </c>
      <c r="E411" t="s">
        <v>46</v>
      </c>
      <c r="F411" t="s">
        <v>822</v>
      </c>
      <c r="G411" t="s">
        <v>823</v>
      </c>
      <c r="H411" t="s">
        <v>22</v>
      </c>
      <c r="I411" t="s">
        <v>23</v>
      </c>
      <c r="J411" t="s">
        <v>91</v>
      </c>
      <c r="K411" t="s">
        <v>92</v>
      </c>
      <c r="L411">
        <v>98115</v>
      </c>
      <c r="M411" t="s">
        <v>40</v>
      </c>
      <c r="N411" t="s">
        <v>1582</v>
      </c>
      <c r="O411" t="s">
        <v>67</v>
      </c>
      <c r="P411" t="s">
        <v>156</v>
      </c>
      <c r="Q411" t="s">
        <v>1583</v>
      </c>
      <c r="R411">
        <v>899.91</v>
      </c>
      <c r="S411" t="str">
        <f>TEXT(sales_data[[#This Row],[Order Date]],"mm")</f>
        <v>12</v>
      </c>
      <c r="T411">
        <f>YEAR(sales_data[[#This Row],[Order Date]])</f>
        <v>2016</v>
      </c>
      <c r="U411" s="8" t="s">
        <v>3692</v>
      </c>
      <c r="V411" t="s">
        <v>1582</v>
      </c>
    </row>
    <row r="412" spans="1:22" x14ac:dyDescent="0.35">
      <c r="A412">
        <v>462</v>
      </c>
      <c r="B412" t="s">
        <v>1579</v>
      </c>
      <c r="C412" s="1">
        <v>42719</v>
      </c>
      <c r="D412" s="1">
        <v>42726</v>
      </c>
      <c r="E412" t="s">
        <v>46</v>
      </c>
      <c r="F412" t="s">
        <v>822</v>
      </c>
      <c r="G412" t="s">
        <v>823</v>
      </c>
      <c r="H412" t="s">
        <v>22</v>
      </c>
      <c r="I412" t="s">
        <v>23</v>
      </c>
      <c r="J412" t="s">
        <v>91</v>
      </c>
      <c r="K412" t="s">
        <v>92</v>
      </c>
      <c r="L412">
        <v>98115</v>
      </c>
      <c r="M412" t="s">
        <v>40</v>
      </c>
      <c r="N412" t="s">
        <v>1584</v>
      </c>
      <c r="O412" t="s">
        <v>42</v>
      </c>
      <c r="P412" t="s">
        <v>71</v>
      </c>
      <c r="Q412" t="s">
        <v>1585</v>
      </c>
      <c r="R412">
        <v>51.311999999999998</v>
      </c>
      <c r="S412" t="str">
        <f>TEXT(sales_data[[#This Row],[Order Date]],"mm")</f>
        <v>12</v>
      </c>
      <c r="T412">
        <f>YEAR(sales_data[[#This Row],[Order Date]])</f>
        <v>2016</v>
      </c>
      <c r="U412" s="7" t="s">
        <v>3703</v>
      </c>
      <c r="V412" t="s">
        <v>1584</v>
      </c>
    </row>
    <row r="413" spans="1:22" x14ac:dyDescent="0.35">
      <c r="A413">
        <v>464</v>
      </c>
      <c r="B413" t="s">
        <v>1586</v>
      </c>
      <c r="C413" s="1">
        <v>42847</v>
      </c>
      <c r="D413" s="1">
        <v>42854</v>
      </c>
      <c r="E413" t="s">
        <v>46</v>
      </c>
      <c r="F413" t="s">
        <v>1587</v>
      </c>
      <c r="G413" t="s">
        <v>1588</v>
      </c>
      <c r="H413" t="s">
        <v>98</v>
      </c>
      <c r="I413" t="s">
        <v>23</v>
      </c>
      <c r="J413" t="s">
        <v>539</v>
      </c>
      <c r="K413" t="s">
        <v>305</v>
      </c>
      <c r="L413">
        <v>85023</v>
      </c>
      <c r="M413" t="s">
        <v>40</v>
      </c>
      <c r="N413" t="s">
        <v>1589</v>
      </c>
      <c r="O413" t="s">
        <v>28</v>
      </c>
      <c r="P413" t="s">
        <v>52</v>
      </c>
      <c r="Q413" t="s">
        <v>1590</v>
      </c>
      <c r="R413">
        <v>1272.6300000000001</v>
      </c>
      <c r="S413" t="str">
        <f>TEXT(sales_data[[#This Row],[Order Date]],"mm")</f>
        <v>04</v>
      </c>
      <c r="T413">
        <f>YEAR(sales_data[[#This Row],[Order Date]])</f>
        <v>2017</v>
      </c>
      <c r="U413" s="8" t="s">
        <v>3717</v>
      </c>
      <c r="V413" t="s">
        <v>1589</v>
      </c>
    </row>
    <row r="414" spans="1:22" x14ac:dyDescent="0.35">
      <c r="A414">
        <v>465</v>
      </c>
      <c r="B414" t="s">
        <v>1586</v>
      </c>
      <c r="C414" s="1">
        <v>42847</v>
      </c>
      <c r="D414" s="1">
        <v>42854</v>
      </c>
      <c r="E414" t="s">
        <v>46</v>
      </c>
      <c r="F414" t="s">
        <v>1587</v>
      </c>
      <c r="G414" t="s">
        <v>1588</v>
      </c>
      <c r="H414" t="s">
        <v>98</v>
      </c>
      <c r="I414" t="s">
        <v>23</v>
      </c>
      <c r="J414" t="s">
        <v>539</v>
      </c>
      <c r="K414" t="s">
        <v>305</v>
      </c>
      <c r="L414">
        <v>85023</v>
      </c>
      <c r="M414" t="s">
        <v>40</v>
      </c>
      <c r="N414" t="s">
        <v>1591</v>
      </c>
      <c r="O414" t="s">
        <v>42</v>
      </c>
      <c r="P414" t="s">
        <v>71</v>
      </c>
      <c r="Q414" t="s">
        <v>1592</v>
      </c>
      <c r="R414">
        <v>28.484999999999999</v>
      </c>
      <c r="S414" t="str">
        <f>TEXT(sales_data[[#This Row],[Order Date]],"mm")</f>
        <v>04</v>
      </c>
      <c r="T414">
        <f>YEAR(sales_data[[#This Row],[Order Date]])</f>
        <v>2017</v>
      </c>
      <c r="U414" s="8" t="s">
        <v>3718</v>
      </c>
      <c r="V414" t="s">
        <v>1591</v>
      </c>
    </row>
    <row r="415" spans="1:22" x14ac:dyDescent="0.35">
      <c r="A415">
        <v>466</v>
      </c>
      <c r="B415" t="s">
        <v>1586</v>
      </c>
      <c r="C415" s="1">
        <v>42847</v>
      </c>
      <c r="D415" s="1">
        <v>42854</v>
      </c>
      <c r="E415" t="s">
        <v>46</v>
      </c>
      <c r="F415" t="s">
        <v>1587</v>
      </c>
      <c r="G415" t="s">
        <v>1588</v>
      </c>
      <c r="H415" t="s">
        <v>98</v>
      </c>
      <c r="I415" t="s">
        <v>23</v>
      </c>
      <c r="J415" t="s">
        <v>539</v>
      </c>
      <c r="K415" t="s">
        <v>305</v>
      </c>
      <c r="L415">
        <v>85023</v>
      </c>
      <c r="M415" t="s">
        <v>40</v>
      </c>
      <c r="N415" t="s">
        <v>1593</v>
      </c>
      <c r="O415" t="s">
        <v>42</v>
      </c>
      <c r="P415" t="s">
        <v>573</v>
      </c>
      <c r="Q415" t="s">
        <v>1594</v>
      </c>
      <c r="R415">
        <v>185.376</v>
      </c>
      <c r="S415" t="str">
        <f>TEXT(sales_data[[#This Row],[Order Date]],"mm")</f>
        <v>04</v>
      </c>
      <c r="T415">
        <f>YEAR(sales_data[[#This Row],[Order Date]])</f>
        <v>2017</v>
      </c>
      <c r="U415" s="8" t="s">
        <v>3731</v>
      </c>
      <c r="V415" t="s">
        <v>1593</v>
      </c>
    </row>
    <row r="416" spans="1:22" x14ac:dyDescent="0.35">
      <c r="A416">
        <v>467</v>
      </c>
      <c r="B416" t="s">
        <v>1586</v>
      </c>
      <c r="C416" s="1">
        <v>42847</v>
      </c>
      <c r="D416" s="1">
        <v>42854</v>
      </c>
      <c r="E416" t="s">
        <v>46</v>
      </c>
      <c r="F416" t="s">
        <v>1587</v>
      </c>
      <c r="G416" t="s">
        <v>1588</v>
      </c>
      <c r="H416" t="s">
        <v>98</v>
      </c>
      <c r="I416" t="s">
        <v>23</v>
      </c>
      <c r="J416" t="s">
        <v>539</v>
      </c>
      <c r="K416" t="s">
        <v>305</v>
      </c>
      <c r="L416">
        <v>85023</v>
      </c>
      <c r="M416" t="s">
        <v>40</v>
      </c>
      <c r="N416" t="s">
        <v>1595</v>
      </c>
      <c r="O416" t="s">
        <v>42</v>
      </c>
      <c r="P416" t="s">
        <v>74</v>
      </c>
      <c r="Q416" t="s">
        <v>1596</v>
      </c>
      <c r="R416">
        <v>78.272000000000006</v>
      </c>
      <c r="S416" t="str">
        <f>TEXT(sales_data[[#This Row],[Order Date]],"mm")</f>
        <v>04</v>
      </c>
      <c r="T416">
        <f>YEAR(sales_data[[#This Row],[Order Date]])</f>
        <v>2017</v>
      </c>
      <c r="U416" s="8" t="s">
        <v>3736</v>
      </c>
      <c r="V416" t="s">
        <v>1595</v>
      </c>
    </row>
    <row r="417" spans="1:22" x14ac:dyDescent="0.35">
      <c r="A417">
        <v>469</v>
      </c>
      <c r="B417" t="s">
        <v>1599</v>
      </c>
      <c r="C417" s="1">
        <v>43190</v>
      </c>
      <c r="D417" s="1">
        <v>43194</v>
      </c>
      <c r="E417" t="s">
        <v>46</v>
      </c>
      <c r="F417" t="s">
        <v>870</v>
      </c>
      <c r="G417" t="s">
        <v>871</v>
      </c>
      <c r="H417" t="s">
        <v>37</v>
      </c>
      <c r="I417" t="s">
        <v>23</v>
      </c>
      <c r="J417" t="s">
        <v>1600</v>
      </c>
      <c r="K417" t="s">
        <v>100</v>
      </c>
      <c r="L417">
        <v>79109</v>
      </c>
      <c r="M417" t="s">
        <v>101</v>
      </c>
      <c r="N417" t="s">
        <v>1601</v>
      </c>
      <c r="O417" t="s">
        <v>28</v>
      </c>
      <c r="P417" t="s">
        <v>29</v>
      </c>
      <c r="Q417" t="s">
        <v>1602</v>
      </c>
      <c r="R417">
        <v>205.33279999999999</v>
      </c>
      <c r="S417" t="str">
        <f>TEXT(sales_data[[#This Row],[Order Date]],"mm")</f>
        <v>03</v>
      </c>
      <c r="T417">
        <f>YEAR(sales_data[[#This Row],[Order Date]])</f>
        <v>2018</v>
      </c>
      <c r="U417" s="8" t="s">
        <v>3750</v>
      </c>
      <c r="V417" t="s">
        <v>1601</v>
      </c>
    </row>
    <row r="418" spans="1:22" x14ac:dyDescent="0.35">
      <c r="A418">
        <v>470</v>
      </c>
      <c r="B418" t="s">
        <v>1603</v>
      </c>
      <c r="C418" s="1">
        <v>43085</v>
      </c>
      <c r="D418" s="1">
        <v>43089</v>
      </c>
      <c r="E418" t="s">
        <v>19</v>
      </c>
      <c r="F418" t="s">
        <v>958</v>
      </c>
      <c r="G418" t="s">
        <v>959</v>
      </c>
      <c r="H418" t="s">
        <v>22</v>
      </c>
      <c r="I418" t="s">
        <v>23</v>
      </c>
      <c r="J418" t="s">
        <v>298</v>
      </c>
      <c r="K418" t="s">
        <v>206</v>
      </c>
      <c r="L418">
        <v>60610</v>
      </c>
      <c r="M418" t="s">
        <v>101</v>
      </c>
      <c r="N418" t="s">
        <v>1604</v>
      </c>
      <c r="O418" t="s">
        <v>42</v>
      </c>
      <c r="P418" t="s">
        <v>71</v>
      </c>
      <c r="Q418" t="s">
        <v>1605</v>
      </c>
      <c r="R418">
        <v>4.7880000000000003</v>
      </c>
      <c r="S418" t="str">
        <f>TEXT(sales_data[[#This Row],[Order Date]],"mm")</f>
        <v>12</v>
      </c>
      <c r="T418">
        <f>YEAR(sales_data[[#This Row],[Order Date]])</f>
        <v>2017</v>
      </c>
      <c r="U418" s="7" t="s">
        <v>3757</v>
      </c>
      <c r="V418" t="s">
        <v>1604</v>
      </c>
    </row>
    <row r="419" spans="1:22" x14ac:dyDescent="0.35">
      <c r="A419">
        <v>471</v>
      </c>
      <c r="B419" t="s">
        <v>1606</v>
      </c>
      <c r="C419" s="1">
        <v>42724</v>
      </c>
      <c r="D419" s="1">
        <v>42728</v>
      </c>
      <c r="E419" t="s">
        <v>46</v>
      </c>
      <c r="F419" t="s">
        <v>1607</v>
      </c>
      <c r="G419" t="s">
        <v>1608</v>
      </c>
      <c r="H419" t="s">
        <v>37</v>
      </c>
      <c r="I419" t="s">
        <v>23</v>
      </c>
      <c r="J419" t="s">
        <v>1609</v>
      </c>
      <c r="K419" t="s">
        <v>262</v>
      </c>
      <c r="L419">
        <v>11757</v>
      </c>
      <c r="M419" t="s">
        <v>144</v>
      </c>
      <c r="N419" t="s">
        <v>1610</v>
      </c>
      <c r="O419" t="s">
        <v>42</v>
      </c>
      <c r="P419" t="s">
        <v>86</v>
      </c>
      <c r="Q419" t="s">
        <v>1611</v>
      </c>
      <c r="R419">
        <v>55.48</v>
      </c>
      <c r="S419" t="str">
        <f>TEXT(sales_data[[#This Row],[Order Date]],"mm")</f>
        <v>12</v>
      </c>
      <c r="T419">
        <f>YEAR(sales_data[[#This Row],[Order Date]])</f>
        <v>2016</v>
      </c>
      <c r="U419" s="8" t="s">
        <v>3758</v>
      </c>
      <c r="V419" t="s">
        <v>1610</v>
      </c>
    </row>
    <row r="420" spans="1:22" x14ac:dyDescent="0.35">
      <c r="A420">
        <v>472</v>
      </c>
      <c r="B420" t="s">
        <v>1612</v>
      </c>
      <c r="C420" s="1">
        <v>42317</v>
      </c>
      <c r="D420" s="1">
        <v>42319</v>
      </c>
      <c r="E420" t="s">
        <v>19</v>
      </c>
      <c r="F420" t="s">
        <v>1613</v>
      </c>
      <c r="G420" t="s">
        <v>1614</v>
      </c>
      <c r="H420" t="s">
        <v>22</v>
      </c>
      <c r="I420" t="s">
        <v>23</v>
      </c>
      <c r="J420" t="s">
        <v>123</v>
      </c>
      <c r="K420" t="s">
        <v>39</v>
      </c>
      <c r="L420">
        <v>94110</v>
      </c>
      <c r="M420" t="s">
        <v>40</v>
      </c>
      <c r="N420" t="s">
        <v>1615</v>
      </c>
      <c r="O420" t="s">
        <v>42</v>
      </c>
      <c r="P420" t="s">
        <v>55</v>
      </c>
      <c r="Q420" t="s">
        <v>1616</v>
      </c>
      <c r="R420">
        <v>340.92</v>
      </c>
      <c r="S420" t="str">
        <f>TEXT(sales_data[[#This Row],[Order Date]],"mm")</f>
        <v>11</v>
      </c>
      <c r="T420">
        <f>YEAR(sales_data[[#This Row],[Order Date]])</f>
        <v>2015</v>
      </c>
      <c r="U420" s="8" t="s">
        <v>3769</v>
      </c>
      <c r="V420" t="s">
        <v>1615</v>
      </c>
    </row>
    <row r="421" spans="1:22" x14ac:dyDescent="0.35">
      <c r="A421">
        <v>473</v>
      </c>
      <c r="B421" t="s">
        <v>1612</v>
      </c>
      <c r="C421" s="1">
        <v>42317</v>
      </c>
      <c r="D421" s="1">
        <v>42319</v>
      </c>
      <c r="E421" t="s">
        <v>19</v>
      </c>
      <c r="F421" t="s">
        <v>1613</v>
      </c>
      <c r="G421" t="s">
        <v>1614</v>
      </c>
      <c r="H421" t="s">
        <v>22</v>
      </c>
      <c r="I421" t="s">
        <v>23</v>
      </c>
      <c r="J421" t="s">
        <v>123</v>
      </c>
      <c r="K421" t="s">
        <v>39</v>
      </c>
      <c r="L421">
        <v>94110</v>
      </c>
      <c r="M421" t="s">
        <v>40</v>
      </c>
      <c r="N421" t="s">
        <v>1617</v>
      </c>
      <c r="O421" t="s">
        <v>28</v>
      </c>
      <c r="P421" t="s">
        <v>29</v>
      </c>
      <c r="Q421" t="s">
        <v>1618</v>
      </c>
      <c r="R421">
        <v>222.666</v>
      </c>
      <c r="S421" t="str">
        <f>TEXT(sales_data[[#This Row],[Order Date]],"mm")</f>
        <v>11</v>
      </c>
      <c r="T421">
        <f>YEAR(sales_data[[#This Row],[Order Date]])</f>
        <v>2015</v>
      </c>
      <c r="U421" s="8" t="s">
        <v>3775</v>
      </c>
      <c r="V421" t="s">
        <v>1617</v>
      </c>
    </row>
    <row r="422" spans="1:22" x14ac:dyDescent="0.35">
      <c r="A422">
        <v>474</v>
      </c>
      <c r="B422" t="s">
        <v>1612</v>
      </c>
      <c r="C422" s="1">
        <v>42317</v>
      </c>
      <c r="D422" s="1">
        <v>42319</v>
      </c>
      <c r="E422" t="s">
        <v>19</v>
      </c>
      <c r="F422" t="s">
        <v>1613</v>
      </c>
      <c r="G422" t="s">
        <v>1614</v>
      </c>
      <c r="H422" t="s">
        <v>22</v>
      </c>
      <c r="I422" t="s">
        <v>23</v>
      </c>
      <c r="J422" t="s">
        <v>123</v>
      </c>
      <c r="K422" t="s">
        <v>39</v>
      </c>
      <c r="L422">
        <v>94110</v>
      </c>
      <c r="M422" t="s">
        <v>40</v>
      </c>
      <c r="N422" t="s">
        <v>1619</v>
      </c>
      <c r="O422" t="s">
        <v>67</v>
      </c>
      <c r="P422" t="s">
        <v>68</v>
      </c>
      <c r="Q422" t="s">
        <v>1620</v>
      </c>
      <c r="R422">
        <v>703.96799999999996</v>
      </c>
      <c r="S422" t="str">
        <f>TEXT(sales_data[[#This Row],[Order Date]],"mm")</f>
        <v>11</v>
      </c>
      <c r="T422">
        <f>YEAR(sales_data[[#This Row],[Order Date]])</f>
        <v>2015</v>
      </c>
      <c r="U422" s="7" t="s">
        <v>3783</v>
      </c>
      <c r="V422" t="s">
        <v>1619</v>
      </c>
    </row>
    <row r="423" spans="1:22" x14ac:dyDescent="0.35">
      <c r="A423">
        <v>475</v>
      </c>
      <c r="B423" t="s">
        <v>1612</v>
      </c>
      <c r="C423" s="1">
        <v>42317</v>
      </c>
      <c r="D423" s="1">
        <v>42319</v>
      </c>
      <c r="E423" t="s">
        <v>19</v>
      </c>
      <c r="F423" t="s">
        <v>1613</v>
      </c>
      <c r="G423" t="s">
        <v>1614</v>
      </c>
      <c r="H423" t="s">
        <v>22</v>
      </c>
      <c r="I423" t="s">
        <v>23</v>
      </c>
      <c r="J423" t="s">
        <v>123</v>
      </c>
      <c r="K423" t="s">
        <v>39</v>
      </c>
      <c r="L423">
        <v>94110</v>
      </c>
      <c r="M423" t="s">
        <v>40</v>
      </c>
      <c r="N423" t="s">
        <v>1621</v>
      </c>
      <c r="O423" t="s">
        <v>42</v>
      </c>
      <c r="P423" t="s">
        <v>55</v>
      </c>
      <c r="Q423" t="s">
        <v>1622</v>
      </c>
      <c r="R423">
        <v>92.52</v>
      </c>
      <c r="S423" t="str">
        <f>TEXT(sales_data[[#This Row],[Order Date]],"mm")</f>
        <v>11</v>
      </c>
      <c r="T423">
        <f>YEAR(sales_data[[#This Row],[Order Date]])</f>
        <v>2015</v>
      </c>
      <c r="U423" s="8" t="s">
        <v>3800</v>
      </c>
      <c r="V423" t="s">
        <v>1621</v>
      </c>
    </row>
    <row r="424" spans="1:22" x14ac:dyDescent="0.35">
      <c r="A424">
        <v>476</v>
      </c>
      <c r="B424" t="s">
        <v>1612</v>
      </c>
      <c r="C424" s="1">
        <v>42317</v>
      </c>
      <c r="D424" s="1">
        <v>42319</v>
      </c>
      <c r="E424" t="s">
        <v>19</v>
      </c>
      <c r="F424" t="s">
        <v>1613</v>
      </c>
      <c r="G424" t="s">
        <v>1614</v>
      </c>
      <c r="H424" t="s">
        <v>22</v>
      </c>
      <c r="I424" t="s">
        <v>23</v>
      </c>
      <c r="J424" t="s">
        <v>123</v>
      </c>
      <c r="K424" t="s">
        <v>39</v>
      </c>
      <c r="L424">
        <v>94110</v>
      </c>
      <c r="M424" t="s">
        <v>40</v>
      </c>
      <c r="N424" t="s">
        <v>1623</v>
      </c>
      <c r="O424" t="s">
        <v>42</v>
      </c>
      <c r="P424" t="s">
        <v>86</v>
      </c>
      <c r="Q424" t="s">
        <v>1624</v>
      </c>
      <c r="R424">
        <v>62.65</v>
      </c>
      <c r="S424" t="str">
        <f>TEXT(sales_data[[#This Row],[Order Date]],"mm")</f>
        <v>11</v>
      </c>
      <c r="T424">
        <f>YEAR(sales_data[[#This Row],[Order Date]])</f>
        <v>2015</v>
      </c>
      <c r="U424" s="8" t="s">
        <v>3804</v>
      </c>
      <c r="V424" t="s">
        <v>1623</v>
      </c>
    </row>
    <row r="425" spans="1:22" x14ac:dyDescent="0.35">
      <c r="A425">
        <v>477</v>
      </c>
      <c r="B425" t="s">
        <v>1612</v>
      </c>
      <c r="C425" s="1">
        <v>42317</v>
      </c>
      <c r="D425" s="1">
        <v>42319</v>
      </c>
      <c r="E425" t="s">
        <v>19</v>
      </c>
      <c r="F425" t="s">
        <v>1613</v>
      </c>
      <c r="G425" t="s">
        <v>1614</v>
      </c>
      <c r="H425" t="s">
        <v>22</v>
      </c>
      <c r="I425" t="s">
        <v>23</v>
      </c>
      <c r="J425" t="s">
        <v>123</v>
      </c>
      <c r="K425" t="s">
        <v>39</v>
      </c>
      <c r="L425">
        <v>94110</v>
      </c>
      <c r="M425" t="s">
        <v>40</v>
      </c>
      <c r="N425" t="s">
        <v>1625</v>
      </c>
      <c r="O425" t="s">
        <v>42</v>
      </c>
      <c r="P425" t="s">
        <v>86</v>
      </c>
      <c r="Q425" t="s">
        <v>1626</v>
      </c>
      <c r="R425">
        <v>94.85</v>
      </c>
      <c r="S425" t="str">
        <f>TEXT(sales_data[[#This Row],[Order Date]],"mm")</f>
        <v>11</v>
      </c>
      <c r="T425">
        <f>YEAR(sales_data[[#This Row],[Order Date]])</f>
        <v>2015</v>
      </c>
      <c r="U425" s="8" t="s">
        <v>3810</v>
      </c>
      <c r="V425" t="s">
        <v>1625</v>
      </c>
    </row>
    <row r="426" spans="1:22" x14ac:dyDescent="0.35">
      <c r="A426">
        <v>478</v>
      </c>
      <c r="B426" t="s">
        <v>1627</v>
      </c>
      <c r="C426" s="1">
        <v>42928</v>
      </c>
      <c r="D426" s="1">
        <v>42935</v>
      </c>
      <c r="E426" t="s">
        <v>46</v>
      </c>
      <c r="F426" t="s">
        <v>1006</v>
      </c>
      <c r="G426" t="s">
        <v>1007</v>
      </c>
      <c r="H426" t="s">
        <v>37</v>
      </c>
      <c r="I426" t="s">
        <v>23</v>
      </c>
      <c r="J426" t="s">
        <v>38</v>
      </c>
      <c r="K426" t="s">
        <v>39</v>
      </c>
      <c r="L426">
        <v>90008</v>
      </c>
      <c r="M426" t="s">
        <v>40</v>
      </c>
      <c r="N426" t="s">
        <v>1628</v>
      </c>
      <c r="O426" t="s">
        <v>67</v>
      </c>
      <c r="P426" t="s">
        <v>68</v>
      </c>
      <c r="Q426" t="s">
        <v>1629</v>
      </c>
      <c r="R426">
        <v>95.76</v>
      </c>
      <c r="S426" t="str">
        <f>TEXT(sales_data[[#This Row],[Order Date]],"mm")</f>
        <v>07</v>
      </c>
      <c r="T426">
        <f>YEAR(sales_data[[#This Row],[Order Date]])</f>
        <v>2017</v>
      </c>
      <c r="U426" s="7" t="s">
        <v>3812</v>
      </c>
      <c r="V426" t="s">
        <v>1628</v>
      </c>
    </row>
    <row r="427" spans="1:22" x14ac:dyDescent="0.35">
      <c r="A427">
        <v>480</v>
      </c>
      <c r="B427" t="s">
        <v>1632</v>
      </c>
      <c r="C427" s="1">
        <v>42912</v>
      </c>
      <c r="D427" s="1">
        <v>42918</v>
      </c>
      <c r="E427" t="s">
        <v>46</v>
      </c>
      <c r="F427" t="s">
        <v>1633</v>
      </c>
      <c r="G427" t="s">
        <v>1634</v>
      </c>
      <c r="H427" t="s">
        <v>37</v>
      </c>
      <c r="I427" t="s">
        <v>23</v>
      </c>
      <c r="J427" t="s">
        <v>261</v>
      </c>
      <c r="K427" t="s">
        <v>262</v>
      </c>
      <c r="L427">
        <v>10024</v>
      </c>
      <c r="M427" t="s">
        <v>144</v>
      </c>
      <c r="N427" t="s">
        <v>1635</v>
      </c>
      <c r="O427" t="s">
        <v>42</v>
      </c>
      <c r="P427" t="s">
        <v>64</v>
      </c>
      <c r="Q427" t="s">
        <v>1636</v>
      </c>
      <c r="R427">
        <v>14.7</v>
      </c>
      <c r="S427" t="str">
        <f>TEXT(sales_data[[#This Row],[Order Date]],"mm")</f>
        <v>06</v>
      </c>
      <c r="T427">
        <f>YEAR(sales_data[[#This Row],[Order Date]])</f>
        <v>2017</v>
      </c>
      <c r="U427" s="7" t="s">
        <v>3818</v>
      </c>
      <c r="V427" t="s">
        <v>1635</v>
      </c>
    </row>
    <row r="428" spans="1:22" x14ac:dyDescent="0.35">
      <c r="A428">
        <v>481</v>
      </c>
      <c r="B428" t="s">
        <v>1632</v>
      </c>
      <c r="C428" s="1">
        <v>42912</v>
      </c>
      <c r="D428" s="1">
        <v>42918</v>
      </c>
      <c r="E428" t="s">
        <v>46</v>
      </c>
      <c r="F428" t="s">
        <v>1633</v>
      </c>
      <c r="G428" t="s">
        <v>1634</v>
      </c>
      <c r="H428" t="s">
        <v>37</v>
      </c>
      <c r="I428" t="s">
        <v>23</v>
      </c>
      <c r="J428" t="s">
        <v>261</v>
      </c>
      <c r="K428" t="s">
        <v>262</v>
      </c>
      <c r="L428">
        <v>10024</v>
      </c>
      <c r="M428" t="s">
        <v>144</v>
      </c>
      <c r="N428" t="s">
        <v>1637</v>
      </c>
      <c r="O428" t="s">
        <v>42</v>
      </c>
      <c r="P428" t="s">
        <v>55</v>
      </c>
      <c r="Q428" t="s">
        <v>1638</v>
      </c>
      <c r="R428">
        <v>704.25</v>
      </c>
      <c r="S428" t="str">
        <f>TEXT(sales_data[[#This Row],[Order Date]],"mm")</f>
        <v>06</v>
      </c>
      <c r="T428">
        <f>YEAR(sales_data[[#This Row],[Order Date]])</f>
        <v>2017</v>
      </c>
      <c r="U428" s="8" t="s">
        <v>3830</v>
      </c>
      <c r="V428" t="s">
        <v>1637</v>
      </c>
    </row>
    <row r="429" spans="1:22" x14ac:dyDescent="0.35">
      <c r="A429">
        <v>482</v>
      </c>
      <c r="B429" t="s">
        <v>1639</v>
      </c>
      <c r="C429" s="1">
        <v>42283</v>
      </c>
      <c r="D429" s="1">
        <v>42287</v>
      </c>
      <c r="E429" t="s">
        <v>46</v>
      </c>
      <c r="F429" t="s">
        <v>1640</v>
      </c>
      <c r="G429" t="s">
        <v>1641</v>
      </c>
      <c r="H429" t="s">
        <v>22</v>
      </c>
      <c r="I429" t="s">
        <v>23</v>
      </c>
      <c r="J429" t="s">
        <v>940</v>
      </c>
      <c r="K429" t="s">
        <v>39</v>
      </c>
      <c r="L429">
        <v>92024</v>
      </c>
      <c r="M429" t="s">
        <v>40</v>
      </c>
      <c r="N429" t="s">
        <v>1642</v>
      </c>
      <c r="O429" t="s">
        <v>67</v>
      </c>
      <c r="P429" t="s">
        <v>156</v>
      </c>
      <c r="Q429" t="s">
        <v>1643</v>
      </c>
      <c r="R429">
        <v>9.09</v>
      </c>
      <c r="S429" t="str">
        <f>TEXT(sales_data[[#This Row],[Order Date]],"mm")</f>
        <v>10</v>
      </c>
      <c r="T429">
        <f>YEAR(sales_data[[#This Row],[Order Date]])</f>
        <v>2015</v>
      </c>
      <c r="U429" s="8" t="s">
        <v>3834</v>
      </c>
      <c r="V429" t="s">
        <v>1642</v>
      </c>
    </row>
    <row r="430" spans="1:22" x14ac:dyDescent="0.35">
      <c r="A430">
        <v>484</v>
      </c>
      <c r="B430" t="s">
        <v>1644</v>
      </c>
      <c r="C430" s="1">
        <v>42207</v>
      </c>
      <c r="D430" s="1">
        <v>42212</v>
      </c>
      <c r="E430" t="s">
        <v>46</v>
      </c>
      <c r="F430" t="s">
        <v>1645</v>
      </c>
      <c r="G430" t="s">
        <v>1646</v>
      </c>
      <c r="H430" t="s">
        <v>22</v>
      </c>
      <c r="I430" t="s">
        <v>23</v>
      </c>
      <c r="J430" t="s">
        <v>261</v>
      </c>
      <c r="K430" t="s">
        <v>262</v>
      </c>
      <c r="L430">
        <v>10024</v>
      </c>
      <c r="M430" t="s">
        <v>144</v>
      </c>
      <c r="N430" t="s">
        <v>1647</v>
      </c>
      <c r="O430" t="s">
        <v>67</v>
      </c>
      <c r="P430" t="s">
        <v>156</v>
      </c>
      <c r="Q430" t="s">
        <v>1648</v>
      </c>
      <c r="R430">
        <v>159.97999999999999</v>
      </c>
      <c r="S430" t="str">
        <f>TEXT(sales_data[[#This Row],[Order Date]],"mm")</f>
        <v>07</v>
      </c>
      <c r="T430">
        <f>YEAR(sales_data[[#This Row],[Order Date]])</f>
        <v>2015</v>
      </c>
      <c r="U430" s="7" t="s">
        <v>3846</v>
      </c>
      <c r="V430" t="s">
        <v>1647</v>
      </c>
    </row>
    <row r="431" spans="1:22" x14ac:dyDescent="0.35">
      <c r="A431">
        <v>485</v>
      </c>
      <c r="B431" t="s">
        <v>1649</v>
      </c>
      <c r="C431" s="1">
        <v>43261</v>
      </c>
      <c r="D431" s="1">
        <v>43264</v>
      </c>
      <c r="E431" t="s">
        <v>183</v>
      </c>
      <c r="F431" t="s">
        <v>1650</v>
      </c>
      <c r="G431" t="s">
        <v>1651</v>
      </c>
      <c r="H431" t="s">
        <v>98</v>
      </c>
      <c r="I431" t="s">
        <v>23</v>
      </c>
      <c r="J431" t="s">
        <v>38</v>
      </c>
      <c r="K431" t="s">
        <v>39</v>
      </c>
      <c r="L431">
        <v>90045</v>
      </c>
      <c r="M431" t="s">
        <v>40</v>
      </c>
      <c r="N431" t="s">
        <v>1652</v>
      </c>
      <c r="O431" t="s">
        <v>42</v>
      </c>
      <c r="P431" t="s">
        <v>43</v>
      </c>
      <c r="Q431" t="s">
        <v>1653</v>
      </c>
      <c r="R431">
        <v>29.6</v>
      </c>
      <c r="S431" t="str">
        <f>TEXT(sales_data[[#This Row],[Order Date]],"mm")</f>
        <v>06</v>
      </c>
      <c r="T431">
        <f>YEAR(sales_data[[#This Row],[Order Date]])</f>
        <v>2018</v>
      </c>
      <c r="U431" s="8" t="s">
        <v>3849</v>
      </c>
      <c r="V431" t="s">
        <v>1652</v>
      </c>
    </row>
    <row r="432" spans="1:22" x14ac:dyDescent="0.35">
      <c r="A432">
        <v>486</v>
      </c>
      <c r="B432" t="s">
        <v>1649</v>
      </c>
      <c r="C432" s="1">
        <v>43261</v>
      </c>
      <c r="D432" s="1">
        <v>43264</v>
      </c>
      <c r="E432" t="s">
        <v>183</v>
      </c>
      <c r="F432" t="s">
        <v>1650</v>
      </c>
      <c r="G432" t="s">
        <v>1651</v>
      </c>
      <c r="H432" t="s">
        <v>98</v>
      </c>
      <c r="I432" t="s">
        <v>23</v>
      </c>
      <c r="J432" t="s">
        <v>38</v>
      </c>
      <c r="K432" t="s">
        <v>39</v>
      </c>
      <c r="L432">
        <v>90045</v>
      </c>
      <c r="M432" t="s">
        <v>40</v>
      </c>
      <c r="N432" t="s">
        <v>1654</v>
      </c>
      <c r="O432" t="s">
        <v>28</v>
      </c>
      <c r="P432" t="s">
        <v>29</v>
      </c>
      <c r="Q432" t="s">
        <v>1655</v>
      </c>
      <c r="R432">
        <v>514.16499999999996</v>
      </c>
      <c r="S432" t="str">
        <f>TEXT(sales_data[[#This Row],[Order Date]],"mm")</f>
        <v>06</v>
      </c>
      <c r="T432">
        <f>YEAR(sales_data[[#This Row],[Order Date]])</f>
        <v>2018</v>
      </c>
      <c r="U432" s="7" t="s">
        <v>3854</v>
      </c>
      <c r="V432" t="s">
        <v>1654</v>
      </c>
    </row>
    <row r="433" spans="1:22" x14ac:dyDescent="0.35">
      <c r="A433">
        <v>487</v>
      </c>
      <c r="B433" t="s">
        <v>1649</v>
      </c>
      <c r="C433" s="1">
        <v>43261</v>
      </c>
      <c r="D433" s="1">
        <v>43264</v>
      </c>
      <c r="E433" t="s">
        <v>183</v>
      </c>
      <c r="F433" t="s">
        <v>1650</v>
      </c>
      <c r="G433" t="s">
        <v>1651</v>
      </c>
      <c r="H433" t="s">
        <v>98</v>
      </c>
      <c r="I433" t="s">
        <v>23</v>
      </c>
      <c r="J433" t="s">
        <v>38</v>
      </c>
      <c r="K433" t="s">
        <v>39</v>
      </c>
      <c r="L433">
        <v>90045</v>
      </c>
      <c r="M433" t="s">
        <v>40</v>
      </c>
      <c r="N433" t="s">
        <v>1656</v>
      </c>
      <c r="O433" t="s">
        <v>67</v>
      </c>
      <c r="P433" t="s">
        <v>68</v>
      </c>
      <c r="Q433" t="s">
        <v>1657</v>
      </c>
      <c r="R433">
        <v>279.95999999999998</v>
      </c>
      <c r="S433" t="str">
        <f>TEXT(sales_data[[#This Row],[Order Date]],"mm")</f>
        <v>06</v>
      </c>
      <c r="T433">
        <f>YEAR(sales_data[[#This Row],[Order Date]])</f>
        <v>2018</v>
      </c>
      <c r="U433" s="8" t="s">
        <v>3879</v>
      </c>
      <c r="V433" t="s">
        <v>1656</v>
      </c>
    </row>
    <row r="434" spans="1:22" x14ac:dyDescent="0.35">
      <c r="A434">
        <v>488</v>
      </c>
      <c r="B434" t="s">
        <v>1658</v>
      </c>
      <c r="C434" s="1">
        <v>42306</v>
      </c>
      <c r="D434" s="1">
        <v>42308</v>
      </c>
      <c r="E434" t="s">
        <v>183</v>
      </c>
      <c r="F434" t="s">
        <v>1659</v>
      </c>
      <c r="G434" t="s">
        <v>1660</v>
      </c>
      <c r="H434" t="s">
        <v>22</v>
      </c>
      <c r="I434" t="s">
        <v>23</v>
      </c>
      <c r="J434" t="s">
        <v>298</v>
      </c>
      <c r="K434" t="s">
        <v>206</v>
      </c>
      <c r="L434">
        <v>60610</v>
      </c>
      <c r="M434" t="s">
        <v>101</v>
      </c>
      <c r="N434" t="s">
        <v>1661</v>
      </c>
      <c r="O434" t="s">
        <v>67</v>
      </c>
      <c r="P434" t="s">
        <v>68</v>
      </c>
      <c r="Q434" t="s">
        <v>1662</v>
      </c>
      <c r="R434">
        <v>2735.9520000000002</v>
      </c>
      <c r="S434" t="str">
        <f>TEXT(sales_data[[#This Row],[Order Date]],"mm")</f>
        <v>10</v>
      </c>
      <c r="T434">
        <f>YEAR(sales_data[[#This Row],[Order Date]])</f>
        <v>2015</v>
      </c>
      <c r="U434" s="7" t="s">
        <v>3882</v>
      </c>
      <c r="V434" t="s">
        <v>1661</v>
      </c>
    </row>
    <row r="435" spans="1:22" x14ac:dyDescent="0.35">
      <c r="A435">
        <v>489</v>
      </c>
      <c r="B435" t="s">
        <v>1663</v>
      </c>
      <c r="C435" s="1">
        <v>42164</v>
      </c>
      <c r="D435" s="1">
        <v>42168</v>
      </c>
      <c r="E435" t="s">
        <v>19</v>
      </c>
      <c r="F435" t="s">
        <v>1664</v>
      </c>
      <c r="G435" t="s">
        <v>1665</v>
      </c>
      <c r="H435" t="s">
        <v>98</v>
      </c>
      <c r="I435" t="s">
        <v>23</v>
      </c>
      <c r="J435" t="s">
        <v>1666</v>
      </c>
      <c r="K435" t="s">
        <v>100</v>
      </c>
      <c r="L435">
        <v>77340</v>
      </c>
      <c r="M435" t="s">
        <v>101</v>
      </c>
      <c r="N435" t="s">
        <v>1667</v>
      </c>
      <c r="O435" t="s">
        <v>67</v>
      </c>
      <c r="P435" t="s">
        <v>68</v>
      </c>
      <c r="Q435" t="s">
        <v>1668</v>
      </c>
      <c r="R435">
        <v>7.992</v>
      </c>
      <c r="S435" t="str">
        <f>TEXT(sales_data[[#This Row],[Order Date]],"mm")</f>
        <v>06</v>
      </c>
      <c r="T435">
        <f>YEAR(sales_data[[#This Row],[Order Date]])</f>
        <v>2015</v>
      </c>
      <c r="U435" s="8" t="s">
        <v>3889</v>
      </c>
      <c r="V435" t="s">
        <v>1667</v>
      </c>
    </row>
    <row r="436" spans="1:22" x14ac:dyDescent="0.35">
      <c r="A436">
        <v>490</v>
      </c>
      <c r="B436" t="s">
        <v>1663</v>
      </c>
      <c r="C436" s="1">
        <v>42164</v>
      </c>
      <c r="D436" s="1">
        <v>42168</v>
      </c>
      <c r="E436" t="s">
        <v>19</v>
      </c>
      <c r="F436" t="s">
        <v>1664</v>
      </c>
      <c r="G436" t="s">
        <v>1665</v>
      </c>
      <c r="H436" t="s">
        <v>98</v>
      </c>
      <c r="I436" t="s">
        <v>23</v>
      </c>
      <c r="J436" t="s">
        <v>1666</v>
      </c>
      <c r="K436" t="s">
        <v>100</v>
      </c>
      <c r="L436">
        <v>77340</v>
      </c>
      <c r="M436" t="s">
        <v>101</v>
      </c>
      <c r="N436" t="s">
        <v>1669</v>
      </c>
      <c r="O436" t="s">
        <v>67</v>
      </c>
      <c r="P436" t="s">
        <v>156</v>
      </c>
      <c r="Q436" t="s">
        <v>1670</v>
      </c>
      <c r="R436">
        <v>63.984000000000002</v>
      </c>
      <c r="S436" t="str">
        <f>TEXT(sales_data[[#This Row],[Order Date]],"mm")</f>
        <v>06</v>
      </c>
      <c r="T436">
        <f>YEAR(sales_data[[#This Row],[Order Date]])</f>
        <v>2015</v>
      </c>
      <c r="U436" s="7" t="s">
        <v>3893</v>
      </c>
      <c r="V436" t="s">
        <v>1669</v>
      </c>
    </row>
    <row r="437" spans="1:22" x14ac:dyDescent="0.35">
      <c r="A437">
        <v>492</v>
      </c>
      <c r="B437" t="s">
        <v>1671</v>
      </c>
      <c r="C437" s="1">
        <v>42261</v>
      </c>
      <c r="D437" s="1">
        <v>42266</v>
      </c>
      <c r="E437" t="s">
        <v>46</v>
      </c>
      <c r="F437" t="s">
        <v>1672</v>
      </c>
      <c r="G437" t="s">
        <v>1673</v>
      </c>
      <c r="H437" t="s">
        <v>22</v>
      </c>
      <c r="I437" t="s">
        <v>23</v>
      </c>
      <c r="J437" t="s">
        <v>384</v>
      </c>
      <c r="K437" t="s">
        <v>262</v>
      </c>
      <c r="L437">
        <v>14609</v>
      </c>
      <c r="M437" t="s">
        <v>144</v>
      </c>
      <c r="N437" t="s">
        <v>1674</v>
      </c>
      <c r="O437" t="s">
        <v>42</v>
      </c>
      <c r="P437" t="s">
        <v>55</v>
      </c>
      <c r="Q437" t="s">
        <v>1675</v>
      </c>
      <c r="R437">
        <v>449.15</v>
      </c>
      <c r="S437" t="str">
        <f>TEXT(sales_data[[#This Row],[Order Date]],"mm")</f>
        <v>09</v>
      </c>
      <c r="T437">
        <f>YEAR(sales_data[[#This Row],[Order Date]])</f>
        <v>2015</v>
      </c>
      <c r="U437" s="7" t="s">
        <v>3907</v>
      </c>
      <c r="V437" t="s">
        <v>1674</v>
      </c>
    </row>
    <row r="438" spans="1:22" x14ac:dyDescent="0.35">
      <c r="A438">
        <v>493</v>
      </c>
      <c r="B438" t="s">
        <v>1671</v>
      </c>
      <c r="C438" s="1">
        <v>42261</v>
      </c>
      <c r="D438" s="1">
        <v>42266</v>
      </c>
      <c r="E438" t="s">
        <v>46</v>
      </c>
      <c r="F438" t="s">
        <v>1672</v>
      </c>
      <c r="G438" t="s">
        <v>1673</v>
      </c>
      <c r="H438" t="s">
        <v>22</v>
      </c>
      <c r="I438" t="s">
        <v>23</v>
      </c>
      <c r="J438" t="s">
        <v>384</v>
      </c>
      <c r="K438" t="s">
        <v>262</v>
      </c>
      <c r="L438">
        <v>14609</v>
      </c>
      <c r="M438" t="s">
        <v>144</v>
      </c>
      <c r="N438" t="s">
        <v>1676</v>
      </c>
      <c r="O438" t="s">
        <v>42</v>
      </c>
      <c r="P438" t="s">
        <v>168</v>
      </c>
      <c r="Q438" t="s">
        <v>1677</v>
      </c>
      <c r="R438">
        <v>11.07</v>
      </c>
      <c r="S438" t="str">
        <f>TEXT(sales_data[[#This Row],[Order Date]],"mm")</f>
        <v>09</v>
      </c>
      <c r="T438">
        <f>YEAR(sales_data[[#This Row],[Order Date]])</f>
        <v>2015</v>
      </c>
      <c r="U438" s="8" t="s">
        <v>3912</v>
      </c>
      <c r="V438" t="s">
        <v>1676</v>
      </c>
    </row>
    <row r="439" spans="1:22" x14ac:dyDescent="0.35">
      <c r="A439">
        <v>494</v>
      </c>
      <c r="B439" t="s">
        <v>1678</v>
      </c>
      <c r="C439" s="1">
        <v>42864</v>
      </c>
      <c r="D439" s="1">
        <v>42869</v>
      </c>
      <c r="E439" t="s">
        <v>46</v>
      </c>
      <c r="F439" t="s">
        <v>1679</v>
      </c>
      <c r="G439" t="s">
        <v>1680</v>
      </c>
      <c r="H439" t="s">
        <v>22</v>
      </c>
      <c r="I439" t="s">
        <v>23</v>
      </c>
      <c r="J439" t="s">
        <v>91</v>
      </c>
      <c r="K439" t="s">
        <v>92</v>
      </c>
      <c r="L439">
        <v>98115</v>
      </c>
      <c r="M439" t="s">
        <v>40</v>
      </c>
      <c r="N439" t="s">
        <v>1681</v>
      </c>
      <c r="O439" t="s">
        <v>67</v>
      </c>
      <c r="P439" t="s">
        <v>156</v>
      </c>
      <c r="Q439" t="s">
        <v>1682</v>
      </c>
      <c r="R439">
        <v>93.98</v>
      </c>
      <c r="S439" t="str">
        <f>TEXT(sales_data[[#This Row],[Order Date]],"mm")</f>
        <v>05</v>
      </c>
      <c r="T439">
        <f>YEAR(sales_data[[#This Row],[Order Date]])</f>
        <v>2017</v>
      </c>
      <c r="U439" s="8" t="s">
        <v>3915</v>
      </c>
      <c r="V439" t="s">
        <v>1681</v>
      </c>
    </row>
    <row r="440" spans="1:22" x14ac:dyDescent="0.35">
      <c r="A440">
        <v>495</v>
      </c>
      <c r="B440" t="s">
        <v>1683</v>
      </c>
      <c r="C440" s="1">
        <v>42812</v>
      </c>
      <c r="D440" s="1">
        <v>42815</v>
      </c>
      <c r="E440" t="s">
        <v>19</v>
      </c>
      <c r="F440" t="s">
        <v>1684</v>
      </c>
      <c r="G440" t="s">
        <v>1685</v>
      </c>
      <c r="H440" t="s">
        <v>22</v>
      </c>
      <c r="I440" t="s">
        <v>23</v>
      </c>
      <c r="J440" t="s">
        <v>329</v>
      </c>
      <c r="K440" t="s">
        <v>330</v>
      </c>
      <c r="L440">
        <v>38109</v>
      </c>
      <c r="M440" t="s">
        <v>26</v>
      </c>
      <c r="N440" t="s">
        <v>1686</v>
      </c>
      <c r="O440" t="s">
        <v>28</v>
      </c>
      <c r="P440" t="s">
        <v>52</v>
      </c>
      <c r="Q440" t="s">
        <v>1687</v>
      </c>
      <c r="R440">
        <v>189.88200000000001</v>
      </c>
      <c r="S440" t="str">
        <f>TEXT(sales_data[[#This Row],[Order Date]],"mm")</f>
        <v>03</v>
      </c>
      <c r="T440">
        <f>YEAR(sales_data[[#This Row],[Order Date]])</f>
        <v>2017</v>
      </c>
      <c r="U440" s="8" t="s">
        <v>3920</v>
      </c>
      <c r="V440" t="s">
        <v>1686</v>
      </c>
    </row>
    <row r="441" spans="1:22" x14ac:dyDescent="0.35">
      <c r="A441">
        <v>496</v>
      </c>
      <c r="B441" t="s">
        <v>1688</v>
      </c>
      <c r="C441" s="1">
        <v>42731</v>
      </c>
      <c r="D441" s="1">
        <v>42735</v>
      </c>
      <c r="E441" t="s">
        <v>46</v>
      </c>
      <c r="F441" t="s">
        <v>1689</v>
      </c>
      <c r="G441" t="s">
        <v>1690</v>
      </c>
      <c r="H441" t="s">
        <v>22</v>
      </c>
      <c r="I441" t="s">
        <v>23</v>
      </c>
      <c r="J441" t="s">
        <v>1691</v>
      </c>
      <c r="K441" t="s">
        <v>1692</v>
      </c>
      <c r="L441">
        <v>72701</v>
      </c>
      <c r="M441" t="s">
        <v>26</v>
      </c>
      <c r="N441" t="s">
        <v>1693</v>
      </c>
      <c r="O441" t="s">
        <v>42</v>
      </c>
      <c r="P441" t="s">
        <v>168</v>
      </c>
      <c r="Q441" t="s">
        <v>1694</v>
      </c>
      <c r="R441">
        <v>105.42</v>
      </c>
      <c r="S441" t="str">
        <f>TEXT(sales_data[[#This Row],[Order Date]],"mm")</f>
        <v>12</v>
      </c>
      <c r="T441">
        <f>YEAR(sales_data[[#This Row],[Order Date]])</f>
        <v>2016</v>
      </c>
      <c r="U441" s="8" t="s">
        <v>3925</v>
      </c>
      <c r="V441" t="s">
        <v>1693</v>
      </c>
    </row>
    <row r="442" spans="1:22" x14ac:dyDescent="0.35">
      <c r="A442">
        <v>497</v>
      </c>
      <c r="B442" t="s">
        <v>1695</v>
      </c>
      <c r="C442" s="1">
        <v>42941</v>
      </c>
      <c r="D442" s="1">
        <v>42947</v>
      </c>
      <c r="E442" t="s">
        <v>46</v>
      </c>
      <c r="F442" t="s">
        <v>1571</v>
      </c>
      <c r="G442" t="s">
        <v>1572</v>
      </c>
      <c r="H442" t="s">
        <v>22</v>
      </c>
      <c r="I442" t="s">
        <v>23</v>
      </c>
      <c r="J442" t="s">
        <v>1696</v>
      </c>
      <c r="K442" t="s">
        <v>39</v>
      </c>
      <c r="L442">
        <v>92627</v>
      </c>
      <c r="M442" t="s">
        <v>40</v>
      </c>
      <c r="N442" t="s">
        <v>1697</v>
      </c>
      <c r="O442" t="s">
        <v>42</v>
      </c>
      <c r="P442" t="s">
        <v>71</v>
      </c>
      <c r="Q442" t="s">
        <v>1698</v>
      </c>
      <c r="R442">
        <v>119.616</v>
      </c>
      <c r="S442" t="str">
        <f>TEXT(sales_data[[#This Row],[Order Date]],"mm")</f>
        <v>07</v>
      </c>
      <c r="T442">
        <f>YEAR(sales_data[[#This Row],[Order Date]])</f>
        <v>2017</v>
      </c>
      <c r="U442" s="8" t="s">
        <v>3926</v>
      </c>
      <c r="V442" t="s">
        <v>1697</v>
      </c>
    </row>
    <row r="443" spans="1:22" x14ac:dyDescent="0.35">
      <c r="A443">
        <v>498</v>
      </c>
      <c r="B443" t="s">
        <v>1695</v>
      </c>
      <c r="C443" s="1">
        <v>42941</v>
      </c>
      <c r="D443" s="1">
        <v>42947</v>
      </c>
      <c r="E443" t="s">
        <v>46</v>
      </c>
      <c r="F443" t="s">
        <v>1571</v>
      </c>
      <c r="G443" t="s">
        <v>1572</v>
      </c>
      <c r="H443" t="s">
        <v>22</v>
      </c>
      <c r="I443" t="s">
        <v>23</v>
      </c>
      <c r="J443" t="s">
        <v>1696</v>
      </c>
      <c r="K443" t="s">
        <v>39</v>
      </c>
      <c r="L443">
        <v>92627</v>
      </c>
      <c r="M443" t="s">
        <v>40</v>
      </c>
      <c r="N443" t="s">
        <v>1699</v>
      </c>
      <c r="O443" t="s">
        <v>28</v>
      </c>
      <c r="P443" t="s">
        <v>61</v>
      </c>
      <c r="Q443" t="s">
        <v>1700</v>
      </c>
      <c r="R443">
        <v>255.76</v>
      </c>
      <c r="S443" t="str">
        <f>TEXT(sales_data[[#This Row],[Order Date]],"mm")</f>
        <v>07</v>
      </c>
      <c r="T443">
        <f>YEAR(sales_data[[#This Row],[Order Date]])</f>
        <v>2017</v>
      </c>
      <c r="U443" s="8" t="s">
        <v>3932</v>
      </c>
      <c r="V443" t="s">
        <v>1699</v>
      </c>
    </row>
    <row r="444" spans="1:22" x14ac:dyDescent="0.35">
      <c r="A444">
        <v>500</v>
      </c>
      <c r="B444" t="s">
        <v>1695</v>
      </c>
      <c r="C444" s="1">
        <v>42941</v>
      </c>
      <c r="D444" s="1">
        <v>42947</v>
      </c>
      <c r="E444" t="s">
        <v>46</v>
      </c>
      <c r="F444" t="s">
        <v>1571</v>
      </c>
      <c r="G444" t="s">
        <v>1572</v>
      </c>
      <c r="H444" t="s">
        <v>22</v>
      </c>
      <c r="I444" t="s">
        <v>23</v>
      </c>
      <c r="J444" t="s">
        <v>1696</v>
      </c>
      <c r="K444" t="s">
        <v>39</v>
      </c>
      <c r="L444">
        <v>92627</v>
      </c>
      <c r="M444" t="s">
        <v>40</v>
      </c>
      <c r="N444" t="s">
        <v>1701</v>
      </c>
      <c r="O444" t="s">
        <v>28</v>
      </c>
      <c r="P444" t="s">
        <v>61</v>
      </c>
      <c r="Q444" t="s">
        <v>1702</v>
      </c>
      <c r="R444">
        <v>69.3</v>
      </c>
      <c r="S444" t="str">
        <f>TEXT(sales_data[[#This Row],[Order Date]],"mm")</f>
        <v>07</v>
      </c>
      <c r="T444">
        <f>YEAR(sales_data[[#This Row],[Order Date]])</f>
        <v>2017</v>
      </c>
      <c r="U444" s="8" t="s">
        <v>3953</v>
      </c>
      <c r="V444" t="s">
        <v>1701</v>
      </c>
    </row>
    <row r="445" spans="1:22" x14ac:dyDescent="0.35">
      <c r="A445">
        <v>501</v>
      </c>
      <c r="B445" t="s">
        <v>1703</v>
      </c>
      <c r="C445" s="1">
        <v>42885</v>
      </c>
      <c r="D445" s="1">
        <v>42890</v>
      </c>
      <c r="E445" t="s">
        <v>46</v>
      </c>
      <c r="F445" t="s">
        <v>1704</v>
      </c>
      <c r="G445" t="s">
        <v>1705</v>
      </c>
      <c r="H445" t="s">
        <v>37</v>
      </c>
      <c r="I445" t="s">
        <v>23</v>
      </c>
      <c r="J445" t="s">
        <v>1706</v>
      </c>
      <c r="K445" t="s">
        <v>452</v>
      </c>
      <c r="L445">
        <v>80134</v>
      </c>
      <c r="M445" t="s">
        <v>40</v>
      </c>
      <c r="N445" t="s">
        <v>1707</v>
      </c>
      <c r="O445" t="s">
        <v>42</v>
      </c>
      <c r="P445" t="s">
        <v>71</v>
      </c>
      <c r="Q445" t="s">
        <v>1708</v>
      </c>
      <c r="R445">
        <v>22.62</v>
      </c>
      <c r="S445" t="str">
        <f>TEXT(sales_data[[#This Row],[Order Date]],"mm")</f>
        <v>05</v>
      </c>
      <c r="T445">
        <f>YEAR(sales_data[[#This Row],[Order Date]])</f>
        <v>2017</v>
      </c>
      <c r="U445" s="8" t="s">
        <v>3966</v>
      </c>
      <c r="V445" t="s">
        <v>1707</v>
      </c>
    </row>
    <row r="446" spans="1:22" x14ac:dyDescent="0.35">
      <c r="A446">
        <v>502</v>
      </c>
      <c r="B446" t="s">
        <v>1703</v>
      </c>
      <c r="C446" s="1">
        <v>42885</v>
      </c>
      <c r="D446" s="1">
        <v>42890</v>
      </c>
      <c r="E446" t="s">
        <v>46</v>
      </c>
      <c r="F446" t="s">
        <v>1704</v>
      </c>
      <c r="G446" t="s">
        <v>1705</v>
      </c>
      <c r="H446" t="s">
        <v>37</v>
      </c>
      <c r="I446" t="s">
        <v>23</v>
      </c>
      <c r="J446" t="s">
        <v>1706</v>
      </c>
      <c r="K446" t="s">
        <v>452</v>
      </c>
      <c r="L446">
        <v>80134</v>
      </c>
      <c r="M446" t="s">
        <v>40</v>
      </c>
      <c r="N446" t="s">
        <v>1709</v>
      </c>
      <c r="O446" t="s">
        <v>42</v>
      </c>
      <c r="P446" t="s">
        <v>71</v>
      </c>
      <c r="Q446" t="s">
        <v>1710</v>
      </c>
      <c r="R446">
        <v>14.952</v>
      </c>
      <c r="S446" t="str">
        <f>TEXT(sales_data[[#This Row],[Order Date]],"mm")</f>
        <v>05</v>
      </c>
      <c r="T446">
        <f>YEAR(sales_data[[#This Row],[Order Date]])</f>
        <v>2017</v>
      </c>
      <c r="U446" s="8" t="s">
        <v>3969</v>
      </c>
      <c r="V446" t="s">
        <v>1709</v>
      </c>
    </row>
    <row r="447" spans="1:22" x14ac:dyDescent="0.35">
      <c r="A447">
        <v>503</v>
      </c>
      <c r="B447" t="s">
        <v>1703</v>
      </c>
      <c r="C447" s="1">
        <v>42885</v>
      </c>
      <c r="D447" s="1">
        <v>42890</v>
      </c>
      <c r="E447" t="s">
        <v>46</v>
      </c>
      <c r="F447" t="s">
        <v>1704</v>
      </c>
      <c r="G447" t="s">
        <v>1705</v>
      </c>
      <c r="H447" t="s">
        <v>37</v>
      </c>
      <c r="I447" t="s">
        <v>23</v>
      </c>
      <c r="J447" t="s">
        <v>1706</v>
      </c>
      <c r="K447" t="s">
        <v>452</v>
      </c>
      <c r="L447">
        <v>80134</v>
      </c>
      <c r="M447" t="s">
        <v>40</v>
      </c>
      <c r="N447" t="s">
        <v>1711</v>
      </c>
      <c r="O447" t="s">
        <v>28</v>
      </c>
      <c r="P447" t="s">
        <v>32</v>
      </c>
      <c r="Q447" t="s">
        <v>1712</v>
      </c>
      <c r="R447">
        <v>801.56799999999998</v>
      </c>
      <c r="S447" t="str">
        <f>TEXT(sales_data[[#This Row],[Order Date]],"mm")</f>
        <v>05</v>
      </c>
      <c r="T447">
        <f>YEAR(sales_data[[#This Row],[Order Date]])</f>
        <v>2017</v>
      </c>
      <c r="U447" s="8" t="s">
        <v>3975</v>
      </c>
      <c r="V447" t="s">
        <v>1711</v>
      </c>
    </row>
    <row r="448" spans="1:22" x14ac:dyDescent="0.35">
      <c r="A448">
        <v>504</v>
      </c>
      <c r="B448" t="s">
        <v>1703</v>
      </c>
      <c r="C448" s="1">
        <v>42885</v>
      </c>
      <c r="D448" s="1">
        <v>42890</v>
      </c>
      <c r="E448" t="s">
        <v>46</v>
      </c>
      <c r="F448" t="s">
        <v>1704</v>
      </c>
      <c r="G448" t="s">
        <v>1705</v>
      </c>
      <c r="H448" t="s">
        <v>37</v>
      </c>
      <c r="I448" t="s">
        <v>23</v>
      </c>
      <c r="J448" t="s">
        <v>1706</v>
      </c>
      <c r="K448" t="s">
        <v>452</v>
      </c>
      <c r="L448">
        <v>80134</v>
      </c>
      <c r="M448" t="s">
        <v>40</v>
      </c>
      <c r="N448" t="s">
        <v>1713</v>
      </c>
      <c r="O448" t="s">
        <v>42</v>
      </c>
      <c r="P448" t="s">
        <v>71</v>
      </c>
      <c r="Q448" t="s">
        <v>1714</v>
      </c>
      <c r="R448">
        <v>2.3759999999999999</v>
      </c>
      <c r="S448" t="str">
        <f>TEXT(sales_data[[#This Row],[Order Date]],"mm")</f>
        <v>05</v>
      </c>
      <c r="T448">
        <f>YEAR(sales_data[[#This Row],[Order Date]])</f>
        <v>2017</v>
      </c>
      <c r="U448" s="8" t="s">
        <v>3983</v>
      </c>
      <c r="V448" t="s">
        <v>1713</v>
      </c>
    </row>
    <row r="449" spans="1:22" x14ac:dyDescent="0.35">
      <c r="A449">
        <v>505</v>
      </c>
      <c r="B449" t="s">
        <v>1703</v>
      </c>
      <c r="C449" s="1">
        <v>42885</v>
      </c>
      <c r="D449" s="1">
        <v>42890</v>
      </c>
      <c r="E449" t="s">
        <v>46</v>
      </c>
      <c r="F449" t="s">
        <v>1704</v>
      </c>
      <c r="G449" t="s">
        <v>1705</v>
      </c>
      <c r="H449" t="s">
        <v>37</v>
      </c>
      <c r="I449" t="s">
        <v>23</v>
      </c>
      <c r="J449" t="s">
        <v>1706</v>
      </c>
      <c r="K449" t="s">
        <v>452</v>
      </c>
      <c r="L449">
        <v>80134</v>
      </c>
      <c r="M449" t="s">
        <v>40</v>
      </c>
      <c r="N449" t="s">
        <v>1715</v>
      </c>
      <c r="O449" t="s">
        <v>42</v>
      </c>
      <c r="P449" t="s">
        <v>86</v>
      </c>
      <c r="Q449" t="s">
        <v>1716</v>
      </c>
      <c r="R449">
        <v>32.792000000000002</v>
      </c>
      <c r="S449" t="str">
        <f>TEXT(sales_data[[#This Row],[Order Date]],"mm")</f>
        <v>05</v>
      </c>
      <c r="T449">
        <f>YEAR(sales_data[[#This Row],[Order Date]])</f>
        <v>2017</v>
      </c>
      <c r="U449" s="8" t="s">
        <v>4010</v>
      </c>
      <c r="V449" t="s">
        <v>1715</v>
      </c>
    </row>
    <row r="450" spans="1:22" x14ac:dyDescent="0.35">
      <c r="A450">
        <v>507</v>
      </c>
      <c r="B450" t="s">
        <v>1717</v>
      </c>
      <c r="C450" s="1">
        <v>42445</v>
      </c>
      <c r="D450" s="1">
        <v>42451</v>
      </c>
      <c r="E450" t="s">
        <v>46</v>
      </c>
      <c r="F450" t="s">
        <v>1718</v>
      </c>
      <c r="G450" t="s">
        <v>1719</v>
      </c>
      <c r="H450" t="s">
        <v>22</v>
      </c>
      <c r="I450" t="s">
        <v>23</v>
      </c>
      <c r="J450" t="s">
        <v>1720</v>
      </c>
      <c r="K450" t="s">
        <v>1261</v>
      </c>
      <c r="L450">
        <v>30318</v>
      </c>
      <c r="M450" t="s">
        <v>26</v>
      </c>
      <c r="N450" t="s">
        <v>1721</v>
      </c>
      <c r="O450" t="s">
        <v>42</v>
      </c>
      <c r="P450" t="s">
        <v>64</v>
      </c>
      <c r="Q450" t="s">
        <v>1722</v>
      </c>
      <c r="R450">
        <v>2.74</v>
      </c>
      <c r="S450" t="str">
        <f>TEXT(sales_data[[#This Row],[Order Date]],"mm")</f>
        <v>03</v>
      </c>
      <c r="T450">
        <f>YEAR(sales_data[[#This Row],[Order Date]])</f>
        <v>2016</v>
      </c>
      <c r="U450" s="8" t="s">
        <v>4033</v>
      </c>
      <c r="V450" t="s">
        <v>1721</v>
      </c>
    </row>
    <row r="451" spans="1:22" x14ac:dyDescent="0.35">
      <c r="A451">
        <v>508</v>
      </c>
      <c r="B451" t="s">
        <v>1717</v>
      </c>
      <c r="C451" s="1">
        <v>42445</v>
      </c>
      <c r="D451" s="1">
        <v>42451</v>
      </c>
      <c r="E451" t="s">
        <v>46</v>
      </c>
      <c r="F451" t="s">
        <v>1718</v>
      </c>
      <c r="G451" t="s">
        <v>1719</v>
      </c>
      <c r="H451" t="s">
        <v>22</v>
      </c>
      <c r="I451" t="s">
        <v>23</v>
      </c>
      <c r="J451" t="s">
        <v>1720</v>
      </c>
      <c r="K451" t="s">
        <v>1261</v>
      </c>
      <c r="L451">
        <v>30318</v>
      </c>
      <c r="M451" t="s">
        <v>26</v>
      </c>
      <c r="N451" t="s">
        <v>1723</v>
      </c>
      <c r="O451" t="s">
        <v>42</v>
      </c>
      <c r="P451" t="s">
        <v>64</v>
      </c>
      <c r="Q451" t="s">
        <v>1724</v>
      </c>
      <c r="R451">
        <v>8.34</v>
      </c>
      <c r="S451" t="str">
        <f>TEXT(sales_data[[#This Row],[Order Date]],"mm")</f>
        <v>03</v>
      </c>
      <c r="T451">
        <f>YEAR(sales_data[[#This Row],[Order Date]])</f>
        <v>2016</v>
      </c>
      <c r="U451" s="7" t="s">
        <v>4034</v>
      </c>
      <c r="V451" t="s">
        <v>1723</v>
      </c>
    </row>
    <row r="452" spans="1:22" x14ac:dyDescent="0.35">
      <c r="A452">
        <v>510</v>
      </c>
      <c r="B452" t="s">
        <v>1717</v>
      </c>
      <c r="C452" s="1">
        <v>42445</v>
      </c>
      <c r="D452" s="1">
        <v>42451</v>
      </c>
      <c r="E452" t="s">
        <v>46</v>
      </c>
      <c r="F452" t="s">
        <v>1718</v>
      </c>
      <c r="G452" t="s">
        <v>1719</v>
      </c>
      <c r="H452" t="s">
        <v>22</v>
      </c>
      <c r="I452" t="s">
        <v>23</v>
      </c>
      <c r="J452" t="s">
        <v>1720</v>
      </c>
      <c r="K452" t="s">
        <v>1261</v>
      </c>
      <c r="L452">
        <v>30318</v>
      </c>
      <c r="M452" t="s">
        <v>26</v>
      </c>
      <c r="N452" t="s">
        <v>1725</v>
      </c>
      <c r="O452" t="s">
        <v>42</v>
      </c>
      <c r="P452" t="s">
        <v>71</v>
      </c>
      <c r="Q452" t="s">
        <v>1726</v>
      </c>
      <c r="R452">
        <v>6354.95</v>
      </c>
      <c r="S452" t="str">
        <f>TEXT(sales_data[[#This Row],[Order Date]],"mm")</f>
        <v>03</v>
      </c>
      <c r="T452">
        <f>YEAR(sales_data[[#This Row],[Order Date]])</f>
        <v>2016</v>
      </c>
      <c r="U452" s="8" t="s">
        <v>4049</v>
      </c>
      <c r="V452" t="s">
        <v>1725</v>
      </c>
    </row>
    <row r="453" spans="1:22" x14ac:dyDescent="0.35">
      <c r="A453">
        <v>511</v>
      </c>
      <c r="B453" t="s">
        <v>1727</v>
      </c>
      <c r="C453" s="1">
        <v>43430</v>
      </c>
      <c r="D453" s="1">
        <v>43431</v>
      </c>
      <c r="E453" t="s">
        <v>183</v>
      </c>
      <c r="F453" t="s">
        <v>1728</v>
      </c>
      <c r="G453" t="s">
        <v>1729</v>
      </c>
      <c r="H453" t="s">
        <v>22</v>
      </c>
      <c r="I453" t="s">
        <v>23</v>
      </c>
      <c r="J453" t="s">
        <v>1730</v>
      </c>
      <c r="K453" t="s">
        <v>590</v>
      </c>
      <c r="L453">
        <v>64118</v>
      </c>
      <c r="M453" t="s">
        <v>101</v>
      </c>
      <c r="N453" t="s">
        <v>1731</v>
      </c>
      <c r="O453" t="s">
        <v>28</v>
      </c>
      <c r="P453" t="s">
        <v>61</v>
      </c>
      <c r="Q453" t="s">
        <v>1732</v>
      </c>
      <c r="R453">
        <v>126.3</v>
      </c>
      <c r="S453" t="str">
        <f>TEXT(sales_data[[#This Row],[Order Date]],"mm")</f>
        <v>11</v>
      </c>
      <c r="T453">
        <f>YEAR(sales_data[[#This Row],[Order Date]])</f>
        <v>2018</v>
      </c>
      <c r="U453" s="8" t="s">
        <v>4053</v>
      </c>
      <c r="V453" t="s">
        <v>1731</v>
      </c>
    </row>
    <row r="454" spans="1:22" x14ac:dyDescent="0.35">
      <c r="A454">
        <v>512</v>
      </c>
      <c r="B454" t="s">
        <v>1727</v>
      </c>
      <c r="C454" s="1">
        <v>43430</v>
      </c>
      <c r="D454" s="1">
        <v>43431</v>
      </c>
      <c r="E454" t="s">
        <v>183</v>
      </c>
      <c r="F454" t="s">
        <v>1728</v>
      </c>
      <c r="G454" t="s">
        <v>1729</v>
      </c>
      <c r="H454" t="s">
        <v>22</v>
      </c>
      <c r="I454" t="s">
        <v>23</v>
      </c>
      <c r="J454" t="s">
        <v>1730</v>
      </c>
      <c r="K454" t="s">
        <v>590</v>
      </c>
      <c r="L454">
        <v>64118</v>
      </c>
      <c r="M454" t="s">
        <v>101</v>
      </c>
      <c r="N454" t="s">
        <v>1733</v>
      </c>
      <c r="O454" t="s">
        <v>67</v>
      </c>
      <c r="P454" t="s">
        <v>156</v>
      </c>
      <c r="Q454" t="s">
        <v>1734</v>
      </c>
      <c r="R454">
        <v>38.04</v>
      </c>
      <c r="S454" t="str">
        <f>TEXT(sales_data[[#This Row],[Order Date]],"mm")</f>
        <v>11</v>
      </c>
      <c r="T454">
        <f>YEAR(sales_data[[#This Row],[Order Date]])</f>
        <v>2018</v>
      </c>
      <c r="U454" s="8" t="s">
        <v>4068</v>
      </c>
      <c r="V454" t="s">
        <v>1733</v>
      </c>
    </row>
    <row r="455" spans="1:22" x14ac:dyDescent="0.35">
      <c r="A455">
        <v>514</v>
      </c>
      <c r="B455" t="s">
        <v>1735</v>
      </c>
      <c r="C455" s="1">
        <v>43455</v>
      </c>
      <c r="D455" s="1">
        <v>43459</v>
      </c>
      <c r="E455" t="s">
        <v>46</v>
      </c>
      <c r="F455" t="s">
        <v>1736</v>
      </c>
      <c r="G455" t="s">
        <v>1737</v>
      </c>
      <c r="H455" t="s">
        <v>22</v>
      </c>
      <c r="I455" t="s">
        <v>23</v>
      </c>
      <c r="J455" t="s">
        <v>38</v>
      </c>
      <c r="K455" t="s">
        <v>39</v>
      </c>
      <c r="L455">
        <v>90049</v>
      </c>
      <c r="M455" t="s">
        <v>40</v>
      </c>
      <c r="N455" t="s">
        <v>1738</v>
      </c>
      <c r="O455" t="s">
        <v>42</v>
      </c>
      <c r="P455" t="s">
        <v>64</v>
      </c>
      <c r="Q455" t="s">
        <v>1739</v>
      </c>
      <c r="R455">
        <v>6.63</v>
      </c>
      <c r="S455" t="str">
        <f>TEXT(sales_data[[#This Row],[Order Date]],"mm")</f>
        <v>12</v>
      </c>
      <c r="T455">
        <f>YEAR(sales_data[[#This Row],[Order Date]])</f>
        <v>2018</v>
      </c>
      <c r="U455" s="8" t="s">
        <v>4082</v>
      </c>
      <c r="V455" t="s">
        <v>1738</v>
      </c>
    </row>
    <row r="456" spans="1:22" x14ac:dyDescent="0.35">
      <c r="A456">
        <v>515</v>
      </c>
      <c r="B456" t="s">
        <v>1735</v>
      </c>
      <c r="C456" s="1">
        <v>43455</v>
      </c>
      <c r="D456" s="1">
        <v>43459</v>
      </c>
      <c r="E456" t="s">
        <v>46</v>
      </c>
      <c r="F456" t="s">
        <v>1736</v>
      </c>
      <c r="G456" t="s">
        <v>1737</v>
      </c>
      <c r="H456" t="s">
        <v>22</v>
      </c>
      <c r="I456" t="s">
        <v>23</v>
      </c>
      <c r="J456" t="s">
        <v>38</v>
      </c>
      <c r="K456" t="s">
        <v>39</v>
      </c>
      <c r="L456">
        <v>90049</v>
      </c>
      <c r="M456" t="s">
        <v>40</v>
      </c>
      <c r="N456" t="s">
        <v>1740</v>
      </c>
      <c r="O456" t="s">
        <v>42</v>
      </c>
      <c r="P456" t="s">
        <v>64</v>
      </c>
      <c r="Q456" t="s">
        <v>1741</v>
      </c>
      <c r="R456">
        <v>5.88</v>
      </c>
      <c r="S456" t="str">
        <f>TEXT(sales_data[[#This Row],[Order Date]],"mm")</f>
        <v>12</v>
      </c>
      <c r="T456">
        <f>YEAR(sales_data[[#This Row],[Order Date]])</f>
        <v>2018</v>
      </c>
      <c r="U456" s="8" t="s">
        <v>4086</v>
      </c>
      <c r="V456" t="s">
        <v>1740</v>
      </c>
    </row>
    <row r="457" spans="1:22" x14ac:dyDescent="0.35">
      <c r="A457">
        <v>516</v>
      </c>
      <c r="B457" t="s">
        <v>1742</v>
      </c>
      <c r="C457" s="1">
        <v>43122</v>
      </c>
      <c r="D457" s="1">
        <v>43127</v>
      </c>
      <c r="E457" t="s">
        <v>46</v>
      </c>
      <c r="F457" t="s">
        <v>526</v>
      </c>
      <c r="G457" t="s">
        <v>527</v>
      </c>
      <c r="H457" t="s">
        <v>98</v>
      </c>
      <c r="I457" t="s">
        <v>23</v>
      </c>
      <c r="J457" t="s">
        <v>1743</v>
      </c>
      <c r="K457" t="s">
        <v>1744</v>
      </c>
      <c r="L457">
        <v>59405</v>
      </c>
      <c r="M457" t="s">
        <v>40</v>
      </c>
      <c r="N457" t="s">
        <v>1745</v>
      </c>
      <c r="O457" t="s">
        <v>67</v>
      </c>
      <c r="P457" t="s">
        <v>1209</v>
      </c>
      <c r="Q457" t="s">
        <v>1746</v>
      </c>
      <c r="R457">
        <v>2999.95</v>
      </c>
      <c r="S457" t="str">
        <f>TEXT(sales_data[[#This Row],[Order Date]],"mm")</f>
        <v>01</v>
      </c>
      <c r="T457">
        <f>YEAR(sales_data[[#This Row],[Order Date]])</f>
        <v>2018</v>
      </c>
      <c r="U457" s="7" t="s">
        <v>4091</v>
      </c>
      <c r="V457" t="s">
        <v>1745</v>
      </c>
    </row>
    <row r="458" spans="1:22" x14ac:dyDescent="0.35">
      <c r="A458">
        <v>517</v>
      </c>
      <c r="B458" t="s">
        <v>1742</v>
      </c>
      <c r="C458" s="1">
        <v>43122</v>
      </c>
      <c r="D458" s="1">
        <v>43127</v>
      </c>
      <c r="E458" t="s">
        <v>46</v>
      </c>
      <c r="F458" t="s">
        <v>526</v>
      </c>
      <c r="G458" t="s">
        <v>527</v>
      </c>
      <c r="H458" t="s">
        <v>98</v>
      </c>
      <c r="I458" t="s">
        <v>23</v>
      </c>
      <c r="J458" t="s">
        <v>1743</v>
      </c>
      <c r="K458" t="s">
        <v>1744</v>
      </c>
      <c r="L458">
        <v>59405</v>
      </c>
      <c r="M458" t="s">
        <v>40</v>
      </c>
      <c r="N458" t="s">
        <v>1747</v>
      </c>
      <c r="O458" t="s">
        <v>42</v>
      </c>
      <c r="P458" t="s">
        <v>55</v>
      </c>
      <c r="Q458" t="s">
        <v>1748</v>
      </c>
      <c r="R458">
        <v>51.45</v>
      </c>
      <c r="S458" t="str">
        <f>TEXT(sales_data[[#This Row],[Order Date]],"mm")</f>
        <v>01</v>
      </c>
      <c r="T458">
        <f>YEAR(sales_data[[#This Row],[Order Date]])</f>
        <v>2018</v>
      </c>
      <c r="U458" s="8" t="s">
        <v>4102</v>
      </c>
      <c r="V458" t="s">
        <v>1747</v>
      </c>
    </row>
    <row r="459" spans="1:22" x14ac:dyDescent="0.35">
      <c r="A459">
        <v>518</v>
      </c>
      <c r="B459" t="s">
        <v>1742</v>
      </c>
      <c r="C459" s="1">
        <v>43122</v>
      </c>
      <c r="D459" s="1">
        <v>43127</v>
      </c>
      <c r="E459" t="s">
        <v>46</v>
      </c>
      <c r="F459" t="s">
        <v>526</v>
      </c>
      <c r="G459" t="s">
        <v>527</v>
      </c>
      <c r="H459" t="s">
        <v>98</v>
      </c>
      <c r="I459" t="s">
        <v>23</v>
      </c>
      <c r="J459" t="s">
        <v>1743</v>
      </c>
      <c r="K459" t="s">
        <v>1744</v>
      </c>
      <c r="L459">
        <v>59405</v>
      </c>
      <c r="M459" t="s">
        <v>40</v>
      </c>
      <c r="N459" t="s">
        <v>1749</v>
      </c>
      <c r="O459" t="s">
        <v>42</v>
      </c>
      <c r="P459" t="s">
        <v>86</v>
      </c>
      <c r="Q459" t="s">
        <v>1750</v>
      </c>
      <c r="R459">
        <v>11.96</v>
      </c>
      <c r="S459" t="str">
        <f>TEXT(sales_data[[#This Row],[Order Date]],"mm")</f>
        <v>01</v>
      </c>
      <c r="T459">
        <f>YEAR(sales_data[[#This Row],[Order Date]])</f>
        <v>2018</v>
      </c>
      <c r="U459" s="7" t="s">
        <v>4105</v>
      </c>
      <c r="V459" t="s">
        <v>1749</v>
      </c>
    </row>
    <row r="460" spans="1:22" x14ac:dyDescent="0.35">
      <c r="A460">
        <v>519</v>
      </c>
      <c r="B460" t="s">
        <v>1742</v>
      </c>
      <c r="C460" s="1">
        <v>43122</v>
      </c>
      <c r="D460" s="1">
        <v>43127</v>
      </c>
      <c r="E460" t="s">
        <v>46</v>
      </c>
      <c r="F460" t="s">
        <v>526</v>
      </c>
      <c r="G460" t="s">
        <v>527</v>
      </c>
      <c r="H460" t="s">
        <v>98</v>
      </c>
      <c r="I460" t="s">
        <v>23</v>
      </c>
      <c r="J460" t="s">
        <v>1743</v>
      </c>
      <c r="K460" t="s">
        <v>1744</v>
      </c>
      <c r="L460">
        <v>59405</v>
      </c>
      <c r="M460" t="s">
        <v>40</v>
      </c>
      <c r="N460" t="s">
        <v>1751</v>
      </c>
      <c r="O460" t="s">
        <v>42</v>
      </c>
      <c r="P460" t="s">
        <v>55</v>
      </c>
      <c r="Q460" t="s">
        <v>1752</v>
      </c>
      <c r="R460">
        <v>1126.02</v>
      </c>
      <c r="S460" t="str">
        <f>TEXT(sales_data[[#This Row],[Order Date]],"mm")</f>
        <v>01</v>
      </c>
      <c r="T460">
        <f>YEAR(sales_data[[#This Row],[Order Date]])</f>
        <v>2018</v>
      </c>
      <c r="U460" s="8" t="s">
        <v>4108</v>
      </c>
      <c r="V460" t="s">
        <v>1751</v>
      </c>
    </row>
    <row r="461" spans="1:22" x14ac:dyDescent="0.35">
      <c r="A461">
        <v>521</v>
      </c>
      <c r="B461" t="s">
        <v>1753</v>
      </c>
      <c r="C461" s="1">
        <v>42451</v>
      </c>
      <c r="D461" s="1">
        <v>42455</v>
      </c>
      <c r="E461" t="s">
        <v>46</v>
      </c>
      <c r="F461" t="s">
        <v>1754</v>
      </c>
      <c r="G461" t="s">
        <v>1755</v>
      </c>
      <c r="H461" t="s">
        <v>22</v>
      </c>
      <c r="I461" t="s">
        <v>23</v>
      </c>
      <c r="J461" t="s">
        <v>179</v>
      </c>
      <c r="K461" t="s">
        <v>100</v>
      </c>
      <c r="L461">
        <v>77041</v>
      </c>
      <c r="M461" t="s">
        <v>101</v>
      </c>
      <c r="N461" t="s">
        <v>1756</v>
      </c>
      <c r="O461" t="s">
        <v>42</v>
      </c>
      <c r="P461" t="s">
        <v>55</v>
      </c>
      <c r="Q461" t="s">
        <v>1757</v>
      </c>
      <c r="R461">
        <v>129.56800000000001</v>
      </c>
      <c r="S461" t="str">
        <f>TEXT(sales_data[[#This Row],[Order Date]],"mm")</f>
        <v>03</v>
      </c>
      <c r="T461">
        <f>YEAR(sales_data[[#This Row],[Order Date]])</f>
        <v>2016</v>
      </c>
      <c r="U461" s="8" t="s">
        <v>4122</v>
      </c>
      <c r="V461" t="s">
        <v>1756</v>
      </c>
    </row>
    <row r="462" spans="1:22" x14ac:dyDescent="0.35">
      <c r="A462">
        <v>522</v>
      </c>
      <c r="B462" t="s">
        <v>1753</v>
      </c>
      <c r="C462" s="1">
        <v>42451</v>
      </c>
      <c r="D462" s="1">
        <v>42455</v>
      </c>
      <c r="E462" t="s">
        <v>46</v>
      </c>
      <c r="F462" t="s">
        <v>1754</v>
      </c>
      <c r="G462" t="s">
        <v>1755</v>
      </c>
      <c r="H462" t="s">
        <v>22</v>
      </c>
      <c r="I462" t="s">
        <v>23</v>
      </c>
      <c r="J462" t="s">
        <v>179</v>
      </c>
      <c r="K462" t="s">
        <v>100</v>
      </c>
      <c r="L462">
        <v>77041</v>
      </c>
      <c r="M462" t="s">
        <v>101</v>
      </c>
      <c r="N462" t="s">
        <v>1758</v>
      </c>
      <c r="O462" t="s">
        <v>42</v>
      </c>
      <c r="P462" t="s">
        <v>71</v>
      </c>
      <c r="Q462" t="s">
        <v>1759</v>
      </c>
      <c r="R462">
        <v>14.112</v>
      </c>
      <c r="S462" t="str">
        <f>TEXT(sales_data[[#This Row],[Order Date]],"mm")</f>
        <v>03</v>
      </c>
      <c r="T462">
        <f>YEAR(sales_data[[#This Row],[Order Date]])</f>
        <v>2016</v>
      </c>
      <c r="U462" s="8" t="s">
        <v>4125</v>
      </c>
      <c r="V462" t="s">
        <v>1758</v>
      </c>
    </row>
    <row r="463" spans="1:22" x14ac:dyDescent="0.35">
      <c r="A463">
        <v>524</v>
      </c>
      <c r="B463" t="s">
        <v>1761</v>
      </c>
      <c r="C463" s="1">
        <v>42876</v>
      </c>
      <c r="D463" s="1">
        <v>42878</v>
      </c>
      <c r="E463" t="s">
        <v>183</v>
      </c>
      <c r="F463" t="s">
        <v>933</v>
      </c>
      <c r="G463" t="s">
        <v>934</v>
      </c>
      <c r="H463" t="s">
        <v>22</v>
      </c>
      <c r="I463" t="s">
        <v>23</v>
      </c>
      <c r="J463" t="s">
        <v>38</v>
      </c>
      <c r="K463" t="s">
        <v>39</v>
      </c>
      <c r="L463">
        <v>90032</v>
      </c>
      <c r="M463" t="s">
        <v>40</v>
      </c>
      <c r="N463" t="s">
        <v>1762</v>
      </c>
      <c r="O463" t="s">
        <v>67</v>
      </c>
      <c r="P463" t="s">
        <v>68</v>
      </c>
      <c r="Q463" t="s">
        <v>1763</v>
      </c>
      <c r="R463">
        <v>55.176000000000002</v>
      </c>
      <c r="S463" t="str">
        <f>TEXT(sales_data[[#This Row],[Order Date]],"mm")</f>
        <v>05</v>
      </c>
      <c r="T463">
        <f>YEAR(sales_data[[#This Row],[Order Date]])</f>
        <v>2017</v>
      </c>
      <c r="U463" s="8" t="s">
        <v>4142</v>
      </c>
      <c r="V463" t="s">
        <v>1762</v>
      </c>
    </row>
    <row r="464" spans="1:22" x14ac:dyDescent="0.35">
      <c r="A464">
        <v>526</v>
      </c>
      <c r="B464" t="s">
        <v>1764</v>
      </c>
      <c r="C464" s="1">
        <v>42730</v>
      </c>
      <c r="D464" s="1">
        <v>42737</v>
      </c>
      <c r="E464" t="s">
        <v>46</v>
      </c>
      <c r="F464" t="s">
        <v>1765</v>
      </c>
      <c r="G464" t="s">
        <v>1766</v>
      </c>
      <c r="H464" t="s">
        <v>22</v>
      </c>
      <c r="I464" t="s">
        <v>23</v>
      </c>
      <c r="J464" t="s">
        <v>1467</v>
      </c>
      <c r="K464" t="s">
        <v>1235</v>
      </c>
      <c r="L464">
        <v>1841</v>
      </c>
      <c r="M464" t="s">
        <v>144</v>
      </c>
      <c r="N464" t="s">
        <v>1767</v>
      </c>
      <c r="O464" t="s">
        <v>42</v>
      </c>
      <c r="P464" t="s">
        <v>264</v>
      </c>
      <c r="Q464" t="s">
        <v>557</v>
      </c>
      <c r="R464">
        <v>22.2</v>
      </c>
      <c r="S464" t="str">
        <f>TEXT(sales_data[[#This Row],[Order Date]],"mm")</f>
        <v>12</v>
      </c>
      <c r="T464">
        <f>YEAR(sales_data[[#This Row],[Order Date]])</f>
        <v>2016</v>
      </c>
      <c r="U464" s="8" t="s">
        <v>4183</v>
      </c>
      <c r="V464" t="s">
        <v>1767</v>
      </c>
    </row>
    <row r="465" spans="1:22" x14ac:dyDescent="0.35">
      <c r="A465">
        <v>527</v>
      </c>
      <c r="B465" t="s">
        <v>1768</v>
      </c>
      <c r="C465" s="1">
        <v>43394</v>
      </c>
      <c r="D465" s="1">
        <v>43399</v>
      </c>
      <c r="E465" t="s">
        <v>46</v>
      </c>
      <c r="F465" t="s">
        <v>1769</v>
      </c>
      <c r="G465" t="s">
        <v>1770</v>
      </c>
      <c r="H465" t="s">
        <v>98</v>
      </c>
      <c r="I465" t="s">
        <v>23</v>
      </c>
      <c r="J465" t="s">
        <v>1771</v>
      </c>
      <c r="K465" t="s">
        <v>50</v>
      </c>
      <c r="L465">
        <v>33801</v>
      </c>
      <c r="M465" t="s">
        <v>26</v>
      </c>
      <c r="N465" t="s">
        <v>1772</v>
      </c>
      <c r="O465" t="s">
        <v>28</v>
      </c>
      <c r="P465" t="s">
        <v>32</v>
      </c>
      <c r="Q465" t="s">
        <v>1773</v>
      </c>
      <c r="R465">
        <v>683.952</v>
      </c>
      <c r="S465" t="str">
        <f>TEXT(sales_data[[#This Row],[Order Date]],"mm")</f>
        <v>10</v>
      </c>
      <c r="T465">
        <f>YEAR(sales_data[[#This Row],[Order Date]])</f>
        <v>2018</v>
      </c>
      <c r="U465" s="8" t="s">
        <v>4189</v>
      </c>
      <c r="V465" t="s">
        <v>1772</v>
      </c>
    </row>
    <row r="466" spans="1:22" x14ac:dyDescent="0.35">
      <c r="A466">
        <v>529</v>
      </c>
      <c r="B466" t="s">
        <v>1774</v>
      </c>
      <c r="C466" s="1">
        <v>42616</v>
      </c>
      <c r="D466" s="1">
        <v>42620</v>
      </c>
      <c r="E466" t="s">
        <v>46</v>
      </c>
      <c r="F466" t="s">
        <v>1775</v>
      </c>
      <c r="G466" t="s">
        <v>1776</v>
      </c>
      <c r="H466" t="s">
        <v>22</v>
      </c>
      <c r="I466" t="s">
        <v>23</v>
      </c>
      <c r="J466" t="s">
        <v>142</v>
      </c>
      <c r="K466" t="s">
        <v>143</v>
      </c>
      <c r="L466">
        <v>19134</v>
      </c>
      <c r="M466" t="s">
        <v>144</v>
      </c>
      <c r="N466" t="s">
        <v>1777</v>
      </c>
      <c r="O466" t="s">
        <v>42</v>
      </c>
      <c r="P466" t="s">
        <v>55</v>
      </c>
      <c r="Q466" t="s">
        <v>1778</v>
      </c>
      <c r="R466">
        <v>36.335999999999999</v>
      </c>
      <c r="S466" t="str">
        <f>TEXT(sales_data[[#This Row],[Order Date]],"mm")</f>
        <v>09</v>
      </c>
      <c r="T466">
        <f>YEAR(sales_data[[#This Row],[Order Date]])</f>
        <v>2016</v>
      </c>
      <c r="U466" s="8" t="s">
        <v>4202</v>
      </c>
      <c r="V466" t="s">
        <v>1777</v>
      </c>
    </row>
    <row r="467" spans="1:22" x14ac:dyDescent="0.35">
      <c r="A467">
        <v>530</v>
      </c>
      <c r="B467" t="s">
        <v>1774</v>
      </c>
      <c r="C467" s="1">
        <v>42616</v>
      </c>
      <c r="D467" s="1">
        <v>42620</v>
      </c>
      <c r="E467" t="s">
        <v>46</v>
      </c>
      <c r="F467" t="s">
        <v>1775</v>
      </c>
      <c r="G467" t="s">
        <v>1776</v>
      </c>
      <c r="H467" t="s">
        <v>22</v>
      </c>
      <c r="I467" t="s">
        <v>23</v>
      </c>
      <c r="J467" t="s">
        <v>142</v>
      </c>
      <c r="K467" t="s">
        <v>143</v>
      </c>
      <c r="L467">
        <v>19134</v>
      </c>
      <c r="M467" t="s">
        <v>144</v>
      </c>
      <c r="N467" t="s">
        <v>1779</v>
      </c>
      <c r="O467" t="s">
        <v>42</v>
      </c>
      <c r="P467" t="s">
        <v>573</v>
      </c>
      <c r="Q467" t="s">
        <v>1780</v>
      </c>
      <c r="R467">
        <v>666.24800000000005</v>
      </c>
      <c r="S467" t="str">
        <f>TEXT(sales_data[[#This Row],[Order Date]],"mm")</f>
        <v>09</v>
      </c>
      <c r="T467">
        <f>YEAR(sales_data[[#This Row],[Order Date]])</f>
        <v>2016</v>
      </c>
      <c r="U467" s="7" t="s">
        <v>4211</v>
      </c>
      <c r="V467" t="s">
        <v>1779</v>
      </c>
    </row>
    <row r="468" spans="1:22" x14ac:dyDescent="0.35">
      <c r="A468">
        <v>531</v>
      </c>
      <c r="B468" t="s">
        <v>1774</v>
      </c>
      <c r="C468" s="1">
        <v>42616</v>
      </c>
      <c r="D468" s="1">
        <v>42620</v>
      </c>
      <c r="E468" t="s">
        <v>46</v>
      </c>
      <c r="F468" t="s">
        <v>1775</v>
      </c>
      <c r="G468" t="s">
        <v>1776</v>
      </c>
      <c r="H468" t="s">
        <v>22</v>
      </c>
      <c r="I468" t="s">
        <v>23</v>
      </c>
      <c r="J468" t="s">
        <v>142</v>
      </c>
      <c r="K468" t="s">
        <v>143</v>
      </c>
      <c r="L468">
        <v>19134</v>
      </c>
      <c r="M468" t="s">
        <v>144</v>
      </c>
      <c r="N468" t="s">
        <v>1781</v>
      </c>
      <c r="O468" t="s">
        <v>42</v>
      </c>
      <c r="P468" t="s">
        <v>168</v>
      </c>
      <c r="Q468" t="s">
        <v>1782</v>
      </c>
      <c r="R468">
        <v>52.512</v>
      </c>
      <c r="S468" t="str">
        <f>TEXT(sales_data[[#This Row],[Order Date]],"mm")</f>
        <v>09</v>
      </c>
      <c r="T468">
        <f>YEAR(sales_data[[#This Row],[Order Date]])</f>
        <v>2016</v>
      </c>
      <c r="U468" s="8" t="s">
        <v>4217</v>
      </c>
      <c r="V468" t="s">
        <v>1781</v>
      </c>
    </row>
    <row r="469" spans="1:22" x14ac:dyDescent="0.35">
      <c r="A469">
        <v>532</v>
      </c>
      <c r="B469" t="s">
        <v>1783</v>
      </c>
      <c r="C469" s="1">
        <v>42681</v>
      </c>
      <c r="D469" s="1">
        <v>42683</v>
      </c>
      <c r="E469" t="s">
        <v>19</v>
      </c>
      <c r="F469" t="s">
        <v>1784</v>
      </c>
      <c r="G469" t="s">
        <v>1785</v>
      </c>
      <c r="H469" t="s">
        <v>37</v>
      </c>
      <c r="I469" t="s">
        <v>23</v>
      </c>
      <c r="J469" t="s">
        <v>38</v>
      </c>
      <c r="K469" t="s">
        <v>39</v>
      </c>
      <c r="L469">
        <v>90036</v>
      </c>
      <c r="M469" t="s">
        <v>40</v>
      </c>
      <c r="N469" t="s">
        <v>1786</v>
      </c>
      <c r="O469" t="s">
        <v>28</v>
      </c>
      <c r="P469" t="s">
        <v>32</v>
      </c>
      <c r="Q469" t="s">
        <v>1787</v>
      </c>
      <c r="R469">
        <v>190.72</v>
      </c>
      <c r="S469" t="str">
        <f>TEXT(sales_data[[#This Row],[Order Date]],"mm")</f>
        <v>11</v>
      </c>
      <c r="T469">
        <f>YEAR(sales_data[[#This Row],[Order Date]])</f>
        <v>2016</v>
      </c>
      <c r="U469" s="7" t="s">
        <v>4234</v>
      </c>
      <c r="V469" t="s">
        <v>1786</v>
      </c>
    </row>
    <row r="470" spans="1:22" x14ac:dyDescent="0.35">
      <c r="A470">
        <v>533</v>
      </c>
      <c r="B470" t="s">
        <v>1788</v>
      </c>
      <c r="C470" s="1">
        <v>43350</v>
      </c>
      <c r="D470" s="1">
        <v>43354</v>
      </c>
      <c r="E470" t="s">
        <v>46</v>
      </c>
      <c r="F470" t="s">
        <v>1789</v>
      </c>
      <c r="G470" t="s">
        <v>1790</v>
      </c>
      <c r="H470" t="s">
        <v>22</v>
      </c>
      <c r="I470" t="s">
        <v>23</v>
      </c>
      <c r="J470" t="s">
        <v>38</v>
      </c>
      <c r="K470" t="s">
        <v>39</v>
      </c>
      <c r="L470">
        <v>90032</v>
      </c>
      <c r="M470" t="s">
        <v>40</v>
      </c>
      <c r="N470" t="s">
        <v>1791</v>
      </c>
      <c r="O470" t="s">
        <v>28</v>
      </c>
      <c r="P470" t="s">
        <v>61</v>
      </c>
      <c r="Q470" t="s">
        <v>1792</v>
      </c>
      <c r="R470">
        <v>47.94</v>
      </c>
      <c r="S470" t="str">
        <f>TEXT(sales_data[[#This Row],[Order Date]],"mm")</f>
        <v>09</v>
      </c>
      <c r="T470">
        <f>YEAR(sales_data[[#This Row],[Order Date]])</f>
        <v>2018</v>
      </c>
      <c r="U470" s="8" t="s">
        <v>4239</v>
      </c>
      <c r="V470" t="s">
        <v>1791</v>
      </c>
    </row>
    <row r="471" spans="1:22" x14ac:dyDescent="0.35">
      <c r="A471">
        <v>534</v>
      </c>
      <c r="B471" t="s">
        <v>1793</v>
      </c>
      <c r="C471" s="1">
        <v>42884</v>
      </c>
      <c r="D471" s="1">
        <v>42887</v>
      </c>
      <c r="E471" t="s">
        <v>19</v>
      </c>
      <c r="F471" t="s">
        <v>1794</v>
      </c>
      <c r="G471" t="s">
        <v>1795</v>
      </c>
      <c r="H471" t="s">
        <v>22</v>
      </c>
      <c r="I471" t="s">
        <v>23</v>
      </c>
      <c r="J471" t="s">
        <v>1796</v>
      </c>
      <c r="K471" t="s">
        <v>353</v>
      </c>
      <c r="L471">
        <v>36116</v>
      </c>
      <c r="M471" t="s">
        <v>26</v>
      </c>
      <c r="N471" t="s">
        <v>1797</v>
      </c>
      <c r="O471" t="s">
        <v>67</v>
      </c>
      <c r="P471" t="s">
        <v>68</v>
      </c>
      <c r="Q471" t="s">
        <v>1798</v>
      </c>
      <c r="R471">
        <v>979.95</v>
      </c>
      <c r="S471" t="str">
        <f>TEXT(sales_data[[#This Row],[Order Date]],"mm")</f>
        <v>05</v>
      </c>
      <c r="T471">
        <f>YEAR(sales_data[[#This Row],[Order Date]])</f>
        <v>2017</v>
      </c>
      <c r="U471" s="7" t="s">
        <v>4249</v>
      </c>
      <c r="V471" t="s">
        <v>1797</v>
      </c>
    </row>
    <row r="472" spans="1:22" x14ac:dyDescent="0.35">
      <c r="A472">
        <v>536</v>
      </c>
      <c r="B472" t="s">
        <v>1799</v>
      </c>
      <c r="C472" s="1">
        <v>42926</v>
      </c>
      <c r="D472" s="1">
        <v>42932</v>
      </c>
      <c r="E472" t="s">
        <v>46</v>
      </c>
      <c r="F472" t="s">
        <v>1800</v>
      </c>
      <c r="G472" t="s">
        <v>1801</v>
      </c>
      <c r="H472" t="s">
        <v>22</v>
      </c>
      <c r="I472" t="s">
        <v>23</v>
      </c>
      <c r="J472" t="s">
        <v>1802</v>
      </c>
      <c r="K472" t="s">
        <v>305</v>
      </c>
      <c r="L472">
        <v>85204</v>
      </c>
      <c r="M472" t="s">
        <v>40</v>
      </c>
      <c r="N472" t="s">
        <v>1803</v>
      </c>
      <c r="O472" t="s">
        <v>42</v>
      </c>
      <c r="P472" t="s">
        <v>55</v>
      </c>
      <c r="Q472" t="s">
        <v>1804</v>
      </c>
      <c r="R472">
        <v>16.768000000000001</v>
      </c>
      <c r="S472" t="str">
        <f>TEXT(sales_data[[#This Row],[Order Date]],"mm")</f>
        <v>07</v>
      </c>
      <c r="T472">
        <f>YEAR(sales_data[[#This Row],[Order Date]])</f>
        <v>2017</v>
      </c>
      <c r="U472" s="7" t="s">
        <v>4257</v>
      </c>
      <c r="V472" t="s">
        <v>1803</v>
      </c>
    </row>
    <row r="473" spans="1:22" x14ac:dyDescent="0.35">
      <c r="A473">
        <v>537</v>
      </c>
      <c r="B473" t="s">
        <v>1805</v>
      </c>
      <c r="C473" s="1">
        <v>43346</v>
      </c>
      <c r="D473" s="1">
        <v>43351</v>
      </c>
      <c r="E473" t="s">
        <v>19</v>
      </c>
      <c r="F473" t="s">
        <v>1806</v>
      </c>
      <c r="G473" t="s">
        <v>1807</v>
      </c>
      <c r="H473" t="s">
        <v>22</v>
      </c>
      <c r="I473" t="s">
        <v>23</v>
      </c>
      <c r="J473" t="s">
        <v>298</v>
      </c>
      <c r="K473" t="s">
        <v>206</v>
      </c>
      <c r="L473">
        <v>60653</v>
      </c>
      <c r="M473" t="s">
        <v>101</v>
      </c>
      <c r="N473" t="s">
        <v>1808</v>
      </c>
      <c r="O473" t="s">
        <v>42</v>
      </c>
      <c r="P473" t="s">
        <v>71</v>
      </c>
      <c r="Q473" t="s">
        <v>1809</v>
      </c>
      <c r="R473">
        <v>42.616</v>
      </c>
      <c r="S473" t="str">
        <f>TEXT(sales_data[[#This Row],[Order Date]],"mm")</f>
        <v>09</v>
      </c>
      <c r="T473">
        <f>YEAR(sales_data[[#This Row],[Order Date]])</f>
        <v>2018</v>
      </c>
      <c r="U473" s="8" t="s">
        <v>4265</v>
      </c>
      <c r="V473" t="s">
        <v>1808</v>
      </c>
    </row>
    <row r="474" spans="1:22" x14ac:dyDescent="0.35">
      <c r="A474">
        <v>538</v>
      </c>
      <c r="B474" t="s">
        <v>1810</v>
      </c>
      <c r="C474" s="1">
        <v>42707</v>
      </c>
      <c r="D474" s="1">
        <v>42712</v>
      </c>
      <c r="E474" t="s">
        <v>46</v>
      </c>
      <c r="F474" t="s">
        <v>755</v>
      </c>
      <c r="G474" t="s">
        <v>756</v>
      </c>
      <c r="H474" t="s">
        <v>98</v>
      </c>
      <c r="I474" t="s">
        <v>23</v>
      </c>
      <c r="J474" t="s">
        <v>261</v>
      </c>
      <c r="K474" t="s">
        <v>262</v>
      </c>
      <c r="L474">
        <v>10009</v>
      </c>
      <c r="M474" t="s">
        <v>144</v>
      </c>
      <c r="N474" t="s">
        <v>1811</v>
      </c>
      <c r="O474" t="s">
        <v>42</v>
      </c>
      <c r="P474" t="s">
        <v>71</v>
      </c>
      <c r="Q474" t="s">
        <v>1812</v>
      </c>
      <c r="R474">
        <v>10.752000000000001</v>
      </c>
      <c r="S474" t="str">
        <f>TEXT(sales_data[[#This Row],[Order Date]],"mm")</f>
        <v>12</v>
      </c>
      <c r="T474">
        <f>YEAR(sales_data[[#This Row],[Order Date]])</f>
        <v>2016</v>
      </c>
      <c r="U474" s="8" t="s">
        <v>4275</v>
      </c>
      <c r="V474" t="s">
        <v>1811</v>
      </c>
    </row>
    <row r="475" spans="1:22" x14ac:dyDescent="0.35">
      <c r="A475">
        <v>539</v>
      </c>
      <c r="B475" t="s">
        <v>1813</v>
      </c>
      <c r="C475" s="1">
        <v>42711</v>
      </c>
      <c r="D475" s="1">
        <v>42715</v>
      </c>
      <c r="E475" t="s">
        <v>46</v>
      </c>
      <c r="F475" t="s">
        <v>1814</v>
      </c>
      <c r="G475" t="s">
        <v>1815</v>
      </c>
      <c r="H475" t="s">
        <v>22</v>
      </c>
      <c r="I475" t="s">
        <v>23</v>
      </c>
      <c r="J475" t="s">
        <v>24</v>
      </c>
      <c r="K475" t="s">
        <v>25</v>
      </c>
      <c r="L475">
        <v>42420</v>
      </c>
      <c r="M475" t="s">
        <v>26</v>
      </c>
      <c r="N475" t="s">
        <v>1816</v>
      </c>
      <c r="O475" t="s">
        <v>42</v>
      </c>
      <c r="P475" t="s">
        <v>74</v>
      </c>
      <c r="Q475" t="s">
        <v>1817</v>
      </c>
      <c r="R475">
        <v>152.94</v>
      </c>
      <c r="S475" t="str">
        <f>TEXT(sales_data[[#This Row],[Order Date]],"mm")</f>
        <v>12</v>
      </c>
      <c r="T475">
        <f>YEAR(sales_data[[#This Row],[Order Date]])</f>
        <v>2016</v>
      </c>
      <c r="U475" s="8" t="s">
        <v>4284</v>
      </c>
      <c r="V475" t="s">
        <v>1816</v>
      </c>
    </row>
    <row r="476" spans="1:22" x14ac:dyDescent="0.35">
      <c r="A476">
        <v>540</v>
      </c>
      <c r="B476" t="s">
        <v>1813</v>
      </c>
      <c r="C476" s="1">
        <v>42711</v>
      </c>
      <c r="D476" s="1">
        <v>42715</v>
      </c>
      <c r="E476" t="s">
        <v>46</v>
      </c>
      <c r="F476" t="s">
        <v>1814</v>
      </c>
      <c r="G476" t="s">
        <v>1815</v>
      </c>
      <c r="H476" t="s">
        <v>22</v>
      </c>
      <c r="I476" t="s">
        <v>23</v>
      </c>
      <c r="J476" t="s">
        <v>24</v>
      </c>
      <c r="K476" t="s">
        <v>25</v>
      </c>
      <c r="L476">
        <v>42420</v>
      </c>
      <c r="M476" t="s">
        <v>26</v>
      </c>
      <c r="N476" t="s">
        <v>1818</v>
      </c>
      <c r="O476" t="s">
        <v>28</v>
      </c>
      <c r="P476" t="s">
        <v>32</v>
      </c>
      <c r="Q476" t="s">
        <v>1819</v>
      </c>
      <c r="R476">
        <v>283.92</v>
      </c>
      <c r="S476" t="str">
        <f>TEXT(sales_data[[#This Row],[Order Date]],"mm")</f>
        <v>12</v>
      </c>
      <c r="T476">
        <f>YEAR(sales_data[[#This Row],[Order Date]])</f>
        <v>2016</v>
      </c>
      <c r="U476" s="7" t="s">
        <v>4302</v>
      </c>
      <c r="V476" t="s">
        <v>1818</v>
      </c>
    </row>
    <row r="477" spans="1:22" x14ac:dyDescent="0.35">
      <c r="A477">
        <v>541</v>
      </c>
      <c r="B477" t="s">
        <v>1820</v>
      </c>
      <c r="C477" s="1">
        <v>42036</v>
      </c>
      <c r="D477" s="1">
        <v>42038</v>
      </c>
      <c r="E477" t="s">
        <v>183</v>
      </c>
      <c r="F477" t="s">
        <v>1821</v>
      </c>
      <c r="G477" t="s">
        <v>1822</v>
      </c>
      <c r="H477" t="s">
        <v>22</v>
      </c>
      <c r="I477" t="s">
        <v>23</v>
      </c>
      <c r="J477" t="s">
        <v>1823</v>
      </c>
      <c r="K477" t="s">
        <v>110</v>
      </c>
      <c r="L477">
        <v>54302</v>
      </c>
      <c r="M477" t="s">
        <v>101</v>
      </c>
      <c r="N477" t="s">
        <v>1824</v>
      </c>
      <c r="O477" t="s">
        <v>67</v>
      </c>
      <c r="P477" t="s">
        <v>156</v>
      </c>
      <c r="Q477" t="s">
        <v>1825</v>
      </c>
      <c r="R477">
        <v>468.9</v>
      </c>
      <c r="S477" t="str">
        <f>TEXT(sales_data[[#This Row],[Order Date]],"mm")</f>
        <v>02</v>
      </c>
      <c r="T477">
        <f>YEAR(sales_data[[#This Row],[Order Date]])</f>
        <v>2015</v>
      </c>
      <c r="U477" s="8" t="s">
        <v>4307</v>
      </c>
      <c r="V477" t="s">
        <v>1824</v>
      </c>
    </row>
    <row r="478" spans="1:22" x14ac:dyDescent="0.35">
      <c r="A478">
        <v>542</v>
      </c>
      <c r="B478" t="s">
        <v>1826</v>
      </c>
      <c r="C478" s="1">
        <v>42930</v>
      </c>
      <c r="D478" s="1">
        <v>42933</v>
      </c>
      <c r="E478" t="s">
        <v>183</v>
      </c>
      <c r="F478" t="s">
        <v>215</v>
      </c>
      <c r="G478" t="s">
        <v>216</v>
      </c>
      <c r="H478" t="s">
        <v>37</v>
      </c>
      <c r="I478" t="s">
        <v>23</v>
      </c>
      <c r="J478" t="s">
        <v>1298</v>
      </c>
      <c r="K478" t="s">
        <v>305</v>
      </c>
      <c r="L478">
        <v>85705</v>
      </c>
      <c r="M478" t="s">
        <v>40</v>
      </c>
      <c r="N478" t="s">
        <v>1827</v>
      </c>
      <c r="O478" t="s">
        <v>67</v>
      </c>
      <c r="P478" t="s">
        <v>68</v>
      </c>
      <c r="Q478" t="s">
        <v>1828</v>
      </c>
      <c r="R478">
        <v>380.86399999999998</v>
      </c>
      <c r="S478" t="str">
        <f>TEXT(sales_data[[#This Row],[Order Date]],"mm")</f>
        <v>07</v>
      </c>
      <c r="T478">
        <f>YEAR(sales_data[[#This Row],[Order Date]])</f>
        <v>2017</v>
      </c>
      <c r="U478" s="7" t="s">
        <v>4322</v>
      </c>
      <c r="V478" t="s">
        <v>1827</v>
      </c>
    </row>
    <row r="479" spans="1:22" x14ac:dyDescent="0.35">
      <c r="A479">
        <v>544</v>
      </c>
      <c r="B479" t="s">
        <v>1830</v>
      </c>
      <c r="C479" s="1">
        <v>42135</v>
      </c>
      <c r="D479" s="1">
        <v>42140</v>
      </c>
      <c r="E479" t="s">
        <v>46</v>
      </c>
      <c r="F479" t="s">
        <v>382</v>
      </c>
      <c r="G479" t="s">
        <v>383</v>
      </c>
      <c r="H479" t="s">
        <v>22</v>
      </c>
      <c r="I479" t="s">
        <v>23</v>
      </c>
      <c r="J479" t="s">
        <v>99</v>
      </c>
      <c r="K479" t="s">
        <v>100</v>
      </c>
      <c r="L479">
        <v>76106</v>
      </c>
      <c r="M479" t="s">
        <v>101</v>
      </c>
      <c r="N479" t="s">
        <v>1831</v>
      </c>
      <c r="O479" t="s">
        <v>67</v>
      </c>
      <c r="P479" t="s">
        <v>156</v>
      </c>
      <c r="Q479" t="s">
        <v>1832</v>
      </c>
      <c r="R479">
        <v>58.112000000000002</v>
      </c>
      <c r="S479" t="str">
        <f>TEXT(sales_data[[#This Row],[Order Date]],"mm")</f>
        <v>05</v>
      </c>
      <c r="T479">
        <f>YEAR(sales_data[[#This Row],[Order Date]])</f>
        <v>2015</v>
      </c>
      <c r="U479" s="8" t="s">
        <v>4335</v>
      </c>
      <c r="V479" t="s">
        <v>1831</v>
      </c>
    </row>
    <row r="480" spans="1:22" x14ac:dyDescent="0.35">
      <c r="A480">
        <v>545</v>
      </c>
      <c r="B480" t="s">
        <v>1830</v>
      </c>
      <c r="C480" s="1">
        <v>42135</v>
      </c>
      <c r="D480" s="1">
        <v>42140</v>
      </c>
      <c r="E480" t="s">
        <v>46</v>
      </c>
      <c r="F480" t="s">
        <v>382</v>
      </c>
      <c r="G480" t="s">
        <v>383</v>
      </c>
      <c r="H480" t="s">
        <v>22</v>
      </c>
      <c r="I480" t="s">
        <v>23</v>
      </c>
      <c r="J480" t="s">
        <v>99</v>
      </c>
      <c r="K480" t="s">
        <v>100</v>
      </c>
      <c r="L480">
        <v>76106</v>
      </c>
      <c r="M480" t="s">
        <v>101</v>
      </c>
      <c r="N480" t="s">
        <v>1833</v>
      </c>
      <c r="O480" t="s">
        <v>67</v>
      </c>
      <c r="P480" t="s">
        <v>68</v>
      </c>
      <c r="Q480" t="s">
        <v>1834</v>
      </c>
      <c r="R480">
        <v>100.792</v>
      </c>
      <c r="S480" t="str">
        <f>TEXT(sales_data[[#This Row],[Order Date]],"mm")</f>
        <v>05</v>
      </c>
      <c r="T480">
        <f>YEAR(sales_data[[#This Row],[Order Date]])</f>
        <v>2015</v>
      </c>
      <c r="U480" s="8" t="s">
        <v>4359</v>
      </c>
      <c r="V480" t="s">
        <v>1833</v>
      </c>
    </row>
    <row r="481" spans="1:22" x14ac:dyDescent="0.35">
      <c r="A481">
        <v>546</v>
      </c>
      <c r="B481" t="s">
        <v>1830</v>
      </c>
      <c r="C481" s="1">
        <v>42135</v>
      </c>
      <c r="D481" s="1">
        <v>42140</v>
      </c>
      <c r="E481" t="s">
        <v>46</v>
      </c>
      <c r="F481" t="s">
        <v>382</v>
      </c>
      <c r="G481" t="s">
        <v>383</v>
      </c>
      <c r="H481" t="s">
        <v>22</v>
      </c>
      <c r="I481" t="s">
        <v>23</v>
      </c>
      <c r="J481" t="s">
        <v>99</v>
      </c>
      <c r="K481" t="s">
        <v>100</v>
      </c>
      <c r="L481">
        <v>76106</v>
      </c>
      <c r="M481" t="s">
        <v>101</v>
      </c>
      <c r="N481" t="s">
        <v>1835</v>
      </c>
      <c r="O481" t="s">
        <v>28</v>
      </c>
      <c r="P481" t="s">
        <v>61</v>
      </c>
      <c r="Q481" t="s">
        <v>1836</v>
      </c>
      <c r="R481">
        <v>66.111999999999995</v>
      </c>
      <c r="S481" t="str">
        <f>TEXT(sales_data[[#This Row],[Order Date]],"mm")</f>
        <v>05</v>
      </c>
      <c r="T481">
        <f>YEAR(sales_data[[#This Row],[Order Date]])</f>
        <v>2015</v>
      </c>
      <c r="U481" s="8" t="s">
        <v>4372</v>
      </c>
      <c r="V481" t="s">
        <v>1835</v>
      </c>
    </row>
    <row r="482" spans="1:22" x14ac:dyDescent="0.35">
      <c r="A482">
        <v>547</v>
      </c>
      <c r="B482" t="s">
        <v>1837</v>
      </c>
      <c r="C482" s="1">
        <v>43423</v>
      </c>
      <c r="D482" s="1">
        <v>43426</v>
      </c>
      <c r="E482" t="s">
        <v>183</v>
      </c>
      <c r="F482" t="s">
        <v>1838</v>
      </c>
      <c r="G482" t="s">
        <v>1839</v>
      </c>
      <c r="H482" t="s">
        <v>98</v>
      </c>
      <c r="I482" t="s">
        <v>23</v>
      </c>
      <c r="J482" t="s">
        <v>261</v>
      </c>
      <c r="K482" t="s">
        <v>262</v>
      </c>
      <c r="L482">
        <v>10035</v>
      </c>
      <c r="M482" t="s">
        <v>144</v>
      </c>
      <c r="N482" t="s">
        <v>1840</v>
      </c>
      <c r="O482" t="s">
        <v>42</v>
      </c>
      <c r="P482" t="s">
        <v>71</v>
      </c>
      <c r="Q482" t="s">
        <v>1841</v>
      </c>
      <c r="R482">
        <v>41.28</v>
      </c>
      <c r="S482" t="str">
        <f>TEXT(sales_data[[#This Row],[Order Date]],"mm")</f>
        <v>11</v>
      </c>
      <c r="T482">
        <f>YEAR(sales_data[[#This Row],[Order Date]])</f>
        <v>2018</v>
      </c>
      <c r="U482" s="8" t="s">
        <v>4379</v>
      </c>
      <c r="V482" t="s">
        <v>1840</v>
      </c>
    </row>
    <row r="483" spans="1:22" x14ac:dyDescent="0.35">
      <c r="A483">
        <v>548</v>
      </c>
      <c r="B483" t="s">
        <v>1837</v>
      </c>
      <c r="C483" s="1">
        <v>43423</v>
      </c>
      <c r="D483" s="1">
        <v>43426</v>
      </c>
      <c r="E483" t="s">
        <v>183</v>
      </c>
      <c r="F483" t="s">
        <v>1838</v>
      </c>
      <c r="G483" t="s">
        <v>1839</v>
      </c>
      <c r="H483" t="s">
        <v>98</v>
      </c>
      <c r="I483" t="s">
        <v>23</v>
      </c>
      <c r="J483" t="s">
        <v>261</v>
      </c>
      <c r="K483" t="s">
        <v>262</v>
      </c>
      <c r="L483">
        <v>10035</v>
      </c>
      <c r="M483" t="s">
        <v>144</v>
      </c>
      <c r="N483" t="s">
        <v>1842</v>
      </c>
      <c r="O483" t="s">
        <v>42</v>
      </c>
      <c r="P483" t="s">
        <v>86</v>
      </c>
      <c r="Q483" t="s">
        <v>1843</v>
      </c>
      <c r="R483">
        <v>13.36</v>
      </c>
      <c r="S483" t="str">
        <f>TEXT(sales_data[[#This Row],[Order Date]],"mm")</f>
        <v>11</v>
      </c>
      <c r="T483">
        <f>YEAR(sales_data[[#This Row],[Order Date]])</f>
        <v>2018</v>
      </c>
      <c r="U483" s="8" t="s">
        <v>4384</v>
      </c>
      <c r="V483" t="s">
        <v>1842</v>
      </c>
    </row>
    <row r="484" spans="1:22" x14ac:dyDescent="0.35">
      <c r="A484">
        <v>551</v>
      </c>
      <c r="B484" t="s">
        <v>1844</v>
      </c>
      <c r="C484" s="1">
        <v>42689</v>
      </c>
      <c r="D484" s="1">
        <v>42691</v>
      </c>
      <c r="E484" t="s">
        <v>19</v>
      </c>
      <c r="F484" t="s">
        <v>1346</v>
      </c>
      <c r="G484" t="s">
        <v>1347</v>
      </c>
      <c r="H484" t="s">
        <v>37</v>
      </c>
      <c r="I484" t="s">
        <v>23</v>
      </c>
      <c r="J484" t="s">
        <v>298</v>
      </c>
      <c r="K484" t="s">
        <v>206</v>
      </c>
      <c r="L484">
        <v>60653</v>
      </c>
      <c r="M484" t="s">
        <v>101</v>
      </c>
      <c r="N484" t="s">
        <v>1845</v>
      </c>
      <c r="O484" t="s">
        <v>42</v>
      </c>
      <c r="P484" t="s">
        <v>573</v>
      </c>
      <c r="Q484" t="s">
        <v>1284</v>
      </c>
      <c r="R484">
        <v>8.7200000000000006</v>
      </c>
      <c r="S484" t="str">
        <f>TEXT(sales_data[[#This Row],[Order Date]],"mm")</f>
        <v>11</v>
      </c>
      <c r="T484">
        <f>YEAR(sales_data[[#This Row],[Order Date]])</f>
        <v>2016</v>
      </c>
      <c r="U484" s="8" t="s">
        <v>4424</v>
      </c>
      <c r="V484" t="s">
        <v>1845</v>
      </c>
    </row>
    <row r="485" spans="1:22" x14ac:dyDescent="0.35">
      <c r="A485">
        <v>552</v>
      </c>
      <c r="B485" t="s">
        <v>1846</v>
      </c>
      <c r="C485" s="1">
        <v>42840</v>
      </c>
      <c r="D485" s="1">
        <v>42842</v>
      </c>
      <c r="E485" t="s">
        <v>19</v>
      </c>
      <c r="F485" t="s">
        <v>1847</v>
      </c>
      <c r="G485" t="s">
        <v>1848</v>
      </c>
      <c r="H485" t="s">
        <v>22</v>
      </c>
      <c r="I485" t="s">
        <v>23</v>
      </c>
      <c r="J485" t="s">
        <v>123</v>
      </c>
      <c r="K485" t="s">
        <v>39</v>
      </c>
      <c r="L485">
        <v>94110</v>
      </c>
      <c r="M485" t="s">
        <v>40</v>
      </c>
      <c r="N485" t="s">
        <v>1849</v>
      </c>
      <c r="O485" t="s">
        <v>28</v>
      </c>
      <c r="P485" t="s">
        <v>32</v>
      </c>
      <c r="Q485" t="s">
        <v>1850</v>
      </c>
      <c r="R485">
        <v>1121.568</v>
      </c>
      <c r="S485" t="str">
        <f>TEXT(sales_data[[#This Row],[Order Date]],"mm")</f>
        <v>04</v>
      </c>
      <c r="T485">
        <f>YEAR(sales_data[[#This Row],[Order Date]])</f>
        <v>2017</v>
      </c>
      <c r="U485" s="7" t="s">
        <v>4434</v>
      </c>
      <c r="V485" t="s">
        <v>1849</v>
      </c>
    </row>
    <row r="486" spans="1:22" x14ac:dyDescent="0.35">
      <c r="A486">
        <v>553</v>
      </c>
      <c r="B486" t="s">
        <v>1851</v>
      </c>
      <c r="C486" s="1">
        <v>43354</v>
      </c>
      <c r="D486" s="1">
        <v>43355</v>
      </c>
      <c r="E486" t="s">
        <v>183</v>
      </c>
      <c r="F486" t="s">
        <v>490</v>
      </c>
      <c r="G486" t="s">
        <v>491</v>
      </c>
      <c r="H486" t="s">
        <v>22</v>
      </c>
      <c r="I486" t="s">
        <v>23</v>
      </c>
      <c r="J486" t="s">
        <v>1509</v>
      </c>
      <c r="K486" t="s">
        <v>50</v>
      </c>
      <c r="L486">
        <v>32216</v>
      </c>
      <c r="M486" t="s">
        <v>26</v>
      </c>
      <c r="N486" t="s">
        <v>1852</v>
      </c>
      <c r="O486" t="s">
        <v>28</v>
      </c>
      <c r="P486" t="s">
        <v>61</v>
      </c>
      <c r="Q486" t="s">
        <v>1853</v>
      </c>
      <c r="R486">
        <v>34.503999999999998</v>
      </c>
      <c r="S486" t="str">
        <f>TEXT(sales_data[[#This Row],[Order Date]],"mm")</f>
        <v>09</v>
      </c>
      <c r="T486">
        <f>YEAR(sales_data[[#This Row],[Order Date]])</f>
        <v>2018</v>
      </c>
      <c r="U486" s="8" t="s">
        <v>4443</v>
      </c>
      <c r="V486" t="s">
        <v>1852</v>
      </c>
    </row>
    <row r="487" spans="1:22" x14ac:dyDescent="0.35">
      <c r="A487">
        <v>554</v>
      </c>
      <c r="B487" t="s">
        <v>1854</v>
      </c>
      <c r="C487" s="1">
        <v>43428</v>
      </c>
      <c r="D487" s="1">
        <v>43432</v>
      </c>
      <c r="E487" t="s">
        <v>46</v>
      </c>
      <c r="F487" t="s">
        <v>1855</v>
      </c>
      <c r="G487" t="s">
        <v>1856</v>
      </c>
      <c r="H487" t="s">
        <v>22</v>
      </c>
      <c r="I487" t="s">
        <v>23</v>
      </c>
      <c r="J487" t="s">
        <v>179</v>
      </c>
      <c r="K487" t="s">
        <v>100</v>
      </c>
      <c r="L487">
        <v>77070</v>
      </c>
      <c r="M487" t="s">
        <v>101</v>
      </c>
      <c r="N487" t="s">
        <v>1857</v>
      </c>
      <c r="O487" t="s">
        <v>42</v>
      </c>
      <c r="P487" t="s">
        <v>264</v>
      </c>
      <c r="Q487" t="s">
        <v>1858</v>
      </c>
      <c r="R487">
        <v>10.824</v>
      </c>
      <c r="S487" t="str">
        <f>TEXT(sales_data[[#This Row],[Order Date]],"mm")</f>
        <v>11</v>
      </c>
      <c r="T487">
        <f>YEAR(sales_data[[#This Row],[Order Date]])</f>
        <v>2018</v>
      </c>
      <c r="U487" s="7" t="s">
        <v>4452</v>
      </c>
      <c r="V487" t="s">
        <v>1857</v>
      </c>
    </row>
    <row r="488" spans="1:22" x14ac:dyDescent="0.35">
      <c r="A488">
        <v>555</v>
      </c>
      <c r="B488" t="s">
        <v>1859</v>
      </c>
      <c r="C488" s="1">
        <v>43280</v>
      </c>
      <c r="D488" s="1">
        <v>43284</v>
      </c>
      <c r="E488" t="s">
        <v>19</v>
      </c>
      <c r="F488" t="s">
        <v>1346</v>
      </c>
      <c r="G488" t="s">
        <v>1347</v>
      </c>
      <c r="H488" t="s">
        <v>37</v>
      </c>
      <c r="I488" t="s">
        <v>23</v>
      </c>
      <c r="J488" t="s">
        <v>1860</v>
      </c>
      <c r="K488" t="s">
        <v>39</v>
      </c>
      <c r="L488">
        <v>92804</v>
      </c>
      <c r="M488" t="s">
        <v>40</v>
      </c>
      <c r="N488" t="s">
        <v>1861</v>
      </c>
      <c r="O488" t="s">
        <v>42</v>
      </c>
      <c r="P488" t="s">
        <v>55</v>
      </c>
      <c r="Q488" t="s">
        <v>1862</v>
      </c>
      <c r="R488">
        <v>1295.78</v>
      </c>
      <c r="S488" t="str">
        <f>TEXT(sales_data[[#This Row],[Order Date]],"mm")</f>
        <v>06</v>
      </c>
      <c r="T488">
        <f>YEAR(sales_data[[#This Row],[Order Date]])</f>
        <v>2018</v>
      </c>
      <c r="U488" s="8" t="s">
        <v>4462</v>
      </c>
      <c r="V488" t="s">
        <v>1861</v>
      </c>
    </row>
    <row r="489" spans="1:22" x14ac:dyDescent="0.35">
      <c r="A489">
        <v>556</v>
      </c>
      <c r="B489" t="s">
        <v>1863</v>
      </c>
      <c r="C489" s="1">
        <v>42066</v>
      </c>
      <c r="D489" s="1">
        <v>42070</v>
      </c>
      <c r="E489" t="s">
        <v>19</v>
      </c>
      <c r="F489" t="s">
        <v>1864</v>
      </c>
      <c r="G489" t="s">
        <v>1865</v>
      </c>
      <c r="H489" t="s">
        <v>22</v>
      </c>
      <c r="I489" t="s">
        <v>23</v>
      </c>
      <c r="J489" t="s">
        <v>516</v>
      </c>
      <c r="K489" t="s">
        <v>84</v>
      </c>
      <c r="L489">
        <v>28403</v>
      </c>
      <c r="M489" t="s">
        <v>26</v>
      </c>
      <c r="N489" t="s">
        <v>1866</v>
      </c>
      <c r="O489" t="s">
        <v>42</v>
      </c>
      <c r="P489" t="s">
        <v>64</v>
      </c>
      <c r="Q489" t="s">
        <v>1867</v>
      </c>
      <c r="R489">
        <v>19.456</v>
      </c>
      <c r="S489" t="str">
        <f>TEXT(sales_data[[#This Row],[Order Date]],"mm")</f>
        <v>03</v>
      </c>
      <c r="T489">
        <f>YEAR(sales_data[[#This Row],[Order Date]])</f>
        <v>2015</v>
      </c>
      <c r="U489" s="7" t="s">
        <v>4482</v>
      </c>
      <c r="V489" t="s">
        <v>1866</v>
      </c>
    </row>
    <row r="490" spans="1:22" x14ac:dyDescent="0.35">
      <c r="A490">
        <v>557</v>
      </c>
      <c r="B490" t="s">
        <v>1868</v>
      </c>
      <c r="C490" s="1">
        <v>42896</v>
      </c>
      <c r="D490" s="1">
        <v>42901</v>
      </c>
      <c r="E490" t="s">
        <v>46</v>
      </c>
      <c r="F490" t="s">
        <v>1869</v>
      </c>
      <c r="G490" t="s">
        <v>1870</v>
      </c>
      <c r="H490" t="s">
        <v>22</v>
      </c>
      <c r="I490" t="s">
        <v>23</v>
      </c>
      <c r="J490" t="s">
        <v>38</v>
      </c>
      <c r="K490" t="s">
        <v>39</v>
      </c>
      <c r="L490">
        <v>90045</v>
      </c>
      <c r="M490" t="s">
        <v>40</v>
      </c>
      <c r="N490" t="s">
        <v>1871</v>
      </c>
      <c r="O490" t="s">
        <v>42</v>
      </c>
      <c r="P490" t="s">
        <v>43</v>
      </c>
      <c r="Q490" t="s">
        <v>1872</v>
      </c>
      <c r="R490">
        <v>20.7</v>
      </c>
      <c r="S490" t="str">
        <f>TEXT(sales_data[[#This Row],[Order Date]],"mm")</f>
        <v>06</v>
      </c>
      <c r="T490">
        <f>YEAR(sales_data[[#This Row],[Order Date]])</f>
        <v>2017</v>
      </c>
      <c r="U490" s="8" t="s">
        <v>4490</v>
      </c>
      <c r="V490" t="s">
        <v>1871</v>
      </c>
    </row>
    <row r="491" spans="1:22" x14ac:dyDescent="0.35">
      <c r="A491">
        <v>558</v>
      </c>
      <c r="B491" t="s">
        <v>1868</v>
      </c>
      <c r="C491" s="1">
        <v>42896</v>
      </c>
      <c r="D491" s="1">
        <v>42901</v>
      </c>
      <c r="E491" t="s">
        <v>46</v>
      </c>
      <c r="F491" t="s">
        <v>1869</v>
      </c>
      <c r="G491" t="s">
        <v>1870</v>
      </c>
      <c r="H491" t="s">
        <v>22</v>
      </c>
      <c r="I491" t="s">
        <v>23</v>
      </c>
      <c r="J491" t="s">
        <v>38</v>
      </c>
      <c r="K491" t="s">
        <v>39</v>
      </c>
      <c r="L491">
        <v>90045</v>
      </c>
      <c r="M491" t="s">
        <v>40</v>
      </c>
      <c r="N491" t="s">
        <v>1873</v>
      </c>
      <c r="O491" t="s">
        <v>28</v>
      </c>
      <c r="P491" t="s">
        <v>52</v>
      </c>
      <c r="Q491" t="s">
        <v>1874</v>
      </c>
      <c r="R491">
        <v>1335.68</v>
      </c>
      <c r="S491" t="str">
        <f>TEXT(sales_data[[#This Row],[Order Date]],"mm")</f>
        <v>06</v>
      </c>
      <c r="T491">
        <f>YEAR(sales_data[[#This Row],[Order Date]])</f>
        <v>2017</v>
      </c>
      <c r="U491" s="8" t="s">
        <v>4510</v>
      </c>
      <c r="V491" t="s">
        <v>1873</v>
      </c>
    </row>
    <row r="492" spans="1:22" x14ac:dyDescent="0.35">
      <c r="A492">
        <v>559</v>
      </c>
      <c r="B492" t="s">
        <v>1868</v>
      </c>
      <c r="C492" s="1">
        <v>42896</v>
      </c>
      <c r="D492" s="1">
        <v>42901</v>
      </c>
      <c r="E492" t="s">
        <v>46</v>
      </c>
      <c r="F492" t="s">
        <v>1869</v>
      </c>
      <c r="G492" t="s">
        <v>1870</v>
      </c>
      <c r="H492" t="s">
        <v>22</v>
      </c>
      <c r="I492" t="s">
        <v>23</v>
      </c>
      <c r="J492" t="s">
        <v>38</v>
      </c>
      <c r="K492" t="s">
        <v>39</v>
      </c>
      <c r="L492">
        <v>90045</v>
      </c>
      <c r="M492" t="s">
        <v>40</v>
      </c>
      <c r="N492" t="s">
        <v>1875</v>
      </c>
      <c r="O492" t="s">
        <v>42</v>
      </c>
      <c r="P492" t="s">
        <v>86</v>
      </c>
      <c r="Q492" t="s">
        <v>1876</v>
      </c>
      <c r="R492">
        <v>32.4</v>
      </c>
      <c r="S492" t="str">
        <f>TEXT(sales_data[[#This Row],[Order Date]],"mm")</f>
        <v>06</v>
      </c>
      <c r="T492">
        <f>YEAR(sales_data[[#This Row],[Order Date]])</f>
        <v>2017</v>
      </c>
      <c r="U492" s="8" t="s">
        <v>4528</v>
      </c>
      <c r="V492" t="s">
        <v>1875</v>
      </c>
    </row>
    <row r="493" spans="1:22" x14ac:dyDescent="0.35">
      <c r="A493">
        <v>561</v>
      </c>
      <c r="B493" t="s">
        <v>1877</v>
      </c>
      <c r="C493" s="1">
        <v>43424</v>
      </c>
      <c r="D493" s="1">
        <v>43426</v>
      </c>
      <c r="E493" t="s">
        <v>19</v>
      </c>
      <c r="F493" t="s">
        <v>1878</v>
      </c>
      <c r="G493" t="s">
        <v>1879</v>
      </c>
      <c r="H493" t="s">
        <v>22</v>
      </c>
      <c r="I493" t="s">
        <v>23</v>
      </c>
      <c r="J493" t="s">
        <v>123</v>
      </c>
      <c r="K493" t="s">
        <v>39</v>
      </c>
      <c r="L493">
        <v>94110</v>
      </c>
      <c r="M493" t="s">
        <v>40</v>
      </c>
      <c r="N493" t="s">
        <v>1880</v>
      </c>
      <c r="O493" t="s">
        <v>42</v>
      </c>
      <c r="P493" t="s">
        <v>71</v>
      </c>
      <c r="Q493" t="s">
        <v>1881</v>
      </c>
      <c r="R493">
        <v>84.055999999999997</v>
      </c>
      <c r="S493" t="str">
        <f>TEXT(sales_data[[#This Row],[Order Date]],"mm")</f>
        <v>11</v>
      </c>
      <c r="T493">
        <f>YEAR(sales_data[[#This Row],[Order Date]])</f>
        <v>2018</v>
      </c>
      <c r="U493" s="8" t="s">
        <v>4549</v>
      </c>
      <c r="V493" t="s">
        <v>1880</v>
      </c>
    </row>
    <row r="494" spans="1:22" x14ac:dyDescent="0.35">
      <c r="A494">
        <v>562</v>
      </c>
      <c r="B494" t="s">
        <v>1882</v>
      </c>
      <c r="C494" s="1">
        <v>42261</v>
      </c>
      <c r="D494" s="1">
        <v>42265</v>
      </c>
      <c r="E494" t="s">
        <v>19</v>
      </c>
      <c r="F494" t="s">
        <v>1883</v>
      </c>
      <c r="G494" t="s">
        <v>1884</v>
      </c>
      <c r="H494" t="s">
        <v>22</v>
      </c>
      <c r="I494" t="s">
        <v>23</v>
      </c>
      <c r="J494" t="s">
        <v>892</v>
      </c>
      <c r="K494" t="s">
        <v>50</v>
      </c>
      <c r="L494">
        <v>33614</v>
      </c>
      <c r="M494" t="s">
        <v>26</v>
      </c>
      <c r="N494" t="s">
        <v>1885</v>
      </c>
      <c r="O494" t="s">
        <v>42</v>
      </c>
      <c r="P494" t="s">
        <v>74</v>
      </c>
      <c r="Q494" t="s">
        <v>1886</v>
      </c>
      <c r="R494">
        <v>13</v>
      </c>
      <c r="S494" t="str">
        <f>TEXT(sales_data[[#This Row],[Order Date]],"mm")</f>
        <v>09</v>
      </c>
      <c r="T494">
        <f>YEAR(sales_data[[#This Row],[Order Date]])</f>
        <v>2015</v>
      </c>
      <c r="U494" s="7" t="s">
        <v>4554</v>
      </c>
      <c r="V494" t="s">
        <v>1885</v>
      </c>
    </row>
    <row r="495" spans="1:22" x14ac:dyDescent="0.35">
      <c r="A495">
        <v>563</v>
      </c>
      <c r="B495" t="s">
        <v>1882</v>
      </c>
      <c r="C495" s="1">
        <v>42261</v>
      </c>
      <c r="D495" s="1">
        <v>42265</v>
      </c>
      <c r="E495" t="s">
        <v>19</v>
      </c>
      <c r="F495" t="s">
        <v>1883</v>
      </c>
      <c r="G495" t="s">
        <v>1884</v>
      </c>
      <c r="H495" t="s">
        <v>22</v>
      </c>
      <c r="I495" t="s">
        <v>23</v>
      </c>
      <c r="J495" t="s">
        <v>892</v>
      </c>
      <c r="K495" t="s">
        <v>50</v>
      </c>
      <c r="L495">
        <v>33614</v>
      </c>
      <c r="M495" t="s">
        <v>26</v>
      </c>
      <c r="N495" t="s">
        <v>1887</v>
      </c>
      <c r="O495" t="s">
        <v>28</v>
      </c>
      <c r="P495" t="s">
        <v>61</v>
      </c>
      <c r="Q495" t="s">
        <v>1888</v>
      </c>
      <c r="R495">
        <v>13.128</v>
      </c>
      <c r="S495" t="str">
        <f>TEXT(sales_data[[#This Row],[Order Date]],"mm")</f>
        <v>09</v>
      </c>
      <c r="T495">
        <f>YEAR(sales_data[[#This Row],[Order Date]])</f>
        <v>2015</v>
      </c>
      <c r="U495" s="8" t="s">
        <v>4559</v>
      </c>
      <c r="V495" t="s">
        <v>1887</v>
      </c>
    </row>
    <row r="496" spans="1:22" x14ac:dyDescent="0.35">
      <c r="A496">
        <v>564</v>
      </c>
      <c r="B496" t="s">
        <v>1889</v>
      </c>
      <c r="C496" s="1">
        <v>42711</v>
      </c>
      <c r="D496" s="1">
        <v>42713</v>
      </c>
      <c r="E496" t="s">
        <v>183</v>
      </c>
      <c r="F496" t="s">
        <v>1890</v>
      </c>
      <c r="G496" t="s">
        <v>1891</v>
      </c>
      <c r="H496" t="s">
        <v>22</v>
      </c>
      <c r="I496" t="s">
        <v>23</v>
      </c>
      <c r="J496" t="s">
        <v>91</v>
      </c>
      <c r="K496" t="s">
        <v>92</v>
      </c>
      <c r="L496">
        <v>98105</v>
      </c>
      <c r="M496" t="s">
        <v>40</v>
      </c>
      <c r="N496" t="s">
        <v>1892</v>
      </c>
      <c r="O496" t="s">
        <v>42</v>
      </c>
      <c r="P496" t="s">
        <v>264</v>
      </c>
      <c r="Q496" t="s">
        <v>1893</v>
      </c>
      <c r="R496">
        <v>3.96</v>
      </c>
      <c r="S496" t="str">
        <f>TEXT(sales_data[[#This Row],[Order Date]],"mm")</f>
        <v>12</v>
      </c>
      <c r="T496">
        <f>YEAR(sales_data[[#This Row],[Order Date]])</f>
        <v>2016</v>
      </c>
      <c r="U496" s="8" t="s">
        <v>4563</v>
      </c>
      <c r="V496" t="s">
        <v>1892</v>
      </c>
    </row>
    <row r="497" spans="1:22" x14ac:dyDescent="0.35">
      <c r="A497">
        <v>566</v>
      </c>
      <c r="B497" t="s">
        <v>1894</v>
      </c>
      <c r="C497" s="1">
        <v>43441</v>
      </c>
      <c r="D497" s="1">
        <v>43444</v>
      </c>
      <c r="E497" t="s">
        <v>183</v>
      </c>
      <c r="F497" t="s">
        <v>1895</v>
      </c>
      <c r="G497" t="s">
        <v>1896</v>
      </c>
      <c r="H497" t="s">
        <v>22</v>
      </c>
      <c r="I497" t="s">
        <v>23</v>
      </c>
      <c r="J497" t="s">
        <v>38</v>
      </c>
      <c r="K497" t="s">
        <v>39</v>
      </c>
      <c r="L497">
        <v>90008</v>
      </c>
      <c r="M497" t="s">
        <v>40</v>
      </c>
      <c r="N497" t="s">
        <v>1897</v>
      </c>
      <c r="O497" t="s">
        <v>67</v>
      </c>
      <c r="P497" t="s">
        <v>68</v>
      </c>
      <c r="Q497" t="s">
        <v>1898</v>
      </c>
      <c r="R497">
        <v>374.37599999999998</v>
      </c>
      <c r="S497" t="str">
        <f>TEXT(sales_data[[#This Row],[Order Date]],"mm")</f>
        <v>12</v>
      </c>
      <c r="T497">
        <f>YEAR(sales_data[[#This Row],[Order Date]])</f>
        <v>2018</v>
      </c>
      <c r="U497" s="7" t="s">
        <v>4577</v>
      </c>
      <c r="V497" t="s">
        <v>1897</v>
      </c>
    </row>
    <row r="498" spans="1:22" x14ac:dyDescent="0.35">
      <c r="A498">
        <v>567</v>
      </c>
      <c r="B498" t="s">
        <v>1899</v>
      </c>
      <c r="C498" s="1">
        <v>43374</v>
      </c>
      <c r="D498" s="1">
        <v>43381</v>
      </c>
      <c r="E498" t="s">
        <v>46</v>
      </c>
      <c r="F498" t="s">
        <v>1900</v>
      </c>
      <c r="G498" t="s">
        <v>1901</v>
      </c>
      <c r="H498" t="s">
        <v>37</v>
      </c>
      <c r="I498" t="s">
        <v>23</v>
      </c>
      <c r="J498" t="s">
        <v>91</v>
      </c>
      <c r="K498" t="s">
        <v>92</v>
      </c>
      <c r="L498">
        <v>98105</v>
      </c>
      <c r="M498" t="s">
        <v>40</v>
      </c>
      <c r="N498" t="s">
        <v>1902</v>
      </c>
      <c r="O498" t="s">
        <v>42</v>
      </c>
      <c r="P498" t="s">
        <v>86</v>
      </c>
      <c r="Q498" t="s">
        <v>1903</v>
      </c>
      <c r="R498">
        <v>91.84</v>
      </c>
      <c r="S498" t="str">
        <f>TEXT(sales_data[[#This Row],[Order Date]],"mm")</f>
        <v>10</v>
      </c>
      <c r="T498">
        <f>YEAR(sales_data[[#This Row],[Order Date]])</f>
        <v>2018</v>
      </c>
      <c r="U498" s="8" t="s">
        <v>4602</v>
      </c>
      <c r="V498" t="s">
        <v>1902</v>
      </c>
    </row>
    <row r="499" spans="1:22" x14ac:dyDescent="0.35">
      <c r="A499">
        <v>568</v>
      </c>
      <c r="B499" t="s">
        <v>1899</v>
      </c>
      <c r="C499" s="1">
        <v>43374</v>
      </c>
      <c r="D499" s="1">
        <v>43381</v>
      </c>
      <c r="E499" t="s">
        <v>46</v>
      </c>
      <c r="F499" t="s">
        <v>1900</v>
      </c>
      <c r="G499" t="s">
        <v>1901</v>
      </c>
      <c r="H499" t="s">
        <v>37</v>
      </c>
      <c r="I499" t="s">
        <v>23</v>
      </c>
      <c r="J499" t="s">
        <v>91</v>
      </c>
      <c r="K499" t="s">
        <v>92</v>
      </c>
      <c r="L499">
        <v>98105</v>
      </c>
      <c r="M499" t="s">
        <v>40</v>
      </c>
      <c r="N499" t="s">
        <v>1904</v>
      </c>
      <c r="O499" t="s">
        <v>42</v>
      </c>
      <c r="P499" t="s">
        <v>71</v>
      </c>
      <c r="Q499" t="s">
        <v>1905</v>
      </c>
      <c r="R499">
        <v>81.087999999999994</v>
      </c>
      <c r="S499" t="str">
        <f>TEXT(sales_data[[#This Row],[Order Date]],"mm")</f>
        <v>10</v>
      </c>
      <c r="T499">
        <f>YEAR(sales_data[[#This Row],[Order Date]])</f>
        <v>2018</v>
      </c>
      <c r="U499" s="7" t="s">
        <v>4604</v>
      </c>
      <c r="V499" t="s">
        <v>1904</v>
      </c>
    </row>
    <row r="500" spans="1:22" x14ac:dyDescent="0.35">
      <c r="A500">
        <v>569</v>
      </c>
      <c r="B500" t="s">
        <v>1899</v>
      </c>
      <c r="C500" s="1">
        <v>43374</v>
      </c>
      <c r="D500" s="1">
        <v>43381</v>
      </c>
      <c r="E500" t="s">
        <v>46</v>
      </c>
      <c r="F500" t="s">
        <v>1900</v>
      </c>
      <c r="G500" t="s">
        <v>1901</v>
      </c>
      <c r="H500" t="s">
        <v>37</v>
      </c>
      <c r="I500" t="s">
        <v>23</v>
      </c>
      <c r="J500" t="s">
        <v>91</v>
      </c>
      <c r="K500" t="s">
        <v>92</v>
      </c>
      <c r="L500">
        <v>98105</v>
      </c>
      <c r="M500" t="s">
        <v>40</v>
      </c>
      <c r="N500" t="s">
        <v>1906</v>
      </c>
      <c r="O500" t="s">
        <v>42</v>
      </c>
      <c r="P500" t="s">
        <v>86</v>
      </c>
      <c r="Q500" t="s">
        <v>1907</v>
      </c>
      <c r="R500">
        <v>19.440000000000001</v>
      </c>
      <c r="S500" t="str">
        <f>TEXT(sales_data[[#This Row],[Order Date]],"mm")</f>
        <v>10</v>
      </c>
      <c r="T500">
        <f>YEAR(sales_data[[#This Row],[Order Date]])</f>
        <v>2018</v>
      </c>
      <c r="U500" s="8" t="s">
        <v>4605</v>
      </c>
      <c r="V500" t="s">
        <v>1906</v>
      </c>
    </row>
    <row r="501" spans="1:22" x14ac:dyDescent="0.35">
      <c r="A501">
        <v>570</v>
      </c>
      <c r="B501" t="s">
        <v>1899</v>
      </c>
      <c r="C501" s="1">
        <v>43374</v>
      </c>
      <c r="D501" s="1">
        <v>43381</v>
      </c>
      <c r="E501" t="s">
        <v>46</v>
      </c>
      <c r="F501" t="s">
        <v>1900</v>
      </c>
      <c r="G501" t="s">
        <v>1901</v>
      </c>
      <c r="H501" t="s">
        <v>37</v>
      </c>
      <c r="I501" t="s">
        <v>23</v>
      </c>
      <c r="J501" t="s">
        <v>91</v>
      </c>
      <c r="K501" t="s">
        <v>92</v>
      </c>
      <c r="L501">
        <v>98105</v>
      </c>
      <c r="M501" t="s">
        <v>40</v>
      </c>
      <c r="N501" t="s">
        <v>1908</v>
      </c>
      <c r="O501" t="s">
        <v>28</v>
      </c>
      <c r="P501" t="s">
        <v>32</v>
      </c>
      <c r="Q501" t="s">
        <v>1909</v>
      </c>
      <c r="R501">
        <v>451.15199999999999</v>
      </c>
      <c r="S501" t="str">
        <f>TEXT(sales_data[[#This Row],[Order Date]],"mm")</f>
        <v>10</v>
      </c>
      <c r="T501">
        <f>YEAR(sales_data[[#This Row],[Order Date]])</f>
        <v>2018</v>
      </c>
      <c r="U501" s="8" t="s">
        <v>4612</v>
      </c>
      <c r="V501" t="s">
        <v>1908</v>
      </c>
    </row>
    <row r="502" spans="1:22" x14ac:dyDescent="0.35">
      <c r="A502">
        <v>574</v>
      </c>
      <c r="B502" t="s">
        <v>1910</v>
      </c>
      <c r="C502" s="1">
        <v>43462</v>
      </c>
      <c r="D502" s="1">
        <v>43469</v>
      </c>
      <c r="E502" t="s">
        <v>46</v>
      </c>
      <c r="F502" t="s">
        <v>1911</v>
      </c>
      <c r="G502" t="s">
        <v>1912</v>
      </c>
      <c r="H502" t="s">
        <v>22</v>
      </c>
      <c r="I502" t="s">
        <v>23</v>
      </c>
      <c r="J502" t="s">
        <v>261</v>
      </c>
      <c r="K502" t="s">
        <v>262</v>
      </c>
      <c r="L502">
        <v>10024</v>
      </c>
      <c r="M502" t="s">
        <v>144</v>
      </c>
      <c r="N502" t="s">
        <v>1913</v>
      </c>
      <c r="O502" t="s">
        <v>67</v>
      </c>
      <c r="P502" t="s">
        <v>68</v>
      </c>
      <c r="Q502" t="s">
        <v>1914</v>
      </c>
      <c r="R502">
        <v>14.85</v>
      </c>
      <c r="S502" t="str">
        <f>TEXT(sales_data[[#This Row],[Order Date]],"mm")</f>
        <v>12</v>
      </c>
      <c r="T502">
        <f>YEAR(sales_data[[#This Row],[Order Date]])</f>
        <v>2018</v>
      </c>
      <c r="U502" s="7" t="s">
        <v>4649</v>
      </c>
      <c r="V502" t="s">
        <v>1913</v>
      </c>
    </row>
    <row r="503" spans="1:22" x14ac:dyDescent="0.35">
      <c r="A503">
        <v>575</v>
      </c>
      <c r="B503" t="s">
        <v>1915</v>
      </c>
      <c r="C503" s="1">
        <v>43042</v>
      </c>
      <c r="D503" s="1">
        <v>43046</v>
      </c>
      <c r="E503" t="s">
        <v>46</v>
      </c>
      <c r="F503" t="s">
        <v>1916</v>
      </c>
      <c r="G503" t="s">
        <v>1917</v>
      </c>
      <c r="H503" t="s">
        <v>22</v>
      </c>
      <c r="I503" t="s">
        <v>23</v>
      </c>
      <c r="J503" t="s">
        <v>1918</v>
      </c>
      <c r="K503" t="s">
        <v>92</v>
      </c>
      <c r="L503">
        <v>98270</v>
      </c>
      <c r="M503" t="s">
        <v>40</v>
      </c>
      <c r="N503" t="s">
        <v>1919</v>
      </c>
      <c r="O503" t="s">
        <v>42</v>
      </c>
      <c r="P503" t="s">
        <v>64</v>
      </c>
      <c r="Q503" t="s">
        <v>1920</v>
      </c>
      <c r="R503">
        <v>8.82</v>
      </c>
      <c r="S503" t="str">
        <f>TEXT(sales_data[[#This Row],[Order Date]],"mm")</f>
        <v>11</v>
      </c>
      <c r="T503">
        <f>YEAR(sales_data[[#This Row],[Order Date]])</f>
        <v>2017</v>
      </c>
      <c r="U503" s="8" t="s">
        <v>4655</v>
      </c>
      <c r="V503" t="s">
        <v>1919</v>
      </c>
    </row>
    <row r="504" spans="1:22" x14ac:dyDescent="0.35">
      <c r="A504">
        <v>577</v>
      </c>
      <c r="B504" t="s">
        <v>1921</v>
      </c>
      <c r="C504" s="1">
        <v>42631</v>
      </c>
      <c r="D504" s="1">
        <v>42635</v>
      </c>
      <c r="E504" t="s">
        <v>19</v>
      </c>
      <c r="F504" t="s">
        <v>1922</v>
      </c>
      <c r="G504" t="s">
        <v>1923</v>
      </c>
      <c r="H504" t="s">
        <v>22</v>
      </c>
      <c r="I504" t="s">
        <v>23</v>
      </c>
      <c r="J504" t="s">
        <v>1166</v>
      </c>
      <c r="K504" t="s">
        <v>39</v>
      </c>
      <c r="L504">
        <v>90805</v>
      </c>
      <c r="M504" t="s">
        <v>40</v>
      </c>
      <c r="N504" t="s">
        <v>1924</v>
      </c>
      <c r="O504" t="s">
        <v>42</v>
      </c>
      <c r="P504" t="s">
        <v>86</v>
      </c>
      <c r="Q504" t="s">
        <v>1925</v>
      </c>
      <c r="R504">
        <v>19.920000000000002</v>
      </c>
      <c r="S504" t="str">
        <f>TEXT(sales_data[[#This Row],[Order Date]],"mm")</f>
        <v>09</v>
      </c>
      <c r="T504">
        <f>YEAR(sales_data[[#This Row],[Order Date]])</f>
        <v>2016</v>
      </c>
      <c r="U504" s="8" t="s">
        <v>4671</v>
      </c>
      <c r="V504" t="s">
        <v>1924</v>
      </c>
    </row>
    <row r="505" spans="1:22" x14ac:dyDescent="0.35">
      <c r="A505">
        <v>578</v>
      </c>
      <c r="B505" t="s">
        <v>1921</v>
      </c>
      <c r="C505" s="1">
        <v>42631</v>
      </c>
      <c r="D505" s="1">
        <v>42635</v>
      </c>
      <c r="E505" t="s">
        <v>19</v>
      </c>
      <c r="F505" t="s">
        <v>1922</v>
      </c>
      <c r="G505" t="s">
        <v>1923</v>
      </c>
      <c r="H505" t="s">
        <v>22</v>
      </c>
      <c r="I505" t="s">
        <v>23</v>
      </c>
      <c r="J505" t="s">
        <v>1166</v>
      </c>
      <c r="K505" t="s">
        <v>39</v>
      </c>
      <c r="L505">
        <v>90805</v>
      </c>
      <c r="M505" t="s">
        <v>40</v>
      </c>
      <c r="N505" t="s">
        <v>1926</v>
      </c>
      <c r="O505" t="s">
        <v>42</v>
      </c>
      <c r="P505" t="s">
        <v>573</v>
      </c>
      <c r="Q505" t="s">
        <v>1927</v>
      </c>
      <c r="R505">
        <v>7.3</v>
      </c>
      <c r="S505" t="str">
        <f>TEXT(sales_data[[#This Row],[Order Date]],"mm")</f>
        <v>09</v>
      </c>
      <c r="T505">
        <f>YEAR(sales_data[[#This Row],[Order Date]])</f>
        <v>2016</v>
      </c>
      <c r="U505" s="8" t="s">
        <v>4676</v>
      </c>
      <c r="V505" t="s">
        <v>1926</v>
      </c>
    </row>
    <row r="506" spans="1:22" x14ac:dyDescent="0.35">
      <c r="A506">
        <v>580</v>
      </c>
      <c r="B506" t="s">
        <v>1928</v>
      </c>
      <c r="C506" s="1">
        <v>43301</v>
      </c>
      <c r="D506" s="1">
        <v>43307</v>
      </c>
      <c r="E506" t="s">
        <v>46</v>
      </c>
      <c r="F506" t="s">
        <v>1929</v>
      </c>
      <c r="G506" t="s">
        <v>1930</v>
      </c>
      <c r="H506" t="s">
        <v>22</v>
      </c>
      <c r="I506" t="s">
        <v>23</v>
      </c>
      <c r="J506" t="s">
        <v>298</v>
      </c>
      <c r="K506" t="s">
        <v>206</v>
      </c>
      <c r="L506">
        <v>60610</v>
      </c>
      <c r="M506" t="s">
        <v>101</v>
      </c>
      <c r="N506" t="s">
        <v>1931</v>
      </c>
      <c r="O506" t="s">
        <v>28</v>
      </c>
      <c r="P506" t="s">
        <v>61</v>
      </c>
      <c r="Q506" t="s">
        <v>1932</v>
      </c>
      <c r="R506">
        <v>8.7919999999999998</v>
      </c>
      <c r="S506" t="str">
        <f>TEXT(sales_data[[#This Row],[Order Date]],"mm")</f>
        <v>07</v>
      </c>
      <c r="T506">
        <f>YEAR(sales_data[[#This Row],[Order Date]])</f>
        <v>2018</v>
      </c>
      <c r="U506" s="7" t="s">
        <v>4691</v>
      </c>
      <c r="V506" t="s">
        <v>1931</v>
      </c>
    </row>
    <row r="507" spans="1:22" x14ac:dyDescent="0.35">
      <c r="A507">
        <v>581</v>
      </c>
      <c r="B507" t="s">
        <v>1933</v>
      </c>
      <c r="C507" s="1">
        <v>42623</v>
      </c>
      <c r="D507" s="1">
        <v>42627</v>
      </c>
      <c r="E507" t="s">
        <v>46</v>
      </c>
      <c r="F507" t="s">
        <v>1934</v>
      </c>
      <c r="G507" t="s">
        <v>1935</v>
      </c>
      <c r="H507" t="s">
        <v>22</v>
      </c>
      <c r="I507" t="s">
        <v>23</v>
      </c>
      <c r="J507" t="s">
        <v>38</v>
      </c>
      <c r="K507" t="s">
        <v>39</v>
      </c>
      <c r="L507">
        <v>90004</v>
      </c>
      <c r="M507" t="s">
        <v>40</v>
      </c>
      <c r="N507" t="s">
        <v>1936</v>
      </c>
      <c r="O507" t="s">
        <v>42</v>
      </c>
      <c r="P507" t="s">
        <v>573</v>
      </c>
      <c r="Q507" t="s">
        <v>1937</v>
      </c>
      <c r="R507">
        <v>51.52</v>
      </c>
      <c r="S507" t="str">
        <f>TEXT(sales_data[[#This Row],[Order Date]],"mm")</f>
        <v>09</v>
      </c>
      <c r="T507">
        <f>YEAR(sales_data[[#This Row],[Order Date]])</f>
        <v>2016</v>
      </c>
      <c r="U507" s="8" t="s">
        <v>4699</v>
      </c>
      <c r="V507" t="s">
        <v>1936</v>
      </c>
    </row>
    <row r="508" spans="1:22" x14ac:dyDescent="0.35">
      <c r="A508">
        <v>583</v>
      </c>
      <c r="B508" t="s">
        <v>1938</v>
      </c>
      <c r="C508" s="1">
        <v>43435</v>
      </c>
      <c r="D508" s="1">
        <v>43439</v>
      </c>
      <c r="E508" t="s">
        <v>46</v>
      </c>
      <c r="F508" t="s">
        <v>1939</v>
      </c>
      <c r="G508" t="s">
        <v>1940</v>
      </c>
      <c r="H508" t="s">
        <v>22</v>
      </c>
      <c r="I508" t="s">
        <v>23</v>
      </c>
      <c r="J508" t="s">
        <v>799</v>
      </c>
      <c r="K508" t="s">
        <v>452</v>
      </c>
      <c r="L508">
        <v>80219</v>
      </c>
      <c r="M508" t="s">
        <v>40</v>
      </c>
      <c r="N508" t="s">
        <v>1941</v>
      </c>
      <c r="O508" t="s">
        <v>67</v>
      </c>
      <c r="P508" t="s">
        <v>68</v>
      </c>
      <c r="Q508" t="s">
        <v>1942</v>
      </c>
      <c r="R508">
        <v>105.584</v>
      </c>
      <c r="S508" t="str">
        <f>TEXT(sales_data[[#This Row],[Order Date]],"mm")</f>
        <v>12</v>
      </c>
      <c r="T508">
        <f>YEAR(sales_data[[#This Row],[Order Date]])</f>
        <v>2018</v>
      </c>
      <c r="U508" s="8" t="s">
        <v>4707</v>
      </c>
      <c r="V508" t="s">
        <v>1941</v>
      </c>
    </row>
    <row r="509" spans="1:22" x14ac:dyDescent="0.35">
      <c r="A509">
        <v>585</v>
      </c>
      <c r="B509" t="s">
        <v>1938</v>
      </c>
      <c r="C509" s="1">
        <v>43435</v>
      </c>
      <c r="D509" s="1">
        <v>43439</v>
      </c>
      <c r="E509" t="s">
        <v>46</v>
      </c>
      <c r="F509" t="s">
        <v>1939</v>
      </c>
      <c r="G509" t="s">
        <v>1940</v>
      </c>
      <c r="H509" t="s">
        <v>22</v>
      </c>
      <c r="I509" t="s">
        <v>23</v>
      </c>
      <c r="J509" t="s">
        <v>799</v>
      </c>
      <c r="K509" t="s">
        <v>452</v>
      </c>
      <c r="L509">
        <v>80219</v>
      </c>
      <c r="M509" t="s">
        <v>40</v>
      </c>
      <c r="N509" t="s">
        <v>1943</v>
      </c>
      <c r="O509" t="s">
        <v>42</v>
      </c>
      <c r="P509" t="s">
        <v>71</v>
      </c>
      <c r="Q509" t="s">
        <v>1944</v>
      </c>
      <c r="R509">
        <v>6.7830000000000004</v>
      </c>
      <c r="S509" t="str">
        <f>TEXT(sales_data[[#This Row],[Order Date]],"mm")</f>
        <v>12</v>
      </c>
      <c r="T509">
        <f>YEAR(sales_data[[#This Row],[Order Date]])</f>
        <v>2018</v>
      </c>
      <c r="U509" s="8" t="s">
        <v>4720</v>
      </c>
      <c r="V509" t="s">
        <v>1943</v>
      </c>
    </row>
    <row r="510" spans="1:22" x14ac:dyDescent="0.35">
      <c r="A510">
        <v>588</v>
      </c>
      <c r="B510" t="s">
        <v>1945</v>
      </c>
      <c r="C510" s="1">
        <v>42554</v>
      </c>
      <c r="D510" s="1">
        <v>42560</v>
      </c>
      <c r="E510" t="s">
        <v>46</v>
      </c>
      <c r="F510" t="s">
        <v>1946</v>
      </c>
      <c r="G510" t="s">
        <v>1947</v>
      </c>
      <c r="H510" t="s">
        <v>22</v>
      </c>
      <c r="I510" t="s">
        <v>23</v>
      </c>
      <c r="J510" t="s">
        <v>1452</v>
      </c>
      <c r="K510" t="s">
        <v>25</v>
      </c>
      <c r="L510">
        <v>40475</v>
      </c>
      <c r="M510" t="s">
        <v>26</v>
      </c>
      <c r="N510" t="s">
        <v>1948</v>
      </c>
      <c r="O510" t="s">
        <v>42</v>
      </c>
      <c r="P510" t="s">
        <v>43</v>
      </c>
      <c r="Q510" t="s">
        <v>1949</v>
      </c>
      <c r="R510">
        <v>294.93</v>
      </c>
      <c r="S510" t="str">
        <f>TEXT(sales_data[[#This Row],[Order Date]],"mm")</f>
        <v>07</v>
      </c>
      <c r="T510">
        <f>YEAR(sales_data[[#This Row],[Order Date]])</f>
        <v>2016</v>
      </c>
      <c r="U510" s="7" t="s">
        <v>4749</v>
      </c>
      <c r="V510" t="s">
        <v>1948</v>
      </c>
    </row>
    <row r="511" spans="1:22" x14ac:dyDescent="0.35">
      <c r="A511">
        <v>589</v>
      </c>
      <c r="B511" t="s">
        <v>1950</v>
      </c>
      <c r="C511" s="1">
        <v>42814</v>
      </c>
      <c r="D511" s="1">
        <v>42818</v>
      </c>
      <c r="E511" t="s">
        <v>46</v>
      </c>
      <c r="F511" t="s">
        <v>1951</v>
      </c>
      <c r="G511" t="s">
        <v>1952</v>
      </c>
      <c r="H511" t="s">
        <v>22</v>
      </c>
      <c r="I511" t="s">
        <v>23</v>
      </c>
      <c r="J511" t="s">
        <v>1953</v>
      </c>
      <c r="K511" t="s">
        <v>415</v>
      </c>
      <c r="L511">
        <v>97301</v>
      </c>
      <c r="M511" t="s">
        <v>40</v>
      </c>
      <c r="N511" t="s">
        <v>1954</v>
      </c>
      <c r="O511" t="s">
        <v>67</v>
      </c>
      <c r="P511" t="s">
        <v>68</v>
      </c>
      <c r="Q511" t="s">
        <v>1955</v>
      </c>
      <c r="R511">
        <v>84.784000000000006</v>
      </c>
      <c r="S511" t="str">
        <f>TEXT(sales_data[[#This Row],[Order Date]],"mm")</f>
        <v>03</v>
      </c>
      <c r="T511">
        <f>YEAR(sales_data[[#This Row],[Order Date]])</f>
        <v>2017</v>
      </c>
      <c r="U511" s="8" t="s">
        <v>4753</v>
      </c>
      <c r="V511" t="s">
        <v>1954</v>
      </c>
    </row>
    <row r="512" spans="1:22" x14ac:dyDescent="0.35">
      <c r="A512">
        <v>590</v>
      </c>
      <c r="B512" t="s">
        <v>1950</v>
      </c>
      <c r="C512" s="1">
        <v>42814</v>
      </c>
      <c r="D512" s="1">
        <v>42818</v>
      </c>
      <c r="E512" t="s">
        <v>46</v>
      </c>
      <c r="F512" t="s">
        <v>1951</v>
      </c>
      <c r="G512" t="s">
        <v>1952</v>
      </c>
      <c r="H512" t="s">
        <v>22</v>
      </c>
      <c r="I512" t="s">
        <v>23</v>
      </c>
      <c r="J512" t="s">
        <v>1953</v>
      </c>
      <c r="K512" t="s">
        <v>415</v>
      </c>
      <c r="L512">
        <v>97301</v>
      </c>
      <c r="M512" t="s">
        <v>40</v>
      </c>
      <c r="N512" t="s">
        <v>1956</v>
      </c>
      <c r="O512" t="s">
        <v>42</v>
      </c>
      <c r="P512" t="s">
        <v>86</v>
      </c>
      <c r="Q512" t="s">
        <v>1957</v>
      </c>
      <c r="R512">
        <v>20.736000000000001</v>
      </c>
      <c r="S512" t="str">
        <f>TEXT(sales_data[[#This Row],[Order Date]],"mm")</f>
        <v>03</v>
      </c>
      <c r="T512">
        <f>YEAR(sales_data[[#This Row],[Order Date]])</f>
        <v>2017</v>
      </c>
      <c r="U512" s="7" t="s">
        <v>4754</v>
      </c>
      <c r="V512" t="s">
        <v>1956</v>
      </c>
    </row>
    <row r="513" spans="1:22" x14ac:dyDescent="0.35">
      <c r="A513">
        <v>592</v>
      </c>
      <c r="B513" t="s">
        <v>1950</v>
      </c>
      <c r="C513" s="1">
        <v>42814</v>
      </c>
      <c r="D513" s="1">
        <v>42818</v>
      </c>
      <c r="E513" t="s">
        <v>46</v>
      </c>
      <c r="F513" t="s">
        <v>1951</v>
      </c>
      <c r="G513" t="s">
        <v>1952</v>
      </c>
      <c r="H513" t="s">
        <v>22</v>
      </c>
      <c r="I513" t="s">
        <v>23</v>
      </c>
      <c r="J513" t="s">
        <v>1953</v>
      </c>
      <c r="K513" t="s">
        <v>415</v>
      </c>
      <c r="L513">
        <v>97301</v>
      </c>
      <c r="M513" t="s">
        <v>40</v>
      </c>
      <c r="N513" t="s">
        <v>1958</v>
      </c>
      <c r="O513" t="s">
        <v>42</v>
      </c>
      <c r="P513" t="s">
        <v>86</v>
      </c>
      <c r="Q513" t="s">
        <v>1959</v>
      </c>
      <c r="R513">
        <v>10.368</v>
      </c>
      <c r="S513" t="str">
        <f>TEXT(sales_data[[#This Row],[Order Date]],"mm")</f>
        <v>03</v>
      </c>
      <c r="T513">
        <f>YEAR(sales_data[[#This Row],[Order Date]])</f>
        <v>2017</v>
      </c>
      <c r="U513" s="7" t="s">
        <v>4769</v>
      </c>
      <c r="V513" t="s">
        <v>1958</v>
      </c>
    </row>
    <row r="514" spans="1:22" x14ac:dyDescent="0.35">
      <c r="A514">
        <v>593</v>
      </c>
      <c r="B514" t="s">
        <v>1960</v>
      </c>
      <c r="C514" s="1">
        <v>42013</v>
      </c>
      <c r="D514" s="1">
        <v>42017</v>
      </c>
      <c r="E514" t="s">
        <v>46</v>
      </c>
      <c r="F514" t="s">
        <v>1961</v>
      </c>
      <c r="G514" t="s">
        <v>1962</v>
      </c>
      <c r="H514" t="s">
        <v>22</v>
      </c>
      <c r="I514" t="s">
        <v>23</v>
      </c>
      <c r="J514" t="s">
        <v>1963</v>
      </c>
      <c r="K514" t="s">
        <v>100</v>
      </c>
      <c r="L514">
        <v>78041</v>
      </c>
      <c r="M514" t="s">
        <v>101</v>
      </c>
      <c r="N514" t="s">
        <v>1964</v>
      </c>
      <c r="O514" t="s">
        <v>42</v>
      </c>
      <c r="P514" t="s">
        <v>64</v>
      </c>
      <c r="Q514" t="s">
        <v>1965</v>
      </c>
      <c r="R514">
        <v>9.3439999999999994</v>
      </c>
      <c r="S514" t="str">
        <f>TEXT(sales_data[[#This Row],[Order Date]],"mm")</f>
        <v>01</v>
      </c>
      <c r="T514">
        <f>YEAR(sales_data[[#This Row],[Order Date]])</f>
        <v>2015</v>
      </c>
      <c r="U514" s="8" t="s">
        <v>4788</v>
      </c>
      <c r="V514" t="s">
        <v>1964</v>
      </c>
    </row>
    <row r="515" spans="1:22" x14ac:dyDescent="0.35">
      <c r="A515">
        <v>595</v>
      </c>
      <c r="B515" t="s">
        <v>1966</v>
      </c>
      <c r="C515" s="1">
        <v>42224</v>
      </c>
      <c r="D515" s="1">
        <v>42231</v>
      </c>
      <c r="E515" t="s">
        <v>46</v>
      </c>
      <c r="F515" t="s">
        <v>1967</v>
      </c>
      <c r="G515" t="s">
        <v>1968</v>
      </c>
      <c r="H515" t="s">
        <v>22</v>
      </c>
      <c r="I515" t="s">
        <v>23</v>
      </c>
      <c r="J515" t="s">
        <v>940</v>
      </c>
      <c r="K515" t="s">
        <v>39</v>
      </c>
      <c r="L515">
        <v>92024</v>
      </c>
      <c r="M515" t="s">
        <v>40</v>
      </c>
      <c r="N515" t="s">
        <v>1969</v>
      </c>
      <c r="O515" t="s">
        <v>42</v>
      </c>
      <c r="P515" t="s">
        <v>74</v>
      </c>
      <c r="Q515" t="s">
        <v>1970</v>
      </c>
      <c r="R515">
        <v>76.12</v>
      </c>
      <c r="S515" t="str">
        <f>TEXT(sales_data[[#This Row],[Order Date]],"mm")</f>
        <v>08</v>
      </c>
      <c r="T515">
        <f>YEAR(sales_data[[#This Row],[Order Date]])</f>
        <v>2015</v>
      </c>
      <c r="U515" s="8" t="s">
        <v>4794</v>
      </c>
      <c r="V515" t="s">
        <v>1969</v>
      </c>
    </row>
    <row r="516" spans="1:22" x14ac:dyDescent="0.35">
      <c r="A516">
        <v>598</v>
      </c>
      <c r="B516" t="s">
        <v>1966</v>
      </c>
      <c r="C516" s="1">
        <v>42224</v>
      </c>
      <c r="D516" s="1">
        <v>42231</v>
      </c>
      <c r="E516" t="s">
        <v>46</v>
      </c>
      <c r="F516" t="s">
        <v>1967</v>
      </c>
      <c r="G516" t="s">
        <v>1968</v>
      </c>
      <c r="H516" t="s">
        <v>22</v>
      </c>
      <c r="I516" t="s">
        <v>23</v>
      </c>
      <c r="J516" t="s">
        <v>940</v>
      </c>
      <c r="K516" t="s">
        <v>39</v>
      </c>
      <c r="L516">
        <v>92024</v>
      </c>
      <c r="M516" t="s">
        <v>40</v>
      </c>
      <c r="N516" t="s">
        <v>1971</v>
      </c>
      <c r="O516" t="s">
        <v>28</v>
      </c>
      <c r="P516" t="s">
        <v>61</v>
      </c>
      <c r="Q516" t="s">
        <v>1972</v>
      </c>
      <c r="R516">
        <v>327.76</v>
      </c>
      <c r="S516" t="str">
        <f>TEXT(sales_data[[#This Row],[Order Date]],"mm")</f>
        <v>08</v>
      </c>
      <c r="T516">
        <f>YEAR(sales_data[[#This Row],[Order Date]])</f>
        <v>2015</v>
      </c>
      <c r="U516" s="8" t="s">
        <v>4811</v>
      </c>
      <c r="V516" t="s">
        <v>1971</v>
      </c>
    </row>
    <row r="517" spans="1:22" x14ac:dyDescent="0.35">
      <c r="A517">
        <v>599</v>
      </c>
      <c r="B517" t="s">
        <v>1973</v>
      </c>
      <c r="C517" s="1">
        <v>42930</v>
      </c>
      <c r="D517" s="1">
        <v>42932</v>
      </c>
      <c r="E517" t="s">
        <v>183</v>
      </c>
      <c r="F517" t="s">
        <v>1974</v>
      </c>
      <c r="G517" t="s">
        <v>1975</v>
      </c>
      <c r="H517" t="s">
        <v>22</v>
      </c>
      <c r="I517" t="s">
        <v>23</v>
      </c>
      <c r="J517" t="s">
        <v>142</v>
      </c>
      <c r="K517" t="s">
        <v>143</v>
      </c>
      <c r="L517">
        <v>19134</v>
      </c>
      <c r="M517" t="s">
        <v>144</v>
      </c>
      <c r="N517" t="s">
        <v>1976</v>
      </c>
      <c r="O517" t="s">
        <v>42</v>
      </c>
      <c r="P517" t="s">
        <v>573</v>
      </c>
      <c r="Q517" t="s">
        <v>1977</v>
      </c>
      <c r="R517">
        <v>11.632</v>
      </c>
      <c r="S517" t="str">
        <f>TEXT(sales_data[[#This Row],[Order Date]],"mm")</f>
        <v>07</v>
      </c>
      <c r="T517">
        <f>YEAR(sales_data[[#This Row],[Order Date]])</f>
        <v>2017</v>
      </c>
      <c r="U517" s="8" t="s">
        <v>4817</v>
      </c>
      <c r="V517" t="s">
        <v>1976</v>
      </c>
    </row>
    <row r="518" spans="1:22" x14ac:dyDescent="0.35">
      <c r="A518">
        <v>600</v>
      </c>
      <c r="B518" t="s">
        <v>1978</v>
      </c>
      <c r="C518" s="1">
        <v>42932</v>
      </c>
      <c r="D518" s="1">
        <v>42937</v>
      </c>
      <c r="E518" t="s">
        <v>46</v>
      </c>
      <c r="F518" t="s">
        <v>1979</v>
      </c>
      <c r="G518" t="s">
        <v>1980</v>
      </c>
      <c r="H518" t="s">
        <v>22</v>
      </c>
      <c r="I518" t="s">
        <v>23</v>
      </c>
      <c r="J518" t="s">
        <v>142</v>
      </c>
      <c r="K518" t="s">
        <v>143</v>
      </c>
      <c r="L518">
        <v>19120</v>
      </c>
      <c r="M518" t="s">
        <v>144</v>
      </c>
      <c r="N518" t="s">
        <v>1981</v>
      </c>
      <c r="O518" t="s">
        <v>67</v>
      </c>
      <c r="P518" t="s">
        <v>68</v>
      </c>
      <c r="Q518" t="s">
        <v>1982</v>
      </c>
      <c r="R518">
        <v>143.982</v>
      </c>
      <c r="S518" t="str">
        <f>TEXT(sales_data[[#This Row],[Order Date]],"mm")</f>
        <v>07</v>
      </c>
      <c r="T518">
        <f>YEAR(sales_data[[#This Row],[Order Date]])</f>
        <v>2017</v>
      </c>
      <c r="U518" s="7" t="s">
        <v>4822</v>
      </c>
      <c r="V518" t="s">
        <v>1981</v>
      </c>
    </row>
    <row r="519" spans="1:22" x14ac:dyDescent="0.35">
      <c r="A519">
        <v>601</v>
      </c>
      <c r="B519" t="s">
        <v>1978</v>
      </c>
      <c r="C519" s="1">
        <v>42932</v>
      </c>
      <c r="D519" s="1">
        <v>42937</v>
      </c>
      <c r="E519" t="s">
        <v>46</v>
      </c>
      <c r="F519" t="s">
        <v>1979</v>
      </c>
      <c r="G519" t="s">
        <v>1980</v>
      </c>
      <c r="H519" t="s">
        <v>22</v>
      </c>
      <c r="I519" t="s">
        <v>23</v>
      </c>
      <c r="J519" t="s">
        <v>142</v>
      </c>
      <c r="K519" t="s">
        <v>143</v>
      </c>
      <c r="L519">
        <v>19120</v>
      </c>
      <c r="M519" t="s">
        <v>144</v>
      </c>
      <c r="N519" t="s">
        <v>1983</v>
      </c>
      <c r="O519" t="s">
        <v>67</v>
      </c>
      <c r="P519" t="s">
        <v>68</v>
      </c>
      <c r="Q519" t="s">
        <v>1984</v>
      </c>
      <c r="R519">
        <v>494.37599999999998</v>
      </c>
      <c r="S519" t="str">
        <f>TEXT(sales_data[[#This Row],[Order Date]],"mm")</f>
        <v>07</v>
      </c>
      <c r="T519">
        <f>YEAR(sales_data[[#This Row],[Order Date]])</f>
        <v>2017</v>
      </c>
      <c r="U519" s="8" t="s">
        <v>4840</v>
      </c>
      <c r="V519" t="s">
        <v>1983</v>
      </c>
    </row>
    <row r="520" spans="1:22" x14ac:dyDescent="0.35">
      <c r="A520">
        <v>603</v>
      </c>
      <c r="B520" t="s">
        <v>1985</v>
      </c>
      <c r="C520" s="1">
        <v>42078</v>
      </c>
      <c r="D520" s="1">
        <v>42082</v>
      </c>
      <c r="E520" t="s">
        <v>46</v>
      </c>
      <c r="F520" t="s">
        <v>1986</v>
      </c>
      <c r="G520" t="s">
        <v>1987</v>
      </c>
      <c r="H520" t="s">
        <v>22</v>
      </c>
      <c r="I520" t="s">
        <v>23</v>
      </c>
      <c r="J520" t="s">
        <v>892</v>
      </c>
      <c r="K520" t="s">
        <v>50</v>
      </c>
      <c r="L520">
        <v>33614</v>
      </c>
      <c r="M520" t="s">
        <v>26</v>
      </c>
      <c r="N520" t="s">
        <v>1988</v>
      </c>
      <c r="O520" t="s">
        <v>42</v>
      </c>
      <c r="P520" t="s">
        <v>55</v>
      </c>
      <c r="Q520" t="s">
        <v>1989</v>
      </c>
      <c r="R520">
        <v>142.77600000000001</v>
      </c>
      <c r="S520" t="str">
        <f>TEXT(sales_data[[#This Row],[Order Date]],"mm")</f>
        <v>03</v>
      </c>
      <c r="T520">
        <f>YEAR(sales_data[[#This Row],[Order Date]])</f>
        <v>2015</v>
      </c>
      <c r="U520" s="8" t="s">
        <v>4856</v>
      </c>
      <c r="V520" t="s">
        <v>1988</v>
      </c>
    </row>
    <row r="521" spans="1:22" x14ac:dyDescent="0.35">
      <c r="A521">
        <v>607</v>
      </c>
      <c r="B521" t="s">
        <v>1985</v>
      </c>
      <c r="C521" s="1">
        <v>42078</v>
      </c>
      <c r="D521" s="1">
        <v>42082</v>
      </c>
      <c r="E521" t="s">
        <v>46</v>
      </c>
      <c r="F521" t="s">
        <v>1986</v>
      </c>
      <c r="G521" t="s">
        <v>1987</v>
      </c>
      <c r="H521" t="s">
        <v>22</v>
      </c>
      <c r="I521" t="s">
        <v>23</v>
      </c>
      <c r="J521" t="s">
        <v>892</v>
      </c>
      <c r="K521" t="s">
        <v>50</v>
      </c>
      <c r="L521">
        <v>33614</v>
      </c>
      <c r="M521" t="s">
        <v>26</v>
      </c>
      <c r="N521" t="s">
        <v>1990</v>
      </c>
      <c r="O521" t="s">
        <v>42</v>
      </c>
      <c r="P521" t="s">
        <v>86</v>
      </c>
      <c r="Q521" t="s">
        <v>1991</v>
      </c>
      <c r="R521">
        <v>131.904</v>
      </c>
      <c r="S521" t="str">
        <f>TEXT(sales_data[[#This Row],[Order Date]],"mm")</f>
        <v>03</v>
      </c>
      <c r="T521">
        <f>YEAR(sales_data[[#This Row],[Order Date]])</f>
        <v>2015</v>
      </c>
      <c r="U521" s="8" t="s">
        <v>4876</v>
      </c>
      <c r="V521" t="s">
        <v>1990</v>
      </c>
    </row>
    <row r="522" spans="1:22" x14ac:dyDescent="0.35">
      <c r="A522">
        <v>608</v>
      </c>
      <c r="B522" t="s">
        <v>1992</v>
      </c>
      <c r="C522" s="1">
        <v>42147</v>
      </c>
      <c r="D522" s="1">
        <v>42151</v>
      </c>
      <c r="E522" t="s">
        <v>46</v>
      </c>
      <c r="F522" t="s">
        <v>1993</v>
      </c>
      <c r="G522" t="s">
        <v>1994</v>
      </c>
      <c r="H522" t="s">
        <v>22</v>
      </c>
      <c r="I522" t="s">
        <v>23</v>
      </c>
      <c r="J522" t="s">
        <v>142</v>
      </c>
      <c r="K522" t="s">
        <v>143</v>
      </c>
      <c r="L522">
        <v>19134</v>
      </c>
      <c r="M522" t="s">
        <v>144</v>
      </c>
      <c r="N522" t="s">
        <v>1995</v>
      </c>
      <c r="O522" t="s">
        <v>42</v>
      </c>
      <c r="P522" t="s">
        <v>71</v>
      </c>
      <c r="Q522" t="s">
        <v>1996</v>
      </c>
      <c r="R522">
        <v>3.282</v>
      </c>
      <c r="S522" t="str">
        <f>TEXT(sales_data[[#This Row],[Order Date]],"mm")</f>
        <v>05</v>
      </c>
      <c r="T522">
        <f>YEAR(sales_data[[#This Row],[Order Date]])</f>
        <v>2015</v>
      </c>
      <c r="U522" s="8" t="s">
        <v>4878</v>
      </c>
      <c r="V522" t="s">
        <v>1995</v>
      </c>
    </row>
    <row r="523" spans="1:22" x14ac:dyDescent="0.35">
      <c r="A523">
        <v>610</v>
      </c>
      <c r="B523" t="s">
        <v>1992</v>
      </c>
      <c r="C523" s="1">
        <v>42147</v>
      </c>
      <c r="D523" s="1">
        <v>42151</v>
      </c>
      <c r="E523" t="s">
        <v>46</v>
      </c>
      <c r="F523" t="s">
        <v>1993</v>
      </c>
      <c r="G523" t="s">
        <v>1994</v>
      </c>
      <c r="H523" t="s">
        <v>22</v>
      </c>
      <c r="I523" t="s">
        <v>23</v>
      </c>
      <c r="J523" t="s">
        <v>142</v>
      </c>
      <c r="K523" t="s">
        <v>143</v>
      </c>
      <c r="L523">
        <v>19134</v>
      </c>
      <c r="M523" t="s">
        <v>144</v>
      </c>
      <c r="N523" t="s">
        <v>1997</v>
      </c>
      <c r="O523" t="s">
        <v>67</v>
      </c>
      <c r="P523" t="s">
        <v>68</v>
      </c>
      <c r="Q523" t="s">
        <v>1998</v>
      </c>
      <c r="R523">
        <v>55.188000000000002</v>
      </c>
      <c r="S523" t="str">
        <f>TEXT(sales_data[[#This Row],[Order Date]],"mm")</f>
        <v>05</v>
      </c>
      <c r="T523">
        <f>YEAR(sales_data[[#This Row],[Order Date]])</f>
        <v>2015</v>
      </c>
      <c r="U523" s="7" t="s">
        <v>4909</v>
      </c>
      <c r="V523" t="s">
        <v>1997</v>
      </c>
    </row>
    <row r="524" spans="1:22" x14ac:dyDescent="0.35">
      <c r="A524">
        <v>612</v>
      </c>
      <c r="B524" t="s">
        <v>1999</v>
      </c>
      <c r="C524" s="1">
        <v>42853</v>
      </c>
      <c r="D524" s="1">
        <v>42856</v>
      </c>
      <c r="E524" t="s">
        <v>183</v>
      </c>
      <c r="F524" t="s">
        <v>2000</v>
      </c>
      <c r="G524" t="s">
        <v>2001</v>
      </c>
      <c r="H524" t="s">
        <v>37</v>
      </c>
      <c r="I524" t="s">
        <v>23</v>
      </c>
      <c r="J524" t="s">
        <v>807</v>
      </c>
      <c r="K524" t="s">
        <v>100</v>
      </c>
      <c r="L524">
        <v>75217</v>
      </c>
      <c r="M524" t="s">
        <v>101</v>
      </c>
      <c r="N524" t="s">
        <v>2002</v>
      </c>
      <c r="O524" t="s">
        <v>42</v>
      </c>
      <c r="P524" t="s">
        <v>43</v>
      </c>
      <c r="Q524" t="s">
        <v>2003</v>
      </c>
      <c r="R524">
        <v>15.712</v>
      </c>
      <c r="S524" t="str">
        <f>TEXT(sales_data[[#This Row],[Order Date]],"mm")</f>
        <v>04</v>
      </c>
      <c r="T524">
        <f>YEAR(sales_data[[#This Row],[Order Date]])</f>
        <v>2017</v>
      </c>
      <c r="U524" s="7" t="s">
        <v>4959</v>
      </c>
      <c r="V524" t="s">
        <v>2002</v>
      </c>
    </row>
    <row r="525" spans="1:22" x14ac:dyDescent="0.35">
      <c r="A525">
        <v>613</v>
      </c>
      <c r="B525" t="s">
        <v>2004</v>
      </c>
      <c r="C525" s="1">
        <v>42989</v>
      </c>
      <c r="D525" s="1">
        <v>42991</v>
      </c>
      <c r="E525" t="s">
        <v>19</v>
      </c>
      <c r="F525" t="s">
        <v>2005</v>
      </c>
      <c r="G525" t="s">
        <v>2006</v>
      </c>
      <c r="H525" t="s">
        <v>37</v>
      </c>
      <c r="I525" t="s">
        <v>23</v>
      </c>
      <c r="J525" t="s">
        <v>142</v>
      </c>
      <c r="K525" t="s">
        <v>143</v>
      </c>
      <c r="L525">
        <v>19143</v>
      </c>
      <c r="M525" t="s">
        <v>144</v>
      </c>
      <c r="N525" t="s">
        <v>2007</v>
      </c>
      <c r="O525" t="s">
        <v>42</v>
      </c>
      <c r="P525" t="s">
        <v>86</v>
      </c>
      <c r="Q525" t="s">
        <v>2008</v>
      </c>
      <c r="R525">
        <v>8.4480000000000004</v>
      </c>
      <c r="S525" t="str">
        <f>TEXT(sales_data[[#This Row],[Order Date]],"mm")</f>
        <v>09</v>
      </c>
      <c r="T525">
        <f>YEAR(sales_data[[#This Row],[Order Date]])</f>
        <v>2017</v>
      </c>
      <c r="U525" s="8" t="s">
        <v>4972</v>
      </c>
      <c r="V525" t="s">
        <v>2007</v>
      </c>
    </row>
    <row r="526" spans="1:22" x14ac:dyDescent="0.35">
      <c r="A526">
        <v>614</v>
      </c>
      <c r="B526" t="s">
        <v>2004</v>
      </c>
      <c r="C526" s="1">
        <v>42989</v>
      </c>
      <c r="D526" s="1">
        <v>42991</v>
      </c>
      <c r="E526" t="s">
        <v>19</v>
      </c>
      <c r="F526" t="s">
        <v>2005</v>
      </c>
      <c r="G526" t="s">
        <v>2006</v>
      </c>
      <c r="H526" t="s">
        <v>37</v>
      </c>
      <c r="I526" t="s">
        <v>23</v>
      </c>
      <c r="J526" t="s">
        <v>142</v>
      </c>
      <c r="K526" t="s">
        <v>143</v>
      </c>
      <c r="L526">
        <v>19143</v>
      </c>
      <c r="M526" t="s">
        <v>144</v>
      </c>
      <c r="N526" t="s">
        <v>2009</v>
      </c>
      <c r="O526" t="s">
        <v>67</v>
      </c>
      <c r="P526" t="s">
        <v>68</v>
      </c>
      <c r="Q526" t="s">
        <v>2010</v>
      </c>
      <c r="R526">
        <v>728.94600000000003</v>
      </c>
      <c r="S526" t="str">
        <f>TEXT(sales_data[[#This Row],[Order Date]],"mm")</f>
        <v>09</v>
      </c>
      <c r="T526">
        <f>YEAR(sales_data[[#This Row],[Order Date]])</f>
        <v>2017</v>
      </c>
      <c r="U526" s="7" t="s">
        <v>4976</v>
      </c>
      <c r="V526" t="s">
        <v>2009</v>
      </c>
    </row>
    <row r="527" spans="1:22" x14ac:dyDescent="0.35">
      <c r="A527">
        <v>616</v>
      </c>
      <c r="B527" t="s">
        <v>2011</v>
      </c>
      <c r="C527" s="1">
        <v>43418</v>
      </c>
      <c r="D527" s="1">
        <v>43421</v>
      </c>
      <c r="E527" t="s">
        <v>19</v>
      </c>
      <c r="F527" t="s">
        <v>2012</v>
      </c>
      <c r="G527" t="s">
        <v>2013</v>
      </c>
      <c r="H527" t="s">
        <v>22</v>
      </c>
      <c r="I527" t="s">
        <v>23</v>
      </c>
      <c r="J527" t="s">
        <v>2014</v>
      </c>
      <c r="K527" t="s">
        <v>493</v>
      </c>
      <c r="L527">
        <v>43123</v>
      </c>
      <c r="M527" t="s">
        <v>144</v>
      </c>
      <c r="N527" t="s">
        <v>2015</v>
      </c>
      <c r="O527" t="s">
        <v>42</v>
      </c>
      <c r="P527" t="s">
        <v>71</v>
      </c>
      <c r="Q527" t="s">
        <v>2016</v>
      </c>
      <c r="R527">
        <v>3.6480000000000001</v>
      </c>
      <c r="S527" t="str">
        <f>TEXT(sales_data[[#This Row],[Order Date]],"mm")</f>
        <v>11</v>
      </c>
      <c r="T527">
        <f>YEAR(sales_data[[#This Row],[Order Date]])</f>
        <v>2018</v>
      </c>
      <c r="U527" s="7" t="s">
        <v>4988</v>
      </c>
      <c r="V527" t="s">
        <v>2015</v>
      </c>
    </row>
    <row r="528" spans="1:22" x14ac:dyDescent="0.35">
      <c r="A528">
        <v>617</v>
      </c>
      <c r="B528" t="s">
        <v>2017</v>
      </c>
      <c r="C528" s="1">
        <v>43330</v>
      </c>
      <c r="D528" s="1">
        <v>43335</v>
      </c>
      <c r="E528" t="s">
        <v>19</v>
      </c>
      <c r="F528" t="s">
        <v>2018</v>
      </c>
      <c r="G528" t="s">
        <v>2019</v>
      </c>
      <c r="H528" t="s">
        <v>37</v>
      </c>
      <c r="I528" t="s">
        <v>23</v>
      </c>
      <c r="J528" t="s">
        <v>261</v>
      </c>
      <c r="K528" t="s">
        <v>262</v>
      </c>
      <c r="L528">
        <v>10011</v>
      </c>
      <c r="M528" t="s">
        <v>144</v>
      </c>
      <c r="N528" t="s">
        <v>2020</v>
      </c>
      <c r="O528" t="s">
        <v>28</v>
      </c>
      <c r="P528" t="s">
        <v>61</v>
      </c>
      <c r="Q528" t="s">
        <v>2021</v>
      </c>
      <c r="R528">
        <v>40.479999999999997</v>
      </c>
      <c r="S528" t="str">
        <f>TEXT(sales_data[[#This Row],[Order Date]],"mm")</f>
        <v>08</v>
      </c>
      <c r="T528">
        <f>YEAR(sales_data[[#This Row],[Order Date]])</f>
        <v>2018</v>
      </c>
      <c r="U528" s="8" t="s">
        <v>4998</v>
      </c>
      <c r="V528" t="s">
        <v>2020</v>
      </c>
    </row>
    <row r="529" spans="1:22" x14ac:dyDescent="0.35">
      <c r="A529">
        <v>618</v>
      </c>
      <c r="B529" t="s">
        <v>2017</v>
      </c>
      <c r="C529" s="1">
        <v>43330</v>
      </c>
      <c r="D529" s="1">
        <v>43335</v>
      </c>
      <c r="E529" t="s">
        <v>19</v>
      </c>
      <c r="F529" t="s">
        <v>2018</v>
      </c>
      <c r="G529" t="s">
        <v>2019</v>
      </c>
      <c r="H529" t="s">
        <v>37</v>
      </c>
      <c r="I529" t="s">
        <v>23</v>
      </c>
      <c r="J529" t="s">
        <v>261</v>
      </c>
      <c r="K529" t="s">
        <v>262</v>
      </c>
      <c r="L529">
        <v>10011</v>
      </c>
      <c r="M529" t="s">
        <v>144</v>
      </c>
      <c r="N529" t="s">
        <v>2022</v>
      </c>
      <c r="O529" t="s">
        <v>28</v>
      </c>
      <c r="P529" t="s">
        <v>61</v>
      </c>
      <c r="Q529" t="s">
        <v>2023</v>
      </c>
      <c r="R529">
        <v>9.94</v>
      </c>
      <c r="S529" t="str">
        <f>TEXT(sales_data[[#This Row],[Order Date]],"mm")</f>
        <v>08</v>
      </c>
      <c r="T529">
        <f>YEAR(sales_data[[#This Row],[Order Date]])</f>
        <v>2018</v>
      </c>
      <c r="U529" s="7" t="s">
        <v>5006</v>
      </c>
      <c r="V529" t="s">
        <v>2022</v>
      </c>
    </row>
    <row r="530" spans="1:22" x14ac:dyDescent="0.35">
      <c r="A530">
        <v>619</v>
      </c>
      <c r="B530" t="s">
        <v>2017</v>
      </c>
      <c r="C530" s="1">
        <v>43330</v>
      </c>
      <c r="D530" s="1">
        <v>43335</v>
      </c>
      <c r="E530" t="s">
        <v>19</v>
      </c>
      <c r="F530" t="s">
        <v>2018</v>
      </c>
      <c r="G530" t="s">
        <v>2019</v>
      </c>
      <c r="H530" t="s">
        <v>37</v>
      </c>
      <c r="I530" t="s">
        <v>23</v>
      </c>
      <c r="J530" t="s">
        <v>261</v>
      </c>
      <c r="K530" t="s">
        <v>262</v>
      </c>
      <c r="L530">
        <v>10011</v>
      </c>
      <c r="M530" t="s">
        <v>144</v>
      </c>
      <c r="N530" t="s">
        <v>2024</v>
      </c>
      <c r="O530" t="s">
        <v>42</v>
      </c>
      <c r="P530" t="s">
        <v>71</v>
      </c>
      <c r="Q530" t="s">
        <v>2025</v>
      </c>
      <c r="R530">
        <v>107.42400000000001</v>
      </c>
      <c r="S530" t="str">
        <f>TEXT(sales_data[[#This Row],[Order Date]],"mm")</f>
        <v>08</v>
      </c>
      <c r="T530">
        <f>YEAR(sales_data[[#This Row],[Order Date]])</f>
        <v>2018</v>
      </c>
      <c r="U530" s="8" t="s">
        <v>5020</v>
      </c>
      <c r="V530" t="s">
        <v>2024</v>
      </c>
    </row>
    <row r="531" spans="1:22" x14ac:dyDescent="0.35">
      <c r="A531">
        <v>620</v>
      </c>
      <c r="B531" t="s">
        <v>2017</v>
      </c>
      <c r="C531" s="1">
        <v>43330</v>
      </c>
      <c r="D531" s="1">
        <v>43335</v>
      </c>
      <c r="E531" t="s">
        <v>19</v>
      </c>
      <c r="F531" t="s">
        <v>2018</v>
      </c>
      <c r="G531" t="s">
        <v>2019</v>
      </c>
      <c r="H531" t="s">
        <v>37</v>
      </c>
      <c r="I531" t="s">
        <v>23</v>
      </c>
      <c r="J531" t="s">
        <v>261</v>
      </c>
      <c r="K531" t="s">
        <v>262</v>
      </c>
      <c r="L531">
        <v>10011</v>
      </c>
      <c r="M531" t="s">
        <v>144</v>
      </c>
      <c r="N531" t="s">
        <v>2026</v>
      </c>
      <c r="O531" t="s">
        <v>67</v>
      </c>
      <c r="P531" t="s">
        <v>68</v>
      </c>
      <c r="Q531" t="s">
        <v>2027</v>
      </c>
      <c r="R531">
        <v>37.909999999999997</v>
      </c>
      <c r="S531" t="str">
        <f>TEXT(sales_data[[#This Row],[Order Date]],"mm")</f>
        <v>08</v>
      </c>
      <c r="T531">
        <f>YEAR(sales_data[[#This Row],[Order Date]])</f>
        <v>2018</v>
      </c>
      <c r="U531" s="8" t="s">
        <v>5029</v>
      </c>
      <c r="V531" t="s">
        <v>2026</v>
      </c>
    </row>
    <row r="532" spans="1:22" x14ac:dyDescent="0.35">
      <c r="A532">
        <v>622</v>
      </c>
      <c r="B532" t="s">
        <v>2028</v>
      </c>
      <c r="C532" s="1">
        <v>42364</v>
      </c>
      <c r="D532" s="1">
        <v>42369</v>
      </c>
      <c r="E532" t="s">
        <v>46</v>
      </c>
      <c r="F532" t="s">
        <v>2029</v>
      </c>
      <c r="G532" t="s">
        <v>2030</v>
      </c>
      <c r="H532" t="s">
        <v>22</v>
      </c>
      <c r="I532" t="s">
        <v>23</v>
      </c>
      <c r="J532" t="s">
        <v>298</v>
      </c>
      <c r="K532" t="s">
        <v>206</v>
      </c>
      <c r="L532">
        <v>60610</v>
      </c>
      <c r="M532" t="s">
        <v>101</v>
      </c>
      <c r="N532" t="s">
        <v>2031</v>
      </c>
      <c r="O532" t="s">
        <v>42</v>
      </c>
      <c r="P532" t="s">
        <v>71</v>
      </c>
      <c r="Q532" t="s">
        <v>2032</v>
      </c>
      <c r="R532">
        <v>8.69</v>
      </c>
      <c r="S532" t="str">
        <f>TEXT(sales_data[[#This Row],[Order Date]],"mm")</f>
        <v>12</v>
      </c>
      <c r="T532">
        <f>YEAR(sales_data[[#This Row],[Order Date]])</f>
        <v>2015</v>
      </c>
      <c r="U532" s="7" t="s">
        <v>5053</v>
      </c>
      <c r="V532" t="s">
        <v>2031</v>
      </c>
    </row>
    <row r="533" spans="1:22" x14ac:dyDescent="0.35">
      <c r="A533">
        <v>623</v>
      </c>
      <c r="B533" t="s">
        <v>2033</v>
      </c>
      <c r="C533" s="1">
        <v>42703</v>
      </c>
      <c r="D533" s="1">
        <v>42707</v>
      </c>
      <c r="E533" t="s">
        <v>46</v>
      </c>
      <c r="F533" t="s">
        <v>2034</v>
      </c>
      <c r="G533" t="s">
        <v>2035</v>
      </c>
      <c r="H533" t="s">
        <v>37</v>
      </c>
      <c r="I533" t="s">
        <v>23</v>
      </c>
      <c r="J533" t="s">
        <v>2036</v>
      </c>
      <c r="K533" t="s">
        <v>233</v>
      </c>
      <c r="L533">
        <v>48126</v>
      </c>
      <c r="M533" t="s">
        <v>101</v>
      </c>
      <c r="N533" t="s">
        <v>2037</v>
      </c>
      <c r="O533" t="s">
        <v>28</v>
      </c>
      <c r="P533" t="s">
        <v>32</v>
      </c>
      <c r="Q533" t="s">
        <v>2038</v>
      </c>
      <c r="R533">
        <v>301.95999999999998</v>
      </c>
      <c r="S533" t="str">
        <f>TEXT(sales_data[[#This Row],[Order Date]],"mm")</f>
        <v>11</v>
      </c>
      <c r="T533">
        <f>YEAR(sales_data[[#This Row],[Order Date]])</f>
        <v>2016</v>
      </c>
      <c r="U533" s="8" t="s">
        <v>5059</v>
      </c>
      <c r="V533" t="s">
        <v>2037</v>
      </c>
    </row>
    <row r="534" spans="1:22" x14ac:dyDescent="0.35">
      <c r="A534">
        <v>624</v>
      </c>
      <c r="B534" t="s">
        <v>2033</v>
      </c>
      <c r="C534" s="1">
        <v>42703</v>
      </c>
      <c r="D534" s="1">
        <v>42707</v>
      </c>
      <c r="E534" t="s">
        <v>46</v>
      </c>
      <c r="F534" t="s">
        <v>2034</v>
      </c>
      <c r="G534" t="s">
        <v>2035</v>
      </c>
      <c r="H534" t="s">
        <v>37</v>
      </c>
      <c r="I534" t="s">
        <v>23</v>
      </c>
      <c r="J534" t="s">
        <v>2036</v>
      </c>
      <c r="K534" t="s">
        <v>233</v>
      </c>
      <c r="L534">
        <v>48126</v>
      </c>
      <c r="M534" t="s">
        <v>101</v>
      </c>
      <c r="N534" t="s">
        <v>2039</v>
      </c>
      <c r="O534" t="s">
        <v>42</v>
      </c>
      <c r="P534" t="s">
        <v>74</v>
      </c>
      <c r="Q534" t="s">
        <v>2040</v>
      </c>
      <c r="R534">
        <v>555.21</v>
      </c>
      <c r="S534" t="str">
        <f>TEXT(sales_data[[#This Row],[Order Date]],"mm")</f>
        <v>11</v>
      </c>
      <c r="T534">
        <f>YEAR(sales_data[[#This Row],[Order Date]])</f>
        <v>2016</v>
      </c>
      <c r="U534" s="7" t="s">
        <v>5060</v>
      </c>
      <c r="V534" t="s">
        <v>2039</v>
      </c>
    </row>
    <row r="535" spans="1:22" x14ac:dyDescent="0.35">
      <c r="A535">
        <v>625</v>
      </c>
      <c r="B535" t="s">
        <v>2033</v>
      </c>
      <c r="C535" s="1">
        <v>42703</v>
      </c>
      <c r="D535" s="1">
        <v>42707</v>
      </c>
      <c r="E535" t="s">
        <v>46</v>
      </c>
      <c r="F535" t="s">
        <v>2034</v>
      </c>
      <c r="G535" t="s">
        <v>2035</v>
      </c>
      <c r="H535" t="s">
        <v>37</v>
      </c>
      <c r="I535" t="s">
        <v>23</v>
      </c>
      <c r="J535" t="s">
        <v>2036</v>
      </c>
      <c r="K535" t="s">
        <v>233</v>
      </c>
      <c r="L535">
        <v>48126</v>
      </c>
      <c r="M535" t="s">
        <v>101</v>
      </c>
      <c r="N535" t="s">
        <v>2041</v>
      </c>
      <c r="O535" t="s">
        <v>42</v>
      </c>
      <c r="P535" t="s">
        <v>55</v>
      </c>
      <c r="Q535" t="s">
        <v>2042</v>
      </c>
      <c r="R535">
        <v>523.48</v>
      </c>
      <c r="S535" t="str">
        <f>TEXT(sales_data[[#This Row],[Order Date]],"mm")</f>
        <v>11</v>
      </c>
      <c r="T535">
        <f>YEAR(sales_data[[#This Row],[Order Date]])</f>
        <v>2016</v>
      </c>
      <c r="U535" s="8" t="s">
        <v>5065</v>
      </c>
      <c r="V535" t="s">
        <v>2041</v>
      </c>
    </row>
    <row r="536" spans="1:22" x14ac:dyDescent="0.35">
      <c r="A536">
        <v>627</v>
      </c>
      <c r="B536" t="s">
        <v>2043</v>
      </c>
      <c r="C536" s="1">
        <v>43358</v>
      </c>
      <c r="D536" s="1">
        <v>43362</v>
      </c>
      <c r="E536" t="s">
        <v>46</v>
      </c>
      <c r="F536" t="s">
        <v>2044</v>
      </c>
      <c r="G536" t="s">
        <v>2045</v>
      </c>
      <c r="H536" t="s">
        <v>98</v>
      </c>
      <c r="I536" t="s">
        <v>23</v>
      </c>
      <c r="J536" t="s">
        <v>261</v>
      </c>
      <c r="K536" t="s">
        <v>262</v>
      </c>
      <c r="L536">
        <v>10009</v>
      </c>
      <c r="M536" t="s">
        <v>144</v>
      </c>
      <c r="N536" t="s">
        <v>2046</v>
      </c>
      <c r="O536" t="s">
        <v>28</v>
      </c>
      <c r="P536" t="s">
        <v>61</v>
      </c>
      <c r="Q536" t="s">
        <v>2047</v>
      </c>
      <c r="R536">
        <v>35.56</v>
      </c>
      <c r="S536" t="str">
        <f>TEXT(sales_data[[#This Row],[Order Date]],"mm")</f>
        <v>09</v>
      </c>
      <c r="T536">
        <f>YEAR(sales_data[[#This Row],[Order Date]])</f>
        <v>2018</v>
      </c>
      <c r="U536" s="8" t="s">
        <v>5079</v>
      </c>
      <c r="V536" t="s">
        <v>2046</v>
      </c>
    </row>
    <row r="537" spans="1:22" x14ac:dyDescent="0.35">
      <c r="A537">
        <v>628</v>
      </c>
      <c r="B537" t="s">
        <v>2048</v>
      </c>
      <c r="C537" s="1">
        <v>43239</v>
      </c>
      <c r="D537" s="1">
        <v>43243</v>
      </c>
      <c r="E537" t="s">
        <v>46</v>
      </c>
      <c r="F537" t="s">
        <v>2049</v>
      </c>
      <c r="G537" t="s">
        <v>2050</v>
      </c>
      <c r="H537" t="s">
        <v>22</v>
      </c>
      <c r="I537" t="s">
        <v>23</v>
      </c>
      <c r="J537" t="s">
        <v>91</v>
      </c>
      <c r="K537" t="s">
        <v>92</v>
      </c>
      <c r="L537">
        <v>98115</v>
      </c>
      <c r="M537" t="s">
        <v>40</v>
      </c>
      <c r="N537" t="s">
        <v>2051</v>
      </c>
      <c r="O537" t="s">
        <v>42</v>
      </c>
      <c r="P537" t="s">
        <v>74</v>
      </c>
      <c r="Q537" t="s">
        <v>2052</v>
      </c>
      <c r="R537">
        <v>97.16</v>
      </c>
      <c r="S537" t="str">
        <f>TEXT(sales_data[[#This Row],[Order Date]],"mm")</f>
        <v>05</v>
      </c>
      <c r="T537">
        <f>YEAR(sales_data[[#This Row],[Order Date]])</f>
        <v>2018</v>
      </c>
      <c r="U537" s="8" t="s">
        <v>5087</v>
      </c>
      <c r="V537" t="s">
        <v>2051</v>
      </c>
    </row>
    <row r="538" spans="1:22" x14ac:dyDescent="0.35">
      <c r="A538">
        <v>629</v>
      </c>
      <c r="B538" t="s">
        <v>2053</v>
      </c>
      <c r="C538" s="1">
        <v>43451</v>
      </c>
      <c r="D538" s="1">
        <v>43455</v>
      </c>
      <c r="E538" t="s">
        <v>46</v>
      </c>
      <c r="F538" t="s">
        <v>805</v>
      </c>
      <c r="G538" t="s">
        <v>806</v>
      </c>
      <c r="H538" t="s">
        <v>22</v>
      </c>
      <c r="I538" t="s">
        <v>23</v>
      </c>
      <c r="J538" t="s">
        <v>123</v>
      </c>
      <c r="K538" t="s">
        <v>39</v>
      </c>
      <c r="L538">
        <v>94122</v>
      </c>
      <c r="M538" t="s">
        <v>40</v>
      </c>
      <c r="N538" t="s">
        <v>2054</v>
      </c>
      <c r="O538" t="s">
        <v>42</v>
      </c>
      <c r="P538" t="s">
        <v>71</v>
      </c>
      <c r="Q538" t="s">
        <v>2055</v>
      </c>
      <c r="R538">
        <v>15.24</v>
      </c>
      <c r="S538" t="str">
        <f>TEXT(sales_data[[#This Row],[Order Date]],"mm")</f>
        <v>12</v>
      </c>
      <c r="T538">
        <f>YEAR(sales_data[[#This Row],[Order Date]])</f>
        <v>2018</v>
      </c>
      <c r="U538" s="8" t="s">
        <v>5093</v>
      </c>
      <c r="V538" t="s">
        <v>2054</v>
      </c>
    </row>
    <row r="539" spans="1:22" x14ac:dyDescent="0.35">
      <c r="A539">
        <v>631</v>
      </c>
      <c r="B539" t="s">
        <v>2056</v>
      </c>
      <c r="C539" s="1">
        <v>43080</v>
      </c>
      <c r="D539" s="1">
        <v>43082</v>
      </c>
      <c r="E539" t="s">
        <v>19</v>
      </c>
      <c r="F539" t="s">
        <v>2057</v>
      </c>
      <c r="G539" t="s">
        <v>2058</v>
      </c>
      <c r="H539" t="s">
        <v>22</v>
      </c>
      <c r="I539" t="s">
        <v>23</v>
      </c>
      <c r="J539" t="s">
        <v>451</v>
      </c>
      <c r="K539" t="s">
        <v>452</v>
      </c>
      <c r="L539">
        <v>80013</v>
      </c>
      <c r="M539" t="s">
        <v>40</v>
      </c>
      <c r="N539" t="s">
        <v>2059</v>
      </c>
      <c r="O539" t="s">
        <v>42</v>
      </c>
      <c r="P539" t="s">
        <v>55</v>
      </c>
      <c r="Q539" t="s">
        <v>2060</v>
      </c>
      <c r="R539">
        <v>243.38399999999999</v>
      </c>
      <c r="S539" t="str">
        <f>TEXT(sales_data[[#This Row],[Order Date]],"mm")</f>
        <v>12</v>
      </c>
      <c r="T539">
        <f>YEAR(sales_data[[#This Row],[Order Date]])</f>
        <v>2017</v>
      </c>
      <c r="U539" s="8" t="s">
        <v>5098</v>
      </c>
      <c r="V539" t="s">
        <v>2059</v>
      </c>
    </row>
    <row r="540" spans="1:22" x14ac:dyDescent="0.35">
      <c r="A540">
        <v>632</v>
      </c>
      <c r="B540" t="s">
        <v>2056</v>
      </c>
      <c r="C540" s="1">
        <v>43080</v>
      </c>
      <c r="D540" s="1">
        <v>43082</v>
      </c>
      <c r="E540" t="s">
        <v>19</v>
      </c>
      <c r="F540" t="s">
        <v>2057</v>
      </c>
      <c r="G540" t="s">
        <v>2058</v>
      </c>
      <c r="H540" t="s">
        <v>22</v>
      </c>
      <c r="I540" t="s">
        <v>23</v>
      </c>
      <c r="J540" t="s">
        <v>451</v>
      </c>
      <c r="K540" t="s">
        <v>452</v>
      </c>
      <c r="L540">
        <v>80013</v>
      </c>
      <c r="M540" t="s">
        <v>40</v>
      </c>
      <c r="N540" t="s">
        <v>2061</v>
      </c>
      <c r="O540" t="s">
        <v>67</v>
      </c>
      <c r="P540" t="s">
        <v>156</v>
      </c>
      <c r="Q540" t="s">
        <v>2062</v>
      </c>
      <c r="R540">
        <v>119.8</v>
      </c>
      <c r="S540" t="str">
        <f>TEXT(sales_data[[#This Row],[Order Date]],"mm")</f>
        <v>12</v>
      </c>
      <c r="T540">
        <f>YEAR(sales_data[[#This Row],[Order Date]])</f>
        <v>2017</v>
      </c>
      <c r="U540" s="7" t="s">
        <v>5122</v>
      </c>
      <c r="V540" t="s">
        <v>2061</v>
      </c>
    </row>
    <row r="541" spans="1:22" x14ac:dyDescent="0.35">
      <c r="A541">
        <v>633</v>
      </c>
      <c r="B541" t="s">
        <v>2056</v>
      </c>
      <c r="C541" s="1">
        <v>43080</v>
      </c>
      <c r="D541" s="1">
        <v>43082</v>
      </c>
      <c r="E541" t="s">
        <v>19</v>
      </c>
      <c r="F541" t="s">
        <v>2057</v>
      </c>
      <c r="G541" t="s">
        <v>2058</v>
      </c>
      <c r="H541" t="s">
        <v>22</v>
      </c>
      <c r="I541" t="s">
        <v>23</v>
      </c>
      <c r="J541" t="s">
        <v>451</v>
      </c>
      <c r="K541" t="s">
        <v>452</v>
      </c>
      <c r="L541">
        <v>80013</v>
      </c>
      <c r="M541" t="s">
        <v>40</v>
      </c>
      <c r="N541" t="s">
        <v>2063</v>
      </c>
      <c r="O541" t="s">
        <v>67</v>
      </c>
      <c r="P541" t="s">
        <v>68</v>
      </c>
      <c r="Q541" t="s">
        <v>2064</v>
      </c>
      <c r="R541">
        <v>300.76799999999997</v>
      </c>
      <c r="S541" t="str">
        <f>TEXT(sales_data[[#This Row],[Order Date]],"mm")</f>
        <v>12</v>
      </c>
      <c r="T541">
        <f>YEAR(sales_data[[#This Row],[Order Date]])</f>
        <v>2017</v>
      </c>
      <c r="U541" s="8" t="s">
        <v>5127</v>
      </c>
      <c r="V541" t="s">
        <v>2063</v>
      </c>
    </row>
    <row r="542" spans="1:22" x14ac:dyDescent="0.35">
      <c r="A542">
        <v>634</v>
      </c>
      <c r="B542" t="s">
        <v>2065</v>
      </c>
      <c r="C542" s="1">
        <v>43367</v>
      </c>
      <c r="D542" s="1">
        <v>43369</v>
      </c>
      <c r="E542" t="s">
        <v>19</v>
      </c>
      <c r="F542" t="s">
        <v>1765</v>
      </c>
      <c r="G542" t="s">
        <v>1766</v>
      </c>
      <c r="H542" t="s">
        <v>22</v>
      </c>
      <c r="I542" t="s">
        <v>23</v>
      </c>
      <c r="J542" t="s">
        <v>1407</v>
      </c>
      <c r="K542" t="s">
        <v>50</v>
      </c>
      <c r="L542">
        <v>33180</v>
      </c>
      <c r="M542" t="s">
        <v>26</v>
      </c>
      <c r="N542" t="s">
        <v>2066</v>
      </c>
      <c r="O542" t="s">
        <v>67</v>
      </c>
      <c r="P542" t="s">
        <v>156</v>
      </c>
      <c r="Q542" t="s">
        <v>2067</v>
      </c>
      <c r="R542">
        <v>17.88</v>
      </c>
      <c r="S542" t="str">
        <f>TEXT(sales_data[[#This Row],[Order Date]],"mm")</f>
        <v>09</v>
      </c>
      <c r="T542">
        <f>YEAR(sales_data[[#This Row],[Order Date]])</f>
        <v>2018</v>
      </c>
      <c r="U542" s="7" t="s">
        <v>5152</v>
      </c>
      <c r="V542" t="s">
        <v>2066</v>
      </c>
    </row>
    <row r="543" spans="1:22" x14ac:dyDescent="0.35">
      <c r="A543">
        <v>636</v>
      </c>
      <c r="B543" t="s">
        <v>2068</v>
      </c>
      <c r="C543" s="1">
        <v>42647</v>
      </c>
      <c r="D543" s="1">
        <v>42652</v>
      </c>
      <c r="E543" t="s">
        <v>19</v>
      </c>
      <c r="F543" t="s">
        <v>2069</v>
      </c>
      <c r="G543" t="s">
        <v>2070</v>
      </c>
      <c r="H543" t="s">
        <v>37</v>
      </c>
      <c r="I543" t="s">
        <v>23</v>
      </c>
      <c r="J543" t="s">
        <v>2071</v>
      </c>
      <c r="K543" t="s">
        <v>1261</v>
      </c>
      <c r="L543">
        <v>31088</v>
      </c>
      <c r="M543" t="s">
        <v>26</v>
      </c>
      <c r="N543" t="s">
        <v>2072</v>
      </c>
      <c r="O543" t="s">
        <v>28</v>
      </c>
      <c r="P543" t="s">
        <v>32</v>
      </c>
      <c r="Q543" t="s">
        <v>2073</v>
      </c>
      <c r="R543">
        <v>392.94</v>
      </c>
      <c r="S543" t="str">
        <f>TEXT(sales_data[[#This Row],[Order Date]],"mm")</f>
        <v>10</v>
      </c>
      <c r="T543">
        <f>YEAR(sales_data[[#This Row],[Order Date]])</f>
        <v>2016</v>
      </c>
      <c r="U543" s="7" t="s">
        <v>5163</v>
      </c>
      <c r="V543" t="s">
        <v>2072</v>
      </c>
    </row>
    <row r="544" spans="1:22" x14ac:dyDescent="0.35">
      <c r="A544">
        <v>637</v>
      </c>
      <c r="B544" t="s">
        <v>2074</v>
      </c>
      <c r="C544" s="1">
        <v>42962</v>
      </c>
      <c r="D544" s="1">
        <v>42968</v>
      </c>
      <c r="E544" t="s">
        <v>46</v>
      </c>
      <c r="F544" t="s">
        <v>2075</v>
      </c>
      <c r="G544" t="s">
        <v>2076</v>
      </c>
      <c r="H544" t="s">
        <v>22</v>
      </c>
      <c r="I544" t="s">
        <v>23</v>
      </c>
      <c r="J544" t="s">
        <v>451</v>
      </c>
      <c r="K544" t="s">
        <v>452</v>
      </c>
      <c r="L544">
        <v>80013</v>
      </c>
      <c r="M544" t="s">
        <v>40</v>
      </c>
      <c r="N544" t="s">
        <v>2077</v>
      </c>
      <c r="O544" t="s">
        <v>42</v>
      </c>
      <c r="P544" t="s">
        <v>71</v>
      </c>
      <c r="Q544" t="s">
        <v>2078</v>
      </c>
      <c r="R544">
        <v>18.882000000000001</v>
      </c>
      <c r="S544" t="str">
        <f>TEXT(sales_data[[#This Row],[Order Date]],"mm")</f>
        <v>08</v>
      </c>
      <c r="T544">
        <f>YEAR(sales_data[[#This Row],[Order Date]])</f>
        <v>2017</v>
      </c>
      <c r="U544" s="8" t="s">
        <v>5165</v>
      </c>
      <c r="V544" t="s">
        <v>2077</v>
      </c>
    </row>
    <row r="545" spans="1:22" x14ac:dyDescent="0.35">
      <c r="A545">
        <v>638</v>
      </c>
      <c r="B545" t="s">
        <v>2074</v>
      </c>
      <c r="C545" s="1">
        <v>42962</v>
      </c>
      <c r="D545" s="1">
        <v>42968</v>
      </c>
      <c r="E545" t="s">
        <v>46</v>
      </c>
      <c r="F545" t="s">
        <v>2075</v>
      </c>
      <c r="G545" t="s">
        <v>2076</v>
      </c>
      <c r="H545" t="s">
        <v>22</v>
      </c>
      <c r="I545" t="s">
        <v>23</v>
      </c>
      <c r="J545" t="s">
        <v>451</v>
      </c>
      <c r="K545" t="s">
        <v>452</v>
      </c>
      <c r="L545">
        <v>80013</v>
      </c>
      <c r="M545" t="s">
        <v>40</v>
      </c>
      <c r="N545" t="s">
        <v>2079</v>
      </c>
      <c r="O545" t="s">
        <v>42</v>
      </c>
      <c r="P545" t="s">
        <v>74</v>
      </c>
      <c r="Q545" t="s">
        <v>2080</v>
      </c>
      <c r="R545">
        <v>122.328</v>
      </c>
      <c r="S545" t="str">
        <f>TEXT(sales_data[[#This Row],[Order Date]],"mm")</f>
        <v>08</v>
      </c>
      <c r="T545">
        <f>YEAR(sales_data[[#This Row],[Order Date]])</f>
        <v>2017</v>
      </c>
      <c r="U545" s="8" t="s">
        <v>5170</v>
      </c>
      <c r="V545" t="s">
        <v>2079</v>
      </c>
    </row>
    <row r="546" spans="1:22" x14ac:dyDescent="0.35">
      <c r="A546">
        <v>640</v>
      </c>
      <c r="B546" t="s">
        <v>2081</v>
      </c>
      <c r="C546" s="1">
        <v>42875</v>
      </c>
      <c r="D546" s="1">
        <v>42880</v>
      </c>
      <c r="E546" t="s">
        <v>46</v>
      </c>
      <c r="F546" t="s">
        <v>435</v>
      </c>
      <c r="G546" t="s">
        <v>436</v>
      </c>
      <c r="H546" t="s">
        <v>98</v>
      </c>
      <c r="I546" t="s">
        <v>23</v>
      </c>
      <c r="J546" t="s">
        <v>2082</v>
      </c>
      <c r="K546" t="s">
        <v>39</v>
      </c>
      <c r="L546">
        <v>94591</v>
      </c>
      <c r="M546" t="s">
        <v>40</v>
      </c>
      <c r="N546" t="s">
        <v>2083</v>
      </c>
      <c r="O546" t="s">
        <v>42</v>
      </c>
      <c r="P546" t="s">
        <v>71</v>
      </c>
      <c r="Q546" t="s">
        <v>2084</v>
      </c>
      <c r="R546">
        <v>15.423999999999999</v>
      </c>
      <c r="S546" t="str">
        <f>TEXT(sales_data[[#This Row],[Order Date]],"mm")</f>
        <v>05</v>
      </c>
      <c r="T546">
        <f>YEAR(sales_data[[#This Row],[Order Date]])</f>
        <v>2017</v>
      </c>
      <c r="U546" s="7" t="s">
        <v>5182</v>
      </c>
      <c r="V546" t="s">
        <v>2083</v>
      </c>
    </row>
    <row r="547" spans="1:22" x14ac:dyDescent="0.35">
      <c r="A547">
        <v>641</v>
      </c>
      <c r="B547" t="s">
        <v>2085</v>
      </c>
      <c r="C547" s="1">
        <v>43087</v>
      </c>
      <c r="D547" s="1">
        <v>43091</v>
      </c>
      <c r="E547" t="s">
        <v>46</v>
      </c>
      <c r="F547" t="s">
        <v>2086</v>
      </c>
      <c r="G547" t="s">
        <v>2087</v>
      </c>
      <c r="H547" t="s">
        <v>37</v>
      </c>
      <c r="I547" t="s">
        <v>23</v>
      </c>
      <c r="J547" t="s">
        <v>404</v>
      </c>
      <c r="K547" t="s">
        <v>224</v>
      </c>
      <c r="L547">
        <v>55407</v>
      </c>
      <c r="M547" t="s">
        <v>101</v>
      </c>
      <c r="N547" t="s">
        <v>2088</v>
      </c>
      <c r="O547" t="s">
        <v>28</v>
      </c>
      <c r="P547" t="s">
        <v>61</v>
      </c>
      <c r="Q547" t="s">
        <v>2089</v>
      </c>
      <c r="R547">
        <v>18.84</v>
      </c>
      <c r="S547" t="str">
        <f>TEXT(sales_data[[#This Row],[Order Date]],"mm")</f>
        <v>12</v>
      </c>
      <c r="T547">
        <f>YEAR(sales_data[[#This Row],[Order Date]])</f>
        <v>2017</v>
      </c>
      <c r="U547" s="8" t="s">
        <v>5189</v>
      </c>
      <c r="V547" t="s">
        <v>2088</v>
      </c>
    </row>
    <row r="548" spans="1:22" x14ac:dyDescent="0.35">
      <c r="A548">
        <v>642</v>
      </c>
      <c r="B548" t="s">
        <v>2090</v>
      </c>
      <c r="C548" s="1">
        <v>43311</v>
      </c>
      <c r="D548" s="1">
        <v>43315</v>
      </c>
      <c r="E548" t="s">
        <v>19</v>
      </c>
      <c r="F548" t="s">
        <v>2091</v>
      </c>
      <c r="G548" t="s">
        <v>2092</v>
      </c>
      <c r="H548" t="s">
        <v>22</v>
      </c>
      <c r="I548" t="s">
        <v>23</v>
      </c>
      <c r="J548" t="s">
        <v>2093</v>
      </c>
      <c r="K548" t="s">
        <v>39</v>
      </c>
      <c r="L548">
        <v>92691</v>
      </c>
      <c r="M548" t="s">
        <v>40</v>
      </c>
      <c r="N548" t="s">
        <v>2094</v>
      </c>
      <c r="O548" t="s">
        <v>42</v>
      </c>
      <c r="P548" t="s">
        <v>55</v>
      </c>
      <c r="Q548" t="s">
        <v>2095</v>
      </c>
      <c r="R548">
        <v>330.4</v>
      </c>
      <c r="S548" t="str">
        <f>TEXT(sales_data[[#This Row],[Order Date]],"mm")</f>
        <v>07</v>
      </c>
      <c r="T548">
        <f>YEAR(sales_data[[#This Row],[Order Date]])</f>
        <v>2018</v>
      </c>
      <c r="U548" s="7" t="s">
        <v>5191</v>
      </c>
      <c r="V548" t="s">
        <v>2094</v>
      </c>
    </row>
    <row r="549" spans="1:22" x14ac:dyDescent="0.35">
      <c r="A549">
        <v>643</v>
      </c>
      <c r="B549" t="s">
        <v>2090</v>
      </c>
      <c r="C549" s="1">
        <v>43311</v>
      </c>
      <c r="D549" s="1">
        <v>43315</v>
      </c>
      <c r="E549" t="s">
        <v>19</v>
      </c>
      <c r="F549" t="s">
        <v>2091</v>
      </c>
      <c r="G549" t="s">
        <v>2092</v>
      </c>
      <c r="H549" t="s">
        <v>22</v>
      </c>
      <c r="I549" t="s">
        <v>23</v>
      </c>
      <c r="J549" t="s">
        <v>2093</v>
      </c>
      <c r="K549" t="s">
        <v>39</v>
      </c>
      <c r="L549">
        <v>92691</v>
      </c>
      <c r="M549" t="s">
        <v>40</v>
      </c>
      <c r="N549" t="s">
        <v>2096</v>
      </c>
      <c r="O549" t="s">
        <v>42</v>
      </c>
      <c r="P549" t="s">
        <v>43</v>
      </c>
      <c r="Q549" t="s">
        <v>2097</v>
      </c>
      <c r="R549">
        <v>26.25</v>
      </c>
      <c r="S549" t="str">
        <f>TEXT(sales_data[[#This Row],[Order Date]],"mm")</f>
        <v>07</v>
      </c>
      <c r="T549">
        <f>YEAR(sales_data[[#This Row],[Order Date]])</f>
        <v>2018</v>
      </c>
      <c r="U549" s="8" t="s">
        <v>5212</v>
      </c>
      <c r="V549" t="s">
        <v>2096</v>
      </c>
    </row>
    <row r="550" spans="1:22" x14ac:dyDescent="0.35">
      <c r="A550">
        <v>645</v>
      </c>
      <c r="B550" t="s">
        <v>2100</v>
      </c>
      <c r="C550" s="1">
        <v>43302</v>
      </c>
      <c r="D550" s="1">
        <v>43306</v>
      </c>
      <c r="E550" t="s">
        <v>46</v>
      </c>
      <c r="F550" t="s">
        <v>613</v>
      </c>
      <c r="G550" t="s">
        <v>614</v>
      </c>
      <c r="H550" t="s">
        <v>98</v>
      </c>
      <c r="I550" t="s">
        <v>23</v>
      </c>
      <c r="J550" t="s">
        <v>2101</v>
      </c>
      <c r="K550" t="s">
        <v>780</v>
      </c>
      <c r="L550">
        <v>7060</v>
      </c>
      <c r="M550" t="s">
        <v>144</v>
      </c>
      <c r="N550" t="s">
        <v>2102</v>
      </c>
      <c r="O550" t="s">
        <v>42</v>
      </c>
      <c r="P550" t="s">
        <v>86</v>
      </c>
      <c r="Q550" t="s">
        <v>2103</v>
      </c>
      <c r="R550">
        <v>6.48</v>
      </c>
      <c r="S550" t="str">
        <f>TEXT(sales_data[[#This Row],[Order Date]],"mm")</f>
        <v>07</v>
      </c>
      <c r="T550">
        <f>YEAR(sales_data[[#This Row],[Order Date]])</f>
        <v>2018</v>
      </c>
      <c r="U550" s="8" t="s">
        <v>5214</v>
      </c>
      <c r="V550" t="s">
        <v>2102</v>
      </c>
    </row>
    <row r="551" spans="1:22" x14ac:dyDescent="0.35">
      <c r="A551">
        <v>646</v>
      </c>
      <c r="B551" t="s">
        <v>2104</v>
      </c>
      <c r="C551" s="1">
        <v>43464</v>
      </c>
      <c r="D551" s="1">
        <v>43470</v>
      </c>
      <c r="E551" t="s">
        <v>46</v>
      </c>
      <c r="F551" t="s">
        <v>2105</v>
      </c>
      <c r="G551" t="s">
        <v>2106</v>
      </c>
      <c r="H551" t="s">
        <v>98</v>
      </c>
      <c r="I551" t="s">
        <v>23</v>
      </c>
      <c r="J551" t="s">
        <v>492</v>
      </c>
      <c r="K551" t="s">
        <v>249</v>
      </c>
      <c r="L551">
        <v>47201</v>
      </c>
      <c r="M551" t="s">
        <v>101</v>
      </c>
      <c r="N551" t="s">
        <v>2107</v>
      </c>
      <c r="O551" t="s">
        <v>42</v>
      </c>
      <c r="P551" t="s">
        <v>74</v>
      </c>
      <c r="Q551" t="s">
        <v>2108</v>
      </c>
      <c r="R551">
        <v>209.3</v>
      </c>
      <c r="S551" t="str">
        <f>TEXT(sales_data[[#This Row],[Order Date]],"mm")</f>
        <v>12</v>
      </c>
      <c r="T551">
        <f>YEAR(sales_data[[#This Row],[Order Date]])</f>
        <v>2018</v>
      </c>
      <c r="U551" s="8" t="s">
        <v>5217</v>
      </c>
      <c r="V551" t="s">
        <v>2107</v>
      </c>
    </row>
    <row r="552" spans="1:22" x14ac:dyDescent="0.35">
      <c r="A552">
        <v>647</v>
      </c>
      <c r="B552" t="s">
        <v>2109</v>
      </c>
      <c r="C552" s="1">
        <v>42826</v>
      </c>
      <c r="D552" s="1">
        <v>42833</v>
      </c>
      <c r="E552" t="s">
        <v>46</v>
      </c>
      <c r="F552" t="s">
        <v>1018</v>
      </c>
      <c r="G552" t="s">
        <v>1019</v>
      </c>
      <c r="H552" t="s">
        <v>37</v>
      </c>
      <c r="I552" t="s">
        <v>23</v>
      </c>
      <c r="J552" t="s">
        <v>2110</v>
      </c>
      <c r="K552" t="s">
        <v>305</v>
      </c>
      <c r="L552">
        <v>85635</v>
      </c>
      <c r="M552" t="s">
        <v>40</v>
      </c>
      <c r="N552" t="s">
        <v>2111</v>
      </c>
      <c r="O552" t="s">
        <v>42</v>
      </c>
      <c r="P552" t="s">
        <v>264</v>
      </c>
      <c r="Q552" t="s">
        <v>557</v>
      </c>
      <c r="R552">
        <v>31.56</v>
      </c>
      <c r="S552" t="str">
        <f>TEXT(sales_data[[#This Row],[Order Date]],"mm")</f>
        <v>04</v>
      </c>
      <c r="T552">
        <f>YEAR(sales_data[[#This Row],[Order Date]])</f>
        <v>2017</v>
      </c>
      <c r="U552" s="8" t="s">
        <v>5223</v>
      </c>
      <c r="V552" t="s">
        <v>2111</v>
      </c>
    </row>
    <row r="553" spans="1:22" x14ac:dyDescent="0.35">
      <c r="A553">
        <v>648</v>
      </c>
      <c r="B553" t="s">
        <v>2109</v>
      </c>
      <c r="C553" s="1">
        <v>42826</v>
      </c>
      <c r="D553" s="1">
        <v>42833</v>
      </c>
      <c r="E553" t="s">
        <v>46</v>
      </c>
      <c r="F553" t="s">
        <v>1018</v>
      </c>
      <c r="G553" t="s">
        <v>1019</v>
      </c>
      <c r="H553" t="s">
        <v>37</v>
      </c>
      <c r="I553" t="s">
        <v>23</v>
      </c>
      <c r="J553" t="s">
        <v>2110</v>
      </c>
      <c r="K553" t="s">
        <v>305</v>
      </c>
      <c r="L553">
        <v>85635</v>
      </c>
      <c r="M553" t="s">
        <v>40</v>
      </c>
      <c r="N553" t="s">
        <v>2112</v>
      </c>
      <c r="O553" t="s">
        <v>42</v>
      </c>
      <c r="P553" t="s">
        <v>74</v>
      </c>
      <c r="Q553" t="s">
        <v>2113</v>
      </c>
      <c r="R553">
        <v>30.143999999999998</v>
      </c>
      <c r="S553" t="str">
        <f>TEXT(sales_data[[#This Row],[Order Date]],"mm")</f>
        <v>04</v>
      </c>
      <c r="T553">
        <f>YEAR(sales_data[[#This Row],[Order Date]])</f>
        <v>2017</v>
      </c>
      <c r="U553" s="7" t="s">
        <v>5225</v>
      </c>
      <c r="V553" t="s">
        <v>2112</v>
      </c>
    </row>
    <row r="554" spans="1:22" x14ac:dyDescent="0.35">
      <c r="A554">
        <v>651</v>
      </c>
      <c r="B554" t="s">
        <v>2114</v>
      </c>
      <c r="C554" s="1">
        <v>43080</v>
      </c>
      <c r="D554" s="1">
        <v>43085</v>
      </c>
      <c r="E554" t="s">
        <v>19</v>
      </c>
      <c r="F554" t="s">
        <v>2115</v>
      </c>
      <c r="G554" t="s">
        <v>2116</v>
      </c>
      <c r="H554" t="s">
        <v>37</v>
      </c>
      <c r="I554" t="s">
        <v>23</v>
      </c>
      <c r="J554" t="s">
        <v>2117</v>
      </c>
      <c r="K554" t="s">
        <v>92</v>
      </c>
      <c r="L554">
        <v>98661</v>
      </c>
      <c r="M554" t="s">
        <v>40</v>
      </c>
      <c r="N554" t="s">
        <v>2118</v>
      </c>
      <c r="O554" t="s">
        <v>67</v>
      </c>
      <c r="P554" t="s">
        <v>156</v>
      </c>
      <c r="Q554" t="s">
        <v>2119</v>
      </c>
      <c r="R554">
        <v>316</v>
      </c>
      <c r="S554" t="str">
        <f>TEXT(sales_data[[#This Row],[Order Date]],"mm")</f>
        <v>12</v>
      </c>
      <c r="T554">
        <f>YEAR(sales_data[[#This Row],[Order Date]])</f>
        <v>2017</v>
      </c>
      <c r="U554" s="8" t="s">
        <v>5272</v>
      </c>
      <c r="V554" t="s">
        <v>2118</v>
      </c>
    </row>
    <row r="555" spans="1:22" x14ac:dyDescent="0.35">
      <c r="A555">
        <v>654</v>
      </c>
      <c r="B555" t="s">
        <v>2122</v>
      </c>
      <c r="C555" s="1">
        <v>43270</v>
      </c>
      <c r="D555" s="1">
        <v>43274</v>
      </c>
      <c r="E555" t="s">
        <v>46</v>
      </c>
      <c r="F555" t="s">
        <v>1312</v>
      </c>
      <c r="G555" t="s">
        <v>1313</v>
      </c>
      <c r="H555" t="s">
        <v>37</v>
      </c>
      <c r="I555" t="s">
        <v>23</v>
      </c>
      <c r="J555" t="s">
        <v>261</v>
      </c>
      <c r="K555" t="s">
        <v>262</v>
      </c>
      <c r="L555">
        <v>10035</v>
      </c>
      <c r="M555" t="s">
        <v>144</v>
      </c>
      <c r="N555" t="s">
        <v>2123</v>
      </c>
      <c r="O555" t="s">
        <v>67</v>
      </c>
      <c r="P555" t="s">
        <v>156</v>
      </c>
      <c r="Q555" t="s">
        <v>2124</v>
      </c>
      <c r="R555">
        <v>103.12</v>
      </c>
      <c r="S555" t="str">
        <f>TEXT(sales_data[[#This Row],[Order Date]],"mm")</f>
        <v>06</v>
      </c>
      <c r="T555">
        <f>YEAR(sales_data[[#This Row],[Order Date]])</f>
        <v>2018</v>
      </c>
      <c r="U555" s="8" t="s">
        <v>5291</v>
      </c>
      <c r="V555" t="s">
        <v>2123</v>
      </c>
    </row>
    <row r="556" spans="1:22" x14ac:dyDescent="0.35">
      <c r="A556">
        <v>655</v>
      </c>
      <c r="B556" t="s">
        <v>2125</v>
      </c>
      <c r="C556" s="1">
        <v>42969</v>
      </c>
      <c r="D556" s="1">
        <v>42975</v>
      </c>
      <c r="E556" t="s">
        <v>46</v>
      </c>
      <c r="F556" t="s">
        <v>2126</v>
      </c>
      <c r="G556" t="s">
        <v>2127</v>
      </c>
      <c r="H556" t="s">
        <v>22</v>
      </c>
      <c r="I556" t="s">
        <v>23</v>
      </c>
      <c r="J556" t="s">
        <v>492</v>
      </c>
      <c r="K556" t="s">
        <v>493</v>
      </c>
      <c r="L556">
        <v>43229</v>
      </c>
      <c r="M556" t="s">
        <v>144</v>
      </c>
      <c r="N556" t="s">
        <v>2128</v>
      </c>
      <c r="O556" t="s">
        <v>42</v>
      </c>
      <c r="P556" t="s">
        <v>74</v>
      </c>
      <c r="Q556" t="s">
        <v>2129</v>
      </c>
      <c r="R556">
        <v>113.55200000000001</v>
      </c>
      <c r="S556" t="str">
        <f>TEXT(sales_data[[#This Row],[Order Date]],"mm")</f>
        <v>08</v>
      </c>
      <c r="T556">
        <f>YEAR(sales_data[[#This Row],[Order Date]])</f>
        <v>2017</v>
      </c>
      <c r="U556" s="8" t="s">
        <v>5299</v>
      </c>
      <c r="V556" t="s">
        <v>2128</v>
      </c>
    </row>
    <row r="557" spans="1:22" x14ac:dyDescent="0.35">
      <c r="A557">
        <v>656</v>
      </c>
      <c r="B557" t="s">
        <v>2125</v>
      </c>
      <c r="C557" s="1">
        <v>42969</v>
      </c>
      <c r="D557" s="1">
        <v>42975</v>
      </c>
      <c r="E557" t="s">
        <v>46</v>
      </c>
      <c r="F557" t="s">
        <v>2126</v>
      </c>
      <c r="G557" t="s">
        <v>2127</v>
      </c>
      <c r="H557" t="s">
        <v>22</v>
      </c>
      <c r="I557" t="s">
        <v>23</v>
      </c>
      <c r="J557" t="s">
        <v>492</v>
      </c>
      <c r="K557" t="s">
        <v>493</v>
      </c>
      <c r="L557">
        <v>43229</v>
      </c>
      <c r="M557" t="s">
        <v>144</v>
      </c>
      <c r="N557" t="s">
        <v>2130</v>
      </c>
      <c r="O557" t="s">
        <v>42</v>
      </c>
      <c r="P557" t="s">
        <v>71</v>
      </c>
      <c r="Q557" t="s">
        <v>2131</v>
      </c>
      <c r="R557">
        <v>3.3180000000000001</v>
      </c>
      <c r="S557" t="str">
        <f>TEXT(sales_data[[#This Row],[Order Date]],"mm")</f>
        <v>08</v>
      </c>
      <c r="T557">
        <f>YEAR(sales_data[[#This Row],[Order Date]])</f>
        <v>2017</v>
      </c>
      <c r="U557" s="8" t="s">
        <v>5301</v>
      </c>
      <c r="V557" t="s">
        <v>2130</v>
      </c>
    </row>
    <row r="558" spans="1:22" x14ac:dyDescent="0.35">
      <c r="A558">
        <v>657</v>
      </c>
      <c r="B558" t="s">
        <v>2125</v>
      </c>
      <c r="C558" s="1">
        <v>42969</v>
      </c>
      <c r="D558" s="1">
        <v>42975</v>
      </c>
      <c r="E558" t="s">
        <v>46</v>
      </c>
      <c r="F558" t="s">
        <v>2126</v>
      </c>
      <c r="G558" t="s">
        <v>2127</v>
      </c>
      <c r="H558" t="s">
        <v>22</v>
      </c>
      <c r="I558" t="s">
        <v>23</v>
      </c>
      <c r="J558" t="s">
        <v>492</v>
      </c>
      <c r="K558" t="s">
        <v>493</v>
      </c>
      <c r="L558">
        <v>43229</v>
      </c>
      <c r="M558" t="s">
        <v>144</v>
      </c>
      <c r="N558" t="s">
        <v>2132</v>
      </c>
      <c r="O558" t="s">
        <v>42</v>
      </c>
      <c r="P558" t="s">
        <v>168</v>
      </c>
      <c r="Q558" t="s">
        <v>2133</v>
      </c>
      <c r="R558">
        <v>134.28800000000001</v>
      </c>
      <c r="S558" t="str">
        <f>TEXT(sales_data[[#This Row],[Order Date]],"mm")</f>
        <v>08</v>
      </c>
      <c r="T558">
        <f>YEAR(sales_data[[#This Row],[Order Date]])</f>
        <v>2017</v>
      </c>
      <c r="U558" s="8" t="s">
        <v>5303</v>
      </c>
      <c r="V558" t="s">
        <v>2132</v>
      </c>
    </row>
    <row r="559" spans="1:22" x14ac:dyDescent="0.35">
      <c r="A559">
        <v>661</v>
      </c>
      <c r="B559" t="s">
        <v>2136</v>
      </c>
      <c r="C559" s="1">
        <v>42606</v>
      </c>
      <c r="D559" s="1">
        <v>42610</v>
      </c>
      <c r="E559" t="s">
        <v>46</v>
      </c>
      <c r="F559" t="s">
        <v>769</v>
      </c>
      <c r="G559" t="s">
        <v>770</v>
      </c>
      <c r="H559" t="s">
        <v>22</v>
      </c>
      <c r="I559" t="s">
        <v>23</v>
      </c>
      <c r="J559" t="s">
        <v>1120</v>
      </c>
      <c r="K559" t="s">
        <v>100</v>
      </c>
      <c r="L559">
        <v>76017</v>
      </c>
      <c r="M559" t="s">
        <v>101</v>
      </c>
      <c r="N559" t="s">
        <v>2137</v>
      </c>
      <c r="O559" t="s">
        <v>42</v>
      </c>
      <c r="P559" t="s">
        <v>55</v>
      </c>
      <c r="Q559" t="s">
        <v>2138</v>
      </c>
      <c r="R559">
        <v>724.08</v>
      </c>
      <c r="S559" t="str">
        <f>TEXT(sales_data[[#This Row],[Order Date]],"mm")</f>
        <v>08</v>
      </c>
      <c r="T559">
        <f>YEAR(sales_data[[#This Row],[Order Date]])</f>
        <v>2016</v>
      </c>
      <c r="U559" s="8" t="s">
        <v>5344</v>
      </c>
      <c r="V559" t="s">
        <v>2137</v>
      </c>
    </row>
    <row r="560" spans="1:22" x14ac:dyDescent="0.35">
      <c r="A560">
        <v>666</v>
      </c>
      <c r="B560" t="s">
        <v>2141</v>
      </c>
      <c r="C560" s="1">
        <v>43259</v>
      </c>
      <c r="D560" s="1">
        <v>43261</v>
      </c>
      <c r="E560" t="s">
        <v>19</v>
      </c>
      <c r="F560" t="s">
        <v>2142</v>
      </c>
      <c r="G560" t="s">
        <v>2143</v>
      </c>
      <c r="H560" t="s">
        <v>37</v>
      </c>
      <c r="I560" t="s">
        <v>23</v>
      </c>
      <c r="J560" t="s">
        <v>807</v>
      </c>
      <c r="K560" t="s">
        <v>100</v>
      </c>
      <c r="L560">
        <v>75081</v>
      </c>
      <c r="M560" t="s">
        <v>101</v>
      </c>
      <c r="N560" t="s">
        <v>2144</v>
      </c>
      <c r="O560" t="s">
        <v>42</v>
      </c>
      <c r="P560" t="s">
        <v>573</v>
      </c>
      <c r="Q560" t="s">
        <v>2145</v>
      </c>
      <c r="R560">
        <v>23.76</v>
      </c>
      <c r="S560" t="str">
        <f>TEXT(sales_data[[#This Row],[Order Date]],"mm")</f>
        <v>06</v>
      </c>
      <c r="T560">
        <f>YEAR(sales_data[[#This Row],[Order Date]])</f>
        <v>2018</v>
      </c>
      <c r="U560" s="7" t="s">
        <v>5369</v>
      </c>
      <c r="V560" t="s">
        <v>2144</v>
      </c>
    </row>
    <row r="561" spans="1:22" x14ac:dyDescent="0.35">
      <c r="A561">
        <v>668</v>
      </c>
      <c r="B561" t="s">
        <v>2141</v>
      </c>
      <c r="C561" s="1">
        <v>43259</v>
      </c>
      <c r="D561" s="1">
        <v>43261</v>
      </c>
      <c r="E561" t="s">
        <v>19</v>
      </c>
      <c r="F561" t="s">
        <v>2142</v>
      </c>
      <c r="G561" t="s">
        <v>2143</v>
      </c>
      <c r="H561" t="s">
        <v>37</v>
      </c>
      <c r="I561" t="s">
        <v>23</v>
      </c>
      <c r="J561" t="s">
        <v>807</v>
      </c>
      <c r="K561" t="s">
        <v>100</v>
      </c>
      <c r="L561">
        <v>75081</v>
      </c>
      <c r="M561" t="s">
        <v>101</v>
      </c>
      <c r="N561" t="s">
        <v>2146</v>
      </c>
      <c r="O561" t="s">
        <v>67</v>
      </c>
      <c r="P561" t="s">
        <v>68</v>
      </c>
      <c r="Q561" t="s">
        <v>2147</v>
      </c>
      <c r="R561">
        <v>381.57600000000002</v>
      </c>
      <c r="S561" t="str">
        <f>TEXT(sales_data[[#This Row],[Order Date]],"mm")</f>
        <v>06</v>
      </c>
      <c r="T561">
        <f>YEAR(sales_data[[#This Row],[Order Date]])</f>
        <v>2018</v>
      </c>
      <c r="U561" s="8" t="s">
        <v>5384</v>
      </c>
      <c r="V561" t="s">
        <v>2146</v>
      </c>
    </row>
    <row r="562" spans="1:22" x14ac:dyDescent="0.35">
      <c r="A562">
        <v>669</v>
      </c>
      <c r="B562" t="s">
        <v>2148</v>
      </c>
      <c r="C562" s="1">
        <v>42362</v>
      </c>
      <c r="D562" s="1">
        <v>42364</v>
      </c>
      <c r="E562" t="s">
        <v>183</v>
      </c>
      <c r="F562" t="s">
        <v>2149</v>
      </c>
      <c r="G562" t="s">
        <v>2150</v>
      </c>
      <c r="H562" t="s">
        <v>22</v>
      </c>
      <c r="I562" t="s">
        <v>23</v>
      </c>
      <c r="J562" t="s">
        <v>2151</v>
      </c>
      <c r="K562" t="s">
        <v>493</v>
      </c>
      <c r="L562">
        <v>44105</v>
      </c>
      <c r="M562" t="s">
        <v>144</v>
      </c>
      <c r="N562" t="s">
        <v>2152</v>
      </c>
      <c r="O562" t="s">
        <v>28</v>
      </c>
      <c r="P562" t="s">
        <v>61</v>
      </c>
      <c r="Q562" t="s">
        <v>2153</v>
      </c>
      <c r="R562">
        <v>30.36</v>
      </c>
      <c r="S562" t="str">
        <f>TEXT(sales_data[[#This Row],[Order Date]],"mm")</f>
        <v>12</v>
      </c>
      <c r="T562">
        <f>YEAR(sales_data[[#This Row],[Order Date]])</f>
        <v>2015</v>
      </c>
      <c r="U562" s="8" t="s">
        <v>5388</v>
      </c>
      <c r="V562" t="s">
        <v>2152</v>
      </c>
    </row>
    <row r="563" spans="1:22" x14ac:dyDescent="0.35">
      <c r="A563">
        <v>670</v>
      </c>
      <c r="B563" t="s">
        <v>2154</v>
      </c>
      <c r="C563" s="1">
        <v>43260</v>
      </c>
      <c r="D563" s="1">
        <v>43264</v>
      </c>
      <c r="E563" t="s">
        <v>46</v>
      </c>
      <c r="F563" t="s">
        <v>2044</v>
      </c>
      <c r="G563" t="s">
        <v>2045</v>
      </c>
      <c r="H563" t="s">
        <v>98</v>
      </c>
      <c r="I563" t="s">
        <v>23</v>
      </c>
      <c r="J563" t="s">
        <v>298</v>
      </c>
      <c r="K563" t="s">
        <v>206</v>
      </c>
      <c r="L563">
        <v>60653</v>
      </c>
      <c r="M563" t="s">
        <v>101</v>
      </c>
      <c r="N563" t="s">
        <v>2155</v>
      </c>
      <c r="O563" t="s">
        <v>28</v>
      </c>
      <c r="P563" t="s">
        <v>61</v>
      </c>
      <c r="Q563" t="s">
        <v>2156</v>
      </c>
      <c r="R563">
        <v>23.975999999999999</v>
      </c>
      <c r="S563" t="str">
        <f>TEXT(sales_data[[#This Row],[Order Date]],"mm")</f>
        <v>06</v>
      </c>
      <c r="T563">
        <f>YEAR(sales_data[[#This Row],[Order Date]])</f>
        <v>2018</v>
      </c>
      <c r="U563" s="8" t="s">
        <v>5413</v>
      </c>
      <c r="V563" t="s">
        <v>2155</v>
      </c>
    </row>
    <row r="564" spans="1:22" x14ac:dyDescent="0.35">
      <c r="A564">
        <v>671</v>
      </c>
      <c r="B564" t="s">
        <v>2154</v>
      </c>
      <c r="C564" s="1">
        <v>43260</v>
      </c>
      <c r="D564" s="1">
        <v>43264</v>
      </c>
      <c r="E564" t="s">
        <v>46</v>
      </c>
      <c r="F564" t="s">
        <v>2044</v>
      </c>
      <c r="G564" t="s">
        <v>2045</v>
      </c>
      <c r="H564" t="s">
        <v>98</v>
      </c>
      <c r="I564" t="s">
        <v>23</v>
      </c>
      <c r="J564" t="s">
        <v>298</v>
      </c>
      <c r="K564" t="s">
        <v>206</v>
      </c>
      <c r="L564">
        <v>60653</v>
      </c>
      <c r="M564" t="s">
        <v>101</v>
      </c>
      <c r="N564" t="s">
        <v>2157</v>
      </c>
      <c r="O564" t="s">
        <v>28</v>
      </c>
      <c r="P564" t="s">
        <v>52</v>
      </c>
      <c r="Q564" t="s">
        <v>2158</v>
      </c>
      <c r="R564">
        <v>108.925</v>
      </c>
      <c r="S564" t="str">
        <f>TEXT(sales_data[[#This Row],[Order Date]],"mm")</f>
        <v>06</v>
      </c>
      <c r="T564">
        <f>YEAR(sales_data[[#This Row],[Order Date]])</f>
        <v>2018</v>
      </c>
      <c r="U564" s="8" t="s">
        <v>5428</v>
      </c>
      <c r="V564" t="s">
        <v>2157</v>
      </c>
    </row>
    <row r="565" spans="1:22" x14ac:dyDescent="0.35">
      <c r="A565">
        <v>673</v>
      </c>
      <c r="B565" t="s">
        <v>2159</v>
      </c>
      <c r="C565" s="1">
        <v>43266</v>
      </c>
      <c r="D565" s="1">
        <v>43273</v>
      </c>
      <c r="E565" t="s">
        <v>46</v>
      </c>
      <c r="F565" t="s">
        <v>1232</v>
      </c>
      <c r="G565" t="s">
        <v>1233</v>
      </c>
      <c r="H565" t="s">
        <v>22</v>
      </c>
      <c r="I565" t="s">
        <v>23</v>
      </c>
      <c r="J565" t="s">
        <v>1308</v>
      </c>
      <c r="K565" t="s">
        <v>206</v>
      </c>
      <c r="L565">
        <v>62301</v>
      </c>
      <c r="M565" t="s">
        <v>101</v>
      </c>
      <c r="N565" t="s">
        <v>2160</v>
      </c>
      <c r="O565" t="s">
        <v>42</v>
      </c>
      <c r="P565" t="s">
        <v>64</v>
      </c>
      <c r="Q565" t="s">
        <v>2161</v>
      </c>
      <c r="R565">
        <v>19.559999999999999</v>
      </c>
      <c r="S565" t="str">
        <f>TEXT(sales_data[[#This Row],[Order Date]],"mm")</f>
        <v>06</v>
      </c>
      <c r="T565">
        <f>YEAR(sales_data[[#This Row],[Order Date]])</f>
        <v>2018</v>
      </c>
      <c r="U565" s="8" t="s">
        <v>5439</v>
      </c>
      <c r="V565" t="s">
        <v>2160</v>
      </c>
    </row>
    <row r="566" spans="1:22" x14ac:dyDescent="0.35">
      <c r="A566">
        <v>674</v>
      </c>
      <c r="B566" t="s">
        <v>2162</v>
      </c>
      <c r="C566" s="1">
        <v>43439</v>
      </c>
      <c r="D566" s="1">
        <v>43442</v>
      </c>
      <c r="E566" t="s">
        <v>183</v>
      </c>
      <c r="F566" t="s">
        <v>2163</v>
      </c>
      <c r="G566" t="s">
        <v>2164</v>
      </c>
      <c r="H566" t="s">
        <v>22</v>
      </c>
      <c r="I566" t="s">
        <v>23</v>
      </c>
      <c r="J566" t="s">
        <v>492</v>
      </c>
      <c r="K566" t="s">
        <v>249</v>
      </c>
      <c r="L566">
        <v>47201</v>
      </c>
      <c r="M566" t="s">
        <v>101</v>
      </c>
      <c r="N566" t="s">
        <v>2165</v>
      </c>
      <c r="O566" t="s">
        <v>42</v>
      </c>
      <c r="P566" t="s">
        <v>74</v>
      </c>
      <c r="Q566" t="s">
        <v>2166</v>
      </c>
      <c r="R566">
        <v>61.44</v>
      </c>
      <c r="S566" t="str">
        <f>TEXT(sales_data[[#This Row],[Order Date]],"mm")</f>
        <v>12</v>
      </c>
      <c r="T566">
        <f>YEAR(sales_data[[#This Row],[Order Date]])</f>
        <v>2018</v>
      </c>
      <c r="U566" s="7" t="s">
        <v>5451</v>
      </c>
      <c r="V566" t="s">
        <v>2165</v>
      </c>
    </row>
    <row r="567" spans="1:22" x14ac:dyDescent="0.35">
      <c r="A567">
        <v>675</v>
      </c>
      <c r="B567" t="s">
        <v>2162</v>
      </c>
      <c r="C567" s="1">
        <v>43439</v>
      </c>
      <c r="D567" s="1">
        <v>43442</v>
      </c>
      <c r="E567" t="s">
        <v>183</v>
      </c>
      <c r="F567" t="s">
        <v>2163</v>
      </c>
      <c r="G567" t="s">
        <v>2164</v>
      </c>
      <c r="H567" t="s">
        <v>22</v>
      </c>
      <c r="I567" t="s">
        <v>23</v>
      </c>
      <c r="J567" t="s">
        <v>492</v>
      </c>
      <c r="K567" t="s">
        <v>249</v>
      </c>
      <c r="L567">
        <v>47201</v>
      </c>
      <c r="M567" t="s">
        <v>101</v>
      </c>
      <c r="N567" t="s">
        <v>2167</v>
      </c>
      <c r="O567" t="s">
        <v>42</v>
      </c>
      <c r="P567" t="s">
        <v>86</v>
      </c>
      <c r="Q567" t="s">
        <v>2168</v>
      </c>
      <c r="R567">
        <v>38.9</v>
      </c>
      <c r="S567" t="str">
        <f>TEXT(sales_data[[#This Row],[Order Date]],"mm")</f>
        <v>12</v>
      </c>
      <c r="T567">
        <f>YEAR(sales_data[[#This Row],[Order Date]])</f>
        <v>2018</v>
      </c>
      <c r="U567" s="8" t="s">
        <v>5456</v>
      </c>
      <c r="V567" t="s">
        <v>2167</v>
      </c>
    </row>
    <row r="568" spans="1:22" x14ac:dyDescent="0.35">
      <c r="A568">
        <v>677</v>
      </c>
      <c r="B568" t="s">
        <v>2169</v>
      </c>
      <c r="C568" s="1">
        <v>43177</v>
      </c>
      <c r="D568" s="1">
        <v>43182</v>
      </c>
      <c r="E568" t="s">
        <v>46</v>
      </c>
      <c r="F568" t="s">
        <v>2170</v>
      </c>
      <c r="G568" t="s">
        <v>2171</v>
      </c>
      <c r="H568" t="s">
        <v>22</v>
      </c>
      <c r="I568" t="s">
        <v>23</v>
      </c>
      <c r="J568" t="s">
        <v>2172</v>
      </c>
      <c r="K568" t="s">
        <v>100</v>
      </c>
      <c r="L568">
        <v>75701</v>
      </c>
      <c r="M568" t="s">
        <v>101</v>
      </c>
      <c r="N568" t="s">
        <v>2173</v>
      </c>
      <c r="O568" t="s">
        <v>42</v>
      </c>
      <c r="P568" t="s">
        <v>74</v>
      </c>
      <c r="Q568" t="s">
        <v>2174</v>
      </c>
      <c r="R568">
        <v>2.6880000000000002</v>
      </c>
      <c r="S568" t="str">
        <f>TEXT(sales_data[[#This Row],[Order Date]],"mm")</f>
        <v>03</v>
      </c>
      <c r="T568">
        <f>YEAR(sales_data[[#This Row],[Order Date]])</f>
        <v>2018</v>
      </c>
      <c r="U568" s="8" t="s">
        <v>5474</v>
      </c>
      <c r="V568" t="s">
        <v>2173</v>
      </c>
    </row>
    <row r="569" spans="1:22" x14ac:dyDescent="0.35">
      <c r="A569">
        <v>678</v>
      </c>
      <c r="B569" t="s">
        <v>2169</v>
      </c>
      <c r="C569" s="1">
        <v>43177</v>
      </c>
      <c r="D569" s="1">
        <v>43182</v>
      </c>
      <c r="E569" t="s">
        <v>46</v>
      </c>
      <c r="F569" t="s">
        <v>2170</v>
      </c>
      <c r="G569" t="s">
        <v>2171</v>
      </c>
      <c r="H569" t="s">
        <v>22</v>
      </c>
      <c r="I569" t="s">
        <v>23</v>
      </c>
      <c r="J569" t="s">
        <v>2172</v>
      </c>
      <c r="K569" t="s">
        <v>100</v>
      </c>
      <c r="L569">
        <v>75701</v>
      </c>
      <c r="M569" t="s">
        <v>101</v>
      </c>
      <c r="N569" t="s">
        <v>2175</v>
      </c>
      <c r="O569" t="s">
        <v>67</v>
      </c>
      <c r="P569" t="s">
        <v>156</v>
      </c>
      <c r="Q569" t="s">
        <v>2176</v>
      </c>
      <c r="R569">
        <v>27.815999999999999</v>
      </c>
      <c r="S569" t="str">
        <f>TEXT(sales_data[[#This Row],[Order Date]],"mm")</f>
        <v>03</v>
      </c>
      <c r="T569">
        <f>YEAR(sales_data[[#This Row],[Order Date]])</f>
        <v>2018</v>
      </c>
      <c r="U569" s="7" t="s">
        <v>5478</v>
      </c>
      <c r="V569" t="s">
        <v>2175</v>
      </c>
    </row>
    <row r="570" spans="1:22" x14ac:dyDescent="0.35">
      <c r="A570">
        <v>679</v>
      </c>
      <c r="B570" t="s">
        <v>2169</v>
      </c>
      <c r="C570" s="1">
        <v>43177</v>
      </c>
      <c r="D570" s="1">
        <v>43182</v>
      </c>
      <c r="E570" t="s">
        <v>46</v>
      </c>
      <c r="F570" t="s">
        <v>2170</v>
      </c>
      <c r="G570" t="s">
        <v>2171</v>
      </c>
      <c r="H570" t="s">
        <v>22</v>
      </c>
      <c r="I570" t="s">
        <v>23</v>
      </c>
      <c r="J570" t="s">
        <v>2172</v>
      </c>
      <c r="K570" t="s">
        <v>100</v>
      </c>
      <c r="L570">
        <v>75701</v>
      </c>
      <c r="M570" t="s">
        <v>101</v>
      </c>
      <c r="N570" t="s">
        <v>2177</v>
      </c>
      <c r="O570" t="s">
        <v>28</v>
      </c>
      <c r="P570" t="s">
        <v>61</v>
      </c>
      <c r="Q570" t="s">
        <v>2178</v>
      </c>
      <c r="R570">
        <v>82.524000000000001</v>
      </c>
      <c r="S570" t="str">
        <f>TEXT(sales_data[[#This Row],[Order Date]],"mm")</f>
        <v>03</v>
      </c>
      <c r="T570">
        <f>YEAR(sales_data[[#This Row],[Order Date]])</f>
        <v>2018</v>
      </c>
      <c r="U570" s="8" t="s">
        <v>5483</v>
      </c>
      <c r="V570" t="s">
        <v>2177</v>
      </c>
    </row>
    <row r="571" spans="1:22" x14ac:dyDescent="0.35">
      <c r="A571">
        <v>680</v>
      </c>
      <c r="B571" t="s">
        <v>2169</v>
      </c>
      <c r="C571" s="1">
        <v>43177</v>
      </c>
      <c r="D571" s="1">
        <v>43182</v>
      </c>
      <c r="E571" t="s">
        <v>46</v>
      </c>
      <c r="F571" t="s">
        <v>2170</v>
      </c>
      <c r="G571" t="s">
        <v>2171</v>
      </c>
      <c r="H571" t="s">
        <v>22</v>
      </c>
      <c r="I571" t="s">
        <v>23</v>
      </c>
      <c r="J571" t="s">
        <v>2172</v>
      </c>
      <c r="K571" t="s">
        <v>100</v>
      </c>
      <c r="L571">
        <v>75701</v>
      </c>
      <c r="M571" t="s">
        <v>101</v>
      </c>
      <c r="N571" t="s">
        <v>2179</v>
      </c>
      <c r="O571" t="s">
        <v>42</v>
      </c>
      <c r="P571" t="s">
        <v>71</v>
      </c>
      <c r="Q571" t="s">
        <v>2180</v>
      </c>
      <c r="R571">
        <v>182.994</v>
      </c>
      <c r="S571" t="str">
        <f>TEXT(sales_data[[#This Row],[Order Date]],"mm")</f>
        <v>03</v>
      </c>
      <c r="T571">
        <f>YEAR(sales_data[[#This Row],[Order Date]])</f>
        <v>2018</v>
      </c>
      <c r="U571" s="8" t="s">
        <v>5498</v>
      </c>
      <c r="V571" t="s">
        <v>2179</v>
      </c>
    </row>
    <row r="572" spans="1:22" x14ac:dyDescent="0.35">
      <c r="A572">
        <v>681</v>
      </c>
      <c r="B572" t="s">
        <v>2181</v>
      </c>
      <c r="C572" s="1">
        <v>43058</v>
      </c>
      <c r="D572" s="1">
        <v>43063</v>
      </c>
      <c r="E572" t="s">
        <v>46</v>
      </c>
      <c r="F572" t="s">
        <v>2182</v>
      </c>
      <c r="G572" t="s">
        <v>2183</v>
      </c>
      <c r="H572" t="s">
        <v>22</v>
      </c>
      <c r="I572" t="s">
        <v>23</v>
      </c>
      <c r="J572" t="s">
        <v>261</v>
      </c>
      <c r="K572" t="s">
        <v>262</v>
      </c>
      <c r="L572">
        <v>10024</v>
      </c>
      <c r="M572" t="s">
        <v>144</v>
      </c>
      <c r="N572" t="s">
        <v>2184</v>
      </c>
      <c r="O572" t="s">
        <v>42</v>
      </c>
      <c r="P572" t="s">
        <v>71</v>
      </c>
      <c r="Q572" t="s">
        <v>2185</v>
      </c>
      <c r="R572">
        <v>14.352</v>
      </c>
      <c r="S572" t="str">
        <f>TEXT(sales_data[[#This Row],[Order Date]],"mm")</f>
        <v>11</v>
      </c>
      <c r="T572">
        <f>YEAR(sales_data[[#This Row],[Order Date]])</f>
        <v>2017</v>
      </c>
      <c r="U572" s="8" t="s">
        <v>5504</v>
      </c>
      <c r="V572" t="s">
        <v>2184</v>
      </c>
    </row>
    <row r="573" spans="1:22" x14ac:dyDescent="0.35">
      <c r="A573">
        <v>682</v>
      </c>
      <c r="B573" t="s">
        <v>2181</v>
      </c>
      <c r="C573" s="1">
        <v>43058</v>
      </c>
      <c r="D573" s="1">
        <v>43063</v>
      </c>
      <c r="E573" t="s">
        <v>46</v>
      </c>
      <c r="F573" t="s">
        <v>2182</v>
      </c>
      <c r="G573" t="s">
        <v>2183</v>
      </c>
      <c r="H573" t="s">
        <v>22</v>
      </c>
      <c r="I573" t="s">
        <v>23</v>
      </c>
      <c r="J573" t="s">
        <v>261</v>
      </c>
      <c r="K573" t="s">
        <v>262</v>
      </c>
      <c r="L573">
        <v>10024</v>
      </c>
      <c r="M573" t="s">
        <v>144</v>
      </c>
      <c r="N573" t="s">
        <v>2186</v>
      </c>
      <c r="O573" t="s">
        <v>42</v>
      </c>
      <c r="P573" t="s">
        <v>55</v>
      </c>
      <c r="Q573" t="s">
        <v>2187</v>
      </c>
      <c r="R573">
        <v>64.959999999999994</v>
      </c>
      <c r="S573" t="str">
        <f>TEXT(sales_data[[#This Row],[Order Date]],"mm")</f>
        <v>11</v>
      </c>
      <c r="T573">
        <f>YEAR(sales_data[[#This Row],[Order Date]])</f>
        <v>2017</v>
      </c>
      <c r="U573" s="7" t="s">
        <v>5509</v>
      </c>
      <c r="V573" t="s">
        <v>2186</v>
      </c>
    </row>
    <row r="574" spans="1:22" x14ac:dyDescent="0.35">
      <c r="A574">
        <v>684</v>
      </c>
      <c r="B574" t="s">
        <v>2188</v>
      </c>
      <c r="C574" s="1">
        <v>43408</v>
      </c>
      <c r="D574" s="1">
        <v>43408</v>
      </c>
      <c r="E574" t="s">
        <v>1277</v>
      </c>
      <c r="F574" t="s">
        <v>2189</v>
      </c>
      <c r="G574" t="s">
        <v>2190</v>
      </c>
      <c r="H574" t="s">
        <v>37</v>
      </c>
      <c r="I574" t="s">
        <v>23</v>
      </c>
      <c r="J574" t="s">
        <v>2191</v>
      </c>
      <c r="K574" t="s">
        <v>84</v>
      </c>
      <c r="L574">
        <v>27217</v>
      </c>
      <c r="M574" t="s">
        <v>26</v>
      </c>
      <c r="N574" t="s">
        <v>2192</v>
      </c>
      <c r="O574" t="s">
        <v>67</v>
      </c>
      <c r="P574" t="s">
        <v>675</v>
      </c>
      <c r="Q574" t="s">
        <v>2193</v>
      </c>
      <c r="R574">
        <v>7999.98</v>
      </c>
      <c r="S574" t="str">
        <f>TEXT(sales_data[[#This Row],[Order Date]],"mm")</f>
        <v>11</v>
      </c>
      <c r="T574">
        <f>YEAR(sales_data[[#This Row],[Order Date]])</f>
        <v>2018</v>
      </c>
      <c r="U574" s="7" t="s">
        <v>5525</v>
      </c>
      <c r="V574" t="s">
        <v>2192</v>
      </c>
    </row>
    <row r="575" spans="1:22" x14ac:dyDescent="0.35">
      <c r="A575">
        <v>687</v>
      </c>
      <c r="B575" t="s">
        <v>2194</v>
      </c>
      <c r="C575" s="1">
        <v>42190</v>
      </c>
      <c r="D575" s="1">
        <v>42193</v>
      </c>
      <c r="E575" t="s">
        <v>183</v>
      </c>
      <c r="F575" t="s">
        <v>2195</v>
      </c>
      <c r="G575" t="s">
        <v>2196</v>
      </c>
      <c r="H575" t="s">
        <v>22</v>
      </c>
      <c r="I575" t="s">
        <v>23</v>
      </c>
      <c r="J575" t="s">
        <v>323</v>
      </c>
      <c r="K575" t="s">
        <v>1475</v>
      </c>
      <c r="L575">
        <v>39212</v>
      </c>
      <c r="M575" t="s">
        <v>26</v>
      </c>
      <c r="N575" t="s">
        <v>2197</v>
      </c>
      <c r="O575" t="s">
        <v>42</v>
      </c>
      <c r="P575" t="s">
        <v>43</v>
      </c>
      <c r="Q575" t="s">
        <v>2198</v>
      </c>
      <c r="R575">
        <v>14.62</v>
      </c>
      <c r="S575" t="str">
        <f>TEXT(sales_data[[#This Row],[Order Date]],"mm")</f>
        <v>07</v>
      </c>
      <c r="T575">
        <f>YEAR(sales_data[[#This Row],[Order Date]])</f>
        <v>2015</v>
      </c>
      <c r="U575" s="8" t="s">
        <v>5554</v>
      </c>
      <c r="V575" t="s">
        <v>2197</v>
      </c>
    </row>
    <row r="576" spans="1:22" x14ac:dyDescent="0.35">
      <c r="A576">
        <v>689</v>
      </c>
      <c r="B576" t="s">
        <v>2199</v>
      </c>
      <c r="C576" s="1">
        <v>43459</v>
      </c>
      <c r="D576" s="1">
        <v>43463</v>
      </c>
      <c r="E576" t="s">
        <v>46</v>
      </c>
      <c r="F576" t="s">
        <v>2200</v>
      </c>
      <c r="G576" t="s">
        <v>2201</v>
      </c>
      <c r="H576" t="s">
        <v>22</v>
      </c>
      <c r="I576" t="s">
        <v>23</v>
      </c>
      <c r="J576" t="s">
        <v>261</v>
      </c>
      <c r="K576" t="s">
        <v>262</v>
      </c>
      <c r="L576">
        <v>10035</v>
      </c>
      <c r="M576" t="s">
        <v>144</v>
      </c>
      <c r="N576" t="s">
        <v>2202</v>
      </c>
      <c r="O576" t="s">
        <v>28</v>
      </c>
      <c r="P576" t="s">
        <v>29</v>
      </c>
      <c r="Q576" t="s">
        <v>2203</v>
      </c>
      <c r="R576">
        <v>191.98400000000001</v>
      </c>
      <c r="S576" t="str">
        <f>TEXT(sales_data[[#This Row],[Order Date]],"mm")</f>
        <v>12</v>
      </c>
      <c r="T576">
        <f>YEAR(sales_data[[#This Row],[Order Date]])</f>
        <v>2018</v>
      </c>
      <c r="U576" s="8" t="s">
        <v>5568</v>
      </c>
      <c r="V576" t="s">
        <v>2202</v>
      </c>
    </row>
    <row r="577" spans="1:22" x14ac:dyDescent="0.35">
      <c r="A577">
        <v>690</v>
      </c>
      <c r="B577" t="s">
        <v>2204</v>
      </c>
      <c r="C577" s="1">
        <v>42176</v>
      </c>
      <c r="D577" s="1">
        <v>42178</v>
      </c>
      <c r="E577" t="s">
        <v>19</v>
      </c>
      <c r="F577" t="s">
        <v>2205</v>
      </c>
      <c r="G577" t="s">
        <v>2206</v>
      </c>
      <c r="H577" t="s">
        <v>22</v>
      </c>
      <c r="I577" t="s">
        <v>23</v>
      </c>
      <c r="J577" t="s">
        <v>2207</v>
      </c>
      <c r="K577" t="s">
        <v>314</v>
      </c>
      <c r="L577">
        <v>22980</v>
      </c>
      <c r="M577" t="s">
        <v>26</v>
      </c>
      <c r="N577" t="s">
        <v>2208</v>
      </c>
      <c r="O577" t="s">
        <v>28</v>
      </c>
      <c r="P577" t="s">
        <v>61</v>
      </c>
      <c r="Q577" t="s">
        <v>2209</v>
      </c>
      <c r="R577">
        <v>104.01</v>
      </c>
      <c r="S577" t="str">
        <f>TEXT(sales_data[[#This Row],[Order Date]],"mm")</f>
        <v>06</v>
      </c>
      <c r="T577">
        <f>YEAR(sales_data[[#This Row],[Order Date]])</f>
        <v>2015</v>
      </c>
      <c r="U577" s="7" t="s">
        <v>5579</v>
      </c>
      <c r="V577" t="s">
        <v>2208</v>
      </c>
    </row>
    <row r="578" spans="1:22" x14ac:dyDescent="0.35">
      <c r="A578">
        <v>692</v>
      </c>
      <c r="B578" t="s">
        <v>2204</v>
      </c>
      <c r="C578" s="1">
        <v>42176</v>
      </c>
      <c r="D578" s="1">
        <v>42178</v>
      </c>
      <c r="E578" t="s">
        <v>19</v>
      </c>
      <c r="F578" t="s">
        <v>2205</v>
      </c>
      <c r="G578" t="s">
        <v>2206</v>
      </c>
      <c r="H578" t="s">
        <v>22</v>
      </c>
      <c r="I578" t="s">
        <v>23</v>
      </c>
      <c r="J578" t="s">
        <v>2207</v>
      </c>
      <c r="K578" t="s">
        <v>314</v>
      </c>
      <c r="L578">
        <v>22980</v>
      </c>
      <c r="M578" t="s">
        <v>26</v>
      </c>
      <c r="N578" t="s">
        <v>2210</v>
      </c>
      <c r="O578" t="s">
        <v>42</v>
      </c>
      <c r="P578" t="s">
        <v>55</v>
      </c>
      <c r="Q578" t="s">
        <v>2211</v>
      </c>
      <c r="R578">
        <v>36.840000000000003</v>
      </c>
      <c r="S578" t="str">
        <f>TEXT(sales_data[[#This Row],[Order Date]],"mm")</f>
        <v>06</v>
      </c>
      <c r="T578">
        <f>YEAR(sales_data[[#This Row],[Order Date]])</f>
        <v>2015</v>
      </c>
      <c r="U578" s="7" t="s">
        <v>5603</v>
      </c>
      <c r="V578" t="s">
        <v>2210</v>
      </c>
    </row>
    <row r="579" spans="1:22" x14ac:dyDescent="0.35">
      <c r="A579">
        <v>693</v>
      </c>
      <c r="B579" t="s">
        <v>2212</v>
      </c>
      <c r="C579" s="1">
        <v>42457</v>
      </c>
      <c r="D579" s="1">
        <v>42462</v>
      </c>
      <c r="E579" t="s">
        <v>46</v>
      </c>
      <c r="F579" t="s">
        <v>2213</v>
      </c>
      <c r="G579" t="s">
        <v>2214</v>
      </c>
      <c r="H579" t="s">
        <v>22</v>
      </c>
      <c r="I579" t="s">
        <v>23</v>
      </c>
      <c r="J579" t="s">
        <v>38</v>
      </c>
      <c r="K579" t="s">
        <v>39</v>
      </c>
      <c r="L579">
        <v>90036</v>
      </c>
      <c r="M579" t="s">
        <v>40</v>
      </c>
      <c r="N579" t="s">
        <v>2215</v>
      </c>
      <c r="O579" t="s">
        <v>67</v>
      </c>
      <c r="P579" t="s">
        <v>156</v>
      </c>
      <c r="Q579" t="s">
        <v>2216</v>
      </c>
      <c r="R579">
        <v>166.24</v>
      </c>
      <c r="S579" t="str">
        <f>TEXT(sales_data[[#This Row],[Order Date]],"mm")</f>
        <v>03</v>
      </c>
      <c r="T579">
        <f>YEAR(sales_data[[#This Row],[Order Date]])</f>
        <v>2016</v>
      </c>
      <c r="U579" s="8" t="s">
        <v>5610</v>
      </c>
      <c r="V579" t="s">
        <v>2215</v>
      </c>
    </row>
    <row r="580" spans="1:22" x14ac:dyDescent="0.35">
      <c r="A580">
        <v>694</v>
      </c>
      <c r="B580" t="s">
        <v>2212</v>
      </c>
      <c r="C580" s="1">
        <v>42457</v>
      </c>
      <c r="D580" s="1">
        <v>42462</v>
      </c>
      <c r="E580" t="s">
        <v>46</v>
      </c>
      <c r="F580" t="s">
        <v>2213</v>
      </c>
      <c r="G580" t="s">
        <v>2214</v>
      </c>
      <c r="H580" t="s">
        <v>22</v>
      </c>
      <c r="I580" t="s">
        <v>23</v>
      </c>
      <c r="J580" t="s">
        <v>38</v>
      </c>
      <c r="K580" t="s">
        <v>39</v>
      </c>
      <c r="L580">
        <v>90036</v>
      </c>
      <c r="M580" t="s">
        <v>40</v>
      </c>
      <c r="N580" t="s">
        <v>2217</v>
      </c>
      <c r="O580" t="s">
        <v>42</v>
      </c>
      <c r="P580" t="s">
        <v>86</v>
      </c>
      <c r="Q580" t="s">
        <v>2218</v>
      </c>
      <c r="R580">
        <v>33.4</v>
      </c>
      <c r="S580" t="str">
        <f>TEXT(sales_data[[#This Row],[Order Date]],"mm")</f>
        <v>03</v>
      </c>
      <c r="T580">
        <f>YEAR(sales_data[[#This Row],[Order Date]])</f>
        <v>2016</v>
      </c>
      <c r="U580" s="8" t="s">
        <v>5627</v>
      </c>
      <c r="V580" t="s">
        <v>2217</v>
      </c>
    </row>
    <row r="581" spans="1:22" x14ac:dyDescent="0.35">
      <c r="A581">
        <v>696</v>
      </c>
      <c r="B581" t="s">
        <v>2219</v>
      </c>
      <c r="C581" s="1">
        <v>42504</v>
      </c>
      <c r="D581" s="1">
        <v>42507</v>
      </c>
      <c r="E581" t="s">
        <v>183</v>
      </c>
      <c r="F581" t="s">
        <v>2220</v>
      </c>
      <c r="G581" t="s">
        <v>2221</v>
      </c>
      <c r="H581" t="s">
        <v>98</v>
      </c>
      <c r="I581" t="s">
        <v>23</v>
      </c>
      <c r="J581" t="s">
        <v>2222</v>
      </c>
      <c r="K581" t="s">
        <v>143</v>
      </c>
      <c r="L581">
        <v>19013</v>
      </c>
      <c r="M581" t="s">
        <v>144</v>
      </c>
      <c r="N581" t="s">
        <v>2223</v>
      </c>
      <c r="O581" t="s">
        <v>42</v>
      </c>
      <c r="P581" t="s">
        <v>43</v>
      </c>
      <c r="Q581" t="s">
        <v>2224</v>
      </c>
      <c r="R581">
        <v>47.36</v>
      </c>
      <c r="S581" t="str">
        <f>TEXT(sales_data[[#This Row],[Order Date]],"mm")</f>
        <v>05</v>
      </c>
      <c r="T581">
        <f>YEAR(sales_data[[#This Row],[Order Date]])</f>
        <v>2016</v>
      </c>
      <c r="U581" s="7" t="s">
        <v>5635</v>
      </c>
      <c r="V581" t="s">
        <v>2223</v>
      </c>
    </row>
    <row r="582" spans="1:22" x14ac:dyDescent="0.35">
      <c r="A582">
        <v>698</v>
      </c>
      <c r="B582" t="s">
        <v>2219</v>
      </c>
      <c r="C582" s="1">
        <v>42504</v>
      </c>
      <c r="D582" s="1">
        <v>42507</v>
      </c>
      <c r="E582" t="s">
        <v>183</v>
      </c>
      <c r="F582" t="s">
        <v>2220</v>
      </c>
      <c r="G582" t="s">
        <v>2221</v>
      </c>
      <c r="H582" t="s">
        <v>98</v>
      </c>
      <c r="I582" t="s">
        <v>23</v>
      </c>
      <c r="J582" t="s">
        <v>2222</v>
      </c>
      <c r="K582" t="s">
        <v>143</v>
      </c>
      <c r="L582">
        <v>19013</v>
      </c>
      <c r="M582" t="s">
        <v>144</v>
      </c>
      <c r="N582" t="s">
        <v>2225</v>
      </c>
      <c r="O582" t="s">
        <v>42</v>
      </c>
      <c r="P582" t="s">
        <v>43</v>
      </c>
      <c r="Q582" t="s">
        <v>2226</v>
      </c>
      <c r="R582">
        <v>97.695999999999998</v>
      </c>
      <c r="S582" t="str">
        <f>TEXT(sales_data[[#This Row],[Order Date]],"mm")</f>
        <v>05</v>
      </c>
      <c r="T582">
        <f>YEAR(sales_data[[#This Row],[Order Date]])</f>
        <v>2016</v>
      </c>
      <c r="U582" s="7" t="s">
        <v>5643</v>
      </c>
      <c r="V582" t="s">
        <v>2225</v>
      </c>
    </row>
    <row r="583" spans="1:22" x14ac:dyDescent="0.35">
      <c r="A583">
        <v>699</v>
      </c>
      <c r="B583" t="s">
        <v>2219</v>
      </c>
      <c r="C583" s="1">
        <v>42504</v>
      </c>
      <c r="D583" s="1">
        <v>42507</v>
      </c>
      <c r="E583" t="s">
        <v>183</v>
      </c>
      <c r="F583" t="s">
        <v>2220</v>
      </c>
      <c r="G583" t="s">
        <v>2221</v>
      </c>
      <c r="H583" t="s">
        <v>98</v>
      </c>
      <c r="I583" t="s">
        <v>23</v>
      </c>
      <c r="J583" t="s">
        <v>2222</v>
      </c>
      <c r="K583" t="s">
        <v>143</v>
      </c>
      <c r="L583">
        <v>19013</v>
      </c>
      <c r="M583" t="s">
        <v>144</v>
      </c>
      <c r="N583" t="s">
        <v>2227</v>
      </c>
      <c r="O583" t="s">
        <v>42</v>
      </c>
      <c r="P583" t="s">
        <v>64</v>
      </c>
      <c r="Q583" t="s">
        <v>2228</v>
      </c>
      <c r="R583">
        <v>2.6960000000000002</v>
      </c>
      <c r="S583" t="str">
        <f>TEXT(sales_data[[#This Row],[Order Date]],"mm")</f>
        <v>05</v>
      </c>
      <c r="T583">
        <f>YEAR(sales_data[[#This Row],[Order Date]])</f>
        <v>2016</v>
      </c>
      <c r="U583" s="8" t="s">
        <v>5646</v>
      </c>
      <c r="V583" t="s">
        <v>2227</v>
      </c>
    </row>
    <row r="584" spans="1:22" x14ac:dyDescent="0.35">
      <c r="A584">
        <v>700</v>
      </c>
      <c r="B584" t="s">
        <v>2219</v>
      </c>
      <c r="C584" s="1">
        <v>42504</v>
      </c>
      <c r="D584" s="1">
        <v>42507</v>
      </c>
      <c r="E584" t="s">
        <v>183</v>
      </c>
      <c r="F584" t="s">
        <v>2220</v>
      </c>
      <c r="G584" t="s">
        <v>2221</v>
      </c>
      <c r="H584" t="s">
        <v>98</v>
      </c>
      <c r="I584" t="s">
        <v>23</v>
      </c>
      <c r="J584" t="s">
        <v>2222</v>
      </c>
      <c r="K584" t="s">
        <v>143</v>
      </c>
      <c r="L584">
        <v>19013</v>
      </c>
      <c r="M584" t="s">
        <v>144</v>
      </c>
      <c r="N584" t="s">
        <v>2229</v>
      </c>
      <c r="O584" t="s">
        <v>42</v>
      </c>
      <c r="P584" t="s">
        <v>71</v>
      </c>
      <c r="Q584" t="s">
        <v>2230</v>
      </c>
      <c r="R584">
        <v>18.588000000000001</v>
      </c>
      <c r="S584" t="str">
        <f>TEXT(sales_data[[#This Row],[Order Date]],"mm")</f>
        <v>05</v>
      </c>
      <c r="T584">
        <f>YEAR(sales_data[[#This Row],[Order Date]])</f>
        <v>2016</v>
      </c>
      <c r="U584" s="7" t="s">
        <v>5651</v>
      </c>
      <c r="V584" t="s">
        <v>2229</v>
      </c>
    </row>
    <row r="585" spans="1:22" x14ac:dyDescent="0.35">
      <c r="A585">
        <v>703</v>
      </c>
      <c r="B585" t="s">
        <v>2231</v>
      </c>
      <c r="C585" s="1">
        <v>43043</v>
      </c>
      <c r="D585" s="1">
        <v>43047</v>
      </c>
      <c r="E585" t="s">
        <v>19</v>
      </c>
      <c r="F585" t="s">
        <v>1326</v>
      </c>
      <c r="G585" t="s">
        <v>1327</v>
      </c>
      <c r="H585" t="s">
        <v>37</v>
      </c>
      <c r="I585" t="s">
        <v>23</v>
      </c>
      <c r="J585" t="s">
        <v>91</v>
      </c>
      <c r="K585" t="s">
        <v>92</v>
      </c>
      <c r="L585">
        <v>98103</v>
      </c>
      <c r="M585" t="s">
        <v>40</v>
      </c>
      <c r="N585" t="s">
        <v>2232</v>
      </c>
      <c r="O585" t="s">
        <v>28</v>
      </c>
      <c r="P585" t="s">
        <v>61</v>
      </c>
      <c r="Q585" t="s">
        <v>2233</v>
      </c>
      <c r="R585">
        <v>209.88</v>
      </c>
      <c r="S585" t="str">
        <f>TEXT(sales_data[[#This Row],[Order Date]],"mm")</f>
        <v>11</v>
      </c>
      <c r="T585">
        <f>YEAR(sales_data[[#This Row],[Order Date]])</f>
        <v>2017</v>
      </c>
      <c r="U585" s="8" t="s">
        <v>5696</v>
      </c>
      <c r="V585" t="s">
        <v>2232</v>
      </c>
    </row>
    <row r="586" spans="1:22" x14ac:dyDescent="0.35">
      <c r="A586">
        <v>704</v>
      </c>
      <c r="B586" t="s">
        <v>2234</v>
      </c>
      <c r="C586" s="1">
        <v>42469</v>
      </c>
      <c r="D586" s="1">
        <v>42474</v>
      </c>
      <c r="E586" t="s">
        <v>46</v>
      </c>
      <c r="F586" t="s">
        <v>2235</v>
      </c>
      <c r="G586" t="s">
        <v>2236</v>
      </c>
      <c r="H586" t="s">
        <v>22</v>
      </c>
      <c r="I586" t="s">
        <v>23</v>
      </c>
      <c r="J586" t="s">
        <v>1166</v>
      </c>
      <c r="K586" t="s">
        <v>39</v>
      </c>
      <c r="L586">
        <v>90805</v>
      </c>
      <c r="M586" t="s">
        <v>40</v>
      </c>
      <c r="N586" t="s">
        <v>2237</v>
      </c>
      <c r="O586" t="s">
        <v>28</v>
      </c>
      <c r="P586" t="s">
        <v>52</v>
      </c>
      <c r="Q586" t="s">
        <v>2238</v>
      </c>
      <c r="R586">
        <v>369.91199999999998</v>
      </c>
      <c r="S586" t="str">
        <f>TEXT(sales_data[[#This Row],[Order Date]],"mm")</f>
        <v>04</v>
      </c>
      <c r="T586">
        <f>YEAR(sales_data[[#This Row],[Order Date]])</f>
        <v>2016</v>
      </c>
      <c r="U586" s="7" t="s">
        <v>5700</v>
      </c>
      <c r="V586" t="s">
        <v>2237</v>
      </c>
    </row>
    <row r="587" spans="1:22" x14ac:dyDescent="0.35">
      <c r="A587">
        <v>705</v>
      </c>
      <c r="B587" t="s">
        <v>2239</v>
      </c>
      <c r="C587" s="1">
        <v>42259</v>
      </c>
      <c r="D587" s="1">
        <v>42264</v>
      </c>
      <c r="E587" t="s">
        <v>46</v>
      </c>
      <c r="F587" t="s">
        <v>2240</v>
      </c>
      <c r="G587" t="s">
        <v>2241</v>
      </c>
      <c r="H587" t="s">
        <v>37</v>
      </c>
      <c r="I587" t="s">
        <v>23</v>
      </c>
      <c r="J587" t="s">
        <v>2242</v>
      </c>
      <c r="K587" t="s">
        <v>84</v>
      </c>
      <c r="L587">
        <v>27511</v>
      </c>
      <c r="M587" t="s">
        <v>26</v>
      </c>
      <c r="N587" t="s">
        <v>2243</v>
      </c>
      <c r="O587" t="s">
        <v>42</v>
      </c>
      <c r="P587" t="s">
        <v>86</v>
      </c>
      <c r="Q587" t="s">
        <v>2244</v>
      </c>
      <c r="R587">
        <v>10.368</v>
      </c>
      <c r="S587" t="str">
        <f>TEXT(sales_data[[#This Row],[Order Date]],"mm")</f>
        <v>09</v>
      </c>
      <c r="T587">
        <f>YEAR(sales_data[[#This Row],[Order Date]])</f>
        <v>2015</v>
      </c>
      <c r="U587" s="8" t="s">
        <v>5710</v>
      </c>
      <c r="V587" t="s">
        <v>2243</v>
      </c>
    </row>
    <row r="588" spans="1:22" x14ac:dyDescent="0.35">
      <c r="A588">
        <v>706</v>
      </c>
      <c r="B588" t="s">
        <v>2239</v>
      </c>
      <c r="C588" s="1">
        <v>42259</v>
      </c>
      <c r="D588" s="1">
        <v>42264</v>
      </c>
      <c r="E588" t="s">
        <v>46</v>
      </c>
      <c r="F588" t="s">
        <v>2240</v>
      </c>
      <c r="G588" t="s">
        <v>2241</v>
      </c>
      <c r="H588" t="s">
        <v>37</v>
      </c>
      <c r="I588" t="s">
        <v>23</v>
      </c>
      <c r="J588" t="s">
        <v>2242</v>
      </c>
      <c r="K588" t="s">
        <v>84</v>
      </c>
      <c r="L588">
        <v>27511</v>
      </c>
      <c r="M588" t="s">
        <v>26</v>
      </c>
      <c r="N588" t="s">
        <v>2245</v>
      </c>
      <c r="O588" t="s">
        <v>42</v>
      </c>
      <c r="P588" t="s">
        <v>74</v>
      </c>
      <c r="Q588" t="s">
        <v>2246</v>
      </c>
      <c r="R588">
        <v>166.84</v>
      </c>
      <c r="S588" t="str">
        <f>TEXT(sales_data[[#This Row],[Order Date]],"mm")</f>
        <v>09</v>
      </c>
      <c r="T588">
        <f>YEAR(sales_data[[#This Row],[Order Date]])</f>
        <v>2015</v>
      </c>
      <c r="U588" s="8" t="s">
        <v>5720</v>
      </c>
      <c r="V588" t="s">
        <v>2245</v>
      </c>
    </row>
    <row r="589" spans="1:22" x14ac:dyDescent="0.35">
      <c r="A589">
        <v>709</v>
      </c>
      <c r="B589" t="s">
        <v>2247</v>
      </c>
      <c r="C589" s="1">
        <v>42340</v>
      </c>
      <c r="D589" s="1">
        <v>42342</v>
      </c>
      <c r="E589" t="s">
        <v>183</v>
      </c>
      <c r="F589" t="s">
        <v>2248</v>
      </c>
      <c r="G589" t="s">
        <v>2249</v>
      </c>
      <c r="H589" t="s">
        <v>22</v>
      </c>
      <c r="I589" t="s">
        <v>23</v>
      </c>
      <c r="J589" t="s">
        <v>261</v>
      </c>
      <c r="K589" t="s">
        <v>262</v>
      </c>
      <c r="L589">
        <v>10035</v>
      </c>
      <c r="M589" t="s">
        <v>144</v>
      </c>
      <c r="N589" t="s">
        <v>2250</v>
      </c>
      <c r="O589" t="s">
        <v>28</v>
      </c>
      <c r="P589" t="s">
        <v>29</v>
      </c>
      <c r="Q589" t="s">
        <v>2251</v>
      </c>
      <c r="R589">
        <v>883.92</v>
      </c>
      <c r="S589" t="str">
        <f>TEXT(sales_data[[#This Row],[Order Date]],"mm")</f>
        <v>12</v>
      </c>
      <c r="T589">
        <f>YEAR(sales_data[[#This Row],[Order Date]])</f>
        <v>2015</v>
      </c>
      <c r="U589" s="8" t="s">
        <v>5734</v>
      </c>
      <c r="V589" t="s">
        <v>2250</v>
      </c>
    </row>
    <row r="590" spans="1:22" x14ac:dyDescent="0.35">
      <c r="A590">
        <v>712</v>
      </c>
      <c r="B590" t="s">
        <v>2254</v>
      </c>
      <c r="C590" s="1">
        <v>43346</v>
      </c>
      <c r="D590" s="1">
        <v>43350</v>
      </c>
      <c r="E590" t="s">
        <v>46</v>
      </c>
      <c r="F590" t="s">
        <v>2255</v>
      </c>
      <c r="G590" t="s">
        <v>2256</v>
      </c>
      <c r="H590" t="s">
        <v>22</v>
      </c>
      <c r="I590" t="s">
        <v>23</v>
      </c>
      <c r="J590" t="s">
        <v>2257</v>
      </c>
      <c r="K590" t="s">
        <v>50</v>
      </c>
      <c r="L590">
        <v>32137</v>
      </c>
      <c r="M590" t="s">
        <v>26</v>
      </c>
      <c r="N590" t="s">
        <v>2258</v>
      </c>
      <c r="O590" t="s">
        <v>42</v>
      </c>
      <c r="P590" t="s">
        <v>168</v>
      </c>
      <c r="Q590" t="s">
        <v>2259</v>
      </c>
      <c r="R590">
        <v>24.448</v>
      </c>
      <c r="S590" t="str">
        <f>TEXT(sales_data[[#This Row],[Order Date]],"mm")</f>
        <v>09</v>
      </c>
      <c r="T590">
        <f>YEAR(sales_data[[#This Row],[Order Date]])</f>
        <v>2018</v>
      </c>
      <c r="U590" s="7" t="s">
        <v>5758</v>
      </c>
      <c r="V590" t="s">
        <v>2258</v>
      </c>
    </row>
    <row r="591" spans="1:22" x14ac:dyDescent="0.35">
      <c r="A591">
        <v>713</v>
      </c>
      <c r="B591" t="s">
        <v>2260</v>
      </c>
      <c r="C591" s="1">
        <v>43239</v>
      </c>
      <c r="D591" s="1">
        <v>43244</v>
      </c>
      <c r="E591" t="s">
        <v>46</v>
      </c>
      <c r="F591" t="s">
        <v>2261</v>
      </c>
      <c r="G591" t="s">
        <v>2262</v>
      </c>
      <c r="H591" t="s">
        <v>37</v>
      </c>
      <c r="I591" t="s">
        <v>23</v>
      </c>
      <c r="J591" t="s">
        <v>2263</v>
      </c>
      <c r="K591" t="s">
        <v>262</v>
      </c>
      <c r="L591">
        <v>10550</v>
      </c>
      <c r="M591" t="s">
        <v>144</v>
      </c>
      <c r="N591" t="s">
        <v>2264</v>
      </c>
      <c r="O591" t="s">
        <v>42</v>
      </c>
      <c r="P591" t="s">
        <v>74</v>
      </c>
      <c r="Q591" t="s">
        <v>2265</v>
      </c>
      <c r="R591">
        <v>281.33999999999997</v>
      </c>
      <c r="S591" t="str">
        <f>TEXT(sales_data[[#This Row],[Order Date]],"mm")</f>
        <v>05</v>
      </c>
      <c r="T591">
        <f>YEAR(sales_data[[#This Row],[Order Date]])</f>
        <v>2018</v>
      </c>
      <c r="U591" s="8" t="s">
        <v>5780</v>
      </c>
      <c r="V591" t="s">
        <v>2264</v>
      </c>
    </row>
    <row r="592" spans="1:22" x14ac:dyDescent="0.35">
      <c r="A592">
        <v>715</v>
      </c>
      <c r="B592" t="s">
        <v>2260</v>
      </c>
      <c r="C592" s="1">
        <v>43239</v>
      </c>
      <c r="D592" s="1">
        <v>43244</v>
      </c>
      <c r="E592" t="s">
        <v>46</v>
      </c>
      <c r="F592" t="s">
        <v>2261</v>
      </c>
      <c r="G592" t="s">
        <v>2262</v>
      </c>
      <c r="H592" t="s">
        <v>37</v>
      </c>
      <c r="I592" t="s">
        <v>23</v>
      </c>
      <c r="J592" t="s">
        <v>2263</v>
      </c>
      <c r="K592" t="s">
        <v>262</v>
      </c>
      <c r="L592">
        <v>10550</v>
      </c>
      <c r="M592" t="s">
        <v>144</v>
      </c>
      <c r="N592" t="s">
        <v>2266</v>
      </c>
      <c r="O592" t="s">
        <v>67</v>
      </c>
      <c r="P592" t="s">
        <v>156</v>
      </c>
      <c r="Q592" t="s">
        <v>2267</v>
      </c>
      <c r="R592">
        <v>299.97000000000003</v>
      </c>
      <c r="S592" t="str">
        <f>TEXT(sales_data[[#This Row],[Order Date]],"mm")</f>
        <v>05</v>
      </c>
      <c r="T592">
        <f>YEAR(sales_data[[#This Row],[Order Date]])</f>
        <v>2018</v>
      </c>
      <c r="U592" s="8" t="s">
        <v>5791</v>
      </c>
      <c r="V592" t="s">
        <v>2266</v>
      </c>
    </row>
    <row r="593" spans="1:22" x14ac:dyDescent="0.35">
      <c r="A593">
        <v>716</v>
      </c>
      <c r="B593" t="s">
        <v>2268</v>
      </c>
      <c r="C593" s="1">
        <v>42186</v>
      </c>
      <c r="D593" s="1">
        <v>42191</v>
      </c>
      <c r="E593" t="s">
        <v>19</v>
      </c>
      <c r="F593" t="s">
        <v>967</v>
      </c>
      <c r="G593" t="s">
        <v>968</v>
      </c>
      <c r="H593" t="s">
        <v>37</v>
      </c>
      <c r="I593" t="s">
        <v>23</v>
      </c>
      <c r="J593" t="s">
        <v>91</v>
      </c>
      <c r="K593" t="s">
        <v>92</v>
      </c>
      <c r="L593">
        <v>98105</v>
      </c>
      <c r="M593" t="s">
        <v>40</v>
      </c>
      <c r="N593" t="s">
        <v>2269</v>
      </c>
      <c r="O593" t="s">
        <v>42</v>
      </c>
      <c r="P593" t="s">
        <v>71</v>
      </c>
      <c r="Q593" t="s">
        <v>2270</v>
      </c>
      <c r="R593">
        <v>19.920000000000002</v>
      </c>
      <c r="S593" t="str">
        <f>TEXT(sales_data[[#This Row],[Order Date]],"mm")</f>
        <v>07</v>
      </c>
      <c r="T593">
        <f>YEAR(sales_data[[#This Row],[Order Date]])</f>
        <v>2015</v>
      </c>
      <c r="U593" s="7" t="s">
        <v>5796</v>
      </c>
      <c r="V593" t="s">
        <v>2269</v>
      </c>
    </row>
    <row r="594" spans="1:22" x14ac:dyDescent="0.35">
      <c r="A594">
        <v>718</v>
      </c>
      <c r="B594" t="s">
        <v>2273</v>
      </c>
      <c r="C594" s="1">
        <v>43367</v>
      </c>
      <c r="D594" s="1">
        <v>43372</v>
      </c>
      <c r="E594" t="s">
        <v>46</v>
      </c>
      <c r="F594" t="s">
        <v>938</v>
      </c>
      <c r="G594" t="s">
        <v>939</v>
      </c>
      <c r="H594" t="s">
        <v>22</v>
      </c>
      <c r="I594" t="s">
        <v>23</v>
      </c>
      <c r="J594" t="s">
        <v>599</v>
      </c>
      <c r="K594" t="s">
        <v>493</v>
      </c>
      <c r="L594">
        <v>43055</v>
      </c>
      <c r="M594" t="s">
        <v>144</v>
      </c>
      <c r="N594" t="s">
        <v>2274</v>
      </c>
      <c r="O594" t="s">
        <v>28</v>
      </c>
      <c r="P594" t="s">
        <v>61</v>
      </c>
      <c r="Q594" t="s">
        <v>2275</v>
      </c>
      <c r="R594">
        <v>103.056</v>
      </c>
      <c r="S594" t="str">
        <f>TEXT(sales_data[[#This Row],[Order Date]],"mm")</f>
        <v>09</v>
      </c>
      <c r="T594">
        <f>YEAR(sales_data[[#This Row],[Order Date]])</f>
        <v>2018</v>
      </c>
      <c r="U594" s="8" t="s">
        <v>5853</v>
      </c>
      <c r="V594" t="s">
        <v>2274</v>
      </c>
    </row>
    <row r="595" spans="1:22" x14ac:dyDescent="0.35">
      <c r="A595">
        <v>721</v>
      </c>
      <c r="B595" t="s">
        <v>2277</v>
      </c>
      <c r="C595" s="1">
        <v>42779</v>
      </c>
      <c r="D595" s="1">
        <v>42784</v>
      </c>
      <c r="E595" t="s">
        <v>46</v>
      </c>
      <c r="F595" t="s">
        <v>2278</v>
      </c>
      <c r="G595" t="s">
        <v>2279</v>
      </c>
      <c r="H595" t="s">
        <v>98</v>
      </c>
      <c r="I595" t="s">
        <v>23</v>
      </c>
      <c r="J595" t="s">
        <v>38</v>
      </c>
      <c r="K595" t="s">
        <v>39</v>
      </c>
      <c r="L595">
        <v>90045</v>
      </c>
      <c r="M595" t="s">
        <v>40</v>
      </c>
      <c r="N595" t="s">
        <v>2280</v>
      </c>
      <c r="O595" t="s">
        <v>42</v>
      </c>
      <c r="P595" t="s">
        <v>86</v>
      </c>
      <c r="Q595" t="s">
        <v>2281</v>
      </c>
      <c r="R595">
        <v>146.82</v>
      </c>
      <c r="S595" t="str">
        <f>TEXT(sales_data[[#This Row],[Order Date]],"mm")</f>
        <v>02</v>
      </c>
      <c r="T595">
        <f>YEAR(sales_data[[#This Row],[Order Date]])</f>
        <v>2017</v>
      </c>
      <c r="U595" s="8" t="s">
        <v>5876</v>
      </c>
      <c r="V595" t="s">
        <v>2280</v>
      </c>
    </row>
    <row r="596" spans="1:22" x14ac:dyDescent="0.35">
      <c r="A596">
        <v>722</v>
      </c>
      <c r="B596" t="s">
        <v>2282</v>
      </c>
      <c r="C596" s="1">
        <v>43084</v>
      </c>
      <c r="D596" s="1">
        <v>43088</v>
      </c>
      <c r="E596" t="s">
        <v>46</v>
      </c>
      <c r="F596" t="s">
        <v>1465</v>
      </c>
      <c r="G596" t="s">
        <v>1466</v>
      </c>
      <c r="H596" t="s">
        <v>37</v>
      </c>
      <c r="I596" t="s">
        <v>23</v>
      </c>
      <c r="J596" t="s">
        <v>872</v>
      </c>
      <c r="K596" t="s">
        <v>233</v>
      </c>
      <c r="L596">
        <v>48205</v>
      </c>
      <c r="M596" t="s">
        <v>101</v>
      </c>
      <c r="N596" t="s">
        <v>2283</v>
      </c>
      <c r="O596" t="s">
        <v>28</v>
      </c>
      <c r="P596" t="s">
        <v>52</v>
      </c>
      <c r="Q596" t="s">
        <v>2284</v>
      </c>
      <c r="R596">
        <v>1652.94</v>
      </c>
      <c r="S596" t="str">
        <f>TEXT(sales_data[[#This Row],[Order Date]],"mm")</f>
        <v>12</v>
      </c>
      <c r="T596">
        <f>YEAR(sales_data[[#This Row],[Order Date]])</f>
        <v>2017</v>
      </c>
      <c r="U596" s="7" t="s">
        <v>5889</v>
      </c>
      <c r="V596" t="s">
        <v>2283</v>
      </c>
    </row>
    <row r="597" spans="1:22" x14ac:dyDescent="0.35">
      <c r="A597">
        <v>723</v>
      </c>
      <c r="B597" t="s">
        <v>2282</v>
      </c>
      <c r="C597" s="1">
        <v>43084</v>
      </c>
      <c r="D597" s="1">
        <v>43088</v>
      </c>
      <c r="E597" t="s">
        <v>46</v>
      </c>
      <c r="F597" t="s">
        <v>1465</v>
      </c>
      <c r="G597" t="s">
        <v>1466</v>
      </c>
      <c r="H597" t="s">
        <v>37</v>
      </c>
      <c r="I597" t="s">
        <v>23</v>
      </c>
      <c r="J597" t="s">
        <v>872</v>
      </c>
      <c r="K597" t="s">
        <v>233</v>
      </c>
      <c r="L597">
        <v>48205</v>
      </c>
      <c r="M597" t="s">
        <v>101</v>
      </c>
      <c r="N597" t="s">
        <v>2285</v>
      </c>
      <c r="O597" t="s">
        <v>42</v>
      </c>
      <c r="P597" t="s">
        <v>55</v>
      </c>
      <c r="Q597" t="s">
        <v>2286</v>
      </c>
      <c r="R597">
        <v>296.37</v>
      </c>
      <c r="S597" t="str">
        <f>TEXT(sales_data[[#This Row],[Order Date]],"mm")</f>
        <v>12</v>
      </c>
      <c r="T597">
        <f>YEAR(sales_data[[#This Row],[Order Date]])</f>
        <v>2017</v>
      </c>
      <c r="U597" s="8" t="s">
        <v>5897</v>
      </c>
      <c r="V597" t="s">
        <v>2285</v>
      </c>
    </row>
    <row r="598" spans="1:22" x14ac:dyDescent="0.35">
      <c r="A598">
        <v>724</v>
      </c>
      <c r="B598" t="s">
        <v>2287</v>
      </c>
      <c r="C598" s="1">
        <v>42284</v>
      </c>
      <c r="D598" s="1">
        <v>42290</v>
      </c>
      <c r="E598" t="s">
        <v>46</v>
      </c>
      <c r="F598" t="s">
        <v>2288</v>
      </c>
      <c r="G598" t="s">
        <v>2289</v>
      </c>
      <c r="H598" t="s">
        <v>98</v>
      </c>
      <c r="I598" t="s">
        <v>23</v>
      </c>
      <c r="J598" t="s">
        <v>142</v>
      </c>
      <c r="K598" t="s">
        <v>143</v>
      </c>
      <c r="L598">
        <v>19140</v>
      </c>
      <c r="M598" t="s">
        <v>144</v>
      </c>
      <c r="N598" t="s">
        <v>2290</v>
      </c>
      <c r="O598" t="s">
        <v>28</v>
      </c>
      <c r="P598" t="s">
        <v>61</v>
      </c>
      <c r="Q598" t="s">
        <v>2291</v>
      </c>
      <c r="R598">
        <v>129.91999999999999</v>
      </c>
      <c r="S598" t="str">
        <f>TEXT(sales_data[[#This Row],[Order Date]],"mm")</f>
        <v>10</v>
      </c>
      <c r="T598">
        <f>YEAR(sales_data[[#This Row],[Order Date]])</f>
        <v>2015</v>
      </c>
      <c r="U598" s="7" t="s">
        <v>5905</v>
      </c>
      <c r="V598" t="s">
        <v>2290</v>
      </c>
    </row>
    <row r="599" spans="1:22" x14ac:dyDescent="0.35">
      <c r="A599">
        <v>725</v>
      </c>
      <c r="B599" t="s">
        <v>2292</v>
      </c>
      <c r="C599" s="1">
        <v>42923</v>
      </c>
      <c r="D599" s="1">
        <v>42928</v>
      </c>
      <c r="E599" t="s">
        <v>46</v>
      </c>
      <c r="F599" t="s">
        <v>2293</v>
      </c>
      <c r="G599" t="s">
        <v>2294</v>
      </c>
      <c r="H599" t="s">
        <v>37</v>
      </c>
      <c r="I599" t="s">
        <v>23</v>
      </c>
      <c r="J599" t="s">
        <v>2295</v>
      </c>
      <c r="K599" t="s">
        <v>50</v>
      </c>
      <c r="L599">
        <v>33012</v>
      </c>
      <c r="M599" t="s">
        <v>26</v>
      </c>
      <c r="N599" t="s">
        <v>2296</v>
      </c>
      <c r="O599" t="s">
        <v>42</v>
      </c>
      <c r="P599" t="s">
        <v>573</v>
      </c>
      <c r="Q599" t="s">
        <v>2297</v>
      </c>
      <c r="R599">
        <v>45.584000000000003</v>
      </c>
      <c r="S599" t="str">
        <f>TEXT(sales_data[[#This Row],[Order Date]],"mm")</f>
        <v>07</v>
      </c>
      <c r="T599">
        <f>YEAR(sales_data[[#This Row],[Order Date]])</f>
        <v>2017</v>
      </c>
      <c r="U599" s="8" t="s">
        <v>5927</v>
      </c>
      <c r="V599" t="s">
        <v>2296</v>
      </c>
    </row>
    <row r="600" spans="1:22" x14ac:dyDescent="0.35">
      <c r="A600">
        <v>726</v>
      </c>
      <c r="B600" t="s">
        <v>2298</v>
      </c>
      <c r="C600" s="1">
        <v>43359</v>
      </c>
      <c r="D600" s="1">
        <v>43363</v>
      </c>
      <c r="E600" t="s">
        <v>46</v>
      </c>
      <c r="F600" t="s">
        <v>2299</v>
      </c>
      <c r="G600" t="s">
        <v>2300</v>
      </c>
      <c r="H600" t="s">
        <v>22</v>
      </c>
      <c r="I600" t="s">
        <v>23</v>
      </c>
      <c r="J600" t="s">
        <v>1229</v>
      </c>
      <c r="K600" t="s">
        <v>100</v>
      </c>
      <c r="L600">
        <v>78745</v>
      </c>
      <c r="M600" t="s">
        <v>101</v>
      </c>
      <c r="N600" t="s">
        <v>2301</v>
      </c>
      <c r="O600" t="s">
        <v>42</v>
      </c>
      <c r="P600" t="s">
        <v>168</v>
      </c>
      <c r="Q600" t="s">
        <v>2302</v>
      </c>
      <c r="R600">
        <v>17.568000000000001</v>
      </c>
      <c r="S600" t="str">
        <f>TEXT(sales_data[[#This Row],[Order Date]],"mm")</f>
        <v>09</v>
      </c>
      <c r="T600">
        <f>YEAR(sales_data[[#This Row],[Order Date]])</f>
        <v>2018</v>
      </c>
      <c r="U600" s="7" t="s">
        <v>5939</v>
      </c>
      <c r="V600" t="s">
        <v>2301</v>
      </c>
    </row>
    <row r="601" spans="1:22" x14ac:dyDescent="0.35">
      <c r="A601">
        <v>727</v>
      </c>
      <c r="B601" t="s">
        <v>2298</v>
      </c>
      <c r="C601" s="1">
        <v>43359</v>
      </c>
      <c r="D601" s="1">
        <v>43363</v>
      </c>
      <c r="E601" t="s">
        <v>46</v>
      </c>
      <c r="F601" t="s">
        <v>2299</v>
      </c>
      <c r="G601" t="s">
        <v>2300</v>
      </c>
      <c r="H601" t="s">
        <v>22</v>
      </c>
      <c r="I601" t="s">
        <v>23</v>
      </c>
      <c r="J601" t="s">
        <v>1229</v>
      </c>
      <c r="K601" t="s">
        <v>100</v>
      </c>
      <c r="L601">
        <v>78745</v>
      </c>
      <c r="M601" t="s">
        <v>101</v>
      </c>
      <c r="N601" t="s">
        <v>2303</v>
      </c>
      <c r="O601" t="s">
        <v>67</v>
      </c>
      <c r="P601" t="s">
        <v>68</v>
      </c>
      <c r="Q601" t="s">
        <v>2304</v>
      </c>
      <c r="R601">
        <v>55.991999999999997</v>
      </c>
      <c r="S601" t="str">
        <f>TEXT(sales_data[[#This Row],[Order Date]],"mm")</f>
        <v>09</v>
      </c>
      <c r="T601">
        <f>YEAR(sales_data[[#This Row],[Order Date]])</f>
        <v>2018</v>
      </c>
      <c r="U601" s="8" t="s">
        <v>5957</v>
      </c>
      <c r="V601" t="s">
        <v>2303</v>
      </c>
    </row>
    <row r="602" spans="1:22" x14ac:dyDescent="0.35">
      <c r="A602">
        <v>728</v>
      </c>
      <c r="B602" t="s">
        <v>2305</v>
      </c>
      <c r="C602" s="1">
        <v>43072</v>
      </c>
      <c r="D602" s="1">
        <v>43075</v>
      </c>
      <c r="E602" t="s">
        <v>183</v>
      </c>
      <c r="F602" t="s">
        <v>2306</v>
      </c>
      <c r="G602" t="s">
        <v>2307</v>
      </c>
      <c r="H602" t="s">
        <v>22</v>
      </c>
      <c r="I602" t="s">
        <v>23</v>
      </c>
      <c r="J602" t="s">
        <v>2308</v>
      </c>
      <c r="K602" t="s">
        <v>262</v>
      </c>
      <c r="L602">
        <v>11572</v>
      </c>
      <c r="M602" t="s">
        <v>144</v>
      </c>
      <c r="N602" t="s">
        <v>2309</v>
      </c>
      <c r="O602" t="s">
        <v>42</v>
      </c>
      <c r="P602" t="s">
        <v>86</v>
      </c>
      <c r="Q602" t="s">
        <v>2310</v>
      </c>
      <c r="R602">
        <v>182.72</v>
      </c>
      <c r="S602" t="str">
        <f>TEXT(sales_data[[#This Row],[Order Date]],"mm")</f>
        <v>12</v>
      </c>
      <c r="T602">
        <f>YEAR(sales_data[[#This Row],[Order Date]])</f>
        <v>2017</v>
      </c>
      <c r="U602" s="8" t="s">
        <v>5970</v>
      </c>
      <c r="V602" t="s">
        <v>2309</v>
      </c>
    </row>
    <row r="603" spans="1:22" x14ac:dyDescent="0.35">
      <c r="A603">
        <v>729</v>
      </c>
      <c r="B603" t="s">
        <v>2305</v>
      </c>
      <c r="C603" s="1">
        <v>43072</v>
      </c>
      <c r="D603" s="1">
        <v>43075</v>
      </c>
      <c r="E603" t="s">
        <v>183</v>
      </c>
      <c r="F603" t="s">
        <v>2306</v>
      </c>
      <c r="G603" t="s">
        <v>2307</v>
      </c>
      <c r="H603" t="s">
        <v>22</v>
      </c>
      <c r="I603" t="s">
        <v>23</v>
      </c>
      <c r="J603" t="s">
        <v>2308</v>
      </c>
      <c r="K603" t="s">
        <v>262</v>
      </c>
      <c r="L603">
        <v>11572</v>
      </c>
      <c r="M603" t="s">
        <v>144</v>
      </c>
      <c r="N603" t="s">
        <v>2311</v>
      </c>
      <c r="O603" t="s">
        <v>28</v>
      </c>
      <c r="P603" t="s">
        <v>52</v>
      </c>
      <c r="Q603" t="s">
        <v>2312</v>
      </c>
      <c r="R603">
        <v>400.03199999999998</v>
      </c>
      <c r="S603" t="str">
        <f>TEXT(sales_data[[#This Row],[Order Date]],"mm")</f>
        <v>12</v>
      </c>
      <c r="T603">
        <f>YEAR(sales_data[[#This Row],[Order Date]])</f>
        <v>2017</v>
      </c>
      <c r="U603" s="8" t="s">
        <v>5978</v>
      </c>
      <c r="V603" t="s">
        <v>2311</v>
      </c>
    </row>
    <row r="604" spans="1:22" x14ac:dyDescent="0.35">
      <c r="A604">
        <v>730</v>
      </c>
      <c r="B604" t="s">
        <v>2305</v>
      </c>
      <c r="C604" s="1">
        <v>43072</v>
      </c>
      <c r="D604" s="1">
        <v>43075</v>
      </c>
      <c r="E604" t="s">
        <v>183</v>
      </c>
      <c r="F604" t="s">
        <v>2306</v>
      </c>
      <c r="G604" t="s">
        <v>2307</v>
      </c>
      <c r="H604" t="s">
        <v>22</v>
      </c>
      <c r="I604" t="s">
        <v>23</v>
      </c>
      <c r="J604" t="s">
        <v>2308</v>
      </c>
      <c r="K604" t="s">
        <v>262</v>
      </c>
      <c r="L604">
        <v>11572</v>
      </c>
      <c r="M604" t="s">
        <v>144</v>
      </c>
      <c r="N604" t="s">
        <v>2313</v>
      </c>
      <c r="O604" t="s">
        <v>42</v>
      </c>
      <c r="P604" t="s">
        <v>55</v>
      </c>
      <c r="Q604" t="s">
        <v>2314</v>
      </c>
      <c r="R604">
        <v>33.630000000000003</v>
      </c>
      <c r="S604" t="str">
        <f>TEXT(sales_data[[#This Row],[Order Date]],"mm")</f>
        <v>12</v>
      </c>
      <c r="T604">
        <f>YEAR(sales_data[[#This Row],[Order Date]])</f>
        <v>2017</v>
      </c>
      <c r="U604" s="8" t="s">
        <v>5983</v>
      </c>
      <c r="V604" t="s">
        <v>2313</v>
      </c>
    </row>
    <row r="605" spans="1:22" x14ac:dyDescent="0.35">
      <c r="A605">
        <v>734</v>
      </c>
      <c r="B605" t="s">
        <v>2315</v>
      </c>
      <c r="C605" s="1">
        <v>43121</v>
      </c>
      <c r="D605" s="1">
        <v>43125</v>
      </c>
      <c r="E605" t="s">
        <v>46</v>
      </c>
      <c r="F605" t="s">
        <v>2316</v>
      </c>
      <c r="G605" t="s">
        <v>2317</v>
      </c>
      <c r="H605" t="s">
        <v>98</v>
      </c>
      <c r="I605" t="s">
        <v>23</v>
      </c>
      <c r="J605" t="s">
        <v>91</v>
      </c>
      <c r="K605" t="s">
        <v>92</v>
      </c>
      <c r="L605">
        <v>98115</v>
      </c>
      <c r="M605" t="s">
        <v>40</v>
      </c>
      <c r="N605" t="s">
        <v>2318</v>
      </c>
      <c r="O605" t="s">
        <v>67</v>
      </c>
      <c r="P605" t="s">
        <v>156</v>
      </c>
      <c r="Q605" t="s">
        <v>2319</v>
      </c>
      <c r="R605">
        <v>179.97</v>
      </c>
      <c r="S605" t="str">
        <f>TEXT(sales_data[[#This Row],[Order Date]],"mm")</f>
        <v>01</v>
      </c>
      <c r="T605">
        <f>YEAR(sales_data[[#This Row],[Order Date]])</f>
        <v>2018</v>
      </c>
      <c r="U605" s="8" t="s">
        <v>6041</v>
      </c>
      <c r="V605" t="s">
        <v>2318</v>
      </c>
    </row>
    <row r="606" spans="1:22" x14ac:dyDescent="0.35">
      <c r="A606">
        <v>737</v>
      </c>
      <c r="B606" t="s">
        <v>2315</v>
      </c>
      <c r="C606" s="1">
        <v>43121</v>
      </c>
      <c r="D606" s="1">
        <v>43125</v>
      </c>
      <c r="E606" t="s">
        <v>46</v>
      </c>
      <c r="F606" t="s">
        <v>2316</v>
      </c>
      <c r="G606" t="s">
        <v>2317</v>
      </c>
      <c r="H606" t="s">
        <v>98</v>
      </c>
      <c r="I606" t="s">
        <v>23</v>
      </c>
      <c r="J606" t="s">
        <v>91</v>
      </c>
      <c r="K606" t="s">
        <v>92</v>
      </c>
      <c r="L606">
        <v>98115</v>
      </c>
      <c r="M606" t="s">
        <v>40</v>
      </c>
      <c r="N606" t="s">
        <v>2320</v>
      </c>
      <c r="O606" t="s">
        <v>28</v>
      </c>
      <c r="P606" t="s">
        <v>29</v>
      </c>
      <c r="Q606" t="s">
        <v>2321</v>
      </c>
      <c r="R606">
        <v>84.98</v>
      </c>
      <c r="S606" t="str">
        <f>TEXT(sales_data[[#This Row],[Order Date]],"mm")</f>
        <v>01</v>
      </c>
      <c r="T606">
        <f>YEAR(sales_data[[#This Row],[Order Date]])</f>
        <v>2018</v>
      </c>
      <c r="U606" s="8" t="s">
        <v>6047</v>
      </c>
      <c r="V606" t="s">
        <v>2320</v>
      </c>
    </row>
    <row r="607" spans="1:22" x14ac:dyDescent="0.35">
      <c r="A607">
        <v>738</v>
      </c>
      <c r="B607" t="s">
        <v>2315</v>
      </c>
      <c r="C607" s="1">
        <v>43121</v>
      </c>
      <c r="D607" s="1">
        <v>43125</v>
      </c>
      <c r="E607" t="s">
        <v>46</v>
      </c>
      <c r="F607" t="s">
        <v>2316</v>
      </c>
      <c r="G607" t="s">
        <v>2317</v>
      </c>
      <c r="H607" t="s">
        <v>98</v>
      </c>
      <c r="I607" t="s">
        <v>23</v>
      </c>
      <c r="J607" t="s">
        <v>91</v>
      </c>
      <c r="K607" t="s">
        <v>92</v>
      </c>
      <c r="L607">
        <v>98115</v>
      </c>
      <c r="M607" t="s">
        <v>40</v>
      </c>
      <c r="N607" t="s">
        <v>2322</v>
      </c>
      <c r="O607" t="s">
        <v>42</v>
      </c>
      <c r="P607" t="s">
        <v>71</v>
      </c>
      <c r="Q607" t="s">
        <v>2323</v>
      </c>
      <c r="R607">
        <v>18.72</v>
      </c>
      <c r="S607" t="str">
        <f>TEXT(sales_data[[#This Row],[Order Date]],"mm")</f>
        <v>01</v>
      </c>
      <c r="T607">
        <f>YEAR(sales_data[[#This Row],[Order Date]])</f>
        <v>2018</v>
      </c>
      <c r="U607" s="8" t="s">
        <v>6052</v>
      </c>
      <c r="V607" t="s">
        <v>2322</v>
      </c>
    </row>
    <row r="608" spans="1:22" x14ac:dyDescent="0.35">
      <c r="A608">
        <v>739</v>
      </c>
      <c r="B608" t="s">
        <v>2324</v>
      </c>
      <c r="C608" s="1">
        <v>42255</v>
      </c>
      <c r="D608" s="1">
        <v>42259</v>
      </c>
      <c r="E608" t="s">
        <v>46</v>
      </c>
      <c r="F608" t="s">
        <v>444</v>
      </c>
      <c r="G608" t="s">
        <v>445</v>
      </c>
      <c r="H608" t="s">
        <v>22</v>
      </c>
      <c r="I608" t="s">
        <v>23</v>
      </c>
      <c r="J608" t="s">
        <v>123</v>
      </c>
      <c r="K608" t="s">
        <v>39</v>
      </c>
      <c r="L608">
        <v>94110</v>
      </c>
      <c r="M608" t="s">
        <v>40</v>
      </c>
      <c r="N608" t="s">
        <v>2325</v>
      </c>
      <c r="O608" t="s">
        <v>67</v>
      </c>
      <c r="P608" t="s">
        <v>156</v>
      </c>
      <c r="Q608" t="s">
        <v>2326</v>
      </c>
      <c r="R608">
        <v>49.98</v>
      </c>
      <c r="S608" t="str">
        <f>TEXT(sales_data[[#This Row],[Order Date]],"mm")</f>
        <v>09</v>
      </c>
      <c r="T608">
        <f>YEAR(sales_data[[#This Row],[Order Date]])</f>
        <v>2015</v>
      </c>
      <c r="U608" s="8" t="s">
        <v>6060</v>
      </c>
      <c r="V608" t="s">
        <v>2325</v>
      </c>
    </row>
    <row r="609" spans="1:22" x14ac:dyDescent="0.35">
      <c r="A609">
        <v>740</v>
      </c>
      <c r="B609" t="s">
        <v>2327</v>
      </c>
      <c r="C609" s="1">
        <v>42008</v>
      </c>
      <c r="D609" s="1">
        <v>42012</v>
      </c>
      <c r="E609" t="s">
        <v>46</v>
      </c>
      <c r="F609" t="s">
        <v>2328</v>
      </c>
      <c r="G609" t="s">
        <v>2329</v>
      </c>
      <c r="H609" t="s">
        <v>98</v>
      </c>
      <c r="I609" t="s">
        <v>23</v>
      </c>
      <c r="J609" t="s">
        <v>205</v>
      </c>
      <c r="K609" t="s">
        <v>206</v>
      </c>
      <c r="L609">
        <v>60540</v>
      </c>
      <c r="M609" t="s">
        <v>101</v>
      </c>
      <c r="N609" t="s">
        <v>2330</v>
      </c>
      <c r="O609" t="s">
        <v>42</v>
      </c>
      <c r="P609" t="s">
        <v>43</v>
      </c>
      <c r="Q609" t="s">
        <v>2331</v>
      </c>
      <c r="R609">
        <v>11.784000000000001</v>
      </c>
      <c r="S609" t="str">
        <f>TEXT(sales_data[[#This Row],[Order Date]],"mm")</f>
        <v>01</v>
      </c>
      <c r="T609">
        <f>YEAR(sales_data[[#This Row],[Order Date]])</f>
        <v>2015</v>
      </c>
      <c r="U609" s="8" t="s">
        <v>6082</v>
      </c>
      <c r="V609" t="s">
        <v>2330</v>
      </c>
    </row>
    <row r="610" spans="1:22" x14ac:dyDescent="0.35">
      <c r="A610">
        <v>742</v>
      </c>
      <c r="B610" t="s">
        <v>2327</v>
      </c>
      <c r="C610" s="1">
        <v>42008</v>
      </c>
      <c r="D610" s="1">
        <v>42012</v>
      </c>
      <c r="E610" t="s">
        <v>46</v>
      </c>
      <c r="F610" t="s">
        <v>2328</v>
      </c>
      <c r="G610" t="s">
        <v>2329</v>
      </c>
      <c r="H610" t="s">
        <v>98</v>
      </c>
      <c r="I610" t="s">
        <v>23</v>
      </c>
      <c r="J610" t="s">
        <v>205</v>
      </c>
      <c r="K610" t="s">
        <v>206</v>
      </c>
      <c r="L610">
        <v>60540</v>
      </c>
      <c r="M610" t="s">
        <v>101</v>
      </c>
      <c r="N610" t="s">
        <v>2332</v>
      </c>
      <c r="O610" t="s">
        <v>42</v>
      </c>
      <c r="P610" t="s">
        <v>71</v>
      </c>
      <c r="Q610" t="s">
        <v>2333</v>
      </c>
      <c r="R610">
        <v>3.54</v>
      </c>
      <c r="S610" t="str">
        <f>TEXT(sales_data[[#This Row],[Order Date]],"mm")</f>
        <v>01</v>
      </c>
      <c r="T610">
        <f>YEAR(sales_data[[#This Row],[Order Date]])</f>
        <v>2015</v>
      </c>
      <c r="U610" s="8" t="s">
        <v>6096</v>
      </c>
      <c r="V610" t="s">
        <v>2332</v>
      </c>
    </row>
    <row r="611" spans="1:22" x14ac:dyDescent="0.35">
      <c r="A611">
        <v>745</v>
      </c>
      <c r="B611" t="s">
        <v>2334</v>
      </c>
      <c r="C611" s="1">
        <v>42974</v>
      </c>
      <c r="D611" s="1">
        <v>42979</v>
      </c>
      <c r="E611" t="s">
        <v>46</v>
      </c>
      <c r="F611" t="s">
        <v>2335</v>
      </c>
      <c r="G611" t="s">
        <v>2336</v>
      </c>
      <c r="H611" t="s">
        <v>22</v>
      </c>
      <c r="I611" t="s">
        <v>23</v>
      </c>
      <c r="J611" t="s">
        <v>807</v>
      </c>
      <c r="K611" t="s">
        <v>100</v>
      </c>
      <c r="L611">
        <v>75220</v>
      </c>
      <c r="M611" t="s">
        <v>101</v>
      </c>
      <c r="N611" t="s">
        <v>2337</v>
      </c>
      <c r="O611" t="s">
        <v>42</v>
      </c>
      <c r="P611" t="s">
        <v>86</v>
      </c>
      <c r="Q611" t="s">
        <v>2338</v>
      </c>
      <c r="R611">
        <v>4.6239999999999997</v>
      </c>
      <c r="S611" t="str">
        <f>TEXT(sales_data[[#This Row],[Order Date]],"mm")</f>
        <v>08</v>
      </c>
      <c r="T611">
        <f>YEAR(sales_data[[#This Row],[Order Date]])</f>
        <v>2017</v>
      </c>
      <c r="U611" s="8" t="s">
        <v>6178</v>
      </c>
      <c r="V611" t="s">
        <v>2337</v>
      </c>
    </row>
    <row r="612" spans="1:22" x14ac:dyDescent="0.35">
      <c r="A612">
        <v>746</v>
      </c>
      <c r="B612" t="s">
        <v>2334</v>
      </c>
      <c r="C612" s="1">
        <v>42974</v>
      </c>
      <c r="D612" s="1">
        <v>42979</v>
      </c>
      <c r="E612" t="s">
        <v>46</v>
      </c>
      <c r="F612" t="s">
        <v>2335</v>
      </c>
      <c r="G612" t="s">
        <v>2336</v>
      </c>
      <c r="H612" t="s">
        <v>22</v>
      </c>
      <c r="I612" t="s">
        <v>23</v>
      </c>
      <c r="J612" t="s">
        <v>807</v>
      </c>
      <c r="K612" t="s">
        <v>100</v>
      </c>
      <c r="L612">
        <v>75220</v>
      </c>
      <c r="M612" t="s">
        <v>101</v>
      </c>
      <c r="N612" t="s">
        <v>2339</v>
      </c>
      <c r="O612" t="s">
        <v>42</v>
      </c>
      <c r="P612" t="s">
        <v>573</v>
      </c>
      <c r="Q612" t="s">
        <v>2340</v>
      </c>
      <c r="R612">
        <v>55.167999999999999</v>
      </c>
      <c r="S612" t="str">
        <f>TEXT(sales_data[[#This Row],[Order Date]],"mm")</f>
        <v>08</v>
      </c>
      <c r="T612">
        <f>YEAR(sales_data[[#This Row],[Order Date]])</f>
        <v>2017</v>
      </c>
      <c r="U612" s="7" t="s">
        <v>6182</v>
      </c>
      <c r="V612" t="s">
        <v>2339</v>
      </c>
    </row>
    <row r="613" spans="1:22" x14ac:dyDescent="0.35">
      <c r="A613">
        <v>749</v>
      </c>
      <c r="B613" t="s">
        <v>2341</v>
      </c>
      <c r="C613" s="1">
        <v>42814</v>
      </c>
      <c r="D613" s="1">
        <v>42816</v>
      </c>
      <c r="E613" t="s">
        <v>19</v>
      </c>
      <c r="F613" t="s">
        <v>2342</v>
      </c>
      <c r="G613" t="s">
        <v>2343</v>
      </c>
      <c r="H613" t="s">
        <v>22</v>
      </c>
      <c r="I613" t="s">
        <v>23</v>
      </c>
      <c r="J613" t="s">
        <v>2344</v>
      </c>
      <c r="K613" t="s">
        <v>206</v>
      </c>
      <c r="L613">
        <v>60201</v>
      </c>
      <c r="M613" t="s">
        <v>101</v>
      </c>
      <c r="N613" t="s">
        <v>2345</v>
      </c>
      <c r="O613" t="s">
        <v>67</v>
      </c>
      <c r="P613" t="s">
        <v>68</v>
      </c>
      <c r="Q613" t="s">
        <v>2346</v>
      </c>
      <c r="R613">
        <v>11.992000000000001</v>
      </c>
      <c r="S613" t="str">
        <f>TEXT(sales_data[[#This Row],[Order Date]],"mm")</f>
        <v>03</v>
      </c>
      <c r="T613">
        <f>YEAR(sales_data[[#This Row],[Order Date]])</f>
        <v>2017</v>
      </c>
      <c r="U613" s="8" t="s">
        <v>6240</v>
      </c>
      <c r="V613" t="s">
        <v>2345</v>
      </c>
    </row>
    <row r="614" spans="1:22" x14ac:dyDescent="0.35">
      <c r="A614">
        <v>750</v>
      </c>
      <c r="B614" t="s">
        <v>2347</v>
      </c>
      <c r="C614" s="1">
        <v>43375</v>
      </c>
      <c r="D614" s="1">
        <v>43379</v>
      </c>
      <c r="E614" t="s">
        <v>46</v>
      </c>
      <c r="F614" t="s">
        <v>2348</v>
      </c>
      <c r="G614" t="s">
        <v>2349</v>
      </c>
      <c r="H614" t="s">
        <v>22</v>
      </c>
      <c r="I614" t="s">
        <v>23</v>
      </c>
      <c r="J614" t="s">
        <v>2350</v>
      </c>
      <c r="K614" t="s">
        <v>233</v>
      </c>
      <c r="L614">
        <v>48183</v>
      </c>
      <c r="M614" t="s">
        <v>101</v>
      </c>
      <c r="N614" t="s">
        <v>2351</v>
      </c>
      <c r="O614" t="s">
        <v>42</v>
      </c>
      <c r="P614" t="s">
        <v>71</v>
      </c>
      <c r="Q614" t="s">
        <v>2352</v>
      </c>
      <c r="R614">
        <v>58.05</v>
      </c>
      <c r="S614" t="str">
        <f>TEXT(sales_data[[#This Row],[Order Date]],"mm")</f>
        <v>10</v>
      </c>
      <c r="T614">
        <f>YEAR(sales_data[[#This Row],[Order Date]])</f>
        <v>2018</v>
      </c>
      <c r="U614" s="7" t="s">
        <v>6257</v>
      </c>
      <c r="V614" t="s">
        <v>2351</v>
      </c>
    </row>
    <row r="615" spans="1:22" x14ac:dyDescent="0.35">
      <c r="A615">
        <v>751</v>
      </c>
      <c r="B615" t="s">
        <v>2347</v>
      </c>
      <c r="C615" s="1">
        <v>43375</v>
      </c>
      <c r="D615" s="1">
        <v>43379</v>
      </c>
      <c r="E615" t="s">
        <v>46</v>
      </c>
      <c r="F615" t="s">
        <v>2348</v>
      </c>
      <c r="G615" t="s">
        <v>2349</v>
      </c>
      <c r="H615" t="s">
        <v>22</v>
      </c>
      <c r="I615" t="s">
        <v>23</v>
      </c>
      <c r="J615" t="s">
        <v>2350</v>
      </c>
      <c r="K615" t="s">
        <v>233</v>
      </c>
      <c r="L615">
        <v>48183</v>
      </c>
      <c r="M615" t="s">
        <v>101</v>
      </c>
      <c r="N615" t="s">
        <v>2353</v>
      </c>
      <c r="O615" t="s">
        <v>28</v>
      </c>
      <c r="P615" t="s">
        <v>61</v>
      </c>
      <c r="Q615" t="s">
        <v>2354</v>
      </c>
      <c r="R615">
        <v>157.74</v>
      </c>
      <c r="S615" t="str">
        <f>TEXT(sales_data[[#This Row],[Order Date]],"mm")</f>
        <v>10</v>
      </c>
      <c r="T615">
        <f>YEAR(sales_data[[#This Row],[Order Date]])</f>
        <v>2018</v>
      </c>
      <c r="U615" s="8" t="s">
        <v>6271</v>
      </c>
      <c r="V615" t="s">
        <v>2353</v>
      </c>
    </row>
    <row r="616" spans="1:22" x14ac:dyDescent="0.35">
      <c r="A616">
        <v>753</v>
      </c>
      <c r="B616" t="s">
        <v>2347</v>
      </c>
      <c r="C616" s="1">
        <v>43375</v>
      </c>
      <c r="D616" s="1">
        <v>43379</v>
      </c>
      <c r="E616" t="s">
        <v>46</v>
      </c>
      <c r="F616" t="s">
        <v>2348</v>
      </c>
      <c r="G616" t="s">
        <v>2349</v>
      </c>
      <c r="H616" t="s">
        <v>22</v>
      </c>
      <c r="I616" t="s">
        <v>23</v>
      </c>
      <c r="J616" t="s">
        <v>2350</v>
      </c>
      <c r="K616" t="s">
        <v>233</v>
      </c>
      <c r="L616">
        <v>48183</v>
      </c>
      <c r="M616" t="s">
        <v>101</v>
      </c>
      <c r="N616" t="s">
        <v>2355</v>
      </c>
      <c r="O616" t="s">
        <v>42</v>
      </c>
      <c r="P616" t="s">
        <v>71</v>
      </c>
      <c r="Q616" t="s">
        <v>2356</v>
      </c>
      <c r="R616">
        <v>2.88</v>
      </c>
      <c r="S616" t="str">
        <f>TEXT(sales_data[[#This Row],[Order Date]],"mm")</f>
        <v>10</v>
      </c>
      <c r="T616">
        <f>YEAR(sales_data[[#This Row],[Order Date]])</f>
        <v>2018</v>
      </c>
      <c r="U616" s="8" t="s">
        <v>6288</v>
      </c>
      <c r="V616" t="s">
        <v>2355</v>
      </c>
    </row>
    <row r="617" spans="1:22" x14ac:dyDescent="0.35">
      <c r="A617">
        <v>754</v>
      </c>
      <c r="B617" t="s">
        <v>2357</v>
      </c>
      <c r="C617" s="1">
        <v>42832</v>
      </c>
      <c r="D617" s="1">
        <v>42834</v>
      </c>
      <c r="E617" t="s">
        <v>183</v>
      </c>
      <c r="F617" t="s">
        <v>2358</v>
      </c>
      <c r="G617" t="s">
        <v>2359</v>
      </c>
      <c r="H617" t="s">
        <v>37</v>
      </c>
      <c r="I617" t="s">
        <v>23</v>
      </c>
      <c r="J617" t="s">
        <v>123</v>
      </c>
      <c r="K617" t="s">
        <v>39</v>
      </c>
      <c r="L617">
        <v>94110</v>
      </c>
      <c r="M617" t="s">
        <v>40</v>
      </c>
      <c r="N617" t="s">
        <v>2360</v>
      </c>
      <c r="O617" t="s">
        <v>67</v>
      </c>
      <c r="P617" t="s">
        <v>1209</v>
      </c>
      <c r="Q617" t="s">
        <v>2361</v>
      </c>
      <c r="R617">
        <v>1199.9760000000001</v>
      </c>
      <c r="S617" t="str">
        <f>TEXT(sales_data[[#This Row],[Order Date]],"mm")</f>
        <v>04</v>
      </c>
      <c r="T617">
        <f>YEAR(sales_data[[#This Row],[Order Date]])</f>
        <v>2017</v>
      </c>
      <c r="U617" s="7" t="s">
        <v>6308</v>
      </c>
      <c r="V617" t="s">
        <v>2360</v>
      </c>
    </row>
    <row r="618" spans="1:22" x14ac:dyDescent="0.35">
      <c r="A618">
        <v>756</v>
      </c>
      <c r="B618" t="s">
        <v>2362</v>
      </c>
      <c r="C618" s="1">
        <v>42996</v>
      </c>
      <c r="D618" s="1">
        <v>43000</v>
      </c>
      <c r="E618" t="s">
        <v>46</v>
      </c>
      <c r="F618" t="s">
        <v>2000</v>
      </c>
      <c r="G618" t="s">
        <v>2001</v>
      </c>
      <c r="H618" t="s">
        <v>37</v>
      </c>
      <c r="I618" t="s">
        <v>23</v>
      </c>
      <c r="J618" t="s">
        <v>1509</v>
      </c>
      <c r="K618" t="s">
        <v>50</v>
      </c>
      <c r="L618">
        <v>32216</v>
      </c>
      <c r="M618" t="s">
        <v>26</v>
      </c>
      <c r="N618" t="s">
        <v>2363</v>
      </c>
      <c r="O618" t="s">
        <v>28</v>
      </c>
      <c r="P618" t="s">
        <v>52</v>
      </c>
      <c r="Q618" t="s">
        <v>2364</v>
      </c>
      <c r="R618">
        <v>383.43799999999999</v>
      </c>
      <c r="S618" t="str">
        <f>TEXT(sales_data[[#This Row],[Order Date]],"mm")</f>
        <v>09</v>
      </c>
      <c r="T618">
        <f>YEAR(sales_data[[#This Row],[Order Date]])</f>
        <v>2017</v>
      </c>
      <c r="U618" s="7" t="s">
        <v>6320</v>
      </c>
      <c r="V618" t="s">
        <v>2363</v>
      </c>
    </row>
    <row r="619" spans="1:22" x14ac:dyDescent="0.35">
      <c r="A619">
        <v>762</v>
      </c>
      <c r="B619" t="s">
        <v>2371</v>
      </c>
      <c r="C619" s="1">
        <v>43407</v>
      </c>
      <c r="D619" s="1">
        <v>43411</v>
      </c>
      <c r="E619" t="s">
        <v>46</v>
      </c>
      <c r="F619" t="s">
        <v>366</v>
      </c>
      <c r="G619" t="s">
        <v>367</v>
      </c>
      <c r="H619" t="s">
        <v>37</v>
      </c>
      <c r="I619" t="s">
        <v>23</v>
      </c>
      <c r="J619" t="s">
        <v>1720</v>
      </c>
      <c r="K619" t="s">
        <v>1261</v>
      </c>
      <c r="L619">
        <v>30318</v>
      </c>
      <c r="M619" t="s">
        <v>26</v>
      </c>
      <c r="N619" t="s">
        <v>2372</v>
      </c>
      <c r="O619" t="s">
        <v>42</v>
      </c>
      <c r="P619" t="s">
        <v>43</v>
      </c>
      <c r="Q619" t="s">
        <v>2373</v>
      </c>
      <c r="R619">
        <v>12.39</v>
      </c>
      <c r="S619" t="str">
        <f>TEXT(sales_data[[#This Row],[Order Date]],"mm")</f>
        <v>11</v>
      </c>
      <c r="T619">
        <f>YEAR(sales_data[[#This Row],[Order Date]])</f>
        <v>2018</v>
      </c>
      <c r="U619" s="8" t="s">
        <v>6396</v>
      </c>
      <c r="V619" t="s">
        <v>2372</v>
      </c>
    </row>
    <row r="620" spans="1:22" x14ac:dyDescent="0.35">
      <c r="A620">
        <v>765</v>
      </c>
      <c r="B620" t="s">
        <v>2376</v>
      </c>
      <c r="C620" s="1">
        <v>42017</v>
      </c>
      <c r="D620" s="1">
        <v>42019</v>
      </c>
      <c r="E620" t="s">
        <v>19</v>
      </c>
      <c r="F620" t="s">
        <v>2377</v>
      </c>
      <c r="G620" t="s">
        <v>2378</v>
      </c>
      <c r="H620" t="s">
        <v>37</v>
      </c>
      <c r="I620" t="s">
        <v>23</v>
      </c>
      <c r="J620" t="s">
        <v>2379</v>
      </c>
      <c r="K620" t="s">
        <v>729</v>
      </c>
      <c r="L620">
        <v>71111</v>
      </c>
      <c r="M620" t="s">
        <v>26</v>
      </c>
      <c r="N620" t="s">
        <v>2380</v>
      </c>
      <c r="O620" t="s">
        <v>42</v>
      </c>
      <c r="P620" t="s">
        <v>168</v>
      </c>
      <c r="Q620" t="s">
        <v>2381</v>
      </c>
      <c r="R620">
        <v>50.94</v>
      </c>
      <c r="S620" t="str">
        <f>TEXT(sales_data[[#This Row],[Order Date]],"mm")</f>
        <v>01</v>
      </c>
      <c r="T620">
        <f>YEAR(sales_data[[#This Row],[Order Date]])</f>
        <v>2015</v>
      </c>
      <c r="U620" s="8" t="s">
        <v>6433</v>
      </c>
      <c r="V620" t="s">
        <v>2380</v>
      </c>
    </row>
    <row r="621" spans="1:22" x14ac:dyDescent="0.35">
      <c r="A621">
        <v>766</v>
      </c>
      <c r="B621" t="s">
        <v>2376</v>
      </c>
      <c r="C621" s="1">
        <v>42017</v>
      </c>
      <c r="D621" s="1">
        <v>42019</v>
      </c>
      <c r="E621" t="s">
        <v>19</v>
      </c>
      <c r="F621" t="s">
        <v>2377</v>
      </c>
      <c r="G621" t="s">
        <v>2378</v>
      </c>
      <c r="H621" t="s">
        <v>37</v>
      </c>
      <c r="I621" t="s">
        <v>23</v>
      </c>
      <c r="J621" t="s">
        <v>2379</v>
      </c>
      <c r="K621" t="s">
        <v>729</v>
      </c>
      <c r="L621">
        <v>71111</v>
      </c>
      <c r="M621" t="s">
        <v>26</v>
      </c>
      <c r="N621" t="s">
        <v>2382</v>
      </c>
      <c r="O621" t="s">
        <v>67</v>
      </c>
      <c r="P621" t="s">
        <v>156</v>
      </c>
      <c r="Q621" t="s">
        <v>2383</v>
      </c>
      <c r="R621">
        <v>646.74</v>
      </c>
      <c r="S621" t="str">
        <f>TEXT(sales_data[[#This Row],[Order Date]],"mm")</f>
        <v>01</v>
      </c>
      <c r="T621">
        <f>YEAR(sales_data[[#This Row],[Order Date]])</f>
        <v>2015</v>
      </c>
      <c r="U621" s="8" t="s">
        <v>6434</v>
      </c>
      <c r="V621" t="s">
        <v>2382</v>
      </c>
    </row>
    <row r="622" spans="1:22" x14ac:dyDescent="0.35">
      <c r="A622">
        <v>767</v>
      </c>
      <c r="B622" t="s">
        <v>2376</v>
      </c>
      <c r="C622" s="1">
        <v>42017</v>
      </c>
      <c r="D622" s="1">
        <v>42019</v>
      </c>
      <c r="E622" t="s">
        <v>19</v>
      </c>
      <c r="F622" t="s">
        <v>2377</v>
      </c>
      <c r="G622" t="s">
        <v>2378</v>
      </c>
      <c r="H622" t="s">
        <v>37</v>
      </c>
      <c r="I622" t="s">
        <v>23</v>
      </c>
      <c r="J622" t="s">
        <v>2379</v>
      </c>
      <c r="K622" t="s">
        <v>729</v>
      </c>
      <c r="L622">
        <v>71111</v>
      </c>
      <c r="M622" t="s">
        <v>26</v>
      </c>
      <c r="N622" t="s">
        <v>2384</v>
      </c>
      <c r="O622" t="s">
        <v>42</v>
      </c>
      <c r="P622" t="s">
        <v>71</v>
      </c>
      <c r="Q622" t="s">
        <v>2385</v>
      </c>
      <c r="R622">
        <v>5.64</v>
      </c>
      <c r="S622" t="str">
        <f>TEXT(sales_data[[#This Row],[Order Date]],"mm")</f>
        <v>01</v>
      </c>
      <c r="T622">
        <f>YEAR(sales_data[[#This Row],[Order Date]])</f>
        <v>2015</v>
      </c>
      <c r="U622" s="8" t="s">
        <v>6454</v>
      </c>
      <c r="V622" t="s">
        <v>2384</v>
      </c>
    </row>
    <row r="623" spans="1:22" x14ac:dyDescent="0.35">
      <c r="A623">
        <v>768</v>
      </c>
      <c r="B623" t="s">
        <v>2376</v>
      </c>
      <c r="C623" s="1">
        <v>42017</v>
      </c>
      <c r="D623" s="1">
        <v>42019</v>
      </c>
      <c r="E623" t="s">
        <v>19</v>
      </c>
      <c r="F623" t="s">
        <v>2377</v>
      </c>
      <c r="G623" t="s">
        <v>2378</v>
      </c>
      <c r="H623" t="s">
        <v>37</v>
      </c>
      <c r="I623" t="s">
        <v>23</v>
      </c>
      <c r="J623" t="s">
        <v>2379</v>
      </c>
      <c r="K623" t="s">
        <v>729</v>
      </c>
      <c r="L623">
        <v>71111</v>
      </c>
      <c r="M623" t="s">
        <v>26</v>
      </c>
      <c r="N623" t="s">
        <v>2386</v>
      </c>
      <c r="O623" t="s">
        <v>42</v>
      </c>
      <c r="P623" t="s">
        <v>55</v>
      </c>
      <c r="Q623" t="s">
        <v>2387</v>
      </c>
      <c r="R623">
        <v>572.58000000000004</v>
      </c>
      <c r="S623" t="str">
        <f>TEXT(sales_data[[#This Row],[Order Date]],"mm")</f>
        <v>01</v>
      </c>
      <c r="T623">
        <f>YEAR(sales_data[[#This Row],[Order Date]])</f>
        <v>2015</v>
      </c>
      <c r="U623" s="7" t="s">
        <v>6461</v>
      </c>
      <c r="V623" t="s">
        <v>2386</v>
      </c>
    </row>
    <row r="624" spans="1:22" x14ac:dyDescent="0.35">
      <c r="A624">
        <v>769</v>
      </c>
      <c r="B624" t="s">
        <v>2388</v>
      </c>
      <c r="C624" s="1">
        <v>42138</v>
      </c>
      <c r="D624" s="1">
        <v>42144</v>
      </c>
      <c r="E624" t="s">
        <v>46</v>
      </c>
      <c r="F624" t="s">
        <v>2389</v>
      </c>
      <c r="G624" t="s">
        <v>2390</v>
      </c>
      <c r="H624" t="s">
        <v>37</v>
      </c>
      <c r="I624" t="s">
        <v>23</v>
      </c>
      <c r="J624" t="s">
        <v>1144</v>
      </c>
      <c r="K624" t="s">
        <v>50</v>
      </c>
      <c r="L624">
        <v>33710</v>
      </c>
      <c r="M624" t="s">
        <v>26</v>
      </c>
      <c r="N624" t="s">
        <v>2391</v>
      </c>
      <c r="O624" t="s">
        <v>28</v>
      </c>
      <c r="P624" t="s">
        <v>61</v>
      </c>
      <c r="Q624" t="s">
        <v>2392</v>
      </c>
      <c r="R624">
        <v>310.88</v>
      </c>
      <c r="S624" t="str">
        <f>TEXT(sales_data[[#This Row],[Order Date]],"mm")</f>
        <v>05</v>
      </c>
      <c r="T624">
        <f>YEAR(sales_data[[#This Row],[Order Date]])</f>
        <v>2015</v>
      </c>
      <c r="U624" s="8" t="s">
        <v>6479</v>
      </c>
      <c r="V624" t="s">
        <v>2391</v>
      </c>
    </row>
    <row r="625" spans="1:22" x14ac:dyDescent="0.35">
      <c r="A625">
        <v>770</v>
      </c>
      <c r="B625" t="s">
        <v>2393</v>
      </c>
      <c r="C625" s="1">
        <v>42874</v>
      </c>
      <c r="D625" s="1">
        <v>42879</v>
      </c>
      <c r="E625" t="s">
        <v>46</v>
      </c>
      <c r="F625" t="s">
        <v>816</v>
      </c>
      <c r="G625" t="s">
        <v>817</v>
      </c>
      <c r="H625" t="s">
        <v>22</v>
      </c>
      <c r="I625" t="s">
        <v>23</v>
      </c>
      <c r="J625" t="s">
        <v>1120</v>
      </c>
      <c r="K625" t="s">
        <v>314</v>
      </c>
      <c r="L625">
        <v>22204</v>
      </c>
      <c r="M625" t="s">
        <v>26</v>
      </c>
      <c r="N625" t="s">
        <v>2394</v>
      </c>
      <c r="O625" t="s">
        <v>28</v>
      </c>
      <c r="P625" t="s">
        <v>32</v>
      </c>
      <c r="Q625" t="s">
        <v>2395</v>
      </c>
      <c r="R625">
        <v>641.96</v>
      </c>
      <c r="S625" t="str">
        <f>TEXT(sales_data[[#This Row],[Order Date]],"mm")</f>
        <v>05</v>
      </c>
      <c r="T625">
        <f>YEAR(sales_data[[#This Row],[Order Date]])</f>
        <v>2017</v>
      </c>
      <c r="U625" s="8" t="s">
        <v>6483</v>
      </c>
      <c r="V625" t="s">
        <v>2394</v>
      </c>
    </row>
    <row r="626" spans="1:22" x14ac:dyDescent="0.35">
      <c r="A626">
        <v>771</v>
      </c>
      <c r="B626" t="s">
        <v>2396</v>
      </c>
      <c r="C626" s="1">
        <v>43130</v>
      </c>
      <c r="D626" s="1">
        <v>43136</v>
      </c>
      <c r="E626" t="s">
        <v>46</v>
      </c>
      <c r="F626" t="s">
        <v>2397</v>
      </c>
      <c r="G626" t="s">
        <v>2398</v>
      </c>
      <c r="H626" t="s">
        <v>37</v>
      </c>
      <c r="I626" t="s">
        <v>23</v>
      </c>
      <c r="J626" t="s">
        <v>1365</v>
      </c>
      <c r="K626" t="s">
        <v>484</v>
      </c>
      <c r="L626">
        <v>50315</v>
      </c>
      <c r="M626" t="s">
        <v>101</v>
      </c>
      <c r="N626" t="s">
        <v>2399</v>
      </c>
      <c r="O626" t="s">
        <v>42</v>
      </c>
      <c r="P626" t="s">
        <v>71</v>
      </c>
      <c r="Q626" t="s">
        <v>2400</v>
      </c>
      <c r="R626">
        <v>18.28</v>
      </c>
      <c r="S626" t="str">
        <f>TEXT(sales_data[[#This Row],[Order Date]],"mm")</f>
        <v>01</v>
      </c>
      <c r="T626">
        <f>YEAR(sales_data[[#This Row],[Order Date]])</f>
        <v>2018</v>
      </c>
      <c r="U626" s="8" t="s">
        <v>6488</v>
      </c>
      <c r="V626" t="s">
        <v>2399</v>
      </c>
    </row>
    <row r="627" spans="1:22" x14ac:dyDescent="0.35">
      <c r="A627">
        <v>773</v>
      </c>
      <c r="B627" t="s">
        <v>2396</v>
      </c>
      <c r="C627" s="1">
        <v>43130</v>
      </c>
      <c r="D627" s="1">
        <v>43136</v>
      </c>
      <c r="E627" t="s">
        <v>46</v>
      </c>
      <c r="F627" t="s">
        <v>2397</v>
      </c>
      <c r="G627" t="s">
        <v>2398</v>
      </c>
      <c r="H627" t="s">
        <v>37</v>
      </c>
      <c r="I627" t="s">
        <v>23</v>
      </c>
      <c r="J627" t="s">
        <v>1365</v>
      </c>
      <c r="K627" t="s">
        <v>484</v>
      </c>
      <c r="L627">
        <v>50315</v>
      </c>
      <c r="M627" t="s">
        <v>101</v>
      </c>
      <c r="N627" t="s">
        <v>2401</v>
      </c>
      <c r="O627" t="s">
        <v>42</v>
      </c>
      <c r="P627" t="s">
        <v>71</v>
      </c>
      <c r="Q627" t="s">
        <v>2402</v>
      </c>
      <c r="R627">
        <v>32.35</v>
      </c>
      <c r="S627" t="str">
        <f>TEXT(sales_data[[#This Row],[Order Date]],"mm")</f>
        <v>01</v>
      </c>
      <c r="T627">
        <f>YEAR(sales_data[[#This Row],[Order Date]])</f>
        <v>2018</v>
      </c>
      <c r="U627" s="8" t="s">
        <v>6516</v>
      </c>
      <c r="V627" t="s">
        <v>2401</v>
      </c>
    </row>
    <row r="628" spans="1:22" x14ac:dyDescent="0.35">
      <c r="A628">
        <v>775</v>
      </c>
      <c r="B628" t="s">
        <v>2396</v>
      </c>
      <c r="C628" s="1">
        <v>43130</v>
      </c>
      <c r="D628" s="1">
        <v>43136</v>
      </c>
      <c r="E628" t="s">
        <v>46</v>
      </c>
      <c r="F628" t="s">
        <v>2397</v>
      </c>
      <c r="G628" t="s">
        <v>2398</v>
      </c>
      <c r="H628" t="s">
        <v>37</v>
      </c>
      <c r="I628" t="s">
        <v>23</v>
      </c>
      <c r="J628" t="s">
        <v>1365</v>
      </c>
      <c r="K628" t="s">
        <v>484</v>
      </c>
      <c r="L628">
        <v>50315</v>
      </c>
      <c r="M628" t="s">
        <v>101</v>
      </c>
      <c r="N628" t="s">
        <v>2403</v>
      </c>
      <c r="O628" t="s">
        <v>42</v>
      </c>
      <c r="P628" t="s">
        <v>64</v>
      </c>
      <c r="Q628" t="s">
        <v>2404</v>
      </c>
      <c r="R628">
        <v>40.299999999999997</v>
      </c>
      <c r="S628" t="str">
        <f>TEXT(sales_data[[#This Row],[Order Date]],"mm")</f>
        <v>01</v>
      </c>
      <c r="T628">
        <f>YEAR(sales_data[[#This Row],[Order Date]])</f>
        <v>2018</v>
      </c>
      <c r="U628" s="8" t="s">
        <v>6530</v>
      </c>
      <c r="V628" t="s">
        <v>2403</v>
      </c>
    </row>
    <row r="629" spans="1:22" x14ac:dyDescent="0.35">
      <c r="A629">
        <v>776</v>
      </c>
      <c r="B629" t="s">
        <v>2396</v>
      </c>
      <c r="C629" s="1">
        <v>43130</v>
      </c>
      <c r="D629" s="1">
        <v>43136</v>
      </c>
      <c r="E629" t="s">
        <v>46</v>
      </c>
      <c r="F629" t="s">
        <v>2397</v>
      </c>
      <c r="G629" t="s">
        <v>2398</v>
      </c>
      <c r="H629" t="s">
        <v>37</v>
      </c>
      <c r="I629" t="s">
        <v>23</v>
      </c>
      <c r="J629" t="s">
        <v>1365</v>
      </c>
      <c r="K629" t="s">
        <v>484</v>
      </c>
      <c r="L629">
        <v>50315</v>
      </c>
      <c r="M629" t="s">
        <v>101</v>
      </c>
      <c r="N629" t="s">
        <v>2405</v>
      </c>
      <c r="O629" t="s">
        <v>28</v>
      </c>
      <c r="P629" t="s">
        <v>61</v>
      </c>
      <c r="Q629" t="s">
        <v>2406</v>
      </c>
      <c r="R629">
        <v>34.58</v>
      </c>
      <c r="S629" t="str">
        <f>TEXT(sales_data[[#This Row],[Order Date]],"mm")</f>
        <v>01</v>
      </c>
      <c r="T629">
        <f>YEAR(sales_data[[#This Row],[Order Date]])</f>
        <v>2018</v>
      </c>
      <c r="U629" s="8" t="s">
        <v>6534</v>
      </c>
      <c r="V629" t="s">
        <v>2405</v>
      </c>
    </row>
    <row r="630" spans="1:22" x14ac:dyDescent="0.35">
      <c r="A630">
        <v>777</v>
      </c>
      <c r="B630" t="s">
        <v>2407</v>
      </c>
      <c r="C630" s="1">
        <v>42184</v>
      </c>
      <c r="D630" s="1">
        <v>42191</v>
      </c>
      <c r="E630" t="s">
        <v>46</v>
      </c>
      <c r="F630" t="s">
        <v>2408</v>
      </c>
      <c r="G630" t="s">
        <v>2409</v>
      </c>
      <c r="H630" t="s">
        <v>22</v>
      </c>
      <c r="I630" t="s">
        <v>23</v>
      </c>
      <c r="J630" t="s">
        <v>1000</v>
      </c>
      <c r="K630" t="s">
        <v>493</v>
      </c>
      <c r="L630">
        <v>45231</v>
      </c>
      <c r="M630" t="s">
        <v>144</v>
      </c>
      <c r="N630" t="s">
        <v>2410</v>
      </c>
      <c r="O630" t="s">
        <v>42</v>
      </c>
      <c r="P630" t="s">
        <v>64</v>
      </c>
      <c r="Q630" t="s">
        <v>2411</v>
      </c>
      <c r="R630">
        <v>32.76</v>
      </c>
      <c r="S630" t="str">
        <f>TEXT(sales_data[[#This Row],[Order Date]],"mm")</f>
        <v>06</v>
      </c>
      <c r="T630">
        <f>YEAR(sales_data[[#This Row],[Order Date]])</f>
        <v>2015</v>
      </c>
      <c r="U630" s="8" t="s">
        <v>6572</v>
      </c>
      <c r="V630" t="s">
        <v>2410</v>
      </c>
    </row>
    <row r="631" spans="1:22" x14ac:dyDescent="0.35">
      <c r="A631">
        <v>778</v>
      </c>
      <c r="B631" t="s">
        <v>2412</v>
      </c>
      <c r="C631" s="1">
        <v>42603</v>
      </c>
      <c r="D631" s="1">
        <v>42605</v>
      </c>
      <c r="E631" t="s">
        <v>183</v>
      </c>
      <c r="F631" t="s">
        <v>1061</v>
      </c>
      <c r="G631" t="s">
        <v>1062</v>
      </c>
      <c r="H631" t="s">
        <v>98</v>
      </c>
      <c r="I631" t="s">
        <v>23</v>
      </c>
      <c r="J631" t="s">
        <v>123</v>
      </c>
      <c r="K631" t="s">
        <v>39</v>
      </c>
      <c r="L631">
        <v>94110</v>
      </c>
      <c r="M631" t="s">
        <v>40</v>
      </c>
      <c r="N631" t="s">
        <v>2413</v>
      </c>
      <c r="O631" t="s">
        <v>28</v>
      </c>
      <c r="P631" t="s">
        <v>32</v>
      </c>
      <c r="Q631" t="s">
        <v>2414</v>
      </c>
      <c r="R631">
        <v>544.00800000000004</v>
      </c>
      <c r="S631" t="str">
        <f>TEXT(sales_data[[#This Row],[Order Date]],"mm")</f>
        <v>08</v>
      </c>
      <c r="T631">
        <f>YEAR(sales_data[[#This Row],[Order Date]])</f>
        <v>2016</v>
      </c>
      <c r="U631" s="7" t="s">
        <v>6573</v>
      </c>
      <c r="V631" t="s">
        <v>2413</v>
      </c>
    </row>
    <row r="632" spans="1:22" x14ac:dyDescent="0.35">
      <c r="A632">
        <v>781</v>
      </c>
      <c r="B632" t="s">
        <v>2412</v>
      </c>
      <c r="C632" s="1">
        <v>42603</v>
      </c>
      <c r="D632" s="1">
        <v>42605</v>
      </c>
      <c r="E632" t="s">
        <v>183</v>
      </c>
      <c r="F632" t="s">
        <v>1061</v>
      </c>
      <c r="G632" t="s">
        <v>1062</v>
      </c>
      <c r="H632" t="s">
        <v>98</v>
      </c>
      <c r="I632" t="s">
        <v>23</v>
      </c>
      <c r="J632" t="s">
        <v>123</v>
      </c>
      <c r="K632" t="s">
        <v>39</v>
      </c>
      <c r="L632">
        <v>94110</v>
      </c>
      <c r="M632" t="s">
        <v>40</v>
      </c>
      <c r="N632" t="s">
        <v>2415</v>
      </c>
      <c r="O632" t="s">
        <v>42</v>
      </c>
      <c r="P632" t="s">
        <v>86</v>
      </c>
      <c r="Q632" t="s">
        <v>2416</v>
      </c>
      <c r="R632">
        <v>4.28</v>
      </c>
      <c r="S632" t="str">
        <f>TEXT(sales_data[[#This Row],[Order Date]],"mm")</f>
        <v>08</v>
      </c>
      <c r="T632">
        <f>YEAR(sales_data[[#This Row],[Order Date]])</f>
        <v>2016</v>
      </c>
      <c r="U632" s="8" t="s">
        <v>6612</v>
      </c>
      <c r="V632" t="s">
        <v>2415</v>
      </c>
    </row>
    <row r="633" spans="1:22" x14ac:dyDescent="0.35">
      <c r="A633">
        <v>784</v>
      </c>
      <c r="B633" t="s">
        <v>2417</v>
      </c>
      <c r="C633" s="1">
        <v>42646</v>
      </c>
      <c r="D633" s="1">
        <v>42649</v>
      </c>
      <c r="E633" t="s">
        <v>19</v>
      </c>
      <c r="F633" t="s">
        <v>2418</v>
      </c>
      <c r="G633" t="s">
        <v>2419</v>
      </c>
      <c r="H633" t="s">
        <v>22</v>
      </c>
      <c r="I633" t="s">
        <v>23</v>
      </c>
      <c r="J633" t="s">
        <v>492</v>
      </c>
      <c r="K633" t="s">
        <v>493</v>
      </c>
      <c r="L633">
        <v>43229</v>
      </c>
      <c r="M633" t="s">
        <v>144</v>
      </c>
      <c r="N633" t="s">
        <v>2420</v>
      </c>
      <c r="O633" t="s">
        <v>28</v>
      </c>
      <c r="P633" t="s">
        <v>29</v>
      </c>
      <c r="Q633" t="s">
        <v>2421</v>
      </c>
      <c r="R633">
        <v>35.49</v>
      </c>
      <c r="S633" t="str">
        <f>TEXT(sales_data[[#This Row],[Order Date]],"mm")</f>
        <v>10</v>
      </c>
      <c r="T633">
        <f>YEAR(sales_data[[#This Row],[Order Date]])</f>
        <v>2016</v>
      </c>
      <c r="U633" s="7" t="s">
        <v>6683</v>
      </c>
      <c r="V633" t="s">
        <v>2420</v>
      </c>
    </row>
    <row r="634" spans="1:22" x14ac:dyDescent="0.35">
      <c r="A634">
        <v>785</v>
      </c>
      <c r="B634" t="s">
        <v>2417</v>
      </c>
      <c r="C634" s="1">
        <v>42646</v>
      </c>
      <c r="D634" s="1">
        <v>42649</v>
      </c>
      <c r="E634" t="s">
        <v>19</v>
      </c>
      <c r="F634" t="s">
        <v>2418</v>
      </c>
      <c r="G634" t="s">
        <v>2419</v>
      </c>
      <c r="H634" t="s">
        <v>22</v>
      </c>
      <c r="I634" t="s">
        <v>23</v>
      </c>
      <c r="J634" t="s">
        <v>492</v>
      </c>
      <c r="K634" t="s">
        <v>493</v>
      </c>
      <c r="L634">
        <v>43229</v>
      </c>
      <c r="M634" t="s">
        <v>144</v>
      </c>
      <c r="N634" t="s">
        <v>2422</v>
      </c>
      <c r="O634" t="s">
        <v>67</v>
      </c>
      <c r="P634" t="s">
        <v>156</v>
      </c>
      <c r="Q634" t="s">
        <v>2423</v>
      </c>
      <c r="R634">
        <v>47.984000000000002</v>
      </c>
      <c r="S634" t="str">
        <f>TEXT(sales_data[[#This Row],[Order Date]],"mm")</f>
        <v>10</v>
      </c>
      <c r="T634">
        <f>YEAR(sales_data[[#This Row],[Order Date]])</f>
        <v>2016</v>
      </c>
      <c r="U634" s="8" t="s">
        <v>6711</v>
      </c>
      <c r="V634" t="s">
        <v>2422</v>
      </c>
    </row>
    <row r="635" spans="1:22" x14ac:dyDescent="0.35">
      <c r="A635">
        <v>786</v>
      </c>
      <c r="B635" t="s">
        <v>2424</v>
      </c>
      <c r="C635" s="1">
        <v>42513</v>
      </c>
      <c r="D635" s="1">
        <v>42518</v>
      </c>
      <c r="E635" t="s">
        <v>46</v>
      </c>
      <c r="F635" t="s">
        <v>887</v>
      </c>
      <c r="G635" t="s">
        <v>888</v>
      </c>
      <c r="H635" t="s">
        <v>37</v>
      </c>
      <c r="I635" t="s">
        <v>23</v>
      </c>
      <c r="J635" t="s">
        <v>377</v>
      </c>
      <c r="K635" t="s">
        <v>378</v>
      </c>
      <c r="L635">
        <v>29203</v>
      </c>
      <c r="M635" t="s">
        <v>26</v>
      </c>
      <c r="N635" t="s">
        <v>2425</v>
      </c>
      <c r="O635" t="s">
        <v>42</v>
      </c>
      <c r="P635" t="s">
        <v>168</v>
      </c>
      <c r="Q635" t="s">
        <v>2426</v>
      </c>
      <c r="R635">
        <v>186.69</v>
      </c>
      <c r="S635" t="str">
        <f>TEXT(sales_data[[#This Row],[Order Date]],"mm")</f>
        <v>05</v>
      </c>
      <c r="T635">
        <f>YEAR(sales_data[[#This Row],[Order Date]])</f>
        <v>2016</v>
      </c>
      <c r="U635" s="7" t="s">
        <v>6718</v>
      </c>
      <c r="V635" t="s">
        <v>2425</v>
      </c>
    </row>
    <row r="636" spans="1:22" x14ac:dyDescent="0.35">
      <c r="A636">
        <v>787</v>
      </c>
      <c r="B636" t="s">
        <v>2427</v>
      </c>
      <c r="C636" s="1">
        <v>43176</v>
      </c>
      <c r="D636" s="1">
        <v>43180</v>
      </c>
      <c r="E636" t="s">
        <v>19</v>
      </c>
      <c r="F636" t="s">
        <v>481</v>
      </c>
      <c r="G636" t="s">
        <v>482</v>
      </c>
      <c r="H636" t="s">
        <v>22</v>
      </c>
      <c r="I636" t="s">
        <v>23</v>
      </c>
      <c r="J636" t="s">
        <v>2428</v>
      </c>
      <c r="K636" t="s">
        <v>39</v>
      </c>
      <c r="L636">
        <v>93534</v>
      </c>
      <c r="M636" t="s">
        <v>40</v>
      </c>
      <c r="N636" t="s">
        <v>2429</v>
      </c>
      <c r="O636" t="s">
        <v>42</v>
      </c>
      <c r="P636" t="s">
        <v>71</v>
      </c>
      <c r="Q636" t="s">
        <v>2430</v>
      </c>
      <c r="R636">
        <v>17.456</v>
      </c>
      <c r="S636" t="str">
        <f>TEXT(sales_data[[#This Row],[Order Date]],"mm")</f>
        <v>03</v>
      </c>
      <c r="T636">
        <f>YEAR(sales_data[[#This Row],[Order Date]])</f>
        <v>2018</v>
      </c>
      <c r="U636" s="8" t="s">
        <v>6740</v>
      </c>
      <c r="V636" t="s">
        <v>2429</v>
      </c>
    </row>
    <row r="637" spans="1:22" x14ac:dyDescent="0.35">
      <c r="A637">
        <v>788</v>
      </c>
      <c r="B637" t="s">
        <v>2431</v>
      </c>
      <c r="C637" s="1">
        <v>42716</v>
      </c>
      <c r="D637" s="1">
        <v>42720</v>
      </c>
      <c r="E637" t="s">
        <v>46</v>
      </c>
      <c r="F637" t="s">
        <v>2432</v>
      </c>
      <c r="G637" t="s">
        <v>2433</v>
      </c>
      <c r="H637" t="s">
        <v>22</v>
      </c>
      <c r="I637" t="s">
        <v>23</v>
      </c>
      <c r="J637" t="s">
        <v>2428</v>
      </c>
      <c r="K637" t="s">
        <v>39</v>
      </c>
      <c r="L637">
        <v>93534</v>
      </c>
      <c r="M637" t="s">
        <v>40</v>
      </c>
      <c r="N637" t="s">
        <v>2434</v>
      </c>
      <c r="O637" t="s">
        <v>28</v>
      </c>
      <c r="P637" t="s">
        <v>32</v>
      </c>
      <c r="Q637" t="s">
        <v>2435</v>
      </c>
      <c r="R637">
        <v>348.928</v>
      </c>
      <c r="S637" t="str">
        <f>TEXT(sales_data[[#This Row],[Order Date]],"mm")</f>
        <v>12</v>
      </c>
      <c r="T637">
        <f>YEAR(sales_data[[#This Row],[Order Date]])</f>
        <v>2016</v>
      </c>
      <c r="U637" s="8" t="s">
        <v>6741</v>
      </c>
      <c r="V637" t="s">
        <v>2434</v>
      </c>
    </row>
    <row r="638" spans="1:22" x14ac:dyDescent="0.35">
      <c r="A638">
        <v>791</v>
      </c>
      <c r="B638" t="s">
        <v>2436</v>
      </c>
      <c r="C638" s="1">
        <v>42547</v>
      </c>
      <c r="D638" s="1">
        <v>42551</v>
      </c>
      <c r="E638" t="s">
        <v>46</v>
      </c>
      <c r="F638" t="s">
        <v>1659</v>
      </c>
      <c r="G638" t="s">
        <v>1660</v>
      </c>
      <c r="H638" t="s">
        <v>22</v>
      </c>
      <c r="I638" t="s">
        <v>23</v>
      </c>
      <c r="J638" t="s">
        <v>1452</v>
      </c>
      <c r="K638" t="s">
        <v>314</v>
      </c>
      <c r="L638">
        <v>23223</v>
      </c>
      <c r="M638" t="s">
        <v>26</v>
      </c>
      <c r="N638" t="s">
        <v>2437</v>
      </c>
      <c r="O638" t="s">
        <v>42</v>
      </c>
      <c r="P638" t="s">
        <v>71</v>
      </c>
      <c r="Q638" t="s">
        <v>2438</v>
      </c>
      <c r="R638">
        <v>43.04</v>
      </c>
      <c r="S638" t="str">
        <f>TEXT(sales_data[[#This Row],[Order Date]],"mm")</f>
        <v>06</v>
      </c>
      <c r="T638">
        <f>YEAR(sales_data[[#This Row],[Order Date]])</f>
        <v>2016</v>
      </c>
      <c r="U638" s="8" t="s">
        <v>6786</v>
      </c>
      <c r="V638" t="s">
        <v>2437</v>
      </c>
    </row>
    <row r="639" spans="1:22" x14ac:dyDescent="0.35">
      <c r="A639">
        <v>792</v>
      </c>
      <c r="B639" t="s">
        <v>2436</v>
      </c>
      <c r="C639" s="1">
        <v>42547</v>
      </c>
      <c r="D639" s="1">
        <v>42551</v>
      </c>
      <c r="E639" t="s">
        <v>46</v>
      </c>
      <c r="F639" t="s">
        <v>1659</v>
      </c>
      <c r="G639" t="s">
        <v>1660</v>
      </c>
      <c r="H639" t="s">
        <v>22</v>
      </c>
      <c r="I639" t="s">
        <v>23</v>
      </c>
      <c r="J639" t="s">
        <v>1452</v>
      </c>
      <c r="K639" t="s">
        <v>314</v>
      </c>
      <c r="L639">
        <v>23223</v>
      </c>
      <c r="M639" t="s">
        <v>26</v>
      </c>
      <c r="N639" t="s">
        <v>2439</v>
      </c>
      <c r="O639" t="s">
        <v>28</v>
      </c>
      <c r="P639" t="s">
        <v>32</v>
      </c>
      <c r="Q639" t="s">
        <v>2440</v>
      </c>
      <c r="R639">
        <v>332.94</v>
      </c>
      <c r="S639" t="str">
        <f>TEXT(sales_data[[#This Row],[Order Date]],"mm")</f>
        <v>06</v>
      </c>
      <c r="T639">
        <f>YEAR(sales_data[[#This Row],[Order Date]])</f>
        <v>2016</v>
      </c>
      <c r="U639" s="7" t="s">
        <v>6787</v>
      </c>
      <c r="V639" t="s">
        <v>2439</v>
      </c>
    </row>
    <row r="640" spans="1:22" x14ac:dyDescent="0.35">
      <c r="A640">
        <v>793</v>
      </c>
      <c r="B640" t="s">
        <v>2441</v>
      </c>
      <c r="C640" s="1">
        <v>42875</v>
      </c>
      <c r="D640" s="1">
        <v>42875</v>
      </c>
      <c r="E640" t="s">
        <v>1277</v>
      </c>
      <c r="F640" t="s">
        <v>2442</v>
      </c>
      <c r="G640" t="s">
        <v>2443</v>
      </c>
      <c r="H640" t="s">
        <v>22</v>
      </c>
      <c r="I640" t="s">
        <v>23</v>
      </c>
      <c r="J640" t="s">
        <v>2444</v>
      </c>
      <c r="K640" t="s">
        <v>84</v>
      </c>
      <c r="L640">
        <v>28806</v>
      </c>
      <c r="M640" t="s">
        <v>26</v>
      </c>
      <c r="N640" t="s">
        <v>2445</v>
      </c>
      <c r="O640" t="s">
        <v>67</v>
      </c>
      <c r="P640" t="s">
        <v>68</v>
      </c>
      <c r="Q640" t="s">
        <v>2446</v>
      </c>
      <c r="R640">
        <v>1363.96</v>
      </c>
      <c r="S640" t="str">
        <f>TEXT(sales_data[[#This Row],[Order Date]],"mm")</f>
        <v>05</v>
      </c>
      <c r="T640">
        <f>YEAR(sales_data[[#This Row],[Order Date]])</f>
        <v>2017</v>
      </c>
      <c r="U640" s="8" t="s">
        <v>6798</v>
      </c>
      <c r="V640" t="s">
        <v>2445</v>
      </c>
    </row>
    <row r="641" spans="1:22" x14ac:dyDescent="0.35">
      <c r="A641">
        <v>794</v>
      </c>
      <c r="B641" t="s">
        <v>2447</v>
      </c>
      <c r="C641" s="1">
        <v>42267</v>
      </c>
      <c r="D641" s="1">
        <v>42273</v>
      </c>
      <c r="E641" t="s">
        <v>46</v>
      </c>
      <c r="F641" t="s">
        <v>2448</v>
      </c>
      <c r="G641" t="s">
        <v>2449</v>
      </c>
      <c r="H641" t="s">
        <v>22</v>
      </c>
      <c r="I641" t="s">
        <v>23</v>
      </c>
      <c r="J641" t="s">
        <v>123</v>
      </c>
      <c r="K641" t="s">
        <v>39</v>
      </c>
      <c r="L641">
        <v>94110</v>
      </c>
      <c r="M641" t="s">
        <v>40</v>
      </c>
      <c r="N641" t="s">
        <v>2450</v>
      </c>
      <c r="O641" t="s">
        <v>42</v>
      </c>
      <c r="P641" t="s">
        <v>43</v>
      </c>
      <c r="Q641" t="s">
        <v>2451</v>
      </c>
      <c r="R641">
        <v>9.9600000000000009</v>
      </c>
      <c r="S641" t="str">
        <f>TEXT(sales_data[[#This Row],[Order Date]],"mm")</f>
        <v>09</v>
      </c>
      <c r="T641">
        <f>YEAR(sales_data[[#This Row],[Order Date]])</f>
        <v>2015</v>
      </c>
      <c r="U641" s="7"/>
      <c r="V641" t="s">
        <v>2450</v>
      </c>
    </row>
    <row r="642" spans="1:22" x14ac:dyDescent="0.35">
      <c r="A642">
        <v>797</v>
      </c>
      <c r="B642" t="s">
        <v>2454</v>
      </c>
      <c r="C642" s="1">
        <v>42728</v>
      </c>
      <c r="D642" s="1">
        <v>42730</v>
      </c>
      <c r="E642" t="s">
        <v>183</v>
      </c>
      <c r="F642" t="s">
        <v>902</v>
      </c>
      <c r="G642" t="s">
        <v>903</v>
      </c>
      <c r="H642" t="s">
        <v>37</v>
      </c>
      <c r="I642" t="s">
        <v>23</v>
      </c>
      <c r="J642" t="s">
        <v>384</v>
      </c>
      <c r="K642" t="s">
        <v>262</v>
      </c>
      <c r="L642">
        <v>14609</v>
      </c>
      <c r="M642" t="s">
        <v>144</v>
      </c>
      <c r="N642" t="s">
        <v>2455</v>
      </c>
      <c r="O642" t="s">
        <v>42</v>
      </c>
      <c r="P642" t="s">
        <v>86</v>
      </c>
      <c r="Q642" t="s">
        <v>2456</v>
      </c>
      <c r="R642">
        <v>132.79</v>
      </c>
      <c r="S642" t="str">
        <f>TEXT(sales_data[[#This Row],[Order Date]],"mm")</f>
        <v>12</v>
      </c>
      <c r="T642">
        <f>YEAR(sales_data[[#This Row],[Order Date]])</f>
        <v>2016</v>
      </c>
      <c r="U642" s="7"/>
      <c r="V642" t="s">
        <v>2455</v>
      </c>
    </row>
    <row r="643" spans="1:22" x14ac:dyDescent="0.35">
      <c r="A643">
        <v>799</v>
      </c>
      <c r="B643" t="s">
        <v>2454</v>
      </c>
      <c r="C643" s="1">
        <v>42728</v>
      </c>
      <c r="D643" s="1">
        <v>42730</v>
      </c>
      <c r="E643" t="s">
        <v>183</v>
      </c>
      <c r="F643" t="s">
        <v>902</v>
      </c>
      <c r="G643" t="s">
        <v>903</v>
      </c>
      <c r="H643" t="s">
        <v>37</v>
      </c>
      <c r="I643" t="s">
        <v>23</v>
      </c>
      <c r="J643" t="s">
        <v>384</v>
      </c>
      <c r="K643" t="s">
        <v>262</v>
      </c>
      <c r="L643">
        <v>14609</v>
      </c>
      <c r="M643" t="s">
        <v>144</v>
      </c>
      <c r="N643" t="s">
        <v>2457</v>
      </c>
      <c r="O643" t="s">
        <v>42</v>
      </c>
      <c r="P643" t="s">
        <v>43</v>
      </c>
      <c r="Q643" t="s">
        <v>2458</v>
      </c>
      <c r="R643">
        <v>21.56</v>
      </c>
      <c r="S643" t="str">
        <f>TEXT(sales_data[[#This Row],[Order Date]],"mm")</f>
        <v>12</v>
      </c>
      <c r="T643">
        <f>YEAR(sales_data[[#This Row],[Order Date]])</f>
        <v>2016</v>
      </c>
      <c r="U643" s="7"/>
      <c r="V643" t="s">
        <v>2457</v>
      </c>
    </row>
    <row r="644" spans="1:22" x14ac:dyDescent="0.35">
      <c r="A644">
        <v>801</v>
      </c>
      <c r="B644" t="s">
        <v>2461</v>
      </c>
      <c r="C644" s="1">
        <v>43151</v>
      </c>
      <c r="D644" s="1">
        <v>43154</v>
      </c>
      <c r="E644" t="s">
        <v>183</v>
      </c>
      <c r="F644" t="s">
        <v>2462</v>
      </c>
      <c r="G644" t="s">
        <v>2463</v>
      </c>
      <c r="H644" t="s">
        <v>37</v>
      </c>
      <c r="I644" t="s">
        <v>23</v>
      </c>
      <c r="J644" t="s">
        <v>940</v>
      </c>
      <c r="K644" t="s">
        <v>39</v>
      </c>
      <c r="L644">
        <v>92105</v>
      </c>
      <c r="M644" t="s">
        <v>40</v>
      </c>
      <c r="N644" t="s">
        <v>2464</v>
      </c>
      <c r="O644" t="s">
        <v>28</v>
      </c>
      <c r="P644" t="s">
        <v>61</v>
      </c>
      <c r="Q644" t="s">
        <v>2465</v>
      </c>
      <c r="R644">
        <v>22.23</v>
      </c>
      <c r="S644" t="str">
        <f>TEXT(sales_data[[#This Row],[Order Date]],"mm")</f>
        <v>02</v>
      </c>
      <c r="T644">
        <f>YEAR(sales_data[[#This Row],[Order Date]])</f>
        <v>2018</v>
      </c>
      <c r="U644" s="7"/>
      <c r="V644" t="s">
        <v>2464</v>
      </c>
    </row>
    <row r="645" spans="1:22" x14ac:dyDescent="0.35">
      <c r="A645">
        <v>803</v>
      </c>
      <c r="B645" t="s">
        <v>2466</v>
      </c>
      <c r="C645" s="1">
        <v>42965</v>
      </c>
      <c r="D645" s="1">
        <v>42970</v>
      </c>
      <c r="E645" t="s">
        <v>19</v>
      </c>
      <c r="F645" t="s">
        <v>2462</v>
      </c>
      <c r="G645" t="s">
        <v>2463</v>
      </c>
      <c r="H645" t="s">
        <v>37</v>
      </c>
      <c r="I645" t="s">
        <v>23</v>
      </c>
      <c r="J645" t="s">
        <v>261</v>
      </c>
      <c r="K645" t="s">
        <v>262</v>
      </c>
      <c r="L645">
        <v>10024</v>
      </c>
      <c r="M645" t="s">
        <v>144</v>
      </c>
      <c r="N645" t="s">
        <v>2467</v>
      </c>
      <c r="O645" t="s">
        <v>42</v>
      </c>
      <c r="P645" t="s">
        <v>74</v>
      </c>
      <c r="Q645" t="s">
        <v>2468</v>
      </c>
      <c r="R645">
        <v>355.32</v>
      </c>
      <c r="S645" t="str">
        <f>TEXT(sales_data[[#This Row],[Order Date]],"mm")</f>
        <v>08</v>
      </c>
      <c r="T645">
        <f>YEAR(sales_data[[#This Row],[Order Date]])</f>
        <v>2017</v>
      </c>
      <c r="U645" s="7"/>
      <c r="V645" t="s">
        <v>2467</v>
      </c>
    </row>
    <row r="646" spans="1:22" x14ac:dyDescent="0.35">
      <c r="A646">
        <v>804</v>
      </c>
      <c r="B646" t="s">
        <v>2469</v>
      </c>
      <c r="C646" s="1">
        <v>42806</v>
      </c>
      <c r="D646" s="1">
        <v>42811</v>
      </c>
      <c r="E646" t="s">
        <v>46</v>
      </c>
      <c r="F646" t="s">
        <v>2470</v>
      </c>
      <c r="G646" t="s">
        <v>2471</v>
      </c>
      <c r="H646" t="s">
        <v>37</v>
      </c>
      <c r="I646" t="s">
        <v>23</v>
      </c>
      <c r="J646" t="s">
        <v>728</v>
      </c>
      <c r="K646" t="s">
        <v>729</v>
      </c>
      <c r="L646">
        <v>71203</v>
      </c>
      <c r="M646" t="s">
        <v>26</v>
      </c>
      <c r="N646" t="s">
        <v>2472</v>
      </c>
      <c r="O646" t="s">
        <v>42</v>
      </c>
      <c r="P646" t="s">
        <v>86</v>
      </c>
      <c r="Q646" t="s">
        <v>2473</v>
      </c>
      <c r="R646">
        <v>12.96</v>
      </c>
      <c r="S646" t="str">
        <f>TEXT(sales_data[[#This Row],[Order Date]],"mm")</f>
        <v>03</v>
      </c>
      <c r="T646">
        <f>YEAR(sales_data[[#This Row],[Order Date]])</f>
        <v>2017</v>
      </c>
      <c r="U646" s="7"/>
      <c r="V646" t="s">
        <v>2472</v>
      </c>
    </row>
    <row r="647" spans="1:22" x14ac:dyDescent="0.35">
      <c r="A647">
        <v>805</v>
      </c>
      <c r="B647" t="s">
        <v>2474</v>
      </c>
      <c r="C647" s="1">
        <v>43212</v>
      </c>
      <c r="D647" s="1">
        <v>43214</v>
      </c>
      <c r="E647" t="s">
        <v>183</v>
      </c>
      <c r="F647" t="s">
        <v>2475</v>
      </c>
      <c r="G647" t="s">
        <v>2476</v>
      </c>
      <c r="H647" t="s">
        <v>22</v>
      </c>
      <c r="I647" t="s">
        <v>23</v>
      </c>
      <c r="J647" t="s">
        <v>123</v>
      </c>
      <c r="K647" t="s">
        <v>39</v>
      </c>
      <c r="L647">
        <v>94122</v>
      </c>
      <c r="M647" t="s">
        <v>40</v>
      </c>
      <c r="N647" t="s">
        <v>2477</v>
      </c>
      <c r="O647" t="s">
        <v>28</v>
      </c>
      <c r="P647" t="s">
        <v>61</v>
      </c>
      <c r="Q647" t="s">
        <v>2478</v>
      </c>
      <c r="R647">
        <v>18.28</v>
      </c>
      <c r="S647" t="str">
        <f>TEXT(sales_data[[#This Row],[Order Date]],"mm")</f>
        <v>04</v>
      </c>
      <c r="T647">
        <f>YEAR(sales_data[[#This Row],[Order Date]])</f>
        <v>2018</v>
      </c>
      <c r="U647" s="7"/>
      <c r="V647" t="s">
        <v>2477</v>
      </c>
    </row>
    <row r="648" spans="1:22" x14ac:dyDescent="0.35">
      <c r="A648">
        <v>806</v>
      </c>
      <c r="B648" t="s">
        <v>2479</v>
      </c>
      <c r="C648" s="1">
        <v>42309</v>
      </c>
      <c r="D648" s="1">
        <v>42315</v>
      </c>
      <c r="E648" t="s">
        <v>46</v>
      </c>
      <c r="F648" t="s">
        <v>1317</v>
      </c>
      <c r="G648" t="s">
        <v>1318</v>
      </c>
      <c r="H648" t="s">
        <v>22</v>
      </c>
      <c r="I648" t="s">
        <v>23</v>
      </c>
      <c r="J648" t="s">
        <v>799</v>
      </c>
      <c r="K648" t="s">
        <v>452</v>
      </c>
      <c r="L648">
        <v>80219</v>
      </c>
      <c r="M648" t="s">
        <v>40</v>
      </c>
      <c r="N648" t="s">
        <v>2480</v>
      </c>
      <c r="O648" t="s">
        <v>42</v>
      </c>
      <c r="P648" t="s">
        <v>64</v>
      </c>
      <c r="Q648" t="s">
        <v>2481</v>
      </c>
      <c r="R648">
        <v>43.176000000000002</v>
      </c>
      <c r="S648" t="str">
        <f>TEXT(sales_data[[#This Row],[Order Date]],"mm")</f>
        <v>11</v>
      </c>
      <c r="T648">
        <f>YEAR(sales_data[[#This Row],[Order Date]])</f>
        <v>2015</v>
      </c>
      <c r="U648" s="7"/>
      <c r="V648" t="s">
        <v>2480</v>
      </c>
    </row>
    <row r="649" spans="1:22" x14ac:dyDescent="0.35">
      <c r="A649">
        <v>807</v>
      </c>
      <c r="B649" t="s">
        <v>2479</v>
      </c>
      <c r="C649" s="1">
        <v>42309</v>
      </c>
      <c r="D649" s="1">
        <v>42315</v>
      </c>
      <c r="E649" t="s">
        <v>46</v>
      </c>
      <c r="F649" t="s">
        <v>1317</v>
      </c>
      <c r="G649" t="s">
        <v>1318</v>
      </c>
      <c r="H649" t="s">
        <v>22</v>
      </c>
      <c r="I649" t="s">
        <v>23</v>
      </c>
      <c r="J649" t="s">
        <v>799</v>
      </c>
      <c r="K649" t="s">
        <v>452</v>
      </c>
      <c r="L649">
        <v>80219</v>
      </c>
      <c r="M649" t="s">
        <v>40</v>
      </c>
      <c r="N649" t="s">
        <v>2482</v>
      </c>
      <c r="O649" t="s">
        <v>67</v>
      </c>
      <c r="P649" t="s">
        <v>68</v>
      </c>
      <c r="Q649" t="s">
        <v>2483</v>
      </c>
      <c r="R649">
        <v>1983.9680000000001</v>
      </c>
      <c r="S649" t="str">
        <f>TEXT(sales_data[[#This Row],[Order Date]],"mm")</f>
        <v>11</v>
      </c>
      <c r="T649">
        <f>YEAR(sales_data[[#This Row],[Order Date]])</f>
        <v>2015</v>
      </c>
      <c r="U649" s="7"/>
      <c r="V649" t="s">
        <v>2482</v>
      </c>
    </row>
    <row r="650" spans="1:22" x14ac:dyDescent="0.35">
      <c r="A650">
        <v>809</v>
      </c>
      <c r="B650" t="s">
        <v>2484</v>
      </c>
      <c r="C650" s="1">
        <v>42403</v>
      </c>
      <c r="D650" s="1">
        <v>42405</v>
      </c>
      <c r="E650" t="s">
        <v>183</v>
      </c>
      <c r="F650" t="s">
        <v>1800</v>
      </c>
      <c r="G650" t="s">
        <v>1801</v>
      </c>
      <c r="H650" t="s">
        <v>22</v>
      </c>
      <c r="I650" t="s">
        <v>23</v>
      </c>
      <c r="J650" t="s">
        <v>2485</v>
      </c>
      <c r="K650" t="s">
        <v>134</v>
      </c>
      <c r="L650">
        <v>68104</v>
      </c>
      <c r="M650" t="s">
        <v>101</v>
      </c>
      <c r="N650" t="s">
        <v>2486</v>
      </c>
      <c r="O650" t="s">
        <v>67</v>
      </c>
      <c r="P650" t="s">
        <v>156</v>
      </c>
      <c r="Q650" t="s">
        <v>2487</v>
      </c>
      <c r="R650">
        <v>149.97</v>
      </c>
      <c r="S650" t="str">
        <f>TEXT(sales_data[[#This Row],[Order Date]],"mm")</f>
        <v>02</v>
      </c>
      <c r="T650">
        <f>YEAR(sales_data[[#This Row],[Order Date]])</f>
        <v>2016</v>
      </c>
      <c r="U650" s="7"/>
      <c r="V650" t="s">
        <v>2486</v>
      </c>
    </row>
    <row r="651" spans="1:22" x14ac:dyDescent="0.35">
      <c r="A651">
        <v>810</v>
      </c>
      <c r="B651" t="s">
        <v>2488</v>
      </c>
      <c r="C651" s="1">
        <v>42290</v>
      </c>
      <c r="D651" s="1">
        <v>42292</v>
      </c>
      <c r="E651" t="s">
        <v>183</v>
      </c>
      <c r="F651" t="s">
        <v>1951</v>
      </c>
      <c r="G651" t="s">
        <v>1952</v>
      </c>
      <c r="H651" t="s">
        <v>22</v>
      </c>
      <c r="I651" t="s">
        <v>23</v>
      </c>
      <c r="J651" t="s">
        <v>2489</v>
      </c>
      <c r="K651" t="s">
        <v>92</v>
      </c>
      <c r="L651">
        <v>98026</v>
      </c>
      <c r="M651" t="s">
        <v>40</v>
      </c>
      <c r="N651" t="s">
        <v>2490</v>
      </c>
      <c r="O651" t="s">
        <v>42</v>
      </c>
      <c r="P651" t="s">
        <v>64</v>
      </c>
      <c r="Q651" t="s">
        <v>2491</v>
      </c>
      <c r="R651">
        <v>11.52</v>
      </c>
      <c r="S651" t="str">
        <f>TEXT(sales_data[[#This Row],[Order Date]],"mm")</f>
        <v>10</v>
      </c>
      <c r="T651">
        <f>YEAR(sales_data[[#This Row],[Order Date]])</f>
        <v>2015</v>
      </c>
      <c r="U651" s="7"/>
      <c r="V651" t="s">
        <v>2490</v>
      </c>
    </row>
    <row r="652" spans="1:22" x14ac:dyDescent="0.35">
      <c r="A652">
        <v>812</v>
      </c>
      <c r="B652" t="s">
        <v>2488</v>
      </c>
      <c r="C652" s="1">
        <v>42290</v>
      </c>
      <c r="D652" s="1">
        <v>42292</v>
      </c>
      <c r="E652" t="s">
        <v>183</v>
      </c>
      <c r="F652" t="s">
        <v>1951</v>
      </c>
      <c r="G652" t="s">
        <v>1952</v>
      </c>
      <c r="H652" t="s">
        <v>22</v>
      </c>
      <c r="I652" t="s">
        <v>23</v>
      </c>
      <c r="J652" t="s">
        <v>2489</v>
      </c>
      <c r="K652" t="s">
        <v>92</v>
      </c>
      <c r="L652">
        <v>98026</v>
      </c>
      <c r="M652" t="s">
        <v>40</v>
      </c>
      <c r="N652" t="s">
        <v>2492</v>
      </c>
      <c r="O652" t="s">
        <v>42</v>
      </c>
      <c r="P652" t="s">
        <v>74</v>
      </c>
      <c r="Q652" t="s">
        <v>2493</v>
      </c>
      <c r="R652">
        <v>213.92</v>
      </c>
      <c r="S652" t="str">
        <f>TEXT(sales_data[[#This Row],[Order Date]],"mm")</f>
        <v>10</v>
      </c>
      <c r="T652">
        <f>YEAR(sales_data[[#This Row],[Order Date]])</f>
        <v>2015</v>
      </c>
      <c r="U652" s="7"/>
      <c r="V652" t="s">
        <v>2492</v>
      </c>
    </row>
    <row r="653" spans="1:22" x14ac:dyDescent="0.35">
      <c r="A653">
        <v>815</v>
      </c>
      <c r="B653" t="s">
        <v>2494</v>
      </c>
      <c r="C653" s="1">
        <v>43234</v>
      </c>
      <c r="D653" s="1">
        <v>43234</v>
      </c>
      <c r="E653" t="s">
        <v>1277</v>
      </c>
      <c r="F653" t="s">
        <v>2495</v>
      </c>
      <c r="G653" t="s">
        <v>2496</v>
      </c>
      <c r="H653" t="s">
        <v>22</v>
      </c>
      <c r="I653" t="s">
        <v>23</v>
      </c>
      <c r="J653" t="s">
        <v>2497</v>
      </c>
      <c r="K653" t="s">
        <v>39</v>
      </c>
      <c r="L653">
        <v>92704</v>
      </c>
      <c r="M653" t="s">
        <v>40</v>
      </c>
      <c r="N653" t="s">
        <v>2498</v>
      </c>
      <c r="O653" t="s">
        <v>67</v>
      </c>
      <c r="P653" t="s">
        <v>156</v>
      </c>
      <c r="Q653" t="s">
        <v>2499</v>
      </c>
      <c r="R653">
        <v>1399.93</v>
      </c>
      <c r="S653" t="str">
        <f>TEXT(sales_data[[#This Row],[Order Date]],"mm")</f>
        <v>05</v>
      </c>
      <c r="T653">
        <f>YEAR(sales_data[[#This Row],[Order Date]])</f>
        <v>2018</v>
      </c>
      <c r="U653" s="7"/>
      <c r="V653" t="s">
        <v>2498</v>
      </c>
    </row>
    <row r="654" spans="1:22" x14ac:dyDescent="0.35">
      <c r="A654">
        <v>817</v>
      </c>
      <c r="B654" t="s">
        <v>2503</v>
      </c>
      <c r="C654" s="1">
        <v>42993</v>
      </c>
      <c r="D654" s="1">
        <v>42997</v>
      </c>
      <c r="E654" t="s">
        <v>46</v>
      </c>
      <c r="F654" t="s">
        <v>1754</v>
      </c>
      <c r="G654" t="s">
        <v>1755</v>
      </c>
      <c r="H654" t="s">
        <v>22</v>
      </c>
      <c r="I654" t="s">
        <v>23</v>
      </c>
      <c r="J654" t="s">
        <v>142</v>
      </c>
      <c r="K654" t="s">
        <v>143</v>
      </c>
      <c r="L654">
        <v>19140</v>
      </c>
      <c r="M654" t="s">
        <v>144</v>
      </c>
      <c r="N654" t="s">
        <v>2504</v>
      </c>
      <c r="O654" t="s">
        <v>42</v>
      </c>
      <c r="P654" t="s">
        <v>86</v>
      </c>
      <c r="Q654" t="s">
        <v>2505</v>
      </c>
      <c r="R654">
        <v>5.3440000000000003</v>
      </c>
      <c r="S654" t="str">
        <f>TEXT(sales_data[[#This Row],[Order Date]],"mm")</f>
        <v>09</v>
      </c>
      <c r="T654">
        <f>YEAR(sales_data[[#This Row],[Order Date]])</f>
        <v>2017</v>
      </c>
      <c r="U654" s="7"/>
      <c r="V654" t="s">
        <v>2504</v>
      </c>
    </row>
    <row r="655" spans="1:22" x14ac:dyDescent="0.35">
      <c r="A655">
        <v>819</v>
      </c>
      <c r="B655" t="s">
        <v>2506</v>
      </c>
      <c r="C655" s="1">
        <v>42183</v>
      </c>
      <c r="D655" s="1">
        <v>42187</v>
      </c>
      <c r="E655" t="s">
        <v>46</v>
      </c>
      <c r="F655" t="s">
        <v>1883</v>
      </c>
      <c r="G655" t="s">
        <v>1884</v>
      </c>
      <c r="H655" t="s">
        <v>22</v>
      </c>
      <c r="I655" t="s">
        <v>23</v>
      </c>
      <c r="J655" t="s">
        <v>142</v>
      </c>
      <c r="K655" t="s">
        <v>143</v>
      </c>
      <c r="L655">
        <v>19140</v>
      </c>
      <c r="M655" t="s">
        <v>144</v>
      </c>
      <c r="N655" t="s">
        <v>2507</v>
      </c>
      <c r="O655" t="s">
        <v>42</v>
      </c>
      <c r="P655" t="s">
        <v>71</v>
      </c>
      <c r="Q655" t="s">
        <v>2508</v>
      </c>
      <c r="R655">
        <v>3.1680000000000001</v>
      </c>
      <c r="S655" t="str">
        <f>TEXT(sales_data[[#This Row],[Order Date]],"mm")</f>
        <v>06</v>
      </c>
      <c r="T655">
        <f>YEAR(sales_data[[#This Row],[Order Date]])</f>
        <v>2015</v>
      </c>
      <c r="U655" s="7"/>
      <c r="V655" t="s">
        <v>2507</v>
      </c>
    </row>
    <row r="656" spans="1:22" x14ac:dyDescent="0.35">
      <c r="A656">
        <v>820</v>
      </c>
      <c r="B656" t="s">
        <v>2506</v>
      </c>
      <c r="C656" s="1">
        <v>42183</v>
      </c>
      <c r="D656" s="1">
        <v>42187</v>
      </c>
      <c r="E656" t="s">
        <v>46</v>
      </c>
      <c r="F656" t="s">
        <v>1883</v>
      </c>
      <c r="G656" t="s">
        <v>1884</v>
      </c>
      <c r="H656" t="s">
        <v>22</v>
      </c>
      <c r="I656" t="s">
        <v>23</v>
      </c>
      <c r="J656" t="s">
        <v>142</v>
      </c>
      <c r="K656" t="s">
        <v>143</v>
      </c>
      <c r="L656">
        <v>19140</v>
      </c>
      <c r="M656" t="s">
        <v>144</v>
      </c>
      <c r="N656" t="s">
        <v>2509</v>
      </c>
      <c r="O656" t="s">
        <v>28</v>
      </c>
      <c r="P656" t="s">
        <v>32</v>
      </c>
      <c r="Q656" t="s">
        <v>2510</v>
      </c>
      <c r="R656">
        <v>1228.4649999999999</v>
      </c>
      <c r="S656" t="str">
        <f>TEXT(sales_data[[#This Row],[Order Date]],"mm")</f>
        <v>06</v>
      </c>
      <c r="T656">
        <f>YEAR(sales_data[[#This Row],[Order Date]])</f>
        <v>2015</v>
      </c>
      <c r="U656" s="7"/>
      <c r="V656" t="s">
        <v>2509</v>
      </c>
    </row>
    <row r="657" spans="1:22" x14ac:dyDescent="0.35">
      <c r="A657">
        <v>821</v>
      </c>
      <c r="B657" t="s">
        <v>2506</v>
      </c>
      <c r="C657" s="1">
        <v>42183</v>
      </c>
      <c r="D657" s="1">
        <v>42187</v>
      </c>
      <c r="E657" t="s">
        <v>46</v>
      </c>
      <c r="F657" t="s">
        <v>1883</v>
      </c>
      <c r="G657" t="s">
        <v>1884</v>
      </c>
      <c r="H657" t="s">
        <v>22</v>
      </c>
      <c r="I657" t="s">
        <v>23</v>
      </c>
      <c r="J657" t="s">
        <v>142</v>
      </c>
      <c r="K657" t="s">
        <v>143</v>
      </c>
      <c r="L657">
        <v>19140</v>
      </c>
      <c r="M657" t="s">
        <v>144</v>
      </c>
      <c r="N657" t="s">
        <v>2511</v>
      </c>
      <c r="O657" t="s">
        <v>42</v>
      </c>
      <c r="P657" t="s">
        <v>71</v>
      </c>
      <c r="Q657" t="s">
        <v>2512</v>
      </c>
      <c r="R657">
        <v>31.085999999999999</v>
      </c>
      <c r="S657" t="str">
        <f>TEXT(sales_data[[#This Row],[Order Date]],"mm")</f>
        <v>06</v>
      </c>
      <c r="T657">
        <f>YEAR(sales_data[[#This Row],[Order Date]])</f>
        <v>2015</v>
      </c>
      <c r="U657" s="7"/>
      <c r="V657" t="s">
        <v>2511</v>
      </c>
    </row>
    <row r="658" spans="1:22" x14ac:dyDescent="0.35">
      <c r="A658">
        <v>822</v>
      </c>
      <c r="B658" t="s">
        <v>2506</v>
      </c>
      <c r="C658" s="1">
        <v>42183</v>
      </c>
      <c r="D658" s="1">
        <v>42187</v>
      </c>
      <c r="E658" t="s">
        <v>46</v>
      </c>
      <c r="F658" t="s">
        <v>1883</v>
      </c>
      <c r="G658" t="s">
        <v>1884</v>
      </c>
      <c r="H658" t="s">
        <v>22</v>
      </c>
      <c r="I658" t="s">
        <v>23</v>
      </c>
      <c r="J658" t="s">
        <v>142</v>
      </c>
      <c r="K658" t="s">
        <v>143</v>
      </c>
      <c r="L658">
        <v>19140</v>
      </c>
      <c r="M658" t="s">
        <v>144</v>
      </c>
      <c r="N658" t="s">
        <v>2513</v>
      </c>
      <c r="O658" t="s">
        <v>42</v>
      </c>
      <c r="P658" t="s">
        <v>86</v>
      </c>
      <c r="Q658" t="s">
        <v>2514</v>
      </c>
      <c r="R658">
        <v>335.52</v>
      </c>
      <c r="S658" t="str">
        <f>TEXT(sales_data[[#This Row],[Order Date]],"mm")</f>
        <v>06</v>
      </c>
      <c r="T658">
        <f>YEAR(sales_data[[#This Row],[Order Date]])</f>
        <v>2015</v>
      </c>
      <c r="U658" s="7"/>
      <c r="V658" t="s">
        <v>2513</v>
      </c>
    </row>
    <row r="659" spans="1:22" x14ac:dyDescent="0.35">
      <c r="A659">
        <v>823</v>
      </c>
      <c r="B659" t="s">
        <v>2515</v>
      </c>
      <c r="C659" s="1">
        <v>43271</v>
      </c>
      <c r="D659" s="1">
        <v>43278</v>
      </c>
      <c r="E659" t="s">
        <v>46</v>
      </c>
      <c r="F659" t="s">
        <v>2516</v>
      </c>
      <c r="G659" t="s">
        <v>2517</v>
      </c>
      <c r="H659" t="s">
        <v>22</v>
      </c>
      <c r="I659" t="s">
        <v>23</v>
      </c>
      <c r="J659" t="s">
        <v>1086</v>
      </c>
      <c r="K659" t="s">
        <v>780</v>
      </c>
      <c r="L659">
        <v>7109</v>
      </c>
      <c r="M659" t="s">
        <v>144</v>
      </c>
      <c r="N659" t="s">
        <v>2518</v>
      </c>
      <c r="O659" t="s">
        <v>67</v>
      </c>
      <c r="P659" t="s">
        <v>156</v>
      </c>
      <c r="Q659" t="s">
        <v>2519</v>
      </c>
      <c r="R659">
        <v>239.97</v>
      </c>
      <c r="S659" t="str">
        <f>TEXT(sales_data[[#This Row],[Order Date]],"mm")</f>
        <v>06</v>
      </c>
      <c r="T659">
        <f>YEAR(sales_data[[#This Row],[Order Date]])</f>
        <v>2018</v>
      </c>
      <c r="U659" s="7"/>
      <c r="V659" t="s">
        <v>2518</v>
      </c>
    </row>
    <row r="660" spans="1:22" x14ac:dyDescent="0.35">
      <c r="A660">
        <v>825</v>
      </c>
      <c r="B660" t="s">
        <v>2520</v>
      </c>
      <c r="C660" s="1">
        <v>42133</v>
      </c>
      <c r="D660" s="1">
        <v>42139</v>
      </c>
      <c r="E660" t="s">
        <v>46</v>
      </c>
      <c r="F660" t="s">
        <v>2521</v>
      </c>
      <c r="G660" t="s">
        <v>2522</v>
      </c>
      <c r="H660" t="s">
        <v>22</v>
      </c>
      <c r="I660" t="s">
        <v>23</v>
      </c>
      <c r="J660" t="s">
        <v>123</v>
      </c>
      <c r="K660" t="s">
        <v>39</v>
      </c>
      <c r="L660">
        <v>94110</v>
      </c>
      <c r="M660" t="s">
        <v>40</v>
      </c>
      <c r="N660" t="s">
        <v>2523</v>
      </c>
      <c r="O660" t="s">
        <v>67</v>
      </c>
      <c r="P660" t="s">
        <v>156</v>
      </c>
      <c r="Q660" t="s">
        <v>2524</v>
      </c>
      <c r="R660">
        <v>67.8</v>
      </c>
      <c r="S660" t="str">
        <f>TEXT(sales_data[[#This Row],[Order Date]],"mm")</f>
        <v>05</v>
      </c>
      <c r="T660">
        <f>YEAR(sales_data[[#This Row],[Order Date]])</f>
        <v>2015</v>
      </c>
      <c r="U660" s="7"/>
      <c r="V660" t="s">
        <v>2523</v>
      </c>
    </row>
    <row r="661" spans="1:22" x14ac:dyDescent="0.35">
      <c r="A661">
        <v>827</v>
      </c>
      <c r="B661" t="s">
        <v>2525</v>
      </c>
      <c r="C661" s="1">
        <v>43333</v>
      </c>
      <c r="D661" s="1">
        <v>43340</v>
      </c>
      <c r="E661" t="s">
        <v>46</v>
      </c>
      <c r="F661" t="s">
        <v>1855</v>
      </c>
      <c r="G661" t="s">
        <v>1856</v>
      </c>
      <c r="H661" t="s">
        <v>22</v>
      </c>
      <c r="I661" t="s">
        <v>23</v>
      </c>
      <c r="J661" t="s">
        <v>925</v>
      </c>
      <c r="K661" t="s">
        <v>224</v>
      </c>
      <c r="L661">
        <v>55044</v>
      </c>
      <c r="M661" t="s">
        <v>101</v>
      </c>
      <c r="N661" t="s">
        <v>2526</v>
      </c>
      <c r="O661" t="s">
        <v>42</v>
      </c>
      <c r="P661" t="s">
        <v>264</v>
      </c>
      <c r="Q661" t="s">
        <v>2527</v>
      </c>
      <c r="R661">
        <v>35</v>
      </c>
      <c r="S661" t="str">
        <f>TEXT(sales_data[[#This Row],[Order Date]],"mm")</f>
        <v>08</v>
      </c>
      <c r="T661">
        <f>YEAR(sales_data[[#This Row],[Order Date]])</f>
        <v>2018</v>
      </c>
      <c r="U661" s="7"/>
      <c r="V661" t="s">
        <v>2526</v>
      </c>
    </row>
    <row r="662" spans="1:22" x14ac:dyDescent="0.35">
      <c r="A662">
        <v>828</v>
      </c>
      <c r="B662" t="s">
        <v>2525</v>
      </c>
      <c r="C662" s="1">
        <v>43333</v>
      </c>
      <c r="D662" s="1">
        <v>43340</v>
      </c>
      <c r="E662" t="s">
        <v>46</v>
      </c>
      <c r="F662" t="s">
        <v>1855</v>
      </c>
      <c r="G662" t="s">
        <v>1856</v>
      </c>
      <c r="H662" t="s">
        <v>22</v>
      </c>
      <c r="I662" t="s">
        <v>23</v>
      </c>
      <c r="J662" t="s">
        <v>925</v>
      </c>
      <c r="K662" t="s">
        <v>224</v>
      </c>
      <c r="L662">
        <v>55044</v>
      </c>
      <c r="M662" t="s">
        <v>101</v>
      </c>
      <c r="N662" t="s">
        <v>2528</v>
      </c>
      <c r="O662" t="s">
        <v>42</v>
      </c>
      <c r="P662" t="s">
        <v>573</v>
      </c>
      <c r="Q662" t="s">
        <v>2529</v>
      </c>
      <c r="R662">
        <v>37.24</v>
      </c>
      <c r="S662" t="str">
        <f>TEXT(sales_data[[#This Row],[Order Date]],"mm")</f>
        <v>08</v>
      </c>
      <c r="T662">
        <f>YEAR(sales_data[[#This Row],[Order Date]])</f>
        <v>2018</v>
      </c>
      <c r="U662" s="7"/>
      <c r="V662" t="s">
        <v>2528</v>
      </c>
    </row>
    <row r="663" spans="1:22" x14ac:dyDescent="0.35">
      <c r="A663">
        <v>829</v>
      </c>
      <c r="B663" t="s">
        <v>2525</v>
      </c>
      <c r="C663" s="1">
        <v>43333</v>
      </c>
      <c r="D663" s="1">
        <v>43340</v>
      </c>
      <c r="E663" t="s">
        <v>46</v>
      </c>
      <c r="F663" t="s">
        <v>1855</v>
      </c>
      <c r="G663" t="s">
        <v>1856</v>
      </c>
      <c r="H663" t="s">
        <v>22</v>
      </c>
      <c r="I663" t="s">
        <v>23</v>
      </c>
      <c r="J663" t="s">
        <v>925</v>
      </c>
      <c r="K663" t="s">
        <v>224</v>
      </c>
      <c r="L663">
        <v>55044</v>
      </c>
      <c r="M663" t="s">
        <v>101</v>
      </c>
      <c r="N663" t="s">
        <v>2530</v>
      </c>
      <c r="O663" t="s">
        <v>42</v>
      </c>
      <c r="P663" t="s">
        <v>168</v>
      </c>
      <c r="Q663" t="s">
        <v>2531</v>
      </c>
      <c r="R663">
        <v>15.28</v>
      </c>
      <c r="S663" t="str">
        <f>TEXT(sales_data[[#This Row],[Order Date]],"mm")</f>
        <v>08</v>
      </c>
      <c r="T663">
        <f>YEAR(sales_data[[#This Row],[Order Date]])</f>
        <v>2018</v>
      </c>
      <c r="U663" s="7"/>
      <c r="V663" t="s">
        <v>2530</v>
      </c>
    </row>
    <row r="664" spans="1:22" x14ac:dyDescent="0.35">
      <c r="A664">
        <v>830</v>
      </c>
      <c r="B664" t="s">
        <v>2532</v>
      </c>
      <c r="C664" s="1">
        <v>43267</v>
      </c>
      <c r="D664" s="1">
        <v>43272</v>
      </c>
      <c r="E664" t="s">
        <v>19</v>
      </c>
      <c r="F664" t="s">
        <v>327</v>
      </c>
      <c r="G664" t="s">
        <v>328</v>
      </c>
      <c r="H664" t="s">
        <v>22</v>
      </c>
      <c r="I664" t="s">
        <v>23</v>
      </c>
      <c r="J664" t="s">
        <v>2533</v>
      </c>
      <c r="K664" t="s">
        <v>25</v>
      </c>
      <c r="L664">
        <v>41042</v>
      </c>
      <c r="M664" t="s">
        <v>26</v>
      </c>
      <c r="N664" t="s">
        <v>2534</v>
      </c>
      <c r="O664" t="s">
        <v>28</v>
      </c>
      <c r="P664" t="s">
        <v>32</v>
      </c>
      <c r="Q664" t="s">
        <v>2535</v>
      </c>
      <c r="R664">
        <v>301.95999999999998</v>
      </c>
      <c r="S664" t="str">
        <f>TEXT(sales_data[[#This Row],[Order Date]],"mm")</f>
        <v>06</v>
      </c>
      <c r="T664">
        <f>YEAR(sales_data[[#This Row],[Order Date]])</f>
        <v>2018</v>
      </c>
      <c r="U664" s="7"/>
      <c r="V664" t="s">
        <v>2534</v>
      </c>
    </row>
    <row r="665" spans="1:22" x14ac:dyDescent="0.35">
      <c r="A665">
        <v>831</v>
      </c>
      <c r="B665" t="s">
        <v>2532</v>
      </c>
      <c r="C665" s="1">
        <v>43267</v>
      </c>
      <c r="D665" s="1">
        <v>43272</v>
      </c>
      <c r="E665" t="s">
        <v>19</v>
      </c>
      <c r="F665" t="s">
        <v>327</v>
      </c>
      <c r="G665" t="s">
        <v>328</v>
      </c>
      <c r="H665" t="s">
        <v>22</v>
      </c>
      <c r="I665" t="s">
        <v>23</v>
      </c>
      <c r="J665" t="s">
        <v>2533</v>
      </c>
      <c r="K665" t="s">
        <v>25</v>
      </c>
      <c r="L665">
        <v>41042</v>
      </c>
      <c r="M665" t="s">
        <v>26</v>
      </c>
      <c r="N665" t="s">
        <v>2536</v>
      </c>
      <c r="O665" t="s">
        <v>42</v>
      </c>
      <c r="P665" t="s">
        <v>74</v>
      </c>
      <c r="Q665" t="s">
        <v>2537</v>
      </c>
      <c r="R665">
        <v>180.66</v>
      </c>
      <c r="S665" t="str">
        <f>TEXT(sales_data[[#This Row],[Order Date]],"mm")</f>
        <v>06</v>
      </c>
      <c r="T665">
        <f>YEAR(sales_data[[#This Row],[Order Date]])</f>
        <v>2018</v>
      </c>
      <c r="U665" s="7"/>
      <c r="V665" t="s">
        <v>2536</v>
      </c>
    </row>
    <row r="666" spans="1:22" x14ac:dyDescent="0.35">
      <c r="A666">
        <v>832</v>
      </c>
      <c r="B666" t="s">
        <v>2532</v>
      </c>
      <c r="C666" s="1">
        <v>43267</v>
      </c>
      <c r="D666" s="1">
        <v>43272</v>
      </c>
      <c r="E666" t="s">
        <v>19</v>
      </c>
      <c r="F666" t="s">
        <v>327</v>
      </c>
      <c r="G666" t="s">
        <v>328</v>
      </c>
      <c r="H666" t="s">
        <v>22</v>
      </c>
      <c r="I666" t="s">
        <v>23</v>
      </c>
      <c r="J666" t="s">
        <v>2533</v>
      </c>
      <c r="K666" t="s">
        <v>25</v>
      </c>
      <c r="L666">
        <v>41042</v>
      </c>
      <c r="M666" t="s">
        <v>26</v>
      </c>
      <c r="N666" t="s">
        <v>2538</v>
      </c>
      <c r="O666" t="s">
        <v>67</v>
      </c>
      <c r="P666" t="s">
        <v>68</v>
      </c>
      <c r="Q666" t="s">
        <v>2539</v>
      </c>
      <c r="R666">
        <v>191.98</v>
      </c>
      <c r="S666" t="str">
        <f>TEXT(sales_data[[#This Row],[Order Date]],"mm")</f>
        <v>06</v>
      </c>
      <c r="T666">
        <f>YEAR(sales_data[[#This Row],[Order Date]])</f>
        <v>2018</v>
      </c>
      <c r="U666" s="7"/>
      <c r="V666" t="s">
        <v>2538</v>
      </c>
    </row>
    <row r="667" spans="1:22" x14ac:dyDescent="0.35">
      <c r="A667">
        <v>833</v>
      </c>
      <c r="B667" t="s">
        <v>2532</v>
      </c>
      <c r="C667" s="1">
        <v>43267</v>
      </c>
      <c r="D667" s="1">
        <v>43272</v>
      </c>
      <c r="E667" t="s">
        <v>19</v>
      </c>
      <c r="F667" t="s">
        <v>327</v>
      </c>
      <c r="G667" t="s">
        <v>328</v>
      </c>
      <c r="H667" t="s">
        <v>22</v>
      </c>
      <c r="I667" t="s">
        <v>23</v>
      </c>
      <c r="J667" t="s">
        <v>2533</v>
      </c>
      <c r="K667" t="s">
        <v>25</v>
      </c>
      <c r="L667">
        <v>41042</v>
      </c>
      <c r="M667" t="s">
        <v>26</v>
      </c>
      <c r="N667" t="s">
        <v>2540</v>
      </c>
      <c r="O667" t="s">
        <v>67</v>
      </c>
      <c r="P667" t="s">
        <v>68</v>
      </c>
      <c r="Q667" t="s">
        <v>2541</v>
      </c>
      <c r="R667">
        <v>65.989999999999995</v>
      </c>
      <c r="S667" t="str">
        <f>TEXT(sales_data[[#This Row],[Order Date]],"mm")</f>
        <v>06</v>
      </c>
      <c r="T667">
        <f>YEAR(sales_data[[#This Row],[Order Date]])</f>
        <v>2018</v>
      </c>
      <c r="U667" s="7"/>
      <c r="V667" t="s">
        <v>2540</v>
      </c>
    </row>
    <row r="668" spans="1:22" x14ac:dyDescent="0.35">
      <c r="A668">
        <v>834</v>
      </c>
      <c r="B668" t="s">
        <v>2542</v>
      </c>
      <c r="C668" s="1">
        <v>42939</v>
      </c>
      <c r="D668" s="1">
        <v>42943</v>
      </c>
      <c r="E668" t="s">
        <v>46</v>
      </c>
      <c r="F668" t="s">
        <v>697</v>
      </c>
      <c r="G668" t="s">
        <v>698</v>
      </c>
      <c r="H668" t="s">
        <v>37</v>
      </c>
      <c r="I668" t="s">
        <v>23</v>
      </c>
      <c r="J668" t="s">
        <v>892</v>
      </c>
      <c r="K668" t="s">
        <v>50</v>
      </c>
      <c r="L668">
        <v>33614</v>
      </c>
      <c r="M668" t="s">
        <v>26</v>
      </c>
      <c r="N668" t="s">
        <v>2543</v>
      </c>
      <c r="O668" t="s">
        <v>42</v>
      </c>
      <c r="P668" t="s">
        <v>64</v>
      </c>
      <c r="Q668" t="s">
        <v>2544</v>
      </c>
      <c r="R668">
        <v>35.216000000000001</v>
      </c>
      <c r="S668" t="str">
        <f>TEXT(sales_data[[#This Row],[Order Date]],"mm")</f>
        <v>07</v>
      </c>
      <c r="T668">
        <f>YEAR(sales_data[[#This Row],[Order Date]])</f>
        <v>2017</v>
      </c>
      <c r="U668" s="7"/>
      <c r="V668" t="s">
        <v>2543</v>
      </c>
    </row>
    <row r="669" spans="1:22" x14ac:dyDescent="0.35">
      <c r="A669">
        <v>835</v>
      </c>
      <c r="B669" t="s">
        <v>2542</v>
      </c>
      <c r="C669" s="1">
        <v>42939</v>
      </c>
      <c r="D669" s="1">
        <v>42943</v>
      </c>
      <c r="E669" t="s">
        <v>46</v>
      </c>
      <c r="F669" t="s">
        <v>697</v>
      </c>
      <c r="G669" t="s">
        <v>698</v>
      </c>
      <c r="H669" t="s">
        <v>37</v>
      </c>
      <c r="I669" t="s">
        <v>23</v>
      </c>
      <c r="J669" t="s">
        <v>892</v>
      </c>
      <c r="K669" t="s">
        <v>50</v>
      </c>
      <c r="L669">
        <v>33614</v>
      </c>
      <c r="M669" t="s">
        <v>26</v>
      </c>
      <c r="N669" t="s">
        <v>2545</v>
      </c>
      <c r="O669" t="s">
        <v>42</v>
      </c>
      <c r="P669" t="s">
        <v>74</v>
      </c>
      <c r="Q669" t="s">
        <v>2546</v>
      </c>
      <c r="R669">
        <v>23.696000000000002</v>
      </c>
      <c r="S669" t="str">
        <f>TEXT(sales_data[[#This Row],[Order Date]],"mm")</f>
        <v>07</v>
      </c>
      <c r="T669">
        <f>YEAR(sales_data[[#This Row],[Order Date]])</f>
        <v>2017</v>
      </c>
      <c r="U669" s="7"/>
      <c r="V669" t="s">
        <v>2545</v>
      </c>
    </row>
    <row r="670" spans="1:22" x14ac:dyDescent="0.35">
      <c r="A670">
        <v>836</v>
      </c>
      <c r="B670" t="s">
        <v>2542</v>
      </c>
      <c r="C670" s="1">
        <v>42939</v>
      </c>
      <c r="D670" s="1">
        <v>42943</v>
      </c>
      <c r="E670" t="s">
        <v>46</v>
      </c>
      <c r="F670" t="s">
        <v>697</v>
      </c>
      <c r="G670" t="s">
        <v>698</v>
      </c>
      <c r="H670" t="s">
        <v>37</v>
      </c>
      <c r="I670" t="s">
        <v>23</v>
      </c>
      <c r="J670" t="s">
        <v>892</v>
      </c>
      <c r="K670" t="s">
        <v>50</v>
      </c>
      <c r="L670">
        <v>33614</v>
      </c>
      <c r="M670" t="s">
        <v>26</v>
      </c>
      <c r="N670" t="s">
        <v>2547</v>
      </c>
      <c r="O670" t="s">
        <v>67</v>
      </c>
      <c r="P670" t="s">
        <v>675</v>
      </c>
      <c r="Q670" t="s">
        <v>2548</v>
      </c>
      <c r="R670">
        <v>265.47500000000002</v>
      </c>
      <c r="S670" t="str">
        <f>TEXT(sales_data[[#This Row],[Order Date]],"mm")</f>
        <v>07</v>
      </c>
      <c r="T670">
        <f>YEAR(sales_data[[#This Row],[Order Date]])</f>
        <v>2017</v>
      </c>
      <c r="U670" s="7"/>
      <c r="V670" t="s">
        <v>2547</v>
      </c>
    </row>
    <row r="671" spans="1:22" x14ac:dyDescent="0.35">
      <c r="A671">
        <v>837</v>
      </c>
      <c r="B671" t="s">
        <v>2549</v>
      </c>
      <c r="C671" s="1">
        <v>42255</v>
      </c>
      <c r="D671" s="1">
        <v>42260</v>
      </c>
      <c r="E671" t="s">
        <v>19</v>
      </c>
      <c r="F671" t="s">
        <v>2374</v>
      </c>
      <c r="G671" t="s">
        <v>2375</v>
      </c>
      <c r="H671" t="s">
        <v>22</v>
      </c>
      <c r="I671" t="s">
        <v>23</v>
      </c>
      <c r="J671" t="s">
        <v>2172</v>
      </c>
      <c r="K671" t="s">
        <v>100</v>
      </c>
      <c r="L671">
        <v>75701</v>
      </c>
      <c r="M671" t="s">
        <v>101</v>
      </c>
      <c r="N671" t="s">
        <v>2550</v>
      </c>
      <c r="O671" t="s">
        <v>42</v>
      </c>
      <c r="P671" t="s">
        <v>71</v>
      </c>
      <c r="Q671" t="s">
        <v>2551</v>
      </c>
      <c r="R671">
        <v>51.183999999999997</v>
      </c>
      <c r="S671" t="str">
        <f>TEXT(sales_data[[#This Row],[Order Date]],"mm")</f>
        <v>09</v>
      </c>
      <c r="T671">
        <f>YEAR(sales_data[[#This Row],[Order Date]])</f>
        <v>2015</v>
      </c>
      <c r="U671" s="7"/>
      <c r="V671" t="s">
        <v>2550</v>
      </c>
    </row>
    <row r="672" spans="1:22" x14ac:dyDescent="0.35">
      <c r="A672">
        <v>838</v>
      </c>
      <c r="B672" t="s">
        <v>2552</v>
      </c>
      <c r="C672" s="1">
        <v>43408</v>
      </c>
      <c r="D672" s="1">
        <v>43415</v>
      </c>
      <c r="E672" t="s">
        <v>46</v>
      </c>
      <c r="F672" t="s">
        <v>2553</v>
      </c>
      <c r="G672" t="s">
        <v>2554</v>
      </c>
      <c r="H672" t="s">
        <v>98</v>
      </c>
      <c r="I672" t="s">
        <v>23</v>
      </c>
      <c r="J672" t="s">
        <v>377</v>
      </c>
      <c r="K672" t="s">
        <v>330</v>
      </c>
      <c r="L672">
        <v>38401</v>
      </c>
      <c r="M672" t="s">
        <v>26</v>
      </c>
      <c r="N672" t="s">
        <v>2555</v>
      </c>
      <c r="O672" t="s">
        <v>42</v>
      </c>
      <c r="P672" t="s">
        <v>86</v>
      </c>
      <c r="Q672" t="s">
        <v>2556</v>
      </c>
      <c r="R672">
        <v>9.6639999999999997</v>
      </c>
      <c r="S672" t="str">
        <f>TEXT(sales_data[[#This Row],[Order Date]],"mm")</f>
        <v>11</v>
      </c>
      <c r="T672">
        <f>YEAR(sales_data[[#This Row],[Order Date]])</f>
        <v>2018</v>
      </c>
      <c r="U672" s="7"/>
      <c r="V672" t="s">
        <v>2555</v>
      </c>
    </row>
    <row r="673" spans="1:22" x14ac:dyDescent="0.35">
      <c r="A673">
        <v>841</v>
      </c>
      <c r="B673" t="s">
        <v>2557</v>
      </c>
      <c r="C673" s="1">
        <v>42694</v>
      </c>
      <c r="D673" s="1">
        <v>42699</v>
      </c>
      <c r="E673" t="s">
        <v>46</v>
      </c>
      <c r="F673" t="s">
        <v>2558</v>
      </c>
      <c r="G673" t="s">
        <v>2559</v>
      </c>
      <c r="H673" t="s">
        <v>37</v>
      </c>
      <c r="I673" t="s">
        <v>23</v>
      </c>
      <c r="J673" t="s">
        <v>261</v>
      </c>
      <c r="K673" t="s">
        <v>262</v>
      </c>
      <c r="L673">
        <v>10035</v>
      </c>
      <c r="M673" t="s">
        <v>144</v>
      </c>
      <c r="N673" t="s">
        <v>2560</v>
      </c>
      <c r="O673" t="s">
        <v>42</v>
      </c>
      <c r="P673" t="s">
        <v>64</v>
      </c>
      <c r="Q673" t="s">
        <v>2561</v>
      </c>
      <c r="R673">
        <v>11.52</v>
      </c>
      <c r="S673" t="str">
        <f>TEXT(sales_data[[#This Row],[Order Date]],"mm")</f>
        <v>11</v>
      </c>
      <c r="T673">
        <f>YEAR(sales_data[[#This Row],[Order Date]])</f>
        <v>2016</v>
      </c>
      <c r="U673" s="7"/>
      <c r="V673" t="s">
        <v>2560</v>
      </c>
    </row>
    <row r="674" spans="1:22" x14ac:dyDescent="0.35">
      <c r="A674">
        <v>842</v>
      </c>
      <c r="B674" t="s">
        <v>2557</v>
      </c>
      <c r="C674" s="1">
        <v>42694</v>
      </c>
      <c r="D674" s="1">
        <v>42699</v>
      </c>
      <c r="E674" t="s">
        <v>46</v>
      </c>
      <c r="F674" t="s">
        <v>2558</v>
      </c>
      <c r="G674" t="s">
        <v>2559</v>
      </c>
      <c r="H674" t="s">
        <v>37</v>
      </c>
      <c r="I674" t="s">
        <v>23</v>
      </c>
      <c r="J674" t="s">
        <v>261</v>
      </c>
      <c r="K674" t="s">
        <v>262</v>
      </c>
      <c r="L674">
        <v>10035</v>
      </c>
      <c r="M674" t="s">
        <v>144</v>
      </c>
      <c r="N674" t="s">
        <v>2562</v>
      </c>
      <c r="O674" t="s">
        <v>28</v>
      </c>
      <c r="P674" t="s">
        <v>29</v>
      </c>
      <c r="Q674" t="s">
        <v>2563</v>
      </c>
      <c r="R674">
        <v>186.048</v>
      </c>
      <c r="S674" t="str">
        <f>TEXT(sales_data[[#This Row],[Order Date]],"mm")</f>
        <v>11</v>
      </c>
      <c r="T674">
        <f>YEAR(sales_data[[#This Row],[Order Date]])</f>
        <v>2016</v>
      </c>
      <c r="U674" s="7"/>
      <c r="V674" t="s">
        <v>2562</v>
      </c>
    </row>
    <row r="675" spans="1:22" x14ac:dyDescent="0.35">
      <c r="A675">
        <v>843</v>
      </c>
      <c r="B675" t="s">
        <v>2564</v>
      </c>
      <c r="C675" s="1">
        <v>43046</v>
      </c>
      <c r="D675" s="1">
        <v>43048</v>
      </c>
      <c r="E675" t="s">
        <v>183</v>
      </c>
      <c r="F675" t="s">
        <v>2565</v>
      </c>
      <c r="G675" t="s">
        <v>2566</v>
      </c>
      <c r="H675" t="s">
        <v>37</v>
      </c>
      <c r="I675" t="s">
        <v>23</v>
      </c>
      <c r="J675" t="s">
        <v>38</v>
      </c>
      <c r="K675" t="s">
        <v>39</v>
      </c>
      <c r="L675">
        <v>90036</v>
      </c>
      <c r="M675" t="s">
        <v>40</v>
      </c>
      <c r="N675" t="s">
        <v>2567</v>
      </c>
      <c r="O675" t="s">
        <v>42</v>
      </c>
      <c r="P675" t="s">
        <v>71</v>
      </c>
      <c r="Q675" t="s">
        <v>2568</v>
      </c>
      <c r="R675">
        <v>37.44</v>
      </c>
      <c r="S675" t="str">
        <f>TEXT(sales_data[[#This Row],[Order Date]],"mm")</f>
        <v>11</v>
      </c>
      <c r="T675">
        <f>YEAR(sales_data[[#This Row],[Order Date]])</f>
        <v>2017</v>
      </c>
      <c r="U675" s="7"/>
      <c r="V675" t="s">
        <v>2567</v>
      </c>
    </row>
    <row r="676" spans="1:22" x14ac:dyDescent="0.35">
      <c r="A676">
        <v>844</v>
      </c>
      <c r="B676" t="s">
        <v>2564</v>
      </c>
      <c r="C676" s="1">
        <v>43046</v>
      </c>
      <c r="D676" s="1">
        <v>43048</v>
      </c>
      <c r="E676" t="s">
        <v>183</v>
      </c>
      <c r="F676" t="s">
        <v>2565</v>
      </c>
      <c r="G676" t="s">
        <v>2566</v>
      </c>
      <c r="H676" t="s">
        <v>37</v>
      </c>
      <c r="I676" t="s">
        <v>23</v>
      </c>
      <c r="J676" t="s">
        <v>38</v>
      </c>
      <c r="K676" t="s">
        <v>39</v>
      </c>
      <c r="L676">
        <v>90036</v>
      </c>
      <c r="M676" t="s">
        <v>40</v>
      </c>
      <c r="N676" t="s">
        <v>2569</v>
      </c>
      <c r="O676" t="s">
        <v>42</v>
      </c>
      <c r="P676" t="s">
        <v>71</v>
      </c>
      <c r="Q676" t="s">
        <v>2570</v>
      </c>
      <c r="R676">
        <v>26.975999999999999</v>
      </c>
      <c r="S676" t="str">
        <f>TEXT(sales_data[[#This Row],[Order Date]],"mm")</f>
        <v>11</v>
      </c>
      <c r="T676">
        <f>YEAR(sales_data[[#This Row],[Order Date]])</f>
        <v>2017</v>
      </c>
      <c r="U676" s="7"/>
      <c r="V676" t="s">
        <v>2569</v>
      </c>
    </row>
    <row r="677" spans="1:22" x14ac:dyDescent="0.35">
      <c r="A677">
        <v>845</v>
      </c>
      <c r="B677" t="s">
        <v>2564</v>
      </c>
      <c r="C677" s="1">
        <v>43046</v>
      </c>
      <c r="D677" s="1">
        <v>43048</v>
      </c>
      <c r="E677" t="s">
        <v>183</v>
      </c>
      <c r="F677" t="s">
        <v>2565</v>
      </c>
      <c r="G677" t="s">
        <v>2566</v>
      </c>
      <c r="H677" t="s">
        <v>37</v>
      </c>
      <c r="I677" t="s">
        <v>23</v>
      </c>
      <c r="J677" t="s">
        <v>38</v>
      </c>
      <c r="K677" t="s">
        <v>39</v>
      </c>
      <c r="L677">
        <v>90036</v>
      </c>
      <c r="M677" t="s">
        <v>40</v>
      </c>
      <c r="N677" t="s">
        <v>2571</v>
      </c>
      <c r="O677" t="s">
        <v>42</v>
      </c>
      <c r="P677" t="s">
        <v>573</v>
      </c>
      <c r="Q677" t="s">
        <v>2572</v>
      </c>
      <c r="R677">
        <v>11.36</v>
      </c>
      <c r="S677" t="str">
        <f>TEXT(sales_data[[#This Row],[Order Date]],"mm")</f>
        <v>11</v>
      </c>
      <c r="T677">
        <f>YEAR(sales_data[[#This Row],[Order Date]])</f>
        <v>2017</v>
      </c>
      <c r="U677" s="7"/>
      <c r="V677" t="s">
        <v>2571</v>
      </c>
    </row>
    <row r="678" spans="1:22" x14ac:dyDescent="0.35">
      <c r="A678">
        <v>846</v>
      </c>
      <c r="B678" t="s">
        <v>2564</v>
      </c>
      <c r="C678" s="1">
        <v>43046</v>
      </c>
      <c r="D678" s="1">
        <v>43048</v>
      </c>
      <c r="E678" t="s">
        <v>183</v>
      </c>
      <c r="F678" t="s">
        <v>2565</v>
      </c>
      <c r="G678" t="s">
        <v>2566</v>
      </c>
      <c r="H678" t="s">
        <v>37</v>
      </c>
      <c r="I678" t="s">
        <v>23</v>
      </c>
      <c r="J678" t="s">
        <v>38</v>
      </c>
      <c r="K678" t="s">
        <v>39</v>
      </c>
      <c r="L678">
        <v>90036</v>
      </c>
      <c r="M678" t="s">
        <v>40</v>
      </c>
      <c r="N678" t="s">
        <v>2573</v>
      </c>
      <c r="O678" t="s">
        <v>42</v>
      </c>
      <c r="P678" t="s">
        <v>43</v>
      </c>
      <c r="Q678" t="s">
        <v>2574</v>
      </c>
      <c r="R678">
        <v>14.62</v>
      </c>
      <c r="S678" t="str">
        <f>TEXT(sales_data[[#This Row],[Order Date]],"mm")</f>
        <v>11</v>
      </c>
      <c r="T678">
        <f>YEAR(sales_data[[#This Row],[Order Date]])</f>
        <v>2017</v>
      </c>
      <c r="U678" s="7"/>
      <c r="V678" t="s">
        <v>2573</v>
      </c>
    </row>
    <row r="679" spans="1:22" x14ac:dyDescent="0.35">
      <c r="A679">
        <v>849</v>
      </c>
      <c r="B679" t="s">
        <v>2576</v>
      </c>
      <c r="C679" s="1">
        <v>43101</v>
      </c>
      <c r="D679" s="1">
        <v>43106</v>
      </c>
      <c r="E679" t="s">
        <v>46</v>
      </c>
      <c r="F679" t="s">
        <v>2577</v>
      </c>
      <c r="G679" t="s">
        <v>2578</v>
      </c>
      <c r="H679" t="s">
        <v>22</v>
      </c>
      <c r="I679" t="s">
        <v>23</v>
      </c>
      <c r="J679" t="s">
        <v>2579</v>
      </c>
      <c r="K679" t="s">
        <v>493</v>
      </c>
      <c r="L679">
        <v>44052</v>
      </c>
      <c r="M679" t="s">
        <v>144</v>
      </c>
      <c r="N679" t="s">
        <v>2580</v>
      </c>
      <c r="O679" t="s">
        <v>28</v>
      </c>
      <c r="P679" t="s">
        <v>61</v>
      </c>
      <c r="Q679" t="s">
        <v>2581</v>
      </c>
      <c r="R679">
        <v>48.896000000000001</v>
      </c>
      <c r="S679" t="str">
        <f>TEXT(sales_data[[#This Row],[Order Date]],"mm")</f>
        <v>01</v>
      </c>
      <c r="T679">
        <f>YEAR(sales_data[[#This Row],[Order Date]])</f>
        <v>2018</v>
      </c>
      <c r="U679" s="7"/>
      <c r="V679" t="s">
        <v>2580</v>
      </c>
    </row>
    <row r="680" spans="1:22" x14ac:dyDescent="0.35">
      <c r="A680">
        <v>850</v>
      </c>
      <c r="B680" t="s">
        <v>2582</v>
      </c>
      <c r="C680" s="1">
        <v>42042</v>
      </c>
      <c r="D680" s="1">
        <v>42047</v>
      </c>
      <c r="E680" t="s">
        <v>46</v>
      </c>
      <c r="F680" t="s">
        <v>2583</v>
      </c>
      <c r="G680" t="s">
        <v>2584</v>
      </c>
      <c r="H680" t="s">
        <v>37</v>
      </c>
      <c r="I680" t="s">
        <v>23</v>
      </c>
      <c r="J680" t="s">
        <v>2585</v>
      </c>
      <c r="K680" t="s">
        <v>780</v>
      </c>
      <c r="L680">
        <v>7036</v>
      </c>
      <c r="M680" t="s">
        <v>144</v>
      </c>
      <c r="N680" t="s">
        <v>2586</v>
      </c>
      <c r="O680" t="s">
        <v>67</v>
      </c>
      <c r="P680" t="s">
        <v>156</v>
      </c>
      <c r="Q680" t="s">
        <v>2587</v>
      </c>
      <c r="R680">
        <v>115.36</v>
      </c>
      <c r="S680" t="str">
        <f>TEXT(sales_data[[#This Row],[Order Date]],"mm")</f>
        <v>02</v>
      </c>
      <c r="T680">
        <f>YEAR(sales_data[[#This Row],[Order Date]])</f>
        <v>2015</v>
      </c>
      <c r="U680" s="7"/>
      <c r="V680" t="s">
        <v>2586</v>
      </c>
    </row>
    <row r="681" spans="1:22" x14ac:dyDescent="0.35">
      <c r="A681">
        <v>851</v>
      </c>
      <c r="B681" t="s">
        <v>2588</v>
      </c>
      <c r="C681" s="1">
        <v>42906</v>
      </c>
      <c r="D681" s="1">
        <v>42911</v>
      </c>
      <c r="E681" t="s">
        <v>19</v>
      </c>
      <c r="F681" t="s">
        <v>2589</v>
      </c>
      <c r="G681" t="s">
        <v>2590</v>
      </c>
      <c r="H681" t="s">
        <v>37</v>
      </c>
      <c r="I681" t="s">
        <v>23</v>
      </c>
      <c r="J681" t="s">
        <v>2591</v>
      </c>
      <c r="K681" t="s">
        <v>39</v>
      </c>
      <c r="L681">
        <v>93905</v>
      </c>
      <c r="M681" t="s">
        <v>40</v>
      </c>
      <c r="N681" t="s">
        <v>2592</v>
      </c>
      <c r="O681" t="s">
        <v>42</v>
      </c>
      <c r="P681" t="s">
        <v>64</v>
      </c>
      <c r="Q681" t="s">
        <v>2593</v>
      </c>
      <c r="R681">
        <v>5.16</v>
      </c>
      <c r="S681" t="str">
        <f>TEXT(sales_data[[#This Row],[Order Date]],"mm")</f>
        <v>06</v>
      </c>
      <c r="T681">
        <f>YEAR(sales_data[[#This Row],[Order Date]])</f>
        <v>2017</v>
      </c>
      <c r="U681" s="7"/>
      <c r="V681" t="s">
        <v>2592</v>
      </c>
    </row>
    <row r="682" spans="1:22" x14ac:dyDescent="0.35">
      <c r="A682">
        <v>852</v>
      </c>
      <c r="B682" t="s">
        <v>2588</v>
      </c>
      <c r="C682" s="1">
        <v>42906</v>
      </c>
      <c r="D682" s="1">
        <v>42911</v>
      </c>
      <c r="E682" t="s">
        <v>19</v>
      </c>
      <c r="F682" t="s">
        <v>2589</v>
      </c>
      <c r="G682" t="s">
        <v>2590</v>
      </c>
      <c r="H682" t="s">
        <v>37</v>
      </c>
      <c r="I682" t="s">
        <v>23</v>
      </c>
      <c r="J682" t="s">
        <v>2591</v>
      </c>
      <c r="K682" t="s">
        <v>39</v>
      </c>
      <c r="L682">
        <v>93905</v>
      </c>
      <c r="M682" t="s">
        <v>40</v>
      </c>
      <c r="N682" t="s">
        <v>2594</v>
      </c>
      <c r="O682" t="s">
        <v>42</v>
      </c>
      <c r="P682" t="s">
        <v>86</v>
      </c>
      <c r="Q682" t="s">
        <v>2595</v>
      </c>
      <c r="R682">
        <v>38.880000000000003</v>
      </c>
      <c r="S682" t="str">
        <f>TEXT(sales_data[[#This Row],[Order Date]],"mm")</f>
        <v>06</v>
      </c>
      <c r="T682">
        <f>YEAR(sales_data[[#This Row],[Order Date]])</f>
        <v>2017</v>
      </c>
      <c r="U682" s="7"/>
      <c r="V682" t="s">
        <v>2594</v>
      </c>
    </row>
    <row r="683" spans="1:22" x14ac:dyDescent="0.35">
      <c r="A683">
        <v>856</v>
      </c>
      <c r="B683" t="s">
        <v>2596</v>
      </c>
      <c r="C683" s="1">
        <v>42219</v>
      </c>
      <c r="D683" s="1">
        <v>42224</v>
      </c>
      <c r="E683" t="s">
        <v>46</v>
      </c>
      <c r="F683" t="s">
        <v>2597</v>
      </c>
      <c r="G683" t="s">
        <v>2598</v>
      </c>
      <c r="H683" t="s">
        <v>22</v>
      </c>
      <c r="I683" t="s">
        <v>23</v>
      </c>
      <c r="J683" t="s">
        <v>261</v>
      </c>
      <c r="K683" t="s">
        <v>262</v>
      </c>
      <c r="L683">
        <v>10035</v>
      </c>
      <c r="M683" t="s">
        <v>144</v>
      </c>
      <c r="N683" t="s">
        <v>2599</v>
      </c>
      <c r="O683" t="s">
        <v>42</v>
      </c>
      <c r="P683" t="s">
        <v>86</v>
      </c>
      <c r="Q683" t="s">
        <v>2600</v>
      </c>
      <c r="R683">
        <v>39.96</v>
      </c>
      <c r="S683" t="str">
        <f>TEXT(sales_data[[#This Row],[Order Date]],"mm")</f>
        <v>08</v>
      </c>
      <c r="T683">
        <f>YEAR(sales_data[[#This Row],[Order Date]])</f>
        <v>2015</v>
      </c>
      <c r="U683" s="7"/>
      <c r="V683" t="s">
        <v>2599</v>
      </c>
    </row>
    <row r="684" spans="1:22" x14ac:dyDescent="0.35">
      <c r="A684">
        <v>857</v>
      </c>
      <c r="B684" t="s">
        <v>2596</v>
      </c>
      <c r="C684" s="1">
        <v>42219</v>
      </c>
      <c r="D684" s="1">
        <v>42224</v>
      </c>
      <c r="E684" t="s">
        <v>46</v>
      </c>
      <c r="F684" t="s">
        <v>2597</v>
      </c>
      <c r="G684" t="s">
        <v>2598</v>
      </c>
      <c r="H684" t="s">
        <v>22</v>
      </c>
      <c r="I684" t="s">
        <v>23</v>
      </c>
      <c r="J684" t="s">
        <v>261</v>
      </c>
      <c r="K684" t="s">
        <v>262</v>
      </c>
      <c r="L684">
        <v>10035</v>
      </c>
      <c r="M684" t="s">
        <v>144</v>
      </c>
      <c r="N684" t="s">
        <v>2601</v>
      </c>
      <c r="O684" t="s">
        <v>42</v>
      </c>
      <c r="P684" t="s">
        <v>573</v>
      </c>
      <c r="Q684" t="s">
        <v>2602</v>
      </c>
      <c r="R684">
        <v>102.3</v>
      </c>
      <c r="S684" t="str">
        <f>TEXT(sales_data[[#This Row],[Order Date]],"mm")</f>
        <v>08</v>
      </c>
      <c r="T684">
        <f>YEAR(sales_data[[#This Row],[Order Date]])</f>
        <v>2015</v>
      </c>
      <c r="U684" s="7"/>
      <c r="V684" t="s">
        <v>2601</v>
      </c>
    </row>
    <row r="685" spans="1:22" x14ac:dyDescent="0.35">
      <c r="A685">
        <v>858</v>
      </c>
      <c r="B685" t="s">
        <v>2596</v>
      </c>
      <c r="C685" s="1">
        <v>42219</v>
      </c>
      <c r="D685" s="1">
        <v>42224</v>
      </c>
      <c r="E685" t="s">
        <v>46</v>
      </c>
      <c r="F685" t="s">
        <v>2597</v>
      </c>
      <c r="G685" t="s">
        <v>2598</v>
      </c>
      <c r="H685" t="s">
        <v>22</v>
      </c>
      <c r="I685" t="s">
        <v>23</v>
      </c>
      <c r="J685" t="s">
        <v>261</v>
      </c>
      <c r="K685" t="s">
        <v>262</v>
      </c>
      <c r="L685">
        <v>10035</v>
      </c>
      <c r="M685" t="s">
        <v>144</v>
      </c>
      <c r="N685" t="s">
        <v>2603</v>
      </c>
      <c r="O685" t="s">
        <v>42</v>
      </c>
      <c r="P685" t="s">
        <v>55</v>
      </c>
      <c r="Q685" t="s">
        <v>2604</v>
      </c>
      <c r="R685">
        <v>21.36</v>
      </c>
      <c r="S685" t="str">
        <f>TEXT(sales_data[[#This Row],[Order Date]],"mm")</f>
        <v>08</v>
      </c>
      <c r="T685">
        <f>YEAR(sales_data[[#This Row],[Order Date]])</f>
        <v>2015</v>
      </c>
      <c r="U685" s="7"/>
      <c r="V685" t="s">
        <v>2603</v>
      </c>
    </row>
    <row r="686" spans="1:22" x14ac:dyDescent="0.35">
      <c r="A686">
        <v>862</v>
      </c>
      <c r="B686" t="s">
        <v>2607</v>
      </c>
      <c r="C686" s="1">
        <v>42164</v>
      </c>
      <c r="D686" s="1">
        <v>42171</v>
      </c>
      <c r="E686" t="s">
        <v>46</v>
      </c>
      <c r="F686" t="s">
        <v>2608</v>
      </c>
      <c r="G686" t="s">
        <v>2609</v>
      </c>
      <c r="H686" t="s">
        <v>22</v>
      </c>
      <c r="I686" t="s">
        <v>23</v>
      </c>
      <c r="J686" t="s">
        <v>123</v>
      </c>
      <c r="K686" t="s">
        <v>39</v>
      </c>
      <c r="L686">
        <v>94122</v>
      </c>
      <c r="M686" t="s">
        <v>40</v>
      </c>
      <c r="N686" t="s">
        <v>2610</v>
      </c>
      <c r="O686" t="s">
        <v>42</v>
      </c>
      <c r="P686" t="s">
        <v>64</v>
      </c>
      <c r="Q686" t="s">
        <v>2611</v>
      </c>
      <c r="R686">
        <v>23.1</v>
      </c>
      <c r="S686" t="str">
        <f>TEXT(sales_data[[#This Row],[Order Date]],"mm")</f>
        <v>06</v>
      </c>
      <c r="T686">
        <f>YEAR(sales_data[[#This Row],[Order Date]])</f>
        <v>2015</v>
      </c>
      <c r="U686" s="7"/>
      <c r="V686" t="s">
        <v>2610</v>
      </c>
    </row>
    <row r="687" spans="1:22" x14ac:dyDescent="0.35">
      <c r="A687">
        <v>863</v>
      </c>
      <c r="B687" t="s">
        <v>2612</v>
      </c>
      <c r="C687" s="1">
        <v>42740</v>
      </c>
      <c r="D687" s="1">
        <v>42742</v>
      </c>
      <c r="E687" t="s">
        <v>19</v>
      </c>
      <c r="F687" t="s">
        <v>2389</v>
      </c>
      <c r="G687" t="s">
        <v>2390</v>
      </c>
      <c r="H687" t="s">
        <v>37</v>
      </c>
      <c r="I687" t="s">
        <v>23</v>
      </c>
      <c r="J687" t="s">
        <v>1509</v>
      </c>
      <c r="K687" t="s">
        <v>50</v>
      </c>
      <c r="L687">
        <v>32216</v>
      </c>
      <c r="M687" t="s">
        <v>26</v>
      </c>
      <c r="N687" t="s">
        <v>2613</v>
      </c>
      <c r="O687" t="s">
        <v>67</v>
      </c>
      <c r="P687" t="s">
        <v>156</v>
      </c>
      <c r="Q687" t="s">
        <v>2614</v>
      </c>
      <c r="R687">
        <v>191.47200000000001</v>
      </c>
      <c r="S687" t="str">
        <f>TEXT(sales_data[[#This Row],[Order Date]],"mm")</f>
        <v>01</v>
      </c>
      <c r="T687">
        <f>YEAR(sales_data[[#This Row],[Order Date]])</f>
        <v>2017</v>
      </c>
      <c r="U687" s="7"/>
      <c r="V687" t="s">
        <v>2613</v>
      </c>
    </row>
    <row r="688" spans="1:22" x14ac:dyDescent="0.35">
      <c r="A688">
        <v>864</v>
      </c>
      <c r="B688" t="s">
        <v>2612</v>
      </c>
      <c r="C688" s="1">
        <v>42740</v>
      </c>
      <c r="D688" s="1">
        <v>42742</v>
      </c>
      <c r="E688" t="s">
        <v>19</v>
      </c>
      <c r="F688" t="s">
        <v>2389</v>
      </c>
      <c r="G688" t="s">
        <v>2390</v>
      </c>
      <c r="H688" t="s">
        <v>37</v>
      </c>
      <c r="I688" t="s">
        <v>23</v>
      </c>
      <c r="J688" t="s">
        <v>1509</v>
      </c>
      <c r="K688" t="s">
        <v>50</v>
      </c>
      <c r="L688">
        <v>32216</v>
      </c>
      <c r="M688" t="s">
        <v>26</v>
      </c>
      <c r="N688" t="s">
        <v>2615</v>
      </c>
      <c r="O688" t="s">
        <v>42</v>
      </c>
      <c r="P688" t="s">
        <v>64</v>
      </c>
      <c r="Q688" t="s">
        <v>2616</v>
      </c>
      <c r="R688">
        <v>5.2480000000000002</v>
      </c>
      <c r="S688" t="str">
        <f>TEXT(sales_data[[#This Row],[Order Date]],"mm")</f>
        <v>01</v>
      </c>
      <c r="T688">
        <f>YEAR(sales_data[[#This Row],[Order Date]])</f>
        <v>2017</v>
      </c>
      <c r="U688" s="7"/>
      <c r="V688" t="s">
        <v>2615</v>
      </c>
    </row>
    <row r="689" spans="1:22" x14ac:dyDescent="0.35">
      <c r="A689">
        <v>865</v>
      </c>
      <c r="B689" t="s">
        <v>2612</v>
      </c>
      <c r="C689" s="1">
        <v>42740</v>
      </c>
      <c r="D689" s="1">
        <v>42742</v>
      </c>
      <c r="E689" t="s">
        <v>19</v>
      </c>
      <c r="F689" t="s">
        <v>2389</v>
      </c>
      <c r="G689" t="s">
        <v>2390</v>
      </c>
      <c r="H689" t="s">
        <v>37</v>
      </c>
      <c r="I689" t="s">
        <v>23</v>
      </c>
      <c r="J689" t="s">
        <v>1509</v>
      </c>
      <c r="K689" t="s">
        <v>50</v>
      </c>
      <c r="L689">
        <v>32216</v>
      </c>
      <c r="M689" t="s">
        <v>26</v>
      </c>
      <c r="N689" t="s">
        <v>2617</v>
      </c>
      <c r="O689" t="s">
        <v>67</v>
      </c>
      <c r="P689" t="s">
        <v>68</v>
      </c>
      <c r="Q689" t="s">
        <v>2618</v>
      </c>
      <c r="R689">
        <v>59.183999999999997</v>
      </c>
      <c r="S689" t="str">
        <f>TEXT(sales_data[[#This Row],[Order Date]],"mm")</f>
        <v>01</v>
      </c>
      <c r="T689">
        <f>YEAR(sales_data[[#This Row],[Order Date]])</f>
        <v>2017</v>
      </c>
      <c r="U689" s="7"/>
      <c r="V689" t="s">
        <v>2617</v>
      </c>
    </row>
    <row r="690" spans="1:22" x14ac:dyDescent="0.35">
      <c r="A690">
        <v>866</v>
      </c>
      <c r="B690" t="s">
        <v>2619</v>
      </c>
      <c r="C690" s="1">
        <v>42014</v>
      </c>
      <c r="D690" s="1">
        <v>42019</v>
      </c>
      <c r="E690" t="s">
        <v>46</v>
      </c>
      <c r="F690" t="s">
        <v>2620</v>
      </c>
      <c r="G690" t="s">
        <v>2621</v>
      </c>
      <c r="H690" t="s">
        <v>37</v>
      </c>
      <c r="I690" t="s">
        <v>23</v>
      </c>
      <c r="J690" t="s">
        <v>313</v>
      </c>
      <c r="K690" t="s">
        <v>314</v>
      </c>
      <c r="L690">
        <v>22153</v>
      </c>
      <c r="M690" t="s">
        <v>26</v>
      </c>
      <c r="N690" t="s">
        <v>2622</v>
      </c>
      <c r="O690" t="s">
        <v>42</v>
      </c>
      <c r="P690" t="s">
        <v>43</v>
      </c>
      <c r="Q690" t="s">
        <v>2623</v>
      </c>
      <c r="R690">
        <v>2.89</v>
      </c>
      <c r="S690" t="str">
        <f>TEXT(sales_data[[#This Row],[Order Date]],"mm")</f>
        <v>01</v>
      </c>
      <c r="T690">
        <f>YEAR(sales_data[[#This Row],[Order Date]])</f>
        <v>2015</v>
      </c>
      <c r="U690" s="7"/>
      <c r="V690" t="s">
        <v>2622</v>
      </c>
    </row>
    <row r="691" spans="1:22" x14ac:dyDescent="0.35">
      <c r="A691">
        <v>867</v>
      </c>
      <c r="B691" t="s">
        <v>2619</v>
      </c>
      <c r="C691" s="1">
        <v>42014</v>
      </c>
      <c r="D691" s="1">
        <v>42019</v>
      </c>
      <c r="E691" t="s">
        <v>46</v>
      </c>
      <c r="F691" t="s">
        <v>2620</v>
      </c>
      <c r="G691" t="s">
        <v>2621</v>
      </c>
      <c r="H691" t="s">
        <v>37</v>
      </c>
      <c r="I691" t="s">
        <v>23</v>
      </c>
      <c r="J691" t="s">
        <v>313</v>
      </c>
      <c r="K691" t="s">
        <v>314</v>
      </c>
      <c r="L691">
        <v>22153</v>
      </c>
      <c r="M691" t="s">
        <v>26</v>
      </c>
      <c r="N691" t="s">
        <v>2624</v>
      </c>
      <c r="O691" t="s">
        <v>28</v>
      </c>
      <c r="P691" t="s">
        <v>61</v>
      </c>
      <c r="Q691" t="s">
        <v>2625</v>
      </c>
      <c r="R691">
        <v>51.94</v>
      </c>
      <c r="S691" t="str">
        <f>TEXT(sales_data[[#This Row],[Order Date]],"mm")</f>
        <v>01</v>
      </c>
      <c r="T691">
        <f>YEAR(sales_data[[#This Row],[Order Date]])</f>
        <v>2015</v>
      </c>
      <c r="U691" s="7"/>
      <c r="V691" t="s">
        <v>2624</v>
      </c>
    </row>
    <row r="692" spans="1:22" x14ac:dyDescent="0.35">
      <c r="A692">
        <v>868</v>
      </c>
      <c r="B692" t="s">
        <v>2626</v>
      </c>
      <c r="C692" s="1">
        <v>43007</v>
      </c>
      <c r="D692" s="1">
        <v>43010</v>
      </c>
      <c r="E692" t="s">
        <v>183</v>
      </c>
      <c r="F692" t="s">
        <v>2627</v>
      </c>
      <c r="G692" t="s">
        <v>2628</v>
      </c>
      <c r="H692" t="s">
        <v>37</v>
      </c>
      <c r="I692" t="s">
        <v>23</v>
      </c>
      <c r="J692" t="s">
        <v>142</v>
      </c>
      <c r="K692" t="s">
        <v>143</v>
      </c>
      <c r="L692">
        <v>19140</v>
      </c>
      <c r="M692" t="s">
        <v>144</v>
      </c>
      <c r="N692" t="s">
        <v>2629</v>
      </c>
      <c r="O692" t="s">
        <v>42</v>
      </c>
      <c r="P692" t="s">
        <v>43</v>
      </c>
      <c r="Q692" t="s">
        <v>2630</v>
      </c>
      <c r="R692">
        <v>15.936</v>
      </c>
      <c r="S692" t="str">
        <f>TEXT(sales_data[[#This Row],[Order Date]],"mm")</f>
        <v>09</v>
      </c>
      <c r="T692">
        <f>YEAR(sales_data[[#This Row],[Order Date]])</f>
        <v>2017</v>
      </c>
      <c r="U692" s="7"/>
      <c r="V692" t="s">
        <v>2629</v>
      </c>
    </row>
    <row r="693" spans="1:22" x14ac:dyDescent="0.35">
      <c r="A693">
        <v>869</v>
      </c>
      <c r="B693" t="s">
        <v>2631</v>
      </c>
      <c r="C693" s="1">
        <v>42100</v>
      </c>
      <c r="D693" s="1">
        <v>42104</v>
      </c>
      <c r="E693" t="s">
        <v>46</v>
      </c>
      <c r="F693" t="s">
        <v>2632</v>
      </c>
      <c r="G693" t="s">
        <v>2633</v>
      </c>
      <c r="H693" t="s">
        <v>37</v>
      </c>
      <c r="I693" t="s">
        <v>23</v>
      </c>
      <c r="J693" t="s">
        <v>2428</v>
      </c>
      <c r="K693" t="s">
        <v>143</v>
      </c>
      <c r="L693">
        <v>17602</v>
      </c>
      <c r="M693" t="s">
        <v>144</v>
      </c>
      <c r="N693" t="s">
        <v>2634</v>
      </c>
      <c r="O693" t="s">
        <v>42</v>
      </c>
      <c r="P693" t="s">
        <v>71</v>
      </c>
      <c r="Q693" t="s">
        <v>2635</v>
      </c>
      <c r="R693">
        <v>44.91</v>
      </c>
      <c r="S693" t="str">
        <f>TEXT(sales_data[[#This Row],[Order Date]],"mm")</f>
        <v>04</v>
      </c>
      <c r="T693">
        <f>YEAR(sales_data[[#This Row],[Order Date]])</f>
        <v>2015</v>
      </c>
      <c r="U693" s="7"/>
      <c r="V693" t="s">
        <v>2634</v>
      </c>
    </row>
    <row r="694" spans="1:22" x14ac:dyDescent="0.35">
      <c r="A694">
        <v>870</v>
      </c>
      <c r="B694" t="s">
        <v>2636</v>
      </c>
      <c r="C694" s="1">
        <v>42981</v>
      </c>
      <c r="D694" s="1">
        <v>42983</v>
      </c>
      <c r="E694" t="s">
        <v>183</v>
      </c>
      <c r="F694" t="s">
        <v>2637</v>
      </c>
      <c r="G694" t="s">
        <v>2638</v>
      </c>
      <c r="H694" t="s">
        <v>98</v>
      </c>
      <c r="I694" t="s">
        <v>23</v>
      </c>
      <c r="J694" t="s">
        <v>142</v>
      </c>
      <c r="K694" t="s">
        <v>143</v>
      </c>
      <c r="L694">
        <v>19143</v>
      </c>
      <c r="M694" t="s">
        <v>144</v>
      </c>
      <c r="N694" t="s">
        <v>2639</v>
      </c>
      <c r="O694" t="s">
        <v>42</v>
      </c>
      <c r="P694" t="s">
        <v>71</v>
      </c>
      <c r="Q694" t="s">
        <v>2640</v>
      </c>
      <c r="R694">
        <v>1141.47</v>
      </c>
      <c r="S694" t="str">
        <f>TEXT(sales_data[[#This Row],[Order Date]],"mm")</f>
        <v>09</v>
      </c>
      <c r="T694">
        <f>YEAR(sales_data[[#This Row],[Order Date]])</f>
        <v>2017</v>
      </c>
      <c r="U694" s="7"/>
      <c r="V694" t="s">
        <v>2639</v>
      </c>
    </row>
    <row r="695" spans="1:22" x14ac:dyDescent="0.35">
      <c r="A695">
        <v>872</v>
      </c>
      <c r="B695" t="s">
        <v>2641</v>
      </c>
      <c r="C695" s="1">
        <v>42662</v>
      </c>
      <c r="D695" s="1">
        <v>42663</v>
      </c>
      <c r="E695" t="s">
        <v>183</v>
      </c>
      <c r="F695" t="s">
        <v>159</v>
      </c>
      <c r="G695" t="s">
        <v>160</v>
      </c>
      <c r="H695" t="s">
        <v>22</v>
      </c>
      <c r="I695" t="s">
        <v>23</v>
      </c>
      <c r="J695" t="s">
        <v>83</v>
      </c>
      <c r="K695" t="s">
        <v>2642</v>
      </c>
      <c r="L695">
        <v>3301</v>
      </c>
      <c r="M695" t="s">
        <v>144</v>
      </c>
      <c r="N695" t="s">
        <v>2643</v>
      </c>
      <c r="O695" t="s">
        <v>42</v>
      </c>
      <c r="P695" t="s">
        <v>86</v>
      </c>
      <c r="Q695" t="s">
        <v>2644</v>
      </c>
      <c r="R695">
        <v>34.44</v>
      </c>
      <c r="S695" t="str">
        <f>TEXT(sales_data[[#This Row],[Order Date]],"mm")</f>
        <v>10</v>
      </c>
      <c r="T695">
        <f>YEAR(sales_data[[#This Row],[Order Date]])</f>
        <v>2016</v>
      </c>
      <c r="U695" s="7"/>
      <c r="V695" t="s">
        <v>2643</v>
      </c>
    </row>
    <row r="696" spans="1:22" x14ac:dyDescent="0.35">
      <c r="A696">
        <v>875</v>
      </c>
      <c r="B696" t="s">
        <v>2646</v>
      </c>
      <c r="C696" s="1">
        <v>43337</v>
      </c>
      <c r="D696" s="1">
        <v>43341</v>
      </c>
      <c r="E696" t="s">
        <v>46</v>
      </c>
      <c r="F696" t="s">
        <v>2577</v>
      </c>
      <c r="G696" t="s">
        <v>2578</v>
      </c>
      <c r="H696" t="s">
        <v>22</v>
      </c>
      <c r="I696" t="s">
        <v>23</v>
      </c>
      <c r="J696" t="s">
        <v>462</v>
      </c>
      <c r="K696" t="s">
        <v>84</v>
      </c>
      <c r="L696">
        <v>28205</v>
      </c>
      <c r="M696" t="s">
        <v>26</v>
      </c>
      <c r="N696" t="s">
        <v>2647</v>
      </c>
      <c r="O696" t="s">
        <v>42</v>
      </c>
      <c r="P696" t="s">
        <v>86</v>
      </c>
      <c r="Q696" t="s">
        <v>2648</v>
      </c>
      <c r="R696">
        <v>192.16</v>
      </c>
      <c r="S696" t="str">
        <f>TEXT(sales_data[[#This Row],[Order Date]],"mm")</f>
        <v>08</v>
      </c>
      <c r="T696">
        <f>YEAR(sales_data[[#This Row],[Order Date]])</f>
        <v>2018</v>
      </c>
      <c r="U696" s="7"/>
      <c r="V696" t="s">
        <v>2647</v>
      </c>
    </row>
    <row r="697" spans="1:22" x14ac:dyDescent="0.35">
      <c r="A697">
        <v>878</v>
      </c>
      <c r="B697" t="s">
        <v>2649</v>
      </c>
      <c r="C697" s="1">
        <v>42752</v>
      </c>
      <c r="D697" s="1">
        <v>42756</v>
      </c>
      <c r="E697" t="s">
        <v>46</v>
      </c>
      <c r="F697" t="s">
        <v>2105</v>
      </c>
      <c r="G697" t="s">
        <v>2106</v>
      </c>
      <c r="H697" t="s">
        <v>98</v>
      </c>
      <c r="I697" t="s">
        <v>23</v>
      </c>
      <c r="J697" t="s">
        <v>83</v>
      </c>
      <c r="K697" t="s">
        <v>2642</v>
      </c>
      <c r="L697">
        <v>3301</v>
      </c>
      <c r="M697" t="s">
        <v>144</v>
      </c>
      <c r="N697" t="s">
        <v>2650</v>
      </c>
      <c r="O697" t="s">
        <v>67</v>
      </c>
      <c r="P697" t="s">
        <v>156</v>
      </c>
      <c r="Q697" t="s">
        <v>2651</v>
      </c>
      <c r="R697">
        <v>371.97</v>
      </c>
      <c r="S697" t="str">
        <f>TEXT(sales_data[[#This Row],[Order Date]],"mm")</f>
        <v>01</v>
      </c>
      <c r="T697">
        <f>YEAR(sales_data[[#This Row],[Order Date]])</f>
        <v>2017</v>
      </c>
      <c r="U697" s="7"/>
      <c r="V697" t="s">
        <v>2650</v>
      </c>
    </row>
    <row r="698" spans="1:22" x14ac:dyDescent="0.35">
      <c r="A698">
        <v>879</v>
      </c>
      <c r="B698" t="s">
        <v>2652</v>
      </c>
      <c r="C698" s="1">
        <v>42264</v>
      </c>
      <c r="D698" s="1">
        <v>42268</v>
      </c>
      <c r="E698" t="s">
        <v>46</v>
      </c>
      <c r="F698" t="s">
        <v>2653</v>
      </c>
      <c r="G698" t="s">
        <v>2654</v>
      </c>
      <c r="H698" t="s">
        <v>98</v>
      </c>
      <c r="I698" t="s">
        <v>23</v>
      </c>
      <c r="J698" t="s">
        <v>142</v>
      </c>
      <c r="K698" t="s">
        <v>143</v>
      </c>
      <c r="L698">
        <v>19120</v>
      </c>
      <c r="M698" t="s">
        <v>144</v>
      </c>
      <c r="N698" t="s">
        <v>2655</v>
      </c>
      <c r="O698" t="s">
        <v>42</v>
      </c>
      <c r="P698" t="s">
        <v>71</v>
      </c>
      <c r="Q698" t="s">
        <v>2656</v>
      </c>
      <c r="R698">
        <v>5.8920000000000003</v>
      </c>
      <c r="S698" t="str">
        <f>TEXT(sales_data[[#This Row],[Order Date]],"mm")</f>
        <v>09</v>
      </c>
      <c r="T698">
        <f>YEAR(sales_data[[#This Row],[Order Date]])</f>
        <v>2015</v>
      </c>
      <c r="U698" s="7"/>
      <c r="V698" t="s">
        <v>2655</v>
      </c>
    </row>
    <row r="699" spans="1:22" x14ac:dyDescent="0.35">
      <c r="A699">
        <v>880</v>
      </c>
      <c r="B699" t="s">
        <v>2657</v>
      </c>
      <c r="C699" s="1">
        <v>43434</v>
      </c>
      <c r="D699" s="1">
        <v>43436</v>
      </c>
      <c r="E699" t="s">
        <v>19</v>
      </c>
      <c r="F699" t="s">
        <v>96</v>
      </c>
      <c r="G699" t="s">
        <v>97</v>
      </c>
      <c r="H699" t="s">
        <v>98</v>
      </c>
      <c r="I699" t="s">
        <v>23</v>
      </c>
      <c r="J699" t="s">
        <v>261</v>
      </c>
      <c r="K699" t="s">
        <v>262</v>
      </c>
      <c r="L699">
        <v>10024</v>
      </c>
      <c r="M699" t="s">
        <v>144</v>
      </c>
      <c r="N699" t="s">
        <v>2658</v>
      </c>
      <c r="O699" t="s">
        <v>42</v>
      </c>
      <c r="P699" t="s">
        <v>71</v>
      </c>
      <c r="Q699" t="s">
        <v>2659</v>
      </c>
      <c r="R699">
        <v>68.471999999999994</v>
      </c>
      <c r="S699" t="str">
        <f>TEXT(sales_data[[#This Row],[Order Date]],"mm")</f>
        <v>11</v>
      </c>
      <c r="T699">
        <f>YEAR(sales_data[[#This Row],[Order Date]])</f>
        <v>2018</v>
      </c>
      <c r="U699" s="7"/>
      <c r="V699" t="s">
        <v>2658</v>
      </c>
    </row>
    <row r="700" spans="1:22" x14ac:dyDescent="0.35">
      <c r="A700">
        <v>885</v>
      </c>
      <c r="B700" t="s">
        <v>2661</v>
      </c>
      <c r="C700" s="1">
        <v>42123</v>
      </c>
      <c r="D700" s="1">
        <v>42128</v>
      </c>
      <c r="E700" t="s">
        <v>46</v>
      </c>
      <c r="F700" t="s">
        <v>2662</v>
      </c>
      <c r="G700" t="s">
        <v>2663</v>
      </c>
      <c r="H700" t="s">
        <v>22</v>
      </c>
      <c r="I700" t="s">
        <v>23</v>
      </c>
      <c r="J700" t="s">
        <v>384</v>
      </c>
      <c r="K700" t="s">
        <v>262</v>
      </c>
      <c r="L700">
        <v>14609</v>
      </c>
      <c r="M700" t="s">
        <v>144</v>
      </c>
      <c r="N700" t="s">
        <v>2664</v>
      </c>
      <c r="O700" t="s">
        <v>28</v>
      </c>
      <c r="P700" t="s">
        <v>61</v>
      </c>
      <c r="Q700" t="s">
        <v>2665</v>
      </c>
      <c r="R700">
        <v>17.46</v>
      </c>
      <c r="S700" t="str">
        <f>TEXT(sales_data[[#This Row],[Order Date]],"mm")</f>
        <v>04</v>
      </c>
      <c r="T700">
        <f>YEAR(sales_data[[#This Row],[Order Date]])</f>
        <v>2015</v>
      </c>
      <c r="U700" s="7"/>
      <c r="V700" t="s">
        <v>2664</v>
      </c>
    </row>
    <row r="701" spans="1:22" x14ac:dyDescent="0.35">
      <c r="A701">
        <v>886</v>
      </c>
      <c r="B701" t="s">
        <v>2666</v>
      </c>
      <c r="C701" s="1">
        <v>42485</v>
      </c>
      <c r="D701" s="1">
        <v>42488</v>
      </c>
      <c r="E701" t="s">
        <v>19</v>
      </c>
      <c r="F701" t="s">
        <v>2667</v>
      </c>
      <c r="G701" t="s">
        <v>2668</v>
      </c>
      <c r="H701" t="s">
        <v>37</v>
      </c>
      <c r="I701" t="s">
        <v>23</v>
      </c>
      <c r="J701" t="s">
        <v>38</v>
      </c>
      <c r="K701" t="s">
        <v>39</v>
      </c>
      <c r="L701">
        <v>90045</v>
      </c>
      <c r="M701" t="s">
        <v>40</v>
      </c>
      <c r="N701" t="s">
        <v>2669</v>
      </c>
      <c r="O701" t="s">
        <v>42</v>
      </c>
      <c r="P701" t="s">
        <v>71</v>
      </c>
      <c r="Q701" t="s">
        <v>2670</v>
      </c>
      <c r="R701">
        <v>13.944000000000001</v>
      </c>
      <c r="S701" t="str">
        <f>TEXT(sales_data[[#This Row],[Order Date]],"mm")</f>
        <v>04</v>
      </c>
      <c r="T701">
        <f>YEAR(sales_data[[#This Row],[Order Date]])</f>
        <v>2016</v>
      </c>
      <c r="U701" s="7"/>
      <c r="V701" t="s">
        <v>2669</v>
      </c>
    </row>
    <row r="702" spans="1:22" x14ac:dyDescent="0.35">
      <c r="A702">
        <v>887</v>
      </c>
      <c r="B702" t="s">
        <v>2671</v>
      </c>
      <c r="C702" s="1">
        <v>43277</v>
      </c>
      <c r="D702" s="1">
        <v>43283</v>
      </c>
      <c r="E702" t="s">
        <v>46</v>
      </c>
      <c r="F702" t="s">
        <v>1869</v>
      </c>
      <c r="G702" t="s">
        <v>1870</v>
      </c>
      <c r="H702" t="s">
        <v>22</v>
      </c>
      <c r="I702" t="s">
        <v>23</v>
      </c>
      <c r="J702" t="s">
        <v>940</v>
      </c>
      <c r="K702" t="s">
        <v>39</v>
      </c>
      <c r="L702">
        <v>92105</v>
      </c>
      <c r="M702" t="s">
        <v>40</v>
      </c>
      <c r="N702" t="s">
        <v>2672</v>
      </c>
      <c r="O702" t="s">
        <v>42</v>
      </c>
      <c r="P702" t="s">
        <v>55</v>
      </c>
      <c r="Q702" t="s">
        <v>2673</v>
      </c>
      <c r="R702">
        <v>83.76</v>
      </c>
      <c r="S702" t="str">
        <f>TEXT(sales_data[[#This Row],[Order Date]],"mm")</f>
        <v>06</v>
      </c>
      <c r="T702">
        <f>YEAR(sales_data[[#This Row],[Order Date]])</f>
        <v>2018</v>
      </c>
      <c r="U702" s="7"/>
      <c r="V702" t="s">
        <v>2672</v>
      </c>
    </row>
    <row r="703" spans="1:22" x14ac:dyDescent="0.35">
      <c r="A703">
        <v>890</v>
      </c>
      <c r="B703" t="s">
        <v>2677</v>
      </c>
      <c r="C703" s="1">
        <v>43271</v>
      </c>
      <c r="D703" s="1">
        <v>43277</v>
      </c>
      <c r="E703" t="s">
        <v>46</v>
      </c>
      <c r="F703" t="s">
        <v>1630</v>
      </c>
      <c r="G703" t="s">
        <v>1631</v>
      </c>
      <c r="H703" t="s">
        <v>22</v>
      </c>
      <c r="I703" t="s">
        <v>23</v>
      </c>
      <c r="J703" t="s">
        <v>1487</v>
      </c>
      <c r="K703" t="s">
        <v>262</v>
      </c>
      <c r="L703">
        <v>10801</v>
      </c>
      <c r="M703" t="s">
        <v>144</v>
      </c>
      <c r="N703" t="s">
        <v>2678</v>
      </c>
      <c r="O703" t="s">
        <v>67</v>
      </c>
      <c r="P703" t="s">
        <v>156</v>
      </c>
      <c r="Q703" t="s">
        <v>2679</v>
      </c>
      <c r="R703">
        <v>149.94999999999999</v>
      </c>
      <c r="S703" t="str">
        <f>TEXT(sales_data[[#This Row],[Order Date]],"mm")</f>
        <v>06</v>
      </c>
      <c r="T703">
        <f>YEAR(sales_data[[#This Row],[Order Date]])</f>
        <v>2018</v>
      </c>
      <c r="U703" s="7"/>
      <c r="V703" t="s">
        <v>2678</v>
      </c>
    </row>
    <row r="704" spans="1:22" x14ac:dyDescent="0.35">
      <c r="A704">
        <v>892</v>
      </c>
      <c r="B704" t="s">
        <v>2680</v>
      </c>
      <c r="C704" s="1">
        <v>43277</v>
      </c>
      <c r="D704" s="1">
        <v>43278</v>
      </c>
      <c r="E704" t="s">
        <v>183</v>
      </c>
      <c r="F704" t="s">
        <v>2252</v>
      </c>
      <c r="G704" t="s">
        <v>2253</v>
      </c>
      <c r="H704" t="s">
        <v>98</v>
      </c>
      <c r="I704" t="s">
        <v>23</v>
      </c>
      <c r="J704" t="s">
        <v>872</v>
      </c>
      <c r="K704" t="s">
        <v>233</v>
      </c>
      <c r="L704">
        <v>48227</v>
      </c>
      <c r="M704" t="s">
        <v>101</v>
      </c>
      <c r="N704" t="s">
        <v>2681</v>
      </c>
      <c r="O704" t="s">
        <v>42</v>
      </c>
      <c r="P704" t="s">
        <v>86</v>
      </c>
      <c r="Q704" t="s">
        <v>2682</v>
      </c>
      <c r="R704">
        <v>4.54</v>
      </c>
      <c r="S704" t="str">
        <f>TEXT(sales_data[[#This Row],[Order Date]],"mm")</f>
        <v>06</v>
      </c>
      <c r="T704">
        <f>YEAR(sales_data[[#This Row],[Order Date]])</f>
        <v>2018</v>
      </c>
      <c r="U704" s="7"/>
      <c r="V704" t="s">
        <v>2681</v>
      </c>
    </row>
    <row r="705" spans="1:22" x14ac:dyDescent="0.35">
      <c r="A705">
        <v>893</v>
      </c>
      <c r="B705" t="s">
        <v>2680</v>
      </c>
      <c r="C705" s="1">
        <v>43277</v>
      </c>
      <c r="D705" s="1">
        <v>43278</v>
      </c>
      <c r="E705" t="s">
        <v>183</v>
      </c>
      <c r="F705" t="s">
        <v>2252</v>
      </c>
      <c r="G705" t="s">
        <v>2253</v>
      </c>
      <c r="H705" t="s">
        <v>98</v>
      </c>
      <c r="I705" t="s">
        <v>23</v>
      </c>
      <c r="J705" t="s">
        <v>872</v>
      </c>
      <c r="K705" t="s">
        <v>233</v>
      </c>
      <c r="L705">
        <v>48227</v>
      </c>
      <c r="M705" t="s">
        <v>101</v>
      </c>
      <c r="N705" t="s">
        <v>2683</v>
      </c>
      <c r="O705" t="s">
        <v>42</v>
      </c>
      <c r="P705" t="s">
        <v>64</v>
      </c>
      <c r="Q705" t="s">
        <v>2684</v>
      </c>
      <c r="R705">
        <v>15.92</v>
      </c>
      <c r="S705" t="str">
        <f>TEXT(sales_data[[#This Row],[Order Date]],"mm")</f>
        <v>06</v>
      </c>
      <c r="T705">
        <f>YEAR(sales_data[[#This Row],[Order Date]])</f>
        <v>2018</v>
      </c>
      <c r="U705" s="7"/>
      <c r="V705" t="s">
        <v>2683</v>
      </c>
    </row>
    <row r="706" spans="1:22" x14ac:dyDescent="0.35">
      <c r="A706">
        <v>894</v>
      </c>
      <c r="B706" t="s">
        <v>2680</v>
      </c>
      <c r="C706" s="1">
        <v>43277</v>
      </c>
      <c r="D706" s="1">
        <v>43278</v>
      </c>
      <c r="E706" t="s">
        <v>183</v>
      </c>
      <c r="F706" t="s">
        <v>2252</v>
      </c>
      <c r="G706" t="s">
        <v>2253</v>
      </c>
      <c r="H706" t="s">
        <v>98</v>
      </c>
      <c r="I706" t="s">
        <v>23</v>
      </c>
      <c r="J706" t="s">
        <v>872</v>
      </c>
      <c r="K706" t="s">
        <v>233</v>
      </c>
      <c r="L706">
        <v>48227</v>
      </c>
      <c r="M706" t="s">
        <v>101</v>
      </c>
      <c r="N706" t="s">
        <v>2685</v>
      </c>
      <c r="O706" t="s">
        <v>67</v>
      </c>
      <c r="P706" t="s">
        <v>68</v>
      </c>
      <c r="Q706" t="s">
        <v>2686</v>
      </c>
      <c r="R706">
        <v>543.91999999999996</v>
      </c>
      <c r="S706" t="str">
        <f>TEXT(sales_data[[#This Row],[Order Date]],"mm")</f>
        <v>06</v>
      </c>
      <c r="T706">
        <f>YEAR(sales_data[[#This Row],[Order Date]])</f>
        <v>2018</v>
      </c>
      <c r="U706" s="7"/>
      <c r="V706" t="s">
        <v>2685</v>
      </c>
    </row>
    <row r="707" spans="1:22" x14ac:dyDescent="0.35">
      <c r="A707">
        <v>896</v>
      </c>
      <c r="B707" t="s">
        <v>2687</v>
      </c>
      <c r="C707" s="1">
        <v>43049</v>
      </c>
      <c r="D707" s="1">
        <v>43051</v>
      </c>
      <c r="E707" t="s">
        <v>183</v>
      </c>
      <c r="F707" t="s">
        <v>2688</v>
      </c>
      <c r="G707" t="s">
        <v>2689</v>
      </c>
      <c r="H707" t="s">
        <v>37</v>
      </c>
      <c r="I707" t="s">
        <v>23</v>
      </c>
      <c r="J707" t="s">
        <v>123</v>
      </c>
      <c r="K707" t="s">
        <v>39</v>
      </c>
      <c r="L707">
        <v>94122</v>
      </c>
      <c r="M707" t="s">
        <v>40</v>
      </c>
      <c r="N707" t="s">
        <v>2690</v>
      </c>
      <c r="O707" t="s">
        <v>42</v>
      </c>
      <c r="P707" t="s">
        <v>71</v>
      </c>
      <c r="Q707" t="s">
        <v>2691</v>
      </c>
      <c r="R707">
        <v>70.007999999999996</v>
      </c>
      <c r="S707" t="str">
        <f>TEXT(sales_data[[#This Row],[Order Date]],"mm")</f>
        <v>11</v>
      </c>
      <c r="T707">
        <f>YEAR(sales_data[[#This Row],[Order Date]])</f>
        <v>2017</v>
      </c>
      <c r="U707" s="7"/>
      <c r="V707" t="s">
        <v>2690</v>
      </c>
    </row>
    <row r="708" spans="1:22" x14ac:dyDescent="0.35">
      <c r="A708">
        <v>897</v>
      </c>
      <c r="B708" t="s">
        <v>2692</v>
      </c>
      <c r="C708" s="1">
        <v>43011</v>
      </c>
      <c r="D708" s="1">
        <v>43014</v>
      </c>
      <c r="E708" t="s">
        <v>19</v>
      </c>
      <c r="F708" t="s">
        <v>2693</v>
      </c>
      <c r="G708" t="s">
        <v>2694</v>
      </c>
      <c r="H708" t="s">
        <v>22</v>
      </c>
      <c r="I708" t="s">
        <v>23</v>
      </c>
      <c r="J708" t="s">
        <v>179</v>
      </c>
      <c r="K708" t="s">
        <v>100</v>
      </c>
      <c r="L708">
        <v>77095</v>
      </c>
      <c r="M708" t="s">
        <v>101</v>
      </c>
      <c r="N708" t="s">
        <v>2695</v>
      </c>
      <c r="O708" t="s">
        <v>42</v>
      </c>
      <c r="P708" t="s">
        <v>168</v>
      </c>
      <c r="Q708" t="s">
        <v>662</v>
      </c>
      <c r="R708">
        <v>15.648</v>
      </c>
      <c r="S708" t="str">
        <f>TEXT(sales_data[[#This Row],[Order Date]],"mm")</f>
        <v>10</v>
      </c>
      <c r="T708">
        <f>YEAR(sales_data[[#This Row],[Order Date]])</f>
        <v>2017</v>
      </c>
      <c r="U708" s="7"/>
      <c r="V708" t="s">
        <v>2695</v>
      </c>
    </row>
    <row r="709" spans="1:22" x14ac:dyDescent="0.35">
      <c r="A709">
        <v>899</v>
      </c>
      <c r="B709" t="s">
        <v>2698</v>
      </c>
      <c r="C709" s="1">
        <v>43402</v>
      </c>
      <c r="D709" s="1">
        <v>43404</v>
      </c>
      <c r="E709" t="s">
        <v>19</v>
      </c>
      <c r="F709" t="s">
        <v>2699</v>
      </c>
      <c r="G709" t="s">
        <v>2700</v>
      </c>
      <c r="H709" t="s">
        <v>37</v>
      </c>
      <c r="I709" t="s">
        <v>23</v>
      </c>
      <c r="J709" t="s">
        <v>1548</v>
      </c>
      <c r="K709" t="s">
        <v>262</v>
      </c>
      <c r="L709">
        <v>13021</v>
      </c>
      <c r="M709" t="s">
        <v>144</v>
      </c>
      <c r="N709" t="s">
        <v>2701</v>
      </c>
      <c r="O709" t="s">
        <v>42</v>
      </c>
      <c r="P709" t="s">
        <v>86</v>
      </c>
      <c r="Q709" t="s">
        <v>2702</v>
      </c>
      <c r="R709">
        <v>46.96</v>
      </c>
      <c r="S709" t="str">
        <f>TEXT(sales_data[[#This Row],[Order Date]],"mm")</f>
        <v>10</v>
      </c>
      <c r="T709">
        <f>YEAR(sales_data[[#This Row],[Order Date]])</f>
        <v>2018</v>
      </c>
      <c r="U709" s="7"/>
      <c r="V709" t="s">
        <v>2701</v>
      </c>
    </row>
    <row r="710" spans="1:22" x14ac:dyDescent="0.35">
      <c r="A710">
        <v>900</v>
      </c>
      <c r="B710" t="s">
        <v>2703</v>
      </c>
      <c r="C710" s="1">
        <v>42835</v>
      </c>
      <c r="D710" s="1">
        <v>42837</v>
      </c>
      <c r="E710" t="s">
        <v>183</v>
      </c>
      <c r="F710" t="s">
        <v>2704</v>
      </c>
      <c r="G710" t="s">
        <v>2705</v>
      </c>
      <c r="H710" t="s">
        <v>37</v>
      </c>
      <c r="I710" t="s">
        <v>23</v>
      </c>
      <c r="J710" t="s">
        <v>313</v>
      </c>
      <c r="K710" t="s">
        <v>493</v>
      </c>
      <c r="L710">
        <v>45503</v>
      </c>
      <c r="M710" t="s">
        <v>144</v>
      </c>
      <c r="N710" t="s">
        <v>2706</v>
      </c>
      <c r="O710" t="s">
        <v>42</v>
      </c>
      <c r="P710" t="s">
        <v>71</v>
      </c>
      <c r="Q710" t="s">
        <v>2707</v>
      </c>
      <c r="R710">
        <v>8.9039999999999999</v>
      </c>
      <c r="S710" t="str">
        <f>TEXT(sales_data[[#This Row],[Order Date]],"mm")</f>
        <v>04</v>
      </c>
      <c r="T710">
        <f>YEAR(sales_data[[#This Row],[Order Date]])</f>
        <v>2017</v>
      </c>
      <c r="U710" s="7"/>
      <c r="V710" t="s">
        <v>2706</v>
      </c>
    </row>
    <row r="711" spans="1:22" x14ac:dyDescent="0.35">
      <c r="A711">
        <v>901</v>
      </c>
      <c r="B711" t="s">
        <v>2708</v>
      </c>
      <c r="C711" s="1">
        <v>43415</v>
      </c>
      <c r="D711" s="1">
        <v>43417</v>
      </c>
      <c r="E711" t="s">
        <v>183</v>
      </c>
      <c r="F711" t="s">
        <v>1232</v>
      </c>
      <c r="G711" t="s">
        <v>1233</v>
      </c>
      <c r="H711" t="s">
        <v>22</v>
      </c>
      <c r="I711" t="s">
        <v>23</v>
      </c>
      <c r="J711" t="s">
        <v>2709</v>
      </c>
      <c r="K711" t="s">
        <v>100</v>
      </c>
      <c r="L711">
        <v>75043</v>
      </c>
      <c r="M711" t="s">
        <v>101</v>
      </c>
      <c r="N711" t="s">
        <v>2710</v>
      </c>
      <c r="O711" t="s">
        <v>42</v>
      </c>
      <c r="P711" t="s">
        <v>43</v>
      </c>
      <c r="Q711" t="s">
        <v>2711</v>
      </c>
      <c r="R711">
        <v>10.44</v>
      </c>
      <c r="S711" t="str">
        <f>TEXT(sales_data[[#This Row],[Order Date]],"mm")</f>
        <v>11</v>
      </c>
      <c r="T711">
        <f>YEAR(sales_data[[#This Row],[Order Date]])</f>
        <v>2018</v>
      </c>
      <c r="U711" s="7"/>
      <c r="V711" t="s">
        <v>2710</v>
      </c>
    </row>
    <row r="712" spans="1:22" x14ac:dyDescent="0.35">
      <c r="A712">
        <v>902</v>
      </c>
      <c r="B712" t="s">
        <v>2708</v>
      </c>
      <c r="C712" s="1">
        <v>43415</v>
      </c>
      <c r="D712" s="1">
        <v>43417</v>
      </c>
      <c r="E712" t="s">
        <v>183</v>
      </c>
      <c r="F712" t="s">
        <v>1232</v>
      </c>
      <c r="G712" t="s">
        <v>1233</v>
      </c>
      <c r="H712" t="s">
        <v>22</v>
      </c>
      <c r="I712" t="s">
        <v>23</v>
      </c>
      <c r="J712" t="s">
        <v>2709</v>
      </c>
      <c r="K712" t="s">
        <v>100</v>
      </c>
      <c r="L712">
        <v>75043</v>
      </c>
      <c r="M712" t="s">
        <v>101</v>
      </c>
      <c r="N712" t="s">
        <v>2712</v>
      </c>
      <c r="O712" t="s">
        <v>42</v>
      </c>
      <c r="P712" t="s">
        <v>71</v>
      </c>
      <c r="Q712" t="s">
        <v>2713</v>
      </c>
      <c r="R712">
        <v>18.335999999999999</v>
      </c>
      <c r="S712" t="str">
        <f>TEXT(sales_data[[#This Row],[Order Date]],"mm")</f>
        <v>11</v>
      </c>
      <c r="T712">
        <f>YEAR(sales_data[[#This Row],[Order Date]])</f>
        <v>2018</v>
      </c>
      <c r="U712" s="7"/>
      <c r="V712" t="s">
        <v>2712</v>
      </c>
    </row>
    <row r="713" spans="1:22" x14ac:dyDescent="0.35">
      <c r="A713">
        <v>904</v>
      </c>
      <c r="B713" t="s">
        <v>2714</v>
      </c>
      <c r="C713" s="1">
        <v>42833</v>
      </c>
      <c r="D713" s="1">
        <v>42837</v>
      </c>
      <c r="E713" t="s">
        <v>46</v>
      </c>
      <c r="F713" t="s">
        <v>805</v>
      </c>
      <c r="G713" t="s">
        <v>806</v>
      </c>
      <c r="H713" t="s">
        <v>22</v>
      </c>
      <c r="I713" t="s">
        <v>23</v>
      </c>
      <c r="J713" t="s">
        <v>38</v>
      </c>
      <c r="K713" t="s">
        <v>39</v>
      </c>
      <c r="L713">
        <v>90032</v>
      </c>
      <c r="M713" t="s">
        <v>40</v>
      </c>
      <c r="N713" t="s">
        <v>2715</v>
      </c>
      <c r="O713" t="s">
        <v>42</v>
      </c>
      <c r="P713" t="s">
        <v>86</v>
      </c>
      <c r="Q713" t="s">
        <v>2716</v>
      </c>
      <c r="R713">
        <v>20.04</v>
      </c>
      <c r="S713" t="str">
        <f>TEXT(sales_data[[#This Row],[Order Date]],"mm")</f>
        <v>04</v>
      </c>
      <c r="T713">
        <f>YEAR(sales_data[[#This Row],[Order Date]])</f>
        <v>2017</v>
      </c>
      <c r="U713" s="7"/>
      <c r="V713" t="s">
        <v>2715</v>
      </c>
    </row>
    <row r="714" spans="1:22" x14ac:dyDescent="0.35">
      <c r="A714">
        <v>906</v>
      </c>
      <c r="B714" t="s">
        <v>2714</v>
      </c>
      <c r="C714" s="1">
        <v>42833</v>
      </c>
      <c r="D714" s="1">
        <v>42837</v>
      </c>
      <c r="E714" t="s">
        <v>46</v>
      </c>
      <c r="F714" t="s">
        <v>805</v>
      </c>
      <c r="G714" t="s">
        <v>806</v>
      </c>
      <c r="H714" t="s">
        <v>22</v>
      </c>
      <c r="I714" t="s">
        <v>23</v>
      </c>
      <c r="J714" t="s">
        <v>38</v>
      </c>
      <c r="K714" t="s">
        <v>39</v>
      </c>
      <c r="L714">
        <v>90032</v>
      </c>
      <c r="M714" t="s">
        <v>40</v>
      </c>
      <c r="N714" t="s">
        <v>2717</v>
      </c>
      <c r="O714" t="s">
        <v>42</v>
      </c>
      <c r="P714" t="s">
        <v>86</v>
      </c>
      <c r="Q714" t="s">
        <v>2718</v>
      </c>
      <c r="R714">
        <v>12.96</v>
      </c>
      <c r="S714" t="str">
        <f>TEXT(sales_data[[#This Row],[Order Date]],"mm")</f>
        <v>04</v>
      </c>
      <c r="T714">
        <f>YEAR(sales_data[[#This Row],[Order Date]])</f>
        <v>2017</v>
      </c>
      <c r="U714" s="7"/>
      <c r="V714" t="s">
        <v>2717</v>
      </c>
    </row>
    <row r="715" spans="1:22" x14ac:dyDescent="0.35">
      <c r="A715">
        <v>907</v>
      </c>
      <c r="B715" t="s">
        <v>2719</v>
      </c>
      <c r="C715" s="1">
        <v>43464</v>
      </c>
      <c r="D715" s="1">
        <v>43468</v>
      </c>
      <c r="E715" t="s">
        <v>46</v>
      </c>
      <c r="F715" t="s">
        <v>230</v>
      </c>
      <c r="G715" t="s">
        <v>231</v>
      </c>
      <c r="H715" t="s">
        <v>22</v>
      </c>
      <c r="I715" t="s">
        <v>23</v>
      </c>
      <c r="J715" t="s">
        <v>261</v>
      </c>
      <c r="K715" t="s">
        <v>262</v>
      </c>
      <c r="L715">
        <v>10009</v>
      </c>
      <c r="M715" t="s">
        <v>144</v>
      </c>
      <c r="N715" t="s">
        <v>2720</v>
      </c>
      <c r="O715" t="s">
        <v>28</v>
      </c>
      <c r="P715" t="s">
        <v>29</v>
      </c>
      <c r="Q715" t="s">
        <v>2721</v>
      </c>
      <c r="R715">
        <v>323.13600000000002</v>
      </c>
      <c r="S715" t="str">
        <f>TEXT(sales_data[[#This Row],[Order Date]],"mm")</f>
        <v>12</v>
      </c>
      <c r="T715">
        <f>YEAR(sales_data[[#This Row],[Order Date]])</f>
        <v>2018</v>
      </c>
      <c r="U715" s="7"/>
      <c r="V715" t="s">
        <v>2720</v>
      </c>
    </row>
    <row r="716" spans="1:22" x14ac:dyDescent="0.35">
      <c r="A716">
        <v>908</v>
      </c>
      <c r="B716" t="s">
        <v>2719</v>
      </c>
      <c r="C716" s="1">
        <v>43464</v>
      </c>
      <c r="D716" s="1">
        <v>43468</v>
      </c>
      <c r="E716" t="s">
        <v>46</v>
      </c>
      <c r="F716" t="s">
        <v>230</v>
      </c>
      <c r="G716" t="s">
        <v>231</v>
      </c>
      <c r="H716" t="s">
        <v>22</v>
      </c>
      <c r="I716" t="s">
        <v>23</v>
      </c>
      <c r="J716" t="s">
        <v>261</v>
      </c>
      <c r="K716" t="s">
        <v>262</v>
      </c>
      <c r="L716">
        <v>10009</v>
      </c>
      <c r="M716" t="s">
        <v>144</v>
      </c>
      <c r="N716" t="s">
        <v>2722</v>
      </c>
      <c r="O716" t="s">
        <v>67</v>
      </c>
      <c r="P716" t="s">
        <v>68</v>
      </c>
      <c r="Q716" t="s">
        <v>2723</v>
      </c>
      <c r="R716">
        <v>90.93</v>
      </c>
      <c r="S716" t="str">
        <f>TEXT(sales_data[[#This Row],[Order Date]],"mm")</f>
        <v>12</v>
      </c>
      <c r="T716">
        <f>YEAR(sales_data[[#This Row],[Order Date]])</f>
        <v>2018</v>
      </c>
      <c r="U716" s="7"/>
      <c r="V716" t="s">
        <v>2722</v>
      </c>
    </row>
    <row r="717" spans="1:22" x14ac:dyDescent="0.35">
      <c r="A717">
        <v>909</v>
      </c>
      <c r="B717" t="s">
        <v>2719</v>
      </c>
      <c r="C717" s="1">
        <v>43464</v>
      </c>
      <c r="D717" s="1">
        <v>43468</v>
      </c>
      <c r="E717" t="s">
        <v>46</v>
      </c>
      <c r="F717" t="s">
        <v>230</v>
      </c>
      <c r="G717" t="s">
        <v>231</v>
      </c>
      <c r="H717" t="s">
        <v>22</v>
      </c>
      <c r="I717" t="s">
        <v>23</v>
      </c>
      <c r="J717" t="s">
        <v>261</v>
      </c>
      <c r="K717" t="s">
        <v>262</v>
      </c>
      <c r="L717">
        <v>10009</v>
      </c>
      <c r="M717" t="s">
        <v>144</v>
      </c>
      <c r="N717" t="s">
        <v>2724</v>
      </c>
      <c r="O717" t="s">
        <v>42</v>
      </c>
      <c r="P717" t="s">
        <v>71</v>
      </c>
      <c r="Q717" t="s">
        <v>2725</v>
      </c>
      <c r="R717">
        <v>52.776000000000003</v>
      </c>
      <c r="S717" t="str">
        <f>TEXT(sales_data[[#This Row],[Order Date]],"mm")</f>
        <v>12</v>
      </c>
      <c r="T717">
        <f>YEAR(sales_data[[#This Row],[Order Date]])</f>
        <v>2018</v>
      </c>
      <c r="U717" s="7"/>
      <c r="V717" t="s">
        <v>2724</v>
      </c>
    </row>
    <row r="718" spans="1:22" x14ac:dyDescent="0.35">
      <c r="A718">
        <v>910</v>
      </c>
      <c r="B718" t="s">
        <v>2726</v>
      </c>
      <c r="C718" s="1">
        <v>43345</v>
      </c>
      <c r="D718" s="1">
        <v>43350</v>
      </c>
      <c r="E718" t="s">
        <v>46</v>
      </c>
      <c r="F718" t="s">
        <v>2727</v>
      </c>
      <c r="G718" t="s">
        <v>2728</v>
      </c>
      <c r="H718" t="s">
        <v>98</v>
      </c>
      <c r="I718" t="s">
        <v>23</v>
      </c>
      <c r="J718" t="s">
        <v>323</v>
      </c>
      <c r="K718" t="s">
        <v>233</v>
      </c>
      <c r="L718">
        <v>49201</v>
      </c>
      <c r="M718" t="s">
        <v>101</v>
      </c>
      <c r="N718" t="s">
        <v>2729</v>
      </c>
      <c r="O718" t="s">
        <v>67</v>
      </c>
      <c r="P718" t="s">
        <v>68</v>
      </c>
      <c r="Q718" t="s">
        <v>2730</v>
      </c>
      <c r="R718">
        <v>1199.8</v>
      </c>
      <c r="S718" t="str">
        <f>TEXT(sales_data[[#This Row],[Order Date]],"mm")</f>
        <v>09</v>
      </c>
      <c r="T718">
        <f>YEAR(sales_data[[#This Row],[Order Date]])</f>
        <v>2018</v>
      </c>
      <c r="U718" s="7"/>
      <c r="V718" t="s">
        <v>2729</v>
      </c>
    </row>
    <row r="719" spans="1:22" x14ac:dyDescent="0.35">
      <c r="A719">
        <v>911</v>
      </c>
      <c r="B719" t="s">
        <v>2726</v>
      </c>
      <c r="C719" s="1">
        <v>43345</v>
      </c>
      <c r="D719" s="1">
        <v>43350</v>
      </c>
      <c r="E719" t="s">
        <v>46</v>
      </c>
      <c r="F719" t="s">
        <v>2727</v>
      </c>
      <c r="G719" t="s">
        <v>2728</v>
      </c>
      <c r="H719" t="s">
        <v>98</v>
      </c>
      <c r="I719" t="s">
        <v>23</v>
      </c>
      <c r="J719" t="s">
        <v>323</v>
      </c>
      <c r="K719" t="s">
        <v>233</v>
      </c>
      <c r="L719">
        <v>49201</v>
      </c>
      <c r="M719" t="s">
        <v>101</v>
      </c>
      <c r="N719" t="s">
        <v>2731</v>
      </c>
      <c r="O719" t="s">
        <v>67</v>
      </c>
      <c r="P719" t="s">
        <v>156</v>
      </c>
      <c r="Q719" t="s">
        <v>2732</v>
      </c>
      <c r="R719">
        <v>1928.78</v>
      </c>
      <c r="S719" t="str">
        <f>TEXT(sales_data[[#This Row],[Order Date]],"mm")</f>
        <v>09</v>
      </c>
      <c r="T719">
        <f>YEAR(sales_data[[#This Row],[Order Date]])</f>
        <v>2018</v>
      </c>
      <c r="U719" s="7"/>
      <c r="V719" t="s">
        <v>2731</v>
      </c>
    </row>
    <row r="720" spans="1:22" x14ac:dyDescent="0.35">
      <c r="A720">
        <v>912</v>
      </c>
      <c r="B720" t="s">
        <v>2726</v>
      </c>
      <c r="C720" s="1">
        <v>43345</v>
      </c>
      <c r="D720" s="1">
        <v>43350</v>
      </c>
      <c r="E720" t="s">
        <v>46</v>
      </c>
      <c r="F720" t="s">
        <v>2727</v>
      </c>
      <c r="G720" t="s">
        <v>2728</v>
      </c>
      <c r="H720" t="s">
        <v>98</v>
      </c>
      <c r="I720" t="s">
        <v>23</v>
      </c>
      <c r="J720" t="s">
        <v>323</v>
      </c>
      <c r="K720" t="s">
        <v>233</v>
      </c>
      <c r="L720">
        <v>49201</v>
      </c>
      <c r="M720" t="s">
        <v>101</v>
      </c>
      <c r="N720" t="s">
        <v>2733</v>
      </c>
      <c r="O720" t="s">
        <v>42</v>
      </c>
      <c r="P720" t="s">
        <v>55</v>
      </c>
      <c r="Q720" t="s">
        <v>2734</v>
      </c>
      <c r="R720">
        <v>352.38</v>
      </c>
      <c r="S720" t="str">
        <f>TEXT(sales_data[[#This Row],[Order Date]],"mm")</f>
        <v>09</v>
      </c>
      <c r="T720">
        <f>YEAR(sales_data[[#This Row],[Order Date]])</f>
        <v>2018</v>
      </c>
      <c r="U720" s="7"/>
      <c r="V720" t="s">
        <v>2733</v>
      </c>
    </row>
    <row r="721" spans="1:22" x14ac:dyDescent="0.35">
      <c r="A721">
        <v>916</v>
      </c>
      <c r="B721" t="s">
        <v>2737</v>
      </c>
      <c r="C721" s="1">
        <v>42170</v>
      </c>
      <c r="D721" s="1">
        <v>42176</v>
      </c>
      <c r="E721" t="s">
        <v>46</v>
      </c>
      <c r="F721" t="s">
        <v>1072</v>
      </c>
      <c r="G721" t="s">
        <v>1073</v>
      </c>
      <c r="H721" t="s">
        <v>37</v>
      </c>
      <c r="I721" t="s">
        <v>23</v>
      </c>
      <c r="J721" t="s">
        <v>671</v>
      </c>
      <c r="K721" t="s">
        <v>100</v>
      </c>
      <c r="L721">
        <v>78207</v>
      </c>
      <c r="M721" t="s">
        <v>101</v>
      </c>
      <c r="N721" t="s">
        <v>2738</v>
      </c>
      <c r="O721" t="s">
        <v>28</v>
      </c>
      <c r="P721" t="s">
        <v>52</v>
      </c>
      <c r="Q721" t="s">
        <v>2739</v>
      </c>
      <c r="R721">
        <v>99.918000000000006</v>
      </c>
      <c r="S721" t="str">
        <f>TEXT(sales_data[[#This Row],[Order Date]],"mm")</f>
        <v>06</v>
      </c>
      <c r="T721">
        <f>YEAR(sales_data[[#This Row],[Order Date]])</f>
        <v>2015</v>
      </c>
      <c r="U721" s="7"/>
      <c r="V721" t="s">
        <v>2738</v>
      </c>
    </row>
    <row r="722" spans="1:22" x14ac:dyDescent="0.35">
      <c r="A722">
        <v>920</v>
      </c>
      <c r="B722" t="s">
        <v>2740</v>
      </c>
      <c r="C722" s="1">
        <v>42799</v>
      </c>
      <c r="D722" s="1">
        <v>42805</v>
      </c>
      <c r="E722" t="s">
        <v>46</v>
      </c>
      <c r="F722" t="s">
        <v>2741</v>
      </c>
      <c r="G722" t="s">
        <v>2742</v>
      </c>
      <c r="H722" t="s">
        <v>37</v>
      </c>
      <c r="I722" t="s">
        <v>23</v>
      </c>
      <c r="J722" t="s">
        <v>807</v>
      </c>
      <c r="K722" t="s">
        <v>100</v>
      </c>
      <c r="L722">
        <v>75220</v>
      </c>
      <c r="M722" t="s">
        <v>101</v>
      </c>
      <c r="N722" t="s">
        <v>2743</v>
      </c>
      <c r="O722" t="s">
        <v>42</v>
      </c>
      <c r="P722" t="s">
        <v>55</v>
      </c>
      <c r="Q722" t="s">
        <v>2744</v>
      </c>
      <c r="R722">
        <v>12.992000000000001</v>
      </c>
      <c r="S722" t="str">
        <f>TEXT(sales_data[[#This Row],[Order Date]],"mm")</f>
        <v>03</v>
      </c>
      <c r="T722">
        <f>YEAR(sales_data[[#This Row],[Order Date]])</f>
        <v>2017</v>
      </c>
      <c r="U722" s="7"/>
      <c r="V722" t="s">
        <v>2743</v>
      </c>
    </row>
    <row r="723" spans="1:22" x14ac:dyDescent="0.35">
      <c r="A723">
        <v>922</v>
      </c>
      <c r="B723" t="s">
        <v>2746</v>
      </c>
      <c r="C723" s="1">
        <v>42471</v>
      </c>
      <c r="D723" s="1">
        <v>42475</v>
      </c>
      <c r="E723" t="s">
        <v>46</v>
      </c>
      <c r="F723" t="s">
        <v>2747</v>
      </c>
      <c r="G723" t="s">
        <v>2748</v>
      </c>
      <c r="H723" t="s">
        <v>22</v>
      </c>
      <c r="I723" t="s">
        <v>23</v>
      </c>
      <c r="J723" t="s">
        <v>261</v>
      </c>
      <c r="K723" t="s">
        <v>262</v>
      </c>
      <c r="L723">
        <v>10009</v>
      </c>
      <c r="M723" t="s">
        <v>144</v>
      </c>
      <c r="N723" t="s">
        <v>2749</v>
      </c>
      <c r="O723" t="s">
        <v>67</v>
      </c>
      <c r="P723" t="s">
        <v>156</v>
      </c>
      <c r="Q723" t="s">
        <v>2750</v>
      </c>
      <c r="R723">
        <v>85.14</v>
      </c>
      <c r="S723" t="str">
        <f>TEXT(sales_data[[#This Row],[Order Date]],"mm")</f>
        <v>04</v>
      </c>
      <c r="T723">
        <f>YEAR(sales_data[[#This Row],[Order Date]])</f>
        <v>2016</v>
      </c>
      <c r="U723" s="7"/>
      <c r="V723" t="s">
        <v>2749</v>
      </c>
    </row>
    <row r="724" spans="1:22" x14ac:dyDescent="0.35">
      <c r="A724">
        <v>923</v>
      </c>
      <c r="B724" t="s">
        <v>2746</v>
      </c>
      <c r="C724" s="1">
        <v>42471</v>
      </c>
      <c r="D724" s="1">
        <v>42475</v>
      </c>
      <c r="E724" t="s">
        <v>46</v>
      </c>
      <c r="F724" t="s">
        <v>2747</v>
      </c>
      <c r="G724" t="s">
        <v>2748</v>
      </c>
      <c r="H724" t="s">
        <v>22</v>
      </c>
      <c r="I724" t="s">
        <v>23</v>
      </c>
      <c r="J724" t="s">
        <v>261</v>
      </c>
      <c r="K724" t="s">
        <v>262</v>
      </c>
      <c r="L724">
        <v>10009</v>
      </c>
      <c r="M724" t="s">
        <v>144</v>
      </c>
      <c r="N724" t="s">
        <v>2751</v>
      </c>
      <c r="O724" t="s">
        <v>67</v>
      </c>
      <c r="P724" t="s">
        <v>68</v>
      </c>
      <c r="Q724" t="s">
        <v>2752</v>
      </c>
      <c r="R724">
        <v>21.99</v>
      </c>
      <c r="S724" t="str">
        <f>TEXT(sales_data[[#This Row],[Order Date]],"mm")</f>
        <v>04</v>
      </c>
      <c r="T724">
        <f>YEAR(sales_data[[#This Row],[Order Date]])</f>
        <v>2016</v>
      </c>
      <c r="U724" s="7"/>
      <c r="V724" t="s">
        <v>2751</v>
      </c>
    </row>
    <row r="725" spans="1:22" x14ac:dyDescent="0.35">
      <c r="A725">
        <v>924</v>
      </c>
      <c r="B725" t="s">
        <v>2746</v>
      </c>
      <c r="C725" s="1">
        <v>42471</v>
      </c>
      <c r="D725" s="1">
        <v>42475</v>
      </c>
      <c r="E725" t="s">
        <v>46</v>
      </c>
      <c r="F725" t="s">
        <v>2747</v>
      </c>
      <c r="G725" t="s">
        <v>2748</v>
      </c>
      <c r="H725" t="s">
        <v>22</v>
      </c>
      <c r="I725" t="s">
        <v>23</v>
      </c>
      <c r="J725" t="s">
        <v>261</v>
      </c>
      <c r="K725" t="s">
        <v>262</v>
      </c>
      <c r="L725">
        <v>10009</v>
      </c>
      <c r="M725" t="s">
        <v>144</v>
      </c>
      <c r="N725" t="s">
        <v>2753</v>
      </c>
      <c r="O725" t="s">
        <v>42</v>
      </c>
      <c r="P725" t="s">
        <v>74</v>
      </c>
      <c r="Q725" t="s">
        <v>2754</v>
      </c>
      <c r="R725">
        <v>406.6</v>
      </c>
      <c r="S725" t="str">
        <f>TEXT(sales_data[[#This Row],[Order Date]],"mm")</f>
        <v>04</v>
      </c>
      <c r="T725">
        <f>YEAR(sales_data[[#This Row],[Order Date]])</f>
        <v>2016</v>
      </c>
      <c r="U725" s="7"/>
      <c r="V725" t="s">
        <v>2753</v>
      </c>
    </row>
    <row r="726" spans="1:22" x14ac:dyDescent="0.35">
      <c r="A726">
        <v>926</v>
      </c>
      <c r="B726" t="s">
        <v>2757</v>
      </c>
      <c r="C726" s="1">
        <v>42260</v>
      </c>
      <c r="D726" s="1">
        <v>42263</v>
      </c>
      <c r="E726" t="s">
        <v>183</v>
      </c>
      <c r="F726" t="s">
        <v>2758</v>
      </c>
      <c r="G726" t="s">
        <v>2759</v>
      </c>
      <c r="H726" t="s">
        <v>22</v>
      </c>
      <c r="I726" t="s">
        <v>23</v>
      </c>
      <c r="J726" t="s">
        <v>142</v>
      </c>
      <c r="K726" t="s">
        <v>143</v>
      </c>
      <c r="L726">
        <v>19143</v>
      </c>
      <c r="M726" t="s">
        <v>144</v>
      </c>
      <c r="N726" t="s">
        <v>2760</v>
      </c>
      <c r="O726" t="s">
        <v>42</v>
      </c>
      <c r="P726" t="s">
        <v>86</v>
      </c>
      <c r="Q726" t="s">
        <v>2761</v>
      </c>
      <c r="R726">
        <v>15.552</v>
      </c>
      <c r="S726" t="str">
        <f>TEXT(sales_data[[#This Row],[Order Date]],"mm")</f>
        <v>09</v>
      </c>
      <c r="T726">
        <f>YEAR(sales_data[[#This Row],[Order Date]])</f>
        <v>2015</v>
      </c>
      <c r="U726" s="7"/>
      <c r="V726" t="s">
        <v>2760</v>
      </c>
    </row>
    <row r="727" spans="1:22" x14ac:dyDescent="0.35">
      <c r="A727">
        <v>927</v>
      </c>
      <c r="B727" t="s">
        <v>2757</v>
      </c>
      <c r="C727" s="1">
        <v>42260</v>
      </c>
      <c r="D727" s="1">
        <v>42263</v>
      </c>
      <c r="E727" t="s">
        <v>183</v>
      </c>
      <c r="F727" t="s">
        <v>2758</v>
      </c>
      <c r="G727" t="s">
        <v>2759</v>
      </c>
      <c r="H727" t="s">
        <v>22</v>
      </c>
      <c r="I727" t="s">
        <v>23</v>
      </c>
      <c r="J727" t="s">
        <v>142</v>
      </c>
      <c r="K727" t="s">
        <v>143</v>
      </c>
      <c r="L727">
        <v>19143</v>
      </c>
      <c r="M727" t="s">
        <v>144</v>
      </c>
      <c r="N727" t="s">
        <v>2762</v>
      </c>
      <c r="O727" t="s">
        <v>67</v>
      </c>
      <c r="P727" t="s">
        <v>156</v>
      </c>
      <c r="Q727" t="s">
        <v>2763</v>
      </c>
      <c r="R727">
        <v>252</v>
      </c>
      <c r="S727" t="str">
        <f>TEXT(sales_data[[#This Row],[Order Date]],"mm")</f>
        <v>09</v>
      </c>
      <c r="T727">
        <f>YEAR(sales_data[[#This Row],[Order Date]])</f>
        <v>2015</v>
      </c>
      <c r="U727" s="7"/>
      <c r="V727" t="s">
        <v>2762</v>
      </c>
    </row>
    <row r="728" spans="1:22" x14ac:dyDescent="0.35">
      <c r="A728">
        <v>931</v>
      </c>
      <c r="B728" t="s">
        <v>2765</v>
      </c>
      <c r="C728" s="1">
        <v>43204</v>
      </c>
      <c r="D728" s="1">
        <v>43207</v>
      </c>
      <c r="E728" t="s">
        <v>183</v>
      </c>
      <c r="F728" t="s">
        <v>2213</v>
      </c>
      <c r="G728" t="s">
        <v>2214</v>
      </c>
      <c r="H728" t="s">
        <v>22</v>
      </c>
      <c r="I728" t="s">
        <v>23</v>
      </c>
      <c r="J728" t="s">
        <v>2766</v>
      </c>
      <c r="K728" t="s">
        <v>493</v>
      </c>
      <c r="L728">
        <v>43615</v>
      </c>
      <c r="M728" t="s">
        <v>144</v>
      </c>
      <c r="N728" t="s">
        <v>2767</v>
      </c>
      <c r="O728" t="s">
        <v>42</v>
      </c>
      <c r="P728" t="s">
        <v>64</v>
      </c>
      <c r="Q728" t="s">
        <v>2768</v>
      </c>
      <c r="R728">
        <v>89.855999999999995</v>
      </c>
      <c r="S728" t="str">
        <f>TEXT(sales_data[[#This Row],[Order Date]],"mm")</f>
        <v>04</v>
      </c>
      <c r="T728">
        <f>YEAR(sales_data[[#This Row],[Order Date]])</f>
        <v>2018</v>
      </c>
      <c r="U728" s="7"/>
      <c r="V728" t="s">
        <v>2767</v>
      </c>
    </row>
    <row r="729" spans="1:22" x14ac:dyDescent="0.35">
      <c r="A729">
        <v>933</v>
      </c>
      <c r="B729" t="s">
        <v>2769</v>
      </c>
      <c r="C729" s="1">
        <v>43345</v>
      </c>
      <c r="D729" s="1">
        <v>43349</v>
      </c>
      <c r="E729" t="s">
        <v>46</v>
      </c>
      <c r="F729" t="s">
        <v>2770</v>
      </c>
      <c r="G729" t="s">
        <v>2771</v>
      </c>
      <c r="H729" t="s">
        <v>22</v>
      </c>
      <c r="I729" t="s">
        <v>23</v>
      </c>
      <c r="J729" t="s">
        <v>142</v>
      </c>
      <c r="K729" t="s">
        <v>143</v>
      </c>
      <c r="L729">
        <v>19140</v>
      </c>
      <c r="M729" t="s">
        <v>144</v>
      </c>
      <c r="N729" t="s">
        <v>2772</v>
      </c>
      <c r="O729" t="s">
        <v>42</v>
      </c>
      <c r="P729" t="s">
        <v>86</v>
      </c>
      <c r="Q729" t="s">
        <v>2773</v>
      </c>
      <c r="R729">
        <v>12.192</v>
      </c>
      <c r="S729" t="str">
        <f>TEXT(sales_data[[#This Row],[Order Date]],"mm")</f>
        <v>09</v>
      </c>
      <c r="T729">
        <f>YEAR(sales_data[[#This Row],[Order Date]])</f>
        <v>2018</v>
      </c>
      <c r="U729" s="7"/>
      <c r="V729" t="s">
        <v>2772</v>
      </c>
    </row>
    <row r="730" spans="1:22" x14ac:dyDescent="0.35">
      <c r="A730">
        <v>934</v>
      </c>
      <c r="B730" t="s">
        <v>2774</v>
      </c>
      <c r="C730" s="1">
        <v>42906</v>
      </c>
      <c r="D730" s="1">
        <v>42910</v>
      </c>
      <c r="E730" t="s">
        <v>46</v>
      </c>
      <c r="F730" t="s">
        <v>2775</v>
      </c>
      <c r="G730" t="s">
        <v>2776</v>
      </c>
      <c r="H730" t="s">
        <v>98</v>
      </c>
      <c r="I730" t="s">
        <v>23</v>
      </c>
      <c r="J730" t="s">
        <v>142</v>
      </c>
      <c r="K730" t="s">
        <v>143</v>
      </c>
      <c r="L730">
        <v>19120</v>
      </c>
      <c r="M730" t="s">
        <v>144</v>
      </c>
      <c r="N730" t="s">
        <v>2777</v>
      </c>
      <c r="O730" t="s">
        <v>42</v>
      </c>
      <c r="P730" t="s">
        <v>86</v>
      </c>
      <c r="Q730" t="s">
        <v>2778</v>
      </c>
      <c r="R730">
        <v>45.055999999999997</v>
      </c>
      <c r="S730" t="str">
        <f>TEXT(sales_data[[#This Row],[Order Date]],"mm")</f>
        <v>06</v>
      </c>
      <c r="T730">
        <f>YEAR(sales_data[[#This Row],[Order Date]])</f>
        <v>2017</v>
      </c>
      <c r="U730" s="7"/>
      <c r="V730" t="s">
        <v>2777</v>
      </c>
    </row>
    <row r="731" spans="1:22" x14ac:dyDescent="0.35">
      <c r="A731">
        <v>935</v>
      </c>
      <c r="B731" t="s">
        <v>2774</v>
      </c>
      <c r="C731" s="1">
        <v>42906</v>
      </c>
      <c r="D731" s="1">
        <v>42910</v>
      </c>
      <c r="E731" t="s">
        <v>46</v>
      </c>
      <c r="F731" t="s">
        <v>2775</v>
      </c>
      <c r="G731" t="s">
        <v>2776</v>
      </c>
      <c r="H731" t="s">
        <v>98</v>
      </c>
      <c r="I731" t="s">
        <v>23</v>
      </c>
      <c r="J731" t="s">
        <v>142</v>
      </c>
      <c r="K731" t="s">
        <v>143</v>
      </c>
      <c r="L731">
        <v>19120</v>
      </c>
      <c r="M731" t="s">
        <v>144</v>
      </c>
      <c r="N731" t="s">
        <v>2779</v>
      </c>
      <c r="O731" t="s">
        <v>42</v>
      </c>
      <c r="P731" t="s">
        <v>71</v>
      </c>
      <c r="Q731" t="s">
        <v>2780</v>
      </c>
      <c r="R731">
        <v>29.718</v>
      </c>
      <c r="S731" t="str">
        <f>TEXT(sales_data[[#This Row],[Order Date]],"mm")</f>
        <v>06</v>
      </c>
      <c r="T731">
        <f>YEAR(sales_data[[#This Row],[Order Date]])</f>
        <v>2017</v>
      </c>
      <c r="U731" s="7"/>
      <c r="V731" t="s">
        <v>2779</v>
      </c>
    </row>
    <row r="732" spans="1:22" x14ac:dyDescent="0.35">
      <c r="A732">
        <v>939</v>
      </c>
      <c r="B732" t="s">
        <v>2781</v>
      </c>
      <c r="C732" s="1">
        <v>42717</v>
      </c>
      <c r="D732" s="1">
        <v>42721</v>
      </c>
      <c r="E732" t="s">
        <v>46</v>
      </c>
      <c r="F732" t="s">
        <v>2782</v>
      </c>
      <c r="G732" t="s">
        <v>2783</v>
      </c>
      <c r="H732" t="s">
        <v>37</v>
      </c>
      <c r="I732" t="s">
        <v>23</v>
      </c>
      <c r="J732" t="s">
        <v>2784</v>
      </c>
      <c r="K732" t="s">
        <v>39</v>
      </c>
      <c r="L732">
        <v>92503</v>
      </c>
      <c r="M732" t="s">
        <v>40</v>
      </c>
      <c r="N732" t="s">
        <v>2785</v>
      </c>
      <c r="O732" t="s">
        <v>42</v>
      </c>
      <c r="P732" t="s">
        <v>86</v>
      </c>
      <c r="Q732" t="s">
        <v>2786</v>
      </c>
      <c r="R732">
        <v>12.96</v>
      </c>
      <c r="S732" t="str">
        <f>TEXT(sales_data[[#This Row],[Order Date]],"mm")</f>
        <v>12</v>
      </c>
      <c r="T732">
        <f>YEAR(sales_data[[#This Row],[Order Date]])</f>
        <v>2016</v>
      </c>
      <c r="U732" s="7"/>
      <c r="V732" t="s">
        <v>2785</v>
      </c>
    </row>
    <row r="733" spans="1:22" x14ac:dyDescent="0.35">
      <c r="A733">
        <v>940</v>
      </c>
      <c r="B733" t="s">
        <v>2781</v>
      </c>
      <c r="C733" s="1">
        <v>42717</v>
      </c>
      <c r="D733" s="1">
        <v>42721</v>
      </c>
      <c r="E733" t="s">
        <v>46</v>
      </c>
      <c r="F733" t="s">
        <v>2782</v>
      </c>
      <c r="G733" t="s">
        <v>2783</v>
      </c>
      <c r="H733" t="s">
        <v>37</v>
      </c>
      <c r="I733" t="s">
        <v>23</v>
      </c>
      <c r="J733" t="s">
        <v>2784</v>
      </c>
      <c r="K733" t="s">
        <v>39</v>
      </c>
      <c r="L733">
        <v>92503</v>
      </c>
      <c r="M733" t="s">
        <v>40</v>
      </c>
      <c r="N733" t="s">
        <v>2787</v>
      </c>
      <c r="O733" t="s">
        <v>42</v>
      </c>
      <c r="P733" t="s">
        <v>74</v>
      </c>
      <c r="Q733" t="s">
        <v>2788</v>
      </c>
      <c r="R733">
        <v>134.47999999999999</v>
      </c>
      <c r="S733" t="str">
        <f>TEXT(sales_data[[#This Row],[Order Date]],"mm")</f>
        <v>12</v>
      </c>
      <c r="T733">
        <f>YEAR(sales_data[[#This Row],[Order Date]])</f>
        <v>2016</v>
      </c>
      <c r="U733" s="7"/>
      <c r="V733" t="s">
        <v>2787</v>
      </c>
    </row>
    <row r="734" spans="1:22" x14ac:dyDescent="0.35">
      <c r="A734">
        <v>941</v>
      </c>
      <c r="B734" t="s">
        <v>2789</v>
      </c>
      <c r="C734" s="1">
        <v>42905</v>
      </c>
      <c r="D734" s="1">
        <v>42906</v>
      </c>
      <c r="E734" t="s">
        <v>183</v>
      </c>
      <c r="F734" t="s">
        <v>2790</v>
      </c>
      <c r="G734" t="s">
        <v>2791</v>
      </c>
      <c r="H734" t="s">
        <v>37</v>
      </c>
      <c r="I734" t="s">
        <v>23</v>
      </c>
      <c r="J734" t="s">
        <v>123</v>
      </c>
      <c r="K734" t="s">
        <v>39</v>
      </c>
      <c r="L734">
        <v>94110</v>
      </c>
      <c r="M734" t="s">
        <v>40</v>
      </c>
      <c r="N734" t="s">
        <v>2792</v>
      </c>
      <c r="O734" t="s">
        <v>42</v>
      </c>
      <c r="P734" t="s">
        <v>86</v>
      </c>
      <c r="Q734" t="s">
        <v>2793</v>
      </c>
      <c r="R734">
        <v>17.12</v>
      </c>
      <c r="S734" t="str">
        <f>TEXT(sales_data[[#This Row],[Order Date]],"mm")</f>
        <v>06</v>
      </c>
      <c r="T734">
        <f>YEAR(sales_data[[#This Row],[Order Date]])</f>
        <v>2017</v>
      </c>
      <c r="U734" s="7"/>
      <c r="V734" t="s">
        <v>2792</v>
      </c>
    </row>
    <row r="735" spans="1:22" x14ac:dyDescent="0.35">
      <c r="A735">
        <v>942</v>
      </c>
      <c r="B735" t="s">
        <v>2794</v>
      </c>
      <c r="C735" s="1">
        <v>43082</v>
      </c>
      <c r="D735" s="1">
        <v>43089</v>
      </c>
      <c r="E735" t="s">
        <v>46</v>
      </c>
      <c r="F735" t="s">
        <v>2741</v>
      </c>
      <c r="G735" t="s">
        <v>2742</v>
      </c>
      <c r="H735" t="s">
        <v>37</v>
      </c>
      <c r="I735" t="s">
        <v>23</v>
      </c>
      <c r="J735" t="s">
        <v>2795</v>
      </c>
      <c r="K735" t="s">
        <v>39</v>
      </c>
      <c r="L735">
        <v>90503</v>
      </c>
      <c r="M735" t="s">
        <v>40</v>
      </c>
      <c r="N735" t="s">
        <v>2796</v>
      </c>
      <c r="O735" t="s">
        <v>42</v>
      </c>
      <c r="P735" t="s">
        <v>71</v>
      </c>
      <c r="Q735" t="s">
        <v>2797</v>
      </c>
      <c r="R735">
        <v>6.0960000000000001</v>
      </c>
      <c r="S735" t="str">
        <f>TEXT(sales_data[[#This Row],[Order Date]],"mm")</f>
        <v>12</v>
      </c>
      <c r="T735">
        <f>YEAR(sales_data[[#This Row],[Order Date]])</f>
        <v>2017</v>
      </c>
      <c r="U735" s="7"/>
      <c r="V735" t="s">
        <v>2796</v>
      </c>
    </row>
    <row r="736" spans="1:22" x14ac:dyDescent="0.35">
      <c r="A736">
        <v>945</v>
      </c>
      <c r="B736" t="s">
        <v>2798</v>
      </c>
      <c r="C736" s="1">
        <v>42519</v>
      </c>
      <c r="D736" s="1">
        <v>42524</v>
      </c>
      <c r="E736" t="s">
        <v>46</v>
      </c>
      <c r="F736" t="s">
        <v>1195</v>
      </c>
      <c r="G736" t="s">
        <v>1196</v>
      </c>
      <c r="H736" t="s">
        <v>22</v>
      </c>
      <c r="I736" t="s">
        <v>23</v>
      </c>
      <c r="J736" t="s">
        <v>91</v>
      </c>
      <c r="K736" t="s">
        <v>92</v>
      </c>
      <c r="L736">
        <v>98105</v>
      </c>
      <c r="M736" t="s">
        <v>40</v>
      </c>
      <c r="N736" t="s">
        <v>2799</v>
      </c>
      <c r="O736" t="s">
        <v>42</v>
      </c>
      <c r="P736" t="s">
        <v>55</v>
      </c>
      <c r="Q736" t="s">
        <v>2800</v>
      </c>
      <c r="R736">
        <v>540.57000000000005</v>
      </c>
      <c r="S736" t="str">
        <f>TEXT(sales_data[[#This Row],[Order Date]],"mm")</f>
        <v>05</v>
      </c>
      <c r="T736">
        <f>YEAR(sales_data[[#This Row],[Order Date]])</f>
        <v>2016</v>
      </c>
      <c r="U736" s="7"/>
      <c r="V736" t="s">
        <v>2799</v>
      </c>
    </row>
    <row r="737" spans="1:22" x14ac:dyDescent="0.35">
      <c r="A737">
        <v>946</v>
      </c>
      <c r="B737" t="s">
        <v>2798</v>
      </c>
      <c r="C737" s="1">
        <v>42519</v>
      </c>
      <c r="D737" s="1">
        <v>42524</v>
      </c>
      <c r="E737" t="s">
        <v>46</v>
      </c>
      <c r="F737" t="s">
        <v>1195</v>
      </c>
      <c r="G737" t="s">
        <v>1196</v>
      </c>
      <c r="H737" t="s">
        <v>22</v>
      </c>
      <c r="I737" t="s">
        <v>23</v>
      </c>
      <c r="J737" t="s">
        <v>91</v>
      </c>
      <c r="K737" t="s">
        <v>92</v>
      </c>
      <c r="L737">
        <v>98105</v>
      </c>
      <c r="M737" t="s">
        <v>40</v>
      </c>
      <c r="N737" t="s">
        <v>2801</v>
      </c>
      <c r="O737" t="s">
        <v>42</v>
      </c>
      <c r="P737" t="s">
        <v>71</v>
      </c>
      <c r="Q737" t="s">
        <v>2802</v>
      </c>
      <c r="R737">
        <v>167.76</v>
      </c>
      <c r="S737" t="str">
        <f>TEXT(sales_data[[#This Row],[Order Date]],"mm")</f>
        <v>05</v>
      </c>
      <c r="T737">
        <f>YEAR(sales_data[[#This Row],[Order Date]])</f>
        <v>2016</v>
      </c>
      <c r="U737" s="7"/>
      <c r="V737" t="s">
        <v>2801</v>
      </c>
    </row>
    <row r="738" spans="1:22" x14ac:dyDescent="0.35">
      <c r="A738">
        <v>947</v>
      </c>
      <c r="B738" t="s">
        <v>2803</v>
      </c>
      <c r="C738" s="1">
        <v>42577</v>
      </c>
      <c r="D738" s="1">
        <v>42579</v>
      </c>
      <c r="E738" t="s">
        <v>183</v>
      </c>
      <c r="F738" t="s">
        <v>1883</v>
      </c>
      <c r="G738" t="s">
        <v>1884</v>
      </c>
      <c r="H738" t="s">
        <v>22</v>
      </c>
      <c r="I738" t="s">
        <v>23</v>
      </c>
      <c r="J738" t="s">
        <v>1802</v>
      </c>
      <c r="K738" t="s">
        <v>305</v>
      </c>
      <c r="L738">
        <v>85204</v>
      </c>
      <c r="M738" t="s">
        <v>40</v>
      </c>
      <c r="N738" t="s">
        <v>2804</v>
      </c>
      <c r="O738" t="s">
        <v>28</v>
      </c>
      <c r="P738" t="s">
        <v>52</v>
      </c>
      <c r="Q738" t="s">
        <v>2805</v>
      </c>
      <c r="R738">
        <v>393.16500000000002</v>
      </c>
      <c r="S738" t="str">
        <f>TEXT(sales_data[[#This Row],[Order Date]],"mm")</f>
        <v>07</v>
      </c>
      <c r="T738">
        <f>YEAR(sales_data[[#This Row],[Order Date]])</f>
        <v>2016</v>
      </c>
      <c r="U738" s="7"/>
      <c r="V738" t="s">
        <v>2804</v>
      </c>
    </row>
    <row r="739" spans="1:22" x14ac:dyDescent="0.35">
      <c r="A739">
        <v>948</v>
      </c>
      <c r="B739" t="s">
        <v>2806</v>
      </c>
      <c r="C739" s="1">
        <v>43432</v>
      </c>
      <c r="D739" s="1">
        <v>43436</v>
      </c>
      <c r="E739" t="s">
        <v>46</v>
      </c>
      <c r="F739" t="s">
        <v>1496</v>
      </c>
      <c r="G739" t="s">
        <v>1497</v>
      </c>
      <c r="H739" t="s">
        <v>98</v>
      </c>
      <c r="I739" t="s">
        <v>23</v>
      </c>
      <c r="J739" t="s">
        <v>142</v>
      </c>
      <c r="K739" t="s">
        <v>143</v>
      </c>
      <c r="L739">
        <v>19120</v>
      </c>
      <c r="M739" t="s">
        <v>144</v>
      </c>
      <c r="N739" t="s">
        <v>2807</v>
      </c>
      <c r="O739" t="s">
        <v>28</v>
      </c>
      <c r="P739" t="s">
        <v>61</v>
      </c>
      <c r="Q739" t="s">
        <v>2808</v>
      </c>
      <c r="R739">
        <v>516.48800000000006</v>
      </c>
      <c r="S739" t="str">
        <f>TEXT(sales_data[[#This Row],[Order Date]],"mm")</f>
        <v>11</v>
      </c>
      <c r="T739">
        <f>YEAR(sales_data[[#This Row],[Order Date]])</f>
        <v>2018</v>
      </c>
      <c r="U739" s="7"/>
      <c r="V739" t="s">
        <v>2807</v>
      </c>
    </row>
    <row r="740" spans="1:22" x14ac:dyDescent="0.35">
      <c r="A740">
        <v>950</v>
      </c>
      <c r="B740" t="s">
        <v>2806</v>
      </c>
      <c r="C740" s="1">
        <v>43432</v>
      </c>
      <c r="D740" s="1">
        <v>43436</v>
      </c>
      <c r="E740" t="s">
        <v>46</v>
      </c>
      <c r="F740" t="s">
        <v>1496</v>
      </c>
      <c r="G740" t="s">
        <v>1497</v>
      </c>
      <c r="H740" t="s">
        <v>98</v>
      </c>
      <c r="I740" t="s">
        <v>23</v>
      </c>
      <c r="J740" t="s">
        <v>142</v>
      </c>
      <c r="K740" t="s">
        <v>143</v>
      </c>
      <c r="L740">
        <v>19120</v>
      </c>
      <c r="M740" t="s">
        <v>144</v>
      </c>
      <c r="N740" t="s">
        <v>2809</v>
      </c>
      <c r="O740" t="s">
        <v>28</v>
      </c>
      <c r="P740" t="s">
        <v>52</v>
      </c>
      <c r="Q740" t="s">
        <v>2810</v>
      </c>
      <c r="R740">
        <v>2065.3200000000002</v>
      </c>
      <c r="S740" t="str">
        <f>TEXT(sales_data[[#This Row],[Order Date]],"mm")</f>
        <v>11</v>
      </c>
      <c r="T740">
        <f>YEAR(sales_data[[#This Row],[Order Date]])</f>
        <v>2018</v>
      </c>
      <c r="U740" s="7"/>
      <c r="V740" t="s">
        <v>2809</v>
      </c>
    </row>
    <row r="741" spans="1:22" x14ac:dyDescent="0.35">
      <c r="A741">
        <v>951</v>
      </c>
      <c r="B741" t="s">
        <v>2806</v>
      </c>
      <c r="C741" s="1">
        <v>43432</v>
      </c>
      <c r="D741" s="1">
        <v>43436</v>
      </c>
      <c r="E741" t="s">
        <v>46</v>
      </c>
      <c r="F741" t="s">
        <v>1496</v>
      </c>
      <c r="G741" t="s">
        <v>1497</v>
      </c>
      <c r="H741" t="s">
        <v>98</v>
      </c>
      <c r="I741" t="s">
        <v>23</v>
      </c>
      <c r="J741" t="s">
        <v>142</v>
      </c>
      <c r="K741" t="s">
        <v>143</v>
      </c>
      <c r="L741">
        <v>19120</v>
      </c>
      <c r="M741" t="s">
        <v>144</v>
      </c>
      <c r="N741" t="s">
        <v>2811</v>
      </c>
      <c r="O741" t="s">
        <v>42</v>
      </c>
      <c r="P741" t="s">
        <v>86</v>
      </c>
      <c r="Q741" t="s">
        <v>2812</v>
      </c>
      <c r="R741">
        <v>15.552</v>
      </c>
      <c r="S741" t="str">
        <f>TEXT(sales_data[[#This Row],[Order Date]],"mm")</f>
        <v>11</v>
      </c>
      <c r="T741">
        <f>YEAR(sales_data[[#This Row],[Order Date]])</f>
        <v>2018</v>
      </c>
      <c r="U741" s="7"/>
      <c r="V741" t="s">
        <v>2811</v>
      </c>
    </row>
    <row r="742" spans="1:22" x14ac:dyDescent="0.35">
      <c r="A742">
        <v>953</v>
      </c>
      <c r="B742" t="s">
        <v>2813</v>
      </c>
      <c r="C742" s="1">
        <v>43193</v>
      </c>
      <c r="D742" s="1">
        <v>43197</v>
      </c>
      <c r="E742" t="s">
        <v>46</v>
      </c>
      <c r="F742" t="s">
        <v>2814</v>
      </c>
      <c r="G742" t="s">
        <v>2815</v>
      </c>
      <c r="H742" t="s">
        <v>22</v>
      </c>
      <c r="I742" t="s">
        <v>23</v>
      </c>
      <c r="J742" t="s">
        <v>142</v>
      </c>
      <c r="K742" t="s">
        <v>143</v>
      </c>
      <c r="L742">
        <v>19143</v>
      </c>
      <c r="M742" t="s">
        <v>144</v>
      </c>
      <c r="N742" t="s">
        <v>2816</v>
      </c>
      <c r="O742" t="s">
        <v>28</v>
      </c>
      <c r="P742" t="s">
        <v>61</v>
      </c>
      <c r="Q742" t="s">
        <v>915</v>
      </c>
      <c r="R742">
        <v>25.472000000000001</v>
      </c>
      <c r="S742" t="str">
        <f>TEXT(sales_data[[#This Row],[Order Date]],"mm")</f>
        <v>04</v>
      </c>
      <c r="T742">
        <f>YEAR(sales_data[[#This Row],[Order Date]])</f>
        <v>2018</v>
      </c>
      <c r="U742" s="7"/>
      <c r="V742" t="s">
        <v>2816</v>
      </c>
    </row>
    <row r="743" spans="1:22" x14ac:dyDescent="0.35">
      <c r="A743">
        <v>958</v>
      </c>
      <c r="B743" t="s">
        <v>2820</v>
      </c>
      <c r="C743" s="1">
        <v>43235</v>
      </c>
      <c r="D743" s="1">
        <v>43238</v>
      </c>
      <c r="E743" t="s">
        <v>19</v>
      </c>
      <c r="F743" t="s">
        <v>2821</v>
      </c>
      <c r="G743" t="s">
        <v>2822</v>
      </c>
      <c r="H743" t="s">
        <v>22</v>
      </c>
      <c r="I743" t="s">
        <v>23</v>
      </c>
      <c r="J743" t="s">
        <v>539</v>
      </c>
      <c r="K743" t="s">
        <v>305</v>
      </c>
      <c r="L743">
        <v>85023</v>
      </c>
      <c r="M743" t="s">
        <v>40</v>
      </c>
      <c r="N743" t="s">
        <v>2823</v>
      </c>
      <c r="O743" t="s">
        <v>42</v>
      </c>
      <c r="P743" t="s">
        <v>71</v>
      </c>
      <c r="Q743" t="s">
        <v>2824</v>
      </c>
      <c r="R743">
        <v>4.7519999999999998</v>
      </c>
      <c r="S743" t="str">
        <f>TEXT(sales_data[[#This Row],[Order Date]],"mm")</f>
        <v>05</v>
      </c>
      <c r="T743">
        <f>YEAR(sales_data[[#This Row],[Order Date]])</f>
        <v>2018</v>
      </c>
      <c r="U743" s="7"/>
      <c r="V743" t="s">
        <v>2823</v>
      </c>
    </row>
    <row r="744" spans="1:22" x14ac:dyDescent="0.35">
      <c r="A744">
        <v>959</v>
      </c>
      <c r="B744" t="s">
        <v>2820</v>
      </c>
      <c r="C744" s="1">
        <v>43235</v>
      </c>
      <c r="D744" s="1">
        <v>43238</v>
      </c>
      <c r="E744" t="s">
        <v>19</v>
      </c>
      <c r="F744" t="s">
        <v>2821</v>
      </c>
      <c r="G744" t="s">
        <v>2822</v>
      </c>
      <c r="H744" t="s">
        <v>22</v>
      </c>
      <c r="I744" t="s">
        <v>23</v>
      </c>
      <c r="J744" t="s">
        <v>539</v>
      </c>
      <c r="K744" t="s">
        <v>305</v>
      </c>
      <c r="L744">
        <v>85023</v>
      </c>
      <c r="M744" t="s">
        <v>40</v>
      </c>
      <c r="N744" t="s">
        <v>2825</v>
      </c>
      <c r="O744" t="s">
        <v>42</v>
      </c>
      <c r="P744" t="s">
        <v>86</v>
      </c>
      <c r="Q744" t="s">
        <v>2826</v>
      </c>
      <c r="R744">
        <v>15.552</v>
      </c>
      <c r="S744" t="str">
        <f>TEXT(sales_data[[#This Row],[Order Date]],"mm")</f>
        <v>05</v>
      </c>
      <c r="T744">
        <f>YEAR(sales_data[[#This Row],[Order Date]])</f>
        <v>2018</v>
      </c>
      <c r="U744" s="7"/>
      <c r="V744" t="s">
        <v>2825</v>
      </c>
    </row>
    <row r="745" spans="1:22" x14ac:dyDescent="0.35">
      <c r="A745">
        <v>960</v>
      </c>
      <c r="B745" t="s">
        <v>2827</v>
      </c>
      <c r="C745" s="1">
        <v>42635</v>
      </c>
      <c r="D745" s="1">
        <v>42635</v>
      </c>
      <c r="E745" t="s">
        <v>1277</v>
      </c>
      <c r="F745" t="s">
        <v>2828</v>
      </c>
      <c r="G745" t="s">
        <v>2829</v>
      </c>
      <c r="H745" t="s">
        <v>22</v>
      </c>
      <c r="I745" t="s">
        <v>23</v>
      </c>
      <c r="J745" t="s">
        <v>2308</v>
      </c>
      <c r="K745" t="s">
        <v>39</v>
      </c>
      <c r="L745">
        <v>92054</v>
      </c>
      <c r="M745" t="s">
        <v>40</v>
      </c>
      <c r="N745" t="s">
        <v>2830</v>
      </c>
      <c r="O745" t="s">
        <v>28</v>
      </c>
      <c r="P745" t="s">
        <v>61</v>
      </c>
      <c r="Q745" t="s">
        <v>2831</v>
      </c>
      <c r="R745">
        <v>204.6</v>
      </c>
      <c r="S745" t="str">
        <f>TEXT(sales_data[[#This Row],[Order Date]],"mm")</f>
        <v>09</v>
      </c>
      <c r="T745">
        <f>YEAR(sales_data[[#This Row],[Order Date]])</f>
        <v>2016</v>
      </c>
      <c r="U745" s="7"/>
      <c r="V745" t="s">
        <v>2830</v>
      </c>
    </row>
    <row r="746" spans="1:22" x14ac:dyDescent="0.35">
      <c r="A746">
        <v>962</v>
      </c>
      <c r="B746" t="s">
        <v>2834</v>
      </c>
      <c r="C746" s="1">
        <v>42701</v>
      </c>
      <c r="D746" s="1">
        <v>42705</v>
      </c>
      <c r="E746" t="s">
        <v>46</v>
      </c>
      <c r="F746" t="s">
        <v>2835</v>
      </c>
      <c r="G746" t="s">
        <v>2836</v>
      </c>
      <c r="H746" t="s">
        <v>98</v>
      </c>
      <c r="I746" t="s">
        <v>23</v>
      </c>
      <c r="J746" t="s">
        <v>1691</v>
      </c>
      <c r="K746" t="s">
        <v>1692</v>
      </c>
      <c r="L746">
        <v>72701</v>
      </c>
      <c r="M746" t="s">
        <v>26</v>
      </c>
      <c r="N746" t="s">
        <v>2837</v>
      </c>
      <c r="O746" t="s">
        <v>42</v>
      </c>
      <c r="P746" t="s">
        <v>71</v>
      </c>
      <c r="Q746" t="s">
        <v>2838</v>
      </c>
      <c r="R746">
        <v>6.24</v>
      </c>
      <c r="S746" t="str">
        <f>TEXT(sales_data[[#This Row],[Order Date]],"mm")</f>
        <v>11</v>
      </c>
      <c r="T746">
        <f>YEAR(sales_data[[#This Row],[Order Date]])</f>
        <v>2016</v>
      </c>
      <c r="U746" s="7"/>
      <c r="V746" t="s">
        <v>2837</v>
      </c>
    </row>
    <row r="747" spans="1:22" x14ac:dyDescent="0.35">
      <c r="A747">
        <v>964</v>
      </c>
      <c r="B747" t="s">
        <v>2839</v>
      </c>
      <c r="C747" s="1">
        <v>42269</v>
      </c>
      <c r="D747" s="1">
        <v>42271</v>
      </c>
      <c r="E747" t="s">
        <v>19</v>
      </c>
      <c r="F747" t="s">
        <v>2696</v>
      </c>
      <c r="G747" t="s">
        <v>2697</v>
      </c>
      <c r="H747" t="s">
        <v>22</v>
      </c>
      <c r="I747" t="s">
        <v>23</v>
      </c>
      <c r="J747" t="s">
        <v>2840</v>
      </c>
      <c r="K747" t="s">
        <v>50</v>
      </c>
      <c r="L747">
        <v>33433</v>
      </c>
      <c r="M747" t="s">
        <v>26</v>
      </c>
      <c r="N747" t="s">
        <v>2841</v>
      </c>
      <c r="O747" t="s">
        <v>42</v>
      </c>
      <c r="P747" t="s">
        <v>43</v>
      </c>
      <c r="Q747" t="s">
        <v>2842</v>
      </c>
      <c r="R747">
        <v>4.6079999999999997</v>
      </c>
      <c r="S747" t="str">
        <f>TEXT(sales_data[[#This Row],[Order Date]],"mm")</f>
        <v>09</v>
      </c>
      <c r="T747">
        <f>YEAR(sales_data[[#This Row],[Order Date]])</f>
        <v>2015</v>
      </c>
      <c r="U747" s="7"/>
      <c r="V747" t="s">
        <v>2841</v>
      </c>
    </row>
    <row r="748" spans="1:22" x14ac:dyDescent="0.35">
      <c r="A748">
        <v>965</v>
      </c>
      <c r="B748" t="s">
        <v>2843</v>
      </c>
      <c r="C748" s="1">
        <v>43199</v>
      </c>
      <c r="D748" s="1">
        <v>43201</v>
      </c>
      <c r="E748" t="s">
        <v>183</v>
      </c>
      <c r="F748" t="s">
        <v>2844</v>
      </c>
      <c r="G748" t="s">
        <v>2845</v>
      </c>
      <c r="H748" t="s">
        <v>98</v>
      </c>
      <c r="I748" t="s">
        <v>23</v>
      </c>
      <c r="J748" t="s">
        <v>261</v>
      </c>
      <c r="K748" t="s">
        <v>262</v>
      </c>
      <c r="L748">
        <v>10011</v>
      </c>
      <c r="M748" t="s">
        <v>144</v>
      </c>
      <c r="N748" t="s">
        <v>2846</v>
      </c>
      <c r="O748" t="s">
        <v>42</v>
      </c>
      <c r="P748" t="s">
        <v>43</v>
      </c>
      <c r="Q748" t="s">
        <v>2847</v>
      </c>
      <c r="R748">
        <v>9.82</v>
      </c>
      <c r="S748" t="str">
        <f>TEXT(sales_data[[#This Row],[Order Date]],"mm")</f>
        <v>04</v>
      </c>
      <c r="T748">
        <f>YEAR(sales_data[[#This Row],[Order Date]])</f>
        <v>2018</v>
      </c>
      <c r="U748" s="7"/>
      <c r="V748" t="s">
        <v>2846</v>
      </c>
    </row>
    <row r="749" spans="1:22" x14ac:dyDescent="0.35">
      <c r="A749">
        <v>967</v>
      </c>
      <c r="B749" t="s">
        <v>2843</v>
      </c>
      <c r="C749" s="1">
        <v>43199</v>
      </c>
      <c r="D749" s="1">
        <v>43201</v>
      </c>
      <c r="E749" t="s">
        <v>183</v>
      </c>
      <c r="F749" t="s">
        <v>2844</v>
      </c>
      <c r="G749" t="s">
        <v>2845</v>
      </c>
      <c r="H749" t="s">
        <v>98</v>
      </c>
      <c r="I749" t="s">
        <v>23</v>
      </c>
      <c r="J749" t="s">
        <v>261</v>
      </c>
      <c r="K749" t="s">
        <v>262</v>
      </c>
      <c r="L749">
        <v>10011</v>
      </c>
      <c r="M749" t="s">
        <v>144</v>
      </c>
      <c r="N749" t="s">
        <v>2848</v>
      </c>
      <c r="O749" t="s">
        <v>42</v>
      </c>
      <c r="P749" t="s">
        <v>86</v>
      </c>
      <c r="Q749" t="s">
        <v>2849</v>
      </c>
      <c r="R749">
        <v>12.96</v>
      </c>
      <c r="S749" t="str">
        <f>TEXT(sales_data[[#This Row],[Order Date]],"mm")</f>
        <v>04</v>
      </c>
      <c r="T749">
        <f>YEAR(sales_data[[#This Row],[Order Date]])</f>
        <v>2018</v>
      </c>
      <c r="U749" s="7"/>
      <c r="V749" t="s">
        <v>2848</v>
      </c>
    </row>
    <row r="750" spans="1:22" x14ac:dyDescent="0.35">
      <c r="A750">
        <v>968</v>
      </c>
      <c r="B750" t="s">
        <v>2843</v>
      </c>
      <c r="C750" s="1">
        <v>43199</v>
      </c>
      <c r="D750" s="1">
        <v>43201</v>
      </c>
      <c r="E750" t="s">
        <v>183</v>
      </c>
      <c r="F750" t="s">
        <v>2844</v>
      </c>
      <c r="G750" t="s">
        <v>2845</v>
      </c>
      <c r="H750" t="s">
        <v>98</v>
      </c>
      <c r="I750" t="s">
        <v>23</v>
      </c>
      <c r="J750" t="s">
        <v>261</v>
      </c>
      <c r="K750" t="s">
        <v>262</v>
      </c>
      <c r="L750">
        <v>10011</v>
      </c>
      <c r="M750" t="s">
        <v>144</v>
      </c>
      <c r="N750" t="s">
        <v>2850</v>
      </c>
      <c r="O750" t="s">
        <v>42</v>
      </c>
      <c r="P750" t="s">
        <v>86</v>
      </c>
      <c r="Q750" t="s">
        <v>2851</v>
      </c>
      <c r="R750">
        <v>191.6</v>
      </c>
      <c r="S750" t="str">
        <f>TEXT(sales_data[[#This Row],[Order Date]],"mm")</f>
        <v>04</v>
      </c>
      <c r="T750">
        <f>YEAR(sales_data[[#This Row],[Order Date]])</f>
        <v>2018</v>
      </c>
      <c r="U750" s="7"/>
      <c r="V750" t="s">
        <v>2850</v>
      </c>
    </row>
    <row r="751" spans="1:22" x14ac:dyDescent="0.35">
      <c r="A751">
        <v>970</v>
      </c>
      <c r="B751" t="s">
        <v>2843</v>
      </c>
      <c r="C751" s="1">
        <v>43199</v>
      </c>
      <c r="D751" s="1">
        <v>43201</v>
      </c>
      <c r="E751" t="s">
        <v>183</v>
      </c>
      <c r="F751" t="s">
        <v>2844</v>
      </c>
      <c r="G751" t="s">
        <v>2845</v>
      </c>
      <c r="H751" t="s">
        <v>98</v>
      </c>
      <c r="I751" t="s">
        <v>23</v>
      </c>
      <c r="J751" t="s">
        <v>261</v>
      </c>
      <c r="K751" t="s">
        <v>262</v>
      </c>
      <c r="L751">
        <v>10011</v>
      </c>
      <c r="M751" t="s">
        <v>144</v>
      </c>
      <c r="N751" t="s">
        <v>2852</v>
      </c>
      <c r="O751" t="s">
        <v>42</v>
      </c>
      <c r="P751" t="s">
        <v>55</v>
      </c>
      <c r="Q751" t="s">
        <v>2853</v>
      </c>
      <c r="R751">
        <v>501.81</v>
      </c>
      <c r="S751" t="str">
        <f>TEXT(sales_data[[#This Row],[Order Date]],"mm")</f>
        <v>04</v>
      </c>
      <c r="T751">
        <f>YEAR(sales_data[[#This Row],[Order Date]])</f>
        <v>2018</v>
      </c>
      <c r="U751" s="7"/>
      <c r="V751" t="s">
        <v>2852</v>
      </c>
    </row>
    <row r="752" spans="1:22" x14ac:dyDescent="0.35">
      <c r="A752">
        <v>971</v>
      </c>
      <c r="B752" t="s">
        <v>2854</v>
      </c>
      <c r="C752" s="1">
        <v>42020</v>
      </c>
      <c r="D752" s="1">
        <v>42022</v>
      </c>
      <c r="E752" t="s">
        <v>19</v>
      </c>
      <c r="F752" t="s">
        <v>944</v>
      </c>
      <c r="G752" t="s">
        <v>945</v>
      </c>
      <c r="H752" t="s">
        <v>22</v>
      </c>
      <c r="I752" t="s">
        <v>23</v>
      </c>
      <c r="J752" t="s">
        <v>142</v>
      </c>
      <c r="K752" t="s">
        <v>143</v>
      </c>
      <c r="L752">
        <v>19134</v>
      </c>
      <c r="M752" t="s">
        <v>144</v>
      </c>
      <c r="N752" t="s">
        <v>2855</v>
      </c>
      <c r="O752" t="s">
        <v>28</v>
      </c>
      <c r="P752" t="s">
        <v>61</v>
      </c>
      <c r="Q752" t="s">
        <v>2856</v>
      </c>
      <c r="R752">
        <v>127.104</v>
      </c>
      <c r="S752" t="str">
        <f>TEXT(sales_data[[#This Row],[Order Date]],"mm")</f>
        <v>01</v>
      </c>
      <c r="T752">
        <f>YEAR(sales_data[[#This Row],[Order Date]])</f>
        <v>2015</v>
      </c>
      <c r="U752" s="7"/>
      <c r="V752" t="s">
        <v>2855</v>
      </c>
    </row>
    <row r="753" spans="1:22" x14ac:dyDescent="0.35">
      <c r="A753">
        <v>977</v>
      </c>
      <c r="B753" t="s">
        <v>2857</v>
      </c>
      <c r="C753" s="1">
        <v>43290</v>
      </c>
      <c r="D753" s="1">
        <v>43296</v>
      </c>
      <c r="E753" t="s">
        <v>46</v>
      </c>
      <c r="F753" t="s">
        <v>1232</v>
      </c>
      <c r="G753" t="s">
        <v>1233</v>
      </c>
      <c r="H753" t="s">
        <v>22</v>
      </c>
      <c r="I753" t="s">
        <v>23</v>
      </c>
      <c r="J753" t="s">
        <v>414</v>
      </c>
      <c r="K753" t="s">
        <v>415</v>
      </c>
      <c r="L753">
        <v>97206</v>
      </c>
      <c r="M753" t="s">
        <v>40</v>
      </c>
      <c r="N753" t="s">
        <v>2858</v>
      </c>
      <c r="O753" t="s">
        <v>42</v>
      </c>
      <c r="P753" t="s">
        <v>71</v>
      </c>
      <c r="Q753" t="s">
        <v>2859</v>
      </c>
      <c r="R753">
        <v>1.08</v>
      </c>
      <c r="S753" t="str">
        <f>TEXT(sales_data[[#This Row],[Order Date]],"mm")</f>
        <v>07</v>
      </c>
      <c r="T753">
        <f>YEAR(sales_data[[#This Row],[Order Date]])</f>
        <v>2018</v>
      </c>
      <c r="U753" s="7"/>
      <c r="V753" t="s">
        <v>2858</v>
      </c>
    </row>
    <row r="754" spans="1:22" x14ac:dyDescent="0.35">
      <c r="A754">
        <v>980</v>
      </c>
      <c r="B754" t="s">
        <v>2862</v>
      </c>
      <c r="C754" s="1">
        <v>42713</v>
      </c>
      <c r="D754" s="1">
        <v>42716</v>
      </c>
      <c r="E754" t="s">
        <v>183</v>
      </c>
      <c r="F754" t="s">
        <v>338</v>
      </c>
      <c r="G754" t="s">
        <v>339</v>
      </c>
      <c r="H754" t="s">
        <v>37</v>
      </c>
      <c r="I754" t="s">
        <v>23</v>
      </c>
      <c r="J754" t="s">
        <v>492</v>
      </c>
      <c r="K754" t="s">
        <v>249</v>
      </c>
      <c r="L754">
        <v>47201</v>
      </c>
      <c r="M754" t="s">
        <v>101</v>
      </c>
      <c r="N754" t="s">
        <v>2863</v>
      </c>
      <c r="O754" t="s">
        <v>42</v>
      </c>
      <c r="P754" t="s">
        <v>86</v>
      </c>
      <c r="Q754" t="s">
        <v>2864</v>
      </c>
      <c r="R754">
        <v>34.020000000000003</v>
      </c>
      <c r="S754" t="str">
        <f>TEXT(sales_data[[#This Row],[Order Date]],"mm")</f>
        <v>12</v>
      </c>
      <c r="T754">
        <f>YEAR(sales_data[[#This Row],[Order Date]])</f>
        <v>2016</v>
      </c>
      <c r="U754" s="7"/>
      <c r="V754" t="s">
        <v>2863</v>
      </c>
    </row>
    <row r="755" spans="1:22" x14ac:dyDescent="0.35">
      <c r="A755">
        <v>982</v>
      </c>
      <c r="B755" t="s">
        <v>2865</v>
      </c>
      <c r="C755" s="1">
        <v>42319</v>
      </c>
      <c r="D755" s="1">
        <v>42322</v>
      </c>
      <c r="E755" t="s">
        <v>19</v>
      </c>
      <c r="F755" t="s">
        <v>2866</v>
      </c>
      <c r="G755" t="s">
        <v>2867</v>
      </c>
      <c r="H755" t="s">
        <v>22</v>
      </c>
      <c r="I755" t="s">
        <v>23</v>
      </c>
      <c r="J755" t="s">
        <v>1461</v>
      </c>
      <c r="K755" t="s">
        <v>452</v>
      </c>
      <c r="L755">
        <v>80027</v>
      </c>
      <c r="M755" t="s">
        <v>40</v>
      </c>
      <c r="N755" t="s">
        <v>2868</v>
      </c>
      <c r="O755" t="s">
        <v>42</v>
      </c>
      <c r="P755" t="s">
        <v>64</v>
      </c>
      <c r="Q755" t="s">
        <v>2869</v>
      </c>
      <c r="R755">
        <v>3.3919999999999999</v>
      </c>
      <c r="S755" t="str">
        <f>TEXT(sales_data[[#This Row],[Order Date]],"mm")</f>
        <v>11</v>
      </c>
      <c r="T755">
        <f>YEAR(sales_data[[#This Row],[Order Date]])</f>
        <v>2015</v>
      </c>
      <c r="U755" s="7"/>
      <c r="V755" t="s">
        <v>2868</v>
      </c>
    </row>
    <row r="756" spans="1:22" x14ac:dyDescent="0.35">
      <c r="A756">
        <v>983</v>
      </c>
      <c r="B756" t="s">
        <v>2865</v>
      </c>
      <c r="C756" s="1">
        <v>42319</v>
      </c>
      <c r="D756" s="1">
        <v>42322</v>
      </c>
      <c r="E756" t="s">
        <v>19</v>
      </c>
      <c r="F756" t="s">
        <v>2866</v>
      </c>
      <c r="G756" t="s">
        <v>2867</v>
      </c>
      <c r="H756" t="s">
        <v>22</v>
      </c>
      <c r="I756" t="s">
        <v>23</v>
      </c>
      <c r="J756" t="s">
        <v>1461</v>
      </c>
      <c r="K756" t="s">
        <v>452</v>
      </c>
      <c r="L756">
        <v>80027</v>
      </c>
      <c r="M756" t="s">
        <v>40</v>
      </c>
      <c r="N756" t="s">
        <v>2870</v>
      </c>
      <c r="O756" t="s">
        <v>67</v>
      </c>
      <c r="P756" t="s">
        <v>68</v>
      </c>
      <c r="Q756" t="s">
        <v>2871</v>
      </c>
      <c r="R756">
        <v>559.98400000000004</v>
      </c>
      <c r="S756" t="str">
        <f>TEXT(sales_data[[#This Row],[Order Date]],"mm")</f>
        <v>11</v>
      </c>
      <c r="T756">
        <f>YEAR(sales_data[[#This Row],[Order Date]])</f>
        <v>2015</v>
      </c>
      <c r="U756" s="7"/>
      <c r="V756" t="s">
        <v>2870</v>
      </c>
    </row>
    <row r="757" spans="1:22" x14ac:dyDescent="0.35">
      <c r="A757">
        <v>986</v>
      </c>
      <c r="B757" t="s">
        <v>2872</v>
      </c>
      <c r="C757" s="1">
        <v>43372</v>
      </c>
      <c r="D757" s="1">
        <v>43378</v>
      </c>
      <c r="E757" t="s">
        <v>46</v>
      </c>
      <c r="F757" t="s">
        <v>2873</v>
      </c>
      <c r="G757" t="s">
        <v>2874</v>
      </c>
      <c r="H757" t="s">
        <v>98</v>
      </c>
      <c r="I757" t="s">
        <v>23</v>
      </c>
      <c r="J757" t="s">
        <v>595</v>
      </c>
      <c r="K757" t="s">
        <v>100</v>
      </c>
      <c r="L757">
        <v>77506</v>
      </c>
      <c r="M757" t="s">
        <v>101</v>
      </c>
      <c r="N757" t="s">
        <v>2875</v>
      </c>
      <c r="O757" t="s">
        <v>42</v>
      </c>
      <c r="P757" t="s">
        <v>168</v>
      </c>
      <c r="Q757" t="s">
        <v>2876</v>
      </c>
      <c r="R757">
        <v>27.968</v>
      </c>
      <c r="S757" t="str">
        <f>TEXT(sales_data[[#This Row],[Order Date]],"mm")</f>
        <v>09</v>
      </c>
      <c r="T757">
        <f>YEAR(sales_data[[#This Row],[Order Date]])</f>
        <v>2018</v>
      </c>
      <c r="U757" s="7"/>
      <c r="V757" t="s">
        <v>2875</v>
      </c>
    </row>
    <row r="758" spans="1:22" x14ac:dyDescent="0.35">
      <c r="A758">
        <v>987</v>
      </c>
      <c r="B758" t="s">
        <v>2872</v>
      </c>
      <c r="C758" s="1">
        <v>43372</v>
      </c>
      <c r="D758" s="1">
        <v>43378</v>
      </c>
      <c r="E758" t="s">
        <v>46</v>
      </c>
      <c r="F758" t="s">
        <v>2873</v>
      </c>
      <c r="G758" t="s">
        <v>2874</v>
      </c>
      <c r="H758" t="s">
        <v>98</v>
      </c>
      <c r="I758" t="s">
        <v>23</v>
      </c>
      <c r="J758" t="s">
        <v>595</v>
      </c>
      <c r="K758" t="s">
        <v>100</v>
      </c>
      <c r="L758">
        <v>77506</v>
      </c>
      <c r="M758" t="s">
        <v>101</v>
      </c>
      <c r="N758" t="s">
        <v>2877</v>
      </c>
      <c r="O758" t="s">
        <v>67</v>
      </c>
      <c r="P758" t="s">
        <v>675</v>
      </c>
      <c r="Q758" t="s">
        <v>2878</v>
      </c>
      <c r="R758">
        <v>336.51</v>
      </c>
      <c r="S758" t="str">
        <f>TEXT(sales_data[[#This Row],[Order Date]],"mm")</f>
        <v>09</v>
      </c>
      <c r="T758">
        <f>YEAR(sales_data[[#This Row],[Order Date]])</f>
        <v>2018</v>
      </c>
      <c r="U758" s="7"/>
      <c r="V758" t="s">
        <v>2877</v>
      </c>
    </row>
    <row r="759" spans="1:22" x14ac:dyDescent="0.35">
      <c r="A759">
        <v>988</v>
      </c>
      <c r="B759" t="s">
        <v>2879</v>
      </c>
      <c r="C759" s="1">
        <v>42439</v>
      </c>
      <c r="D759" s="1">
        <v>42439</v>
      </c>
      <c r="E759" t="s">
        <v>1277</v>
      </c>
      <c r="F759" t="s">
        <v>2880</v>
      </c>
      <c r="G759" t="s">
        <v>2881</v>
      </c>
      <c r="H759" t="s">
        <v>22</v>
      </c>
      <c r="I759" t="s">
        <v>23</v>
      </c>
      <c r="J759" t="s">
        <v>179</v>
      </c>
      <c r="K759" t="s">
        <v>100</v>
      </c>
      <c r="L759">
        <v>77041</v>
      </c>
      <c r="M759" t="s">
        <v>101</v>
      </c>
      <c r="N759" t="s">
        <v>2882</v>
      </c>
      <c r="O759" t="s">
        <v>42</v>
      </c>
      <c r="P759" t="s">
        <v>71</v>
      </c>
      <c r="Q759" t="s">
        <v>2883</v>
      </c>
      <c r="R759">
        <v>1.1120000000000001</v>
      </c>
      <c r="S759" t="str">
        <f>TEXT(sales_data[[#This Row],[Order Date]],"mm")</f>
        <v>03</v>
      </c>
      <c r="T759">
        <f>YEAR(sales_data[[#This Row],[Order Date]])</f>
        <v>2016</v>
      </c>
      <c r="U759" s="7"/>
      <c r="V759" t="s">
        <v>2882</v>
      </c>
    </row>
    <row r="760" spans="1:22" x14ac:dyDescent="0.35">
      <c r="A760">
        <v>990</v>
      </c>
      <c r="B760" t="s">
        <v>2884</v>
      </c>
      <c r="C760" s="1">
        <v>43241</v>
      </c>
      <c r="D760" s="1">
        <v>43246</v>
      </c>
      <c r="E760" t="s">
        <v>46</v>
      </c>
      <c r="F760" t="s">
        <v>1633</v>
      </c>
      <c r="G760" t="s">
        <v>1634</v>
      </c>
      <c r="H760" t="s">
        <v>37</v>
      </c>
      <c r="I760" t="s">
        <v>23</v>
      </c>
      <c r="J760" t="s">
        <v>1548</v>
      </c>
      <c r="K760" t="s">
        <v>262</v>
      </c>
      <c r="L760">
        <v>13021</v>
      </c>
      <c r="M760" t="s">
        <v>144</v>
      </c>
      <c r="N760" t="s">
        <v>2885</v>
      </c>
      <c r="O760" t="s">
        <v>42</v>
      </c>
      <c r="P760" t="s">
        <v>64</v>
      </c>
      <c r="Q760" t="s">
        <v>2886</v>
      </c>
      <c r="R760">
        <v>17.97</v>
      </c>
      <c r="S760" t="str">
        <f>TEXT(sales_data[[#This Row],[Order Date]],"mm")</f>
        <v>05</v>
      </c>
      <c r="T760">
        <f>YEAR(sales_data[[#This Row],[Order Date]])</f>
        <v>2018</v>
      </c>
      <c r="U760" s="7"/>
      <c r="V760" t="s">
        <v>2885</v>
      </c>
    </row>
    <row r="761" spans="1:22" x14ac:dyDescent="0.35">
      <c r="A761">
        <v>994</v>
      </c>
      <c r="B761" t="s">
        <v>2889</v>
      </c>
      <c r="C761" s="1">
        <v>42973</v>
      </c>
      <c r="D761" s="1">
        <v>42974</v>
      </c>
      <c r="E761" t="s">
        <v>183</v>
      </c>
      <c r="F761" t="s">
        <v>2348</v>
      </c>
      <c r="G761" t="s">
        <v>2349</v>
      </c>
      <c r="H761" t="s">
        <v>22</v>
      </c>
      <c r="I761" t="s">
        <v>23</v>
      </c>
      <c r="J761" t="s">
        <v>623</v>
      </c>
      <c r="K761" t="s">
        <v>39</v>
      </c>
      <c r="L761">
        <v>95123</v>
      </c>
      <c r="M761" t="s">
        <v>40</v>
      </c>
      <c r="N761" t="s">
        <v>2890</v>
      </c>
      <c r="O761" t="s">
        <v>42</v>
      </c>
      <c r="P761" t="s">
        <v>86</v>
      </c>
      <c r="Q761" t="s">
        <v>2891</v>
      </c>
      <c r="R761">
        <v>154.9</v>
      </c>
      <c r="S761" t="str">
        <f>TEXT(sales_data[[#This Row],[Order Date]],"mm")</f>
        <v>08</v>
      </c>
      <c r="T761">
        <f>YEAR(sales_data[[#This Row],[Order Date]])</f>
        <v>2017</v>
      </c>
      <c r="U761" s="7"/>
      <c r="V761" t="s">
        <v>2890</v>
      </c>
    </row>
    <row r="762" spans="1:22" x14ac:dyDescent="0.35">
      <c r="A762">
        <v>995</v>
      </c>
      <c r="B762" t="s">
        <v>2892</v>
      </c>
      <c r="C762" s="1">
        <v>42145</v>
      </c>
      <c r="D762" s="1">
        <v>42149</v>
      </c>
      <c r="E762" t="s">
        <v>46</v>
      </c>
      <c r="F762" t="s">
        <v>2893</v>
      </c>
      <c r="G762" t="s">
        <v>2894</v>
      </c>
      <c r="H762" t="s">
        <v>37</v>
      </c>
      <c r="I762" t="s">
        <v>23</v>
      </c>
      <c r="J762" t="s">
        <v>2895</v>
      </c>
      <c r="K762" t="s">
        <v>314</v>
      </c>
      <c r="L762">
        <v>23464</v>
      </c>
      <c r="M762" t="s">
        <v>26</v>
      </c>
      <c r="N762" t="s">
        <v>2896</v>
      </c>
      <c r="O762" t="s">
        <v>42</v>
      </c>
      <c r="P762" t="s">
        <v>71</v>
      </c>
      <c r="Q762" t="s">
        <v>2897</v>
      </c>
      <c r="R762">
        <v>2715.93</v>
      </c>
      <c r="S762" t="str">
        <f>TEXT(sales_data[[#This Row],[Order Date]],"mm")</f>
        <v>05</v>
      </c>
      <c r="T762">
        <f>YEAR(sales_data[[#This Row],[Order Date]])</f>
        <v>2015</v>
      </c>
      <c r="U762" s="7"/>
      <c r="V762" t="s">
        <v>2896</v>
      </c>
    </row>
    <row r="763" spans="1:22" x14ac:dyDescent="0.35">
      <c r="A763">
        <v>997</v>
      </c>
      <c r="B763" t="s">
        <v>2898</v>
      </c>
      <c r="C763" s="1">
        <v>42671</v>
      </c>
      <c r="D763" s="1">
        <v>42677</v>
      </c>
      <c r="E763" t="s">
        <v>46</v>
      </c>
      <c r="F763" t="s">
        <v>2899</v>
      </c>
      <c r="G763" t="s">
        <v>2900</v>
      </c>
      <c r="H763" t="s">
        <v>22</v>
      </c>
      <c r="I763" t="s">
        <v>23</v>
      </c>
      <c r="J763" t="s">
        <v>24</v>
      </c>
      <c r="K763" t="s">
        <v>25</v>
      </c>
      <c r="L763">
        <v>42420</v>
      </c>
      <c r="M763" t="s">
        <v>26</v>
      </c>
      <c r="N763" t="s">
        <v>2901</v>
      </c>
      <c r="O763" t="s">
        <v>42</v>
      </c>
      <c r="P763" t="s">
        <v>168</v>
      </c>
      <c r="Q763" t="s">
        <v>2902</v>
      </c>
      <c r="R763">
        <v>10.67</v>
      </c>
      <c r="S763" t="str">
        <f>TEXT(sales_data[[#This Row],[Order Date]],"mm")</f>
        <v>10</v>
      </c>
      <c r="T763">
        <f>YEAR(sales_data[[#This Row],[Order Date]])</f>
        <v>2016</v>
      </c>
      <c r="U763" s="7"/>
      <c r="V763" t="s">
        <v>2901</v>
      </c>
    </row>
    <row r="764" spans="1:22" x14ac:dyDescent="0.35">
      <c r="A764">
        <v>998</v>
      </c>
      <c r="B764" t="s">
        <v>2898</v>
      </c>
      <c r="C764" s="1">
        <v>42671</v>
      </c>
      <c r="D764" s="1">
        <v>42677</v>
      </c>
      <c r="E764" t="s">
        <v>46</v>
      </c>
      <c r="F764" t="s">
        <v>2899</v>
      </c>
      <c r="G764" t="s">
        <v>2900</v>
      </c>
      <c r="H764" t="s">
        <v>22</v>
      </c>
      <c r="I764" t="s">
        <v>23</v>
      </c>
      <c r="J764" t="s">
        <v>24</v>
      </c>
      <c r="K764" t="s">
        <v>25</v>
      </c>
      <c r="L764">
        <v>42420</v>
      </c>
      <c r="M764" t="s">
        <v>26</v>
      </c>
      <c r="N764" t="s">
        <v>2903</v>
      </c>
      <c r="O764" t="s">
        <v>42</v>
      </c>
      <c r="P764" t="s">
        <v>55</v>
      </c>
      <c r="Q764" t="s">
        <v>2904</v>
      </c>
      <c r="R764">
        <v>36.630000000000003</v>
      </c>
      <c r="S764" t="str">
        <f>TEXT(sales_data[[#This Row],[Order Date]],"mm")</f>
        <v>10</v>
      </c>
      <c r="T764">
        <f>YEAR(sales_data[[#This Row],[Order Date]])</f>
        <v>2016</v>
      </c>
      <c r="U764" s="7"/>
      <c r="V764" t="s">
        <v>2903</v>
      </c>
    </row>
    <row r="765" spans="1:22" x14ac:dyDescent="0.35">
      <c r="A765">
        <v>999</v>
      </c>
      <c r="B765" t="s">
        <v>2898</v>
      </c>
      <c r="C765" s="1">
        <v>42671</v>
      </c>
      <c r="D765" s="1">
        <v>42677</v>
      </c>
      <c r="E765" t="s">
        <v>46</v>
      </c>
      <c r="F765" t="s">
        <v>2899</v>
      </c>
      <c r="G765" t="s">
        <v>2900</v>
      </c>
      <c r="H765" t="s">
        <v>22</v>
      </c>
      <c r="I765" t="s">
        <v>23</v>
      </c>
      <c r="J765" t="s">
        <v>24</v>
      </c>
      <c r="K765" t="s">
        <v>25</v>
      </c>
      <c r="L765">
        <v>42420</v>
      </c>
      <c r="M765" t="s">
        <v>26</v>
      </c>
      <c r="N765" t="s">
        <v>2905</v>
      </c>
      <c r="O765" t="s">
        <v>28</v>
      </c>
      <c r="P765" t="s">
        <v>61</v>
      </c>
      <c r="Q765" t="s">
        <v>2906</v>
      </c>
      <c r="R765">
        <v>24.1</v>
      </c>
      <c r="S765" t="str">
        <f>TEXT(sales_data[[#This Row],[Order Date]],"mm")</f>
        <v>10</v>
      </c>
      <c r="T765">
        <f>YEAR(sales_data[[#This Row],[Order Date]])</f>
        <v>2016</v>
      </c>
      <c r="U765" s="7"/>
      <c r="V765" t="s">
        <v>2905</v>
      </c>
    </row>
    <row r="766" spans="1:22" x14ac:dyDescent="0.35">
      <c r="A766">
        <v>1002</v>
      </c>
      <c r="B766" t="s">
        <v>2907</v>
      </c>
      <c r="C766" s="1">
        <v>42582</v>
      </c>
      <c r="D766" s="1">
        <v>42582</v>
      </c>
      <c r="E766" t="s">
        <v>1277</v>
      </c>
      <c r="F766" t="s">
        <v>2452</v>
      </c>
      <c r="G766" t="s">
        <v>2453</v>
      </c>
      <c r="H766" t="s">
        <v>22</v>
      </c>
      <c r="I766" t="s">
        <v>23</v>
      </c>
      <c r="J766" t="s">
        <v>261</v>
      </c>
      <c r="K766" t="s">
        <v>262</v>
      </c>
      <c r="L766">
        <v>10024</v>
      </c>
      <c r="M766" t="s">
        <v>144</v>
      </c>
      <c r="N766" t="s">
        <v>2908</v>
      </c>
      <c r="O766" t="s">
        <v>67</v>
      </c>
      <c r="P766" t="s">
        <v>156</v>
      </c>
      <c r="Q766" t="s">
        <v>2909</v>
      </c>
      <c r="R766">
        <v>2309.65</v>
      </c>
      <c r="S766" t="str">
        <f>TEXT(sales_data[[#This Row],[Order Date]],"mm")</f>
        <v>07</v>
      </c>
      <c r="T766">
        <f>YEAR(sales_data[[#This Row],[Order Date]])</f>
        <v>2016</v>
      </c>
      <c r="U766" s="7"/>
      <c r="V766" t="s">
        <v>2908</v>
      </c>
    </row>
    <row r="767" spans="1:22" x14ac:dyDescent="0.35">
      <c r="A767">
        <v>1005</v>
      </c>
      <c r="B767" t="s">
        <v>2910</v>
      </c>
      <c r="C767" s="1">
        <v>42609</v>
      </c>
      <c r="D767" s="1">
        <v>42613</v>
      </c>
      <c r="E767" t="s">
        <v>46</v>
      </c>
      <c r="F767" t="s">
        <v>2911</v>
      </c>
      <c r="G767" t="s">
        <v>2912</v>
      </c>
      <c r="H767" t="s">
        <v>22</v>
      </c>
      <c r="I767" t="s">
        <v>23</v>
      </c>
      <c r="J767" t="s">
        <v>2913</v>
      </c>
      <c r="K767" t="s">
        <v>39</v>
      </c>
      <c r="L767">
        <v>92563</v>
      </c>
      <c r="M767" t="s">
        <v>40</v>
      </c>
      <c r="N767" t="s">
        <v>2914</v>
      </c>
      <c r="O767" t="s">
        <v>42</v>
      </c>
      <c r="P767" t="s">
        <v>55</v>
      </c>
      <c r="Q767" t="s">
        <v>2915</v>
      </c>
      <c r="R767">
        <v>484.65</v>
      </c>
      <c r="S767" t="str">
        <f>TEXT(sales_data[[#This Row],[Order Date]],"mm")</f>
        <v>08</v>
      </c>
      <c r="T767">
        <f>YEAR(sales_data[[#This Row],[Order Date]])</f>
        <v>2016</v>
      </c>
      <c r="U767" s="7"/>
      <c r="V767" t="s">
        <v>2914</v>
      </c>
    </row>
    <row r="768" spans="1:22" x14ac:dyDescent="0.35">
      <c r="A768">
        <v>1008</v>
      </c>
      <c r="B768" t="s">
        <v>2916</v>
      </c>
      <c r="C768" s="1">
        <v>42680</v>
      </c>
      <c r="D768" s="1">
        <v>42683</v>
      </c>
      <c r="E768" t="s">
        <v>183</v>
      </c>
      <c r="F768" t="s">
        <v>2917</v>
      </c>
      <c r="G768" t="s">
        <v>2918</v>
      </c>
      <c r="H768" t="s">
        <v>22</v>
      </c>
      <c r="I768" t="s">
        <v>23</v>
      </c>
      <c r="J768" t="s">
        <v>615</v>
      </c>
      <c r="K768" t="s">
        <v>305</v>
      </c>
      <c r="L768">
        <v>85254</v>
      </c>
      <c r="M768" t="s">
        <v>40</v>
      </c>
      <c r="N768" t="s">
        <v>2919</v>
      </c>
      <c r="O768" t="s">
        <v>42</v>
      </c>
      <c r="P768" t="s">
        <v>71</v>
      </c>
      <c r="Q768" t="s">
        <v>2920</v>
      </c>
      <c r="R768">
        <v>4.4009999999999998</v>
      </c>
      <c r="S768" t="str">
        <f>TEXT(sales_data[[#This Row],[Order Date]],"mm")</f>
        <v>11</v>
      </c>
      <c r="T768">
        <f>YEAR(sales_data[[#This Row],[Order Date]])</f>
        <v>2016</v>
      </c>
      <c r="U768" s="7"/>
      <c r="V768" t="s">
        <v>2919</v>
      </c>
    </row>
    <row r="769" spans="1:22" x14ac:dyDescent="0.35">
      <c r="A769">
        <v>1011</v>
      </c>
      <c r="B769" t="s">
        <v>2921</v>
      </c>
      <c r="C769" s="1">
        <v>42332</v>
      </c>
      <c r="D769" s="1">
        <v>42334</v>
      </c>
      <c r="E769" t="s">
        <v>183</v>
      </c>
      <c r="F769" t="s">
        <v>2922</v>
      </c>
      <c r="G769" t="s">
        <v>2923</v>
      </c>
      <c r="H769" t="s">
        <v>22</v>
      </c>
      <c r="I769" t="s">
        <v>23</v>
      </c>
      <c r="J769" t="s">
        <v>940</v>
      </c>
      <c r="K769" t="s">
        <v>39</v>
      </c>
      <c r="L769">
        <v>92037</v>
      </c>
      <c r="M769" t="s">
        <v>40</v>
      </c>
      <c r="N769" t="s">
        <v>2924</v>
      </c>
      <c r="O769" t="s">
        <v>28</v>
      </c>
      <c r="P769" t="s">
        <v>61</v>
      </c>
      <c r="Q769" t="s">
        <v>2925</v>
      </c>
      <c r="R769">
        <v>151.72</v>
      </c>
      <c r="S769" t="str">
        <f>TEXT(sales_data[[#This Row],[Order Date]],"mm")</f>
        <v>11</v>
      </c>
      <c r="T769">
        <f>YEAR(sales_data[[#This Row],[Order Date]])</f>
        <v>2015</v>
      </c>
      <c r="U769" s="7"/>
      <c r="V769" t="s">
        <v>2924</v>
      </c>
    </row>
    <row r="770" spans="1:22" x14ac:dyDescent="0.35">
      <c r="A770">
        <v>1013</v>
      </c>
      <c r="B770" t="s">
        <v>2926</v>
      </c>
      <c r="C770" s="1">
        <v>43268</v>
      </c>
      <c r="D770" s="1">
        <v>43272</v>
      </c>
      <c r="E770" t="s">
        <v>19</v>
      </c>
      <c r="F770" t="s">
        <v>531</v>
      </c>
      <c r="G770" t="s">
        <v>532</v>
      </c>
      <c r="H770" t="s">
        <v>22</v>
      </c>
      <c r="I770" t="s">
        <v>23</v>
      </c>
      <c r="J770" t="s">
        <v>2927</v>
      </c>
      <c r="K770" t="s">
        <v>92</v>
      </c>
      <c r="L770">
        <v>98502</v>
      </c>
      <c r="M770" t="s">
        <v>40</v>
      </c>
      <c r="N770" t="s">
        <v>2928</v>
      </c>
      <c r="O770" t="s">
        <v>42</v>
      </c>
      <c r="P770" t="s">
        <v>55</v>
      </c>
      <c r="Q770" t="s">
        <v>2929</v>
      </c>
      <c r="R770">
        <v>14.03</v>
      </c>
      <c r="S770" t="str">
        <f>TEXT(sales_data[[#This Row],[Order Date]],"mm")</f>
        <v>06</v>
      </c>
      <c r="T770">
        <f>YEAR(sales_data[[#This Row],[Order Date]])</f>
        <v>2018</v>
      </c>
      <c r="U770" s="7"/>
      <c r="V770" t="s">
        <v>2928</v>
      </c>
    </row>
    <row r="771" spans="1:22" x14ac:dyDescent="0.35">
      <c r="A771">
        <v>1015</v>
      </c>
      <c r="B771" t="s">
        <v>2930</v>
      </c>
      <c r="C771" s="1">
        <v>42725</v>
      </c>
      <c r="D771" s="1">
        <v>42728</v>
      </c>
      <c r="E771" t="s">
        <v>19</v>
      </c>
      <c r="F771" t="s">
        <v>2931</v>
      </c>
      <c r="G771" t="s">
        <v>2932</v>
      </c>
      <c r="H771" t="s">
        <v>22</v>
      </c>
      <c r="I771" t="s">
        <v>23</v>
      </c>
      <c r="J771" t="s">
        <v>91</v>
      </c>
      <c r="K771" t="s">
        <v>92</v>
      </c>
      <c r="L771">
        <v>98103</v>
      </c>
      <c r="M771" t="s">
        <v>40</v>
      </c>
      <c r="N771" t="s">
        <v>2933</v>
      </c>
      <c r="O771" t="s">
        <v>67</v>
      </c>
      <c r="P771" t="s">
        <v>156</v>
      </c>
      <c r="Q771" t="s">
        <v>2934</v>
      </c>
      <c r="R771">
        <v>99.6</v>
      </c>
      <c r="S771" t="str">
        <f>TEXT(sales_data[[#This Row],[Order Date]],"mm")</f>
        <v>12</v>
      </c>
      <c r="T771">
        <f>YEAR(sales_data[[#This Row],[Order Date]])</f>
        <v>2016</v>
      </c>
      <c r="U771" s="7"/>
      <c r="V771" t="s">
        <v>2933</v>
      </c>
    </row>
    <row r="772" spans="1:22" x14ac:dyDescent="0.35">
      <c r="A772">
        <v>1017</v>
      </c>
      <c r="B772" t="s">
        <v>2935</v>
      </c>
      <c r="C772" s="1">
        <v>42557</v>
      </c>
      <c r="D772" s="1">
        <v>42561</v>
      </c>
      <c r="E772" t="s">
        <v>46</v>
      </c>
      <c r="F772" t="s">
        <v>2936</v>
      </c>
      <c r="G772" t="s">
        <v>2937</v>
      </c>
      <c r="H772" t="s">
        <v>37</v>
      </c>
      <c r="I772" t="s">
        <v>23</v>
      </c>
      <c r="J772" t="s">
        <v>261</v>
      </c>
      <c r="K772" t="s">
        <v>262</v>
      </c>
      <c r="L772">
        <v>10011</v>
      </c>
      <c r="M772" t="s">
        <v>144</v>
      </c>
      <c r="N772" t="s">
        <v>2938</v>
      </c>
      <c r="O772" t="s">
        <v>28</v>
      </c>
      <c r="P772" t="s">
        <v>61</v>
      </c>
      <c r="Q772" t="s">
        <v>2939</v>
      </c>
      <c r="R772">
        <v>13.96</v>
      </c>
      <c r="S772" t="str">
        <f>TEXT(sales_data[[#This Row],[Order Date]],"mm")</f>
        <v>07</v>
      </c>
      <c r="T772">
        <f>YEAR(sales_data[[#This Row],[Order Date]])</f>
        <v>2016</v>
      </c>
      <c r="U772" s="7"/>
      <c r="V772" t="s">
        <v>2938</v>
      </c>
    </row>
    <row r="773" spans="1:22" x14ac:dyDescent="0.35">
      <c r="A773">
        <v>1019</v>
      </c>
      <c r="B773" t="s">
        <v>2935</v>
      </c>
      <c r="C773" s="1">
        <v>42557</v>
      </c>
      <c r="D773" s="1">
        <v>42561</v>
      </c>
      <c r="E773" t="s">
        <v>46</v>
      </c>
      <c r="F773" t="s">
        <v>2936</v>
      </c>
      <c r="G773" t="s">
        <v>2937</v>
      </c>
      <c r="H773" t="s">
        <v>37</v>
      </c>
      <c r="I773" t="s">
        <v>23</v>
      </c>
      <c r="J773" t="s">
        <v>261</v>
      </c>
      <c r="K773" t="s">
        <v>262</v>
      </c>
      <c r="L773">
        <v>10011</v>
      </c>
      <c r="M773" t="s">
        <v>144</v>
      </c>
      <c r="N773" t="s">
        <v>2940</v>
      </c>
      <c r="O773" t="s">
        <v>67</v>
      </c>
      <c r="P773" t="s">
        <v>68</v>
      </c>
      <c r="Q773" t="s">
        <v>2941</v>
      </c>
      <c r="R773">
        <v>124.95</v>
      </c>
      <c r="S773" t="str">
        <f>TEXT(sales_data[[#This Row],[Order Date]],"mm")</f>
        <v>07</v>
      </c>
      <c r="T773">
        <f>YEAR(sales_data[[#This Row],[Order Date]])</f>
        <v>2016</v>
      </c>
      <c r="U773" s="7"/>
      <c r="V773" t="s">
        <v>2940</v>
      </c>
    </row>
    <row r="774" spans="1:22" x14ac:dyDescent="0.35">
      <c r="A774">
        <v>1020</v>
      </c>
      <c r="B774" t="s">
        <v>2935</v>
      </c>
      <c r="C774" s="1">
        <v>42557</v>
      </c>
      <c r="D774" s="1">
        <v>42561</v>
      </c>
      <c r="E774" t="s">
        <v>46</v>
      </c>
      <c r="F774" t="s">
        <v>2936</v>
      </c>
      <c r="G774" t="s">
        <v>2937</v>
      </c>
      <c r="H774" t="s">
        <v>37</v>
      </c>
      <c r="I774" t="s">
        <v>23</v>
      </c>
      <c r="J774" t="s">
        <v>261</v>
      </c>
      <c r="K774" t="s">
        <v>262</v>
      </c>
      <c r="L774">
        <v>10011</v>
      </c>
      <c r="M774" t="s">
        <v>144</v>
      </c>
      <c r="N774" t="s">
        <v>2942</v>
      </c>
      <c r="O774" t="s">
        <v>42</v>
      </c>
      <c r="P774" t="s">
        <v>55</v>
      </c>
      <c r="Q774" t="s">
        <v>2943</v>
      </c>
      <c r="R774">
        <v>601.65</v>
      </c>
      <c r="S774" t="str">
        <f>TEXT(sales_data[[#This Row],[Order Date]],"mm")</f>
        <v>07</v>
      </c>
      <c r="T774">
        <f>YEAR(sales_data[[#This Row],[Order Date]])</f>
        <v>2016</v>
      </c>
      <c r="U774" s="7"/>
      <c r="V774" t="s">
        <v>2942</v>
      </c>
    </row>
    <row r="775" spans="1:22" x14ac:dyDescent="0.35">
      <c r="A775">
        <v>1021</v>
      </c>
      <c r="B775" t="s">
        <v>2944</v>
      </c>
      <c r="C775" s="1">
        <v>42487</v>
      </c>
      <c r="D775" s="1">
        <v>42493</v>
      </c>
      <c r="E775" t="s">
        <v>46</v>
      </c>
      <c r="F775" t="s">
        <v>1855</v>
      </c>
      <c r="G775" t="s">
        <v>1856</v>
      </c>
      <c r="H775" t="s">
        <v>22</v>
      </c>
      <c r="I775" t="s">
        <v>23</v>
      </c>
      <c r="J775" t="s">
        <v>92</v>
      </c>
      <c r="K775" t="s">
        <v>2945</v>
      </c>
      <c r="L775">
        <v>20016</v>
      </c>
      <c r="M775" t="s">
        <v>144</v>
      </c>
      <c r="N775" t="s">
        <v>2946</v>
      </c>
      <c r="O775" t="s">
        <v>42</v>
      </c>
      <c r="P775" t="s">
        <v>64</v>
      </c>
      <c r="Q775" t="s">
        <v>2947</v>
      </c>
      <c r="R775">
        <v>22.74</v>
      </c>
      <c r="S775" t="str">
        <f>TEXT(sales_data[[#This Row],[Order Date]],"mm")</f>
        <v>04</v>
      </c>
      <c r="T775">
        <f>YEAR(sales_data[[#This Row],[Order Date]])</f>
        <v>2016</v>
      </c>
      <c r="U775" s="7"/>
      <c r="V775" t="s">
        <v>2946</v>
      </c>
    </row>
    <row r="776" spans="1:22" x14ac:dyDescent="0.35">
      <c r="A776">
        <v>1022</v>
      </c>
      <c r="B776" t="s">
        <v>2944</v>
      </c>
      <c r="C776" s="1">
        <v>42487</v>
      </c>
      <c r="D776" s="1">
        <v>42493</v>
      </c>
      <c r="E776" t="s">
        <v>46</v>
      </c>
      <c r="F776" t="s">
        <v>1855</v>
      </c>
      <c r="G776" t="s">
        <v>1856</v>
      </c>
      <c r="H776" t="s">
        <v>22</v>
      </c>
      <c r="I776" t="s">
        <v>23</v>
      </c>
      <c r="J776" t="s">
        <v>92</v>
      </c>
      <c r="K776" t="s">
        <v>2945</v>
      </c>
      <c r="L776">
        <v>20016</v>
      </c>
      <c r="M776" t="s">
        <v>144</v>
      </c>
      <c r="N776" t="s">
        <v>2948</v>
      </c>
      <c r="O776" t="s">
        <v>28</v>
      </c>
      <c r="P776" t="s">
        <v>32</v>
      </c>
      <c r="Q776" t="s">
        <v>2949</v>
      </c>
      <c r="R776">
        <v>1267.53</v>
      </c>
      <c r="S776" t="str">
        <f>TEXT(sales_data[[#This Row],[Order Date]],"mm")</f>
        <v>04</v>
      </c>
      <c r="T776">
        <f>YEAR(sales_data[[#This Row],[Order Date]])</f>
        <v>2016</v>
      </c>
      <c r="U776" s="7"/>
      <c r="V776" t="s">
        <v>2948</v>
      </c>
    </row>
    <row r="777" spans="1:22" x14ac:dyDescent="0.35">
      <c r="A777">
        <v>1023</v>
      </c>
      <c r="B777" t="s">
        <v>2944</v>
      </c>
      <c r="C777" s="1">
        <v>42487</v>
      </c>
      <c r="D777" s="1">
        <v>42493</v>
      </c>
      <c r="E777" t="s">
        <v>46</v>
      </c>
      <c r="F777" t="s">
        <v>1855</v>
      </c>
      <c r="G777" t="s">
        <v>1856</v>
      </c>
      <c r="H777" t="s">
        <v>22</v>
      </c>
      <c r="I777" t="s">
        <v>23</v>
      </c>
      <c r="J777" t="s">
        <v>92</v>
      </c>
      <c r="K777" t="s">
        <v>2945</v>
      </c>
      <c r="L777">
        <v>20016</v>
      </c>
      <c r="M777" t="s">
        <v>144</v>
      </c>
      <c r="N777" t="s">
        <v>2950</v>
      </c>
      <c r="O777" t="s">
        <v>67</v>
      </c>
      <c r="P777" t="s">
        <v>675</v>
      </c>
      <c r="Q777" t="s">
        <v>2951</v>
      </c>
      <c r="R777">
        <v>1379.92</v>
      </c>
      <c r="S777" t="str">
        <f>TEXT(sales_data[[#This Row],[Order Date]],"mm")</f>
        <v>04</v>
      </c>
      <c r="T777">
        <f>YEAR(sales_data[[#This Row],[Order Date]])</f>
        <v>2016</v>
      </c>
      <c r="U777" s="7"/>
      <c r="V777" t="s">
        <v>2950</v>
      </c>
    </row>
    <row r="778" spans="1:22" x14ac:dyDescent="0.35">
      <c r="A778">
        <v>1024</v>
      </c>
      <c r="B778" t="s">
        <v>2952</v>
      </c>
      <c r="C778" s="1">
        <v>42537</v>
      </c>
      <c r="D778" s="1">
        <v>42541</v>
      </c>
      <c r="E778" t="s">
        <v>46</v>
      </c>
      <c r="F778" t="s">
        <v>1447</v>
      </c>
      <c r="G778" t="s">
        <v>1448</v>
      </c>
      <c r="H778" t="s">
        <v>22</v>
      </c>
      <c r="I778" t="s">
        <v>23</v>
      </c>
      <c r="J778" t="s">
        <v>142</v>
      </c>
      <c r="K778" t="s">
        <v>143</v>
      </c>
      <c r="L778">
        <v>19134</v>
      </c>
      <c r="M778" t="s">
        <v>144</v>
      </c>
      <c r="N778" t="s">
        <v>2953</v>
      </c>
      <c r="O778" t="s">
        <v>42</v>
      </c>
      <c r="P778" t="s">
        <v>168</v>
      </c>
      <c r="Q778" t="s">
        <v>2954</v>
      </c>
      <c r="R778">
        <v>6.2080000000000002</v>
      </c>
      <c r="S778" t="str">
        <f>TEXT(sales_data[[#This Row],[Order Date]],"mm")</f>
        <v>06</v>
      </c>
      <c r="T778">
        <f>YEAR(sales_data[[#This Row],[Order Date]])</f>
        <v>2016</v>
      </c>
      <c r="U778" s="7"/>
      <c r="V778" t="s">
        <v>2953</v>
      </c>
    </row>
    <row r="779" spans="1:22" x14ac:dyDescent="0.35">
      <c r="A779">
        <v>1025</v>
      </c>
      <c r="B779" t="s">
        <v>2955</v>
      </c>
      <c r="C779" s="1">
        <v>43451</v>
      </c>
      <c r="D779" s="1">
        <v>43454</v>
      </c>
      <c r="E779" t="s">
        <v>183</v>
      </c>
      <c r="F779" t="s">
        <v>2956</v>
      </c>
      <c r="G779" t="s">
        <v>2957</v>
      </c>
      <c r="H779" t="s">
        <v>98</v>
      </c>
      <c r="I779" t="s">
        <v>23</v>
      </c>
      <c r="J779" t="s">
        <v>38</v>
      </c>
      <c r="K779" t="s">
        <v>39</v>
      </c>
      <c r="L779">
        <v>90045</v>
      </c>
      <c r="M779" t="s">
        <v>40</v>
      </c>
      <c r="N779" t="s">
        <v>2958</v>
      </c>
      <c r="O779" t="s">
        <v>42</v>
      </c>
      <c r="P779" t="s">
        <v>71</v>
      </c>
      <c r="Q779" t="s">
        <v>2959</v>
      </c>
      <c r="R779">
        <v>11.808</v>
      </c>
      <c r="S779" t="str">
        <f>TEXT(sales_data[[#This Row],[Order Date]],"mm")</f>
        <v>12</v>
      </c>
      <c r="T779">
        <f>YEAR(sales_data[[#This Row],[Order Date]])</f>
        <v>2018</v>
      </c>
      <c r="U779" s="7"/>
      <c r="V779" t="s">
        <v>2958</v>
      </c>
    </row>
    <row r="780" spans="1:22" x14ac:dyDescent="0.35">
      <c r="A780">
        <v>1026</v>
      </c>
      <c r="B780" t="s">
        <v>2960</v>
      </c>
      <c r="C780" s="1">
        <v>42746</v>
      </c>
      <c r="D780" s="1">
        <v>42748</v>
      </c>
      <c r="E780" t="s">
        <v>19</v>
      </c>
      <c r="F780" t="s">
        <v>2961</v>
      </c>
      <c r="G780" t="s">
        <v>2962</v>
      </c>
      <c r="H780" t="s">
        <v>98</v>
      </c>
      <c r="I780" t="s">
        <v>23</v>
      </c>
      <c r="J780" t="s">
        <v>313</v>
      </c>
      <c r="K780" t="s">
        <v>493</v>
      </c>
      <c r="L780">
        <v>45503</v>
      </c>
      <c r="M780" t="s">
        <v>144</v>
      </c>
      <c r="N780" t="s">
        <v>2963</v>
      </c>
      <c r="O780" t="s">
        <v>42</v>
      </c>
      <c r="P780" t="s">
        <v>86</v>
      </c>
      <c r="Q780" t="s">
        <v>2964</v>
      </c>
      <c r="R780">
        <v>15.552</v>
      </c>
      <c r="S780" t="str">
        <f>TEXT(sales_data[[#This Row],[Order Date]],"mm")</f>
        <v>01</v>
      </c>
      <c r="T780">
        <f>YEAR(sales_data[[#This Row],[Order Date]])</f>
        <v>2017</v>
      </c>
      <c r="U780" s="7"/>
      <c r="V780" t="s">
        <v>2963</v>
      </c>
    </row>
    <row r="781" spans="1:22" x14ac:dyDescent="0.35">
      <c r="A781">
        <v>1027</v>
      </c>
      <c r="B781" t="s">
        <v>2960</v>
      </c>
      <c r="C781" s="1">
        <v>42746</v>
      </c>
      <c r="D781" s="1">
        <v>42748</v>
      </c>
      <c r="E781" t="s">
        <v>19</v>
      </c>
      <c r="F781" t="s">
        <v>2961</v>
      </c>
      <c r="G781" t="s">
        <v>2962</v>
      </c>
      <c r="H781" t="s">
        <v>98</v>
      </c>
      <c r="I781" t="s">
        <v>23</v>
      </c>
      <c r="J781" t="s">
        <v>313</v>
      </c>
      <c r="K781" t="s">
        <v>493</v>
      </c>
      <c r="L781">
        <v>45503</v>
      </c>
      <c r="M781" t="s">
        <v>144</v>
      </c>
      <c r="N781" t="s">
        <v>2965</v>
      </c>
      <c r="O781" t="s">
        <v>42</v>
      </c>
      <c r="P781" t="s">
        <v>86</v>
      </c>
      <c r="Q781" t="s">
        <v>2966</v>
      </c>
      <c r="R781">
        <v>63.311999999999998</v>
      </c>
      <c r="S781" t="str">
        <f>TEXT(sales_data[[#This Row],[Order Date]],"mm")</f>
        <v>01</v>
      </c>
      <c r="T781">
        <f>YEAR(sales_data[[#This Row],[Order Date]])</f>
        <v>2017</v>
      </c>
      <c r="U781" s="7"/>
      <c r="V781" t="s">
        <v>2965</v>
      </c>
    </row>
    <row r="782" spans="1:22" x14ac:dyDescent="0.35">
      <c r="A782">
        <v>1028</v>
      </c>
      <c r="B782" t="s">
        <v>2960</v>
      </c>
      <c r="C782" s="1">
        <v>42746</v>
      </c>
      <c r="D782" s="1">
        <v>42748</v>
      </c>
      <c r="E782" t="s">
        <v>19</v>
      </c>
      <c r="F782" t="s">
        <v>2961</v>
      </c>
      <c r="G782" t="s">
        <v>2962</v>
      </c>
      <c r="H782" t="s">
        <v>98</v>
      </c>
      <c r="I782" t="s">
        <v>23</v>
      </c>
      <c r="J782" t="s">
        <v>313</v>
      </c>
      <c r="K782" t="s">
        <v>493</v>
      </c>
      <c r="L782">
        <v>45503</v>
      </c>
      <c r="M782" t="s">
        <v>144</v>
      </c>
      <c r="N782" t="s">
        <v>2967</v>
      </c>
      <c r="O782" t="s">
        <v>67</v>
      </c>
      <c r="P782" t="s">
        <v>68</v>
      </c>
      <c r="Q782" t="s">
        <v>2968</v>
      </c>
      <c r="R782">
        <v>15.587999999999999</v>
      </c>
      <c r="S782" t="str">
        <f>TEXT(sales_data[[#This Row],[Order Date]],"mm")</f>
        <v>01</v>
      </c>
      <c r="T782">
        <f>YEAR(sales_data[[#This Row],[Order Date]])</f>
        <v>2017</v>
      </c>
      <c r="U782" s="7"/>
      <c r="V782" t="s">
        <v>2967</v>
      </c>
    </row>
    <row r="783" spans="1:22" x14ac:dyDescent="0.35">
      <c r="A783">
        <v>1030</v>
      </c>
      <c r="B783" t="s">
        <v>2969</v>
      </c>
      <c r="C783" s="1">
        <v>42196</v>
      </c>
      <c r="D783" s="1">
        <v>42200</v>
      </c>
      <c r="E783" t="s">
        <v>46</v>
      </c>
      <c r="F783" t="s">
        <v>1333</v>
      </c>
      <c r="G783" t="s">
        <v>1334</v>
      </c>
      <c r="H783" t="s">
        <v>37</v>
      </c>
      <c r="I783" t="s">
        <v>23</v>
      </c>
      <c r="J783" t="s">
        <v>1138</v>
      </c>
      <c r="K783" t="s">
        <v>780</v>
      </c>
      <c r="L783">
        <v>7601</v>
      </c>
      <c r="M783" t="s">
        <v>144</v>
      </c>
      <c r="N783" t="s">
        <v>2970</v>
      </c>
      <c r="O783" t="s">
        <v>67</v>
      </c>
      <c r="P783" t="s">
        <v>68</v>
      </c>
      <c r="Q783" t="s">
        <v>2971</v>
      </c>
      <c r="R783">
        <v>197.97</v>
      </c>
      <c r="S783" t="str">
        <f>TEXT(sales_data[[#This Row],[Order Date]],"mm")</f>
        <v>07</v>
      </c>
      <c r="T783">
        <f>YEAR(sales_data[[#This Row],[Order Date]])</f>
        <v>2015</v>
      </c>
      <c r="U783" s="7"/>
      <c r="V783" t="s">
        <v>2970</v>
      </c>
    </row>
    <row r="784" spans="1:22" x14ac:dyDescent="0.35">
      <c r="A784">
        <v>1033</v>
      </c>
      <c r="B784" t="s">
        <v>2969</v>
      </c>
      <c r="C784" s="1">
        <v>42196</v>
      </c>
      <c r="D784" s="1">
        <v>42200</v>
      </c>
      <c r="E784" t="s">
        <v>46</v>
      </c>
      <c r="F784" t="s">
        <v>1333</v>
      </c>
      <c r="G784" t="s">
        <v>1334</v>
      </c>
      <c r="H784" t="s">
        <v>37</v>
      </c>
      <c r="I784" t="s">
        <v>23</v>
      </c>
      <c r="J784" t="s">
        <v>1138</v>
      </c>
      <c r="K784" t="s">
        <v>780</v>
      </c>
      <c r="L784">
        <v>7601</v>
      </c>
      <c r="M784" t="s">
        <v>144</v>
      </c>
      <c r="N784" t="s">
        <v>2972</v>
      </c>
      <c r="O784" t="s">
        <v>42</v>
      </c>
      <c r="P784" t="s">
        <v>43</v>
      </c>
      <c r="Q784" t="s">
        <v>2973</v>
      </c>
      <c r="R784">
        <v>14.4</v>
      </c>
      <c r="S784" t="str">
        <f>TEXT(sales_data[[#This Row],[Order Date]],"mm")</f>
        <v>07</v>
      </c>
      <c r="T784">
        <f>YEAR(sales_data[[#This Row],[Order Date]])</f>
        <v>2015</v>
      </c>
      <c r="U784" s="7"/>
      <c r="V784" t="s">
        <v>2972</v>
      </c>
    </row>
    <row r="785" spans="1:22" x14ac:dyDescent="0.35">
      <c r="A785">
        <v>1034</v>
      </c>
      <c r="B785" t="s">
        <v>2974</v>
      </c>
      <c r="C785" s="1">
        <v>43059</v>
      </c>
      <c r="D785" s="1">
        <v>43061</v>
      </c>
      <c r="E785" t="s">
        <v>183</v>
      </c>
      <c r="F785" t="s">
        <v>2975</v>
      </c>
      <c r="G785" t="s">
        <v>2976</v>
      </c>
      <c r="H785" t="s">
        <v>22</v>
      </c>
      <c r="I785" t="s">
        <v>23</v>
      </c>
      <c r="J785" t="s">
        <v>1000</v>
      </c>
      <c r="K785" t="s">
        <v>493</v>
      </c>
      <c r="L785">
        <v>45231</v>
      </c>
      <c r="M785" t="s">
        <v>144</v>
      </c>
      <c r="N785" t="s">
        <v>2977</v>
      </c>
      <c r="O785" t="s">
        <v>42</v>
      </c>
      <c r="P785" t="s">
        <v>86</v>
      </c>
      <c r="Q785" t="s">
        <v>2978</v>
      </c>
      <c r="R785">
        <v>15.696</v>
      </c>
      <c r="S785" t="str">
        <f>TEXT(sales_data[[#This Row],[Order Date]],"mm")</f>
        <v>11</v>
      </c>
      <c r="T785">
        <f>YEAR(sales_data[[#This Row],[Order Date]])</f>
        <v>2017</v>
      </c>
      <c r="U785" s="7"/>
      <c r="V785" t="s">
        <v>2977</v>
      </c>
    </row>
    <row r="786" spans="1:22" x14ac:dyDescent="0.35">
      <c r="A786">
        <v>1037</v>
      </c>
      <c r="B786" t="s">
        <v>2979</v>
      </c>
      <c r="C786" s="1">
        <v>42847</v>
      </c>
      <c r="D786" s="1">
        <v>42851</v>
      </c>
      <c r="E786" t="s">
        <v>46</v>
      </c>
      <c r="F786" t="s">
        <v>2674</v>
      </c>
      <c r="G786" t="s">
        <v>2675</v>
      </c>
      <c r="H786" t="s">
        <v>98</v>
      </c>
      <c r="I786" t="s">
        <v>23</v>
      </c>
      <c r="J786" t="s">
        <v>2980</v>
      </c>
      <c r="K786" t="s">
        <v>590</v>
      </c>
      <c r="L786">
        <v>65109</v>
      </c>
      <c r="M786" t="s">
        <v>101</v>
      </c>
      <c r="N786" t="s">
        <v>2981</v>
      </c>
      <c r="O786" t="s">
        <v>28</v>
      </c>
      <c r="P786" t="s">
        <v>61</v>
      </c>
      <c r="Q786" t="s">
        <v>2982</v>
      </c>
      <c r="R786">
        <v>86.62</v>
      </c>
      <c r="S786" t="str">
        <f>TEXT(sales_data[[#This Row],[Order Date]],"mm")</f>
        <v>04</v>
      </c>
      <c r="T786">
        <f>YEAR(sales_data[[#This Row],[Order Date]])</f>
        <v>2017</v>
      </c>
      <c r="U786" s="7"/>
      <c r="V786" t="s">
        <v>2981</v>
      </c>
    </row>
    <row r="787" spans="1:22" x14ac:dyDescent="0.35">
      <c r="A787">
        <v>1038</v>
      </c>
      <c r="B787" t="s">
        <v>2983</v>
      </c>
      <c r="C787" s="1">
        <v>42534</v>
      </c>
      <c r="D787" s="1">
        <v>42535</v>
      </c>
      <c r="E787" t="s">
        <v>183</v>
      </c>
      <c r="F787" t="s">
        <v>2984</v>
      </c>
      <c r="G787" t="s">
        <v>2985</v>
      </c>
      <c r="H787" t="s">
        <v>22</v>
      </c>
      <c r="I787" t="s">
        <v>23</v>
      </c>
      <c r="J787" t="s">
        <v>38</v>
      </c>
      <c r="K787" t="s">
        <v>39</v>
      </c>
      <c r="L787">
        <v>90004</v>
      </c>
      <c r="M787" t="s">
        <v>40</v>
      </c>
      <c r="N787" t="s">
        <v>2986</v>
      </c>
      <c r="O787" t="s">
        <v>42</v>
      </c>
      <c r="P787" t="s">
        <v>71</v>
      </c>
      <c r="Q787" t="s">
        <v>2987</v>
      </c>
      <c r="R787">
        <v>36.624000000000002</v>
      </c>
      <c r="S787" t="str">
        <f>TEXT(sales_data[[#This Row],[Order Date]],"mm")</f>
        <v>06</v>
      </c>
      <c r="T787">
        <f>YEAR(sales_data[[#This Row],[Order Date]])</f>
        <v>2016</v>
      </c>
      <c r="U787" s="7"/>
      <c r="V787" t="s">
        <v>2986</v>
      </c>
    </row>
    <row r="788" spans="1:22" x14ac:dyDescent="0.35">
      <c r="A788">
        <v>1039</v>
      </c>
      <c r="B788" t="s">
        <v>2988</v>
      </c>
      <c r="C788" s="1">
        <v>43424</v>
      </c>
      <c r="D788" s="1">
        <v>43425</v>
      </c>
      <c r="E788" t="s">
        <v>183</v>
      </c>
      <c r="F788" t="s">
        <v>2989</v>
      </c>
      <c r="G788" t="s">
        <v>2990</v>
      </c>
      <c r="H788" t="s">
        <v>22</v>
      </c>
      <c r="I788" t="s">
        <v>23</v>
      </c>
      <c r="J788" t="s">
        <v>2191</v>
      </c>
      <c r="K788" t="s">
        <v>84</v>
      </c>
      <c r="L788">
        <v>27217</v>
      </c>
      <c r="M788" t="s">
        <v>26</v>
      </c>
      <c r="N788" t="s">
        <v>2991</v>
      </c>
      <c r="O788" t="s">
        <v>42</v>
      </c>
      <c r="P788" t="s">
        <v>64</v>
      </c>
      <c r="Q788" t="s">
        <v>2992</v>
      </c>
      <c r="R788">
        <v>23.968</v>
      </c>
      <c r="S788" t="str">
        <f>TEXT(sales_data[[#This Row],[Order Date]],"mm")</f>
        <v>11</v>
      </c>
      <c r="T788">
        <f>YEAR(sales_data[[#This Row],[Order Date]])</f>
        <v>2018</v>
      </c>
      <c r="U788" s="7"/>
      <c r="V788" t="s">
        <v>2991</v>
      </c>
    </row>
    <row r="789" spans="1:22" x14ac:dyDescent="0.35">
      <c r="A789">
        <v>1040</v>
      </c>
      <c r="B789" t="s">
        <v>2988</v>
      </c>
      <c r="C789" s="1">
        <v>43424</v>
      </c>
      <c r="D789" s="1">
        <v>43425</v>
      </c>
      <c r="E789" t="s">
        <v>183</v>
      </c>
      <c r="F789" t="s">
        <v>2989</v>
      </c>
      <c r="G789" t="s">
        <v>2990</v>
      </c>
      <c r="H789" t="s">
        <v>22</v>
      </c>
      <c r="I789" t="s">
        <v>23</v>
      </c>
      <c r="J789" t="s">
        <v>2191</v>
      </c>
      <c r="K789" t="s">
        <v>84</v>
      </c>
      <c r="L789">
        <v>27217</v>
      </c>
      <c r="M789" t="s">
        <v>26</v>
      </c>
      <c r="N789" t="s">
        <v>2993</v>
      </c>
      <c r="O789" t="s">
        <v>42</v>
      </c>
      <c r="P789" t="s">
        <v>64</v>
      </c>
      <c r="Q789" t="s">
        <v>2947</v>
      </c>
      <c r="R789">
        <v>28.728000000000002</v>
      </c>
      <c r="S789" t="str">
        <f>TEXT(sales_data[[#This Row],[Order Date]],"mm")</f>
        <v>11</v>
      </c>
      <c r="T789">
        <f>YEAR(sales_data[[#This Row],[Order Date]])</f>
        <v>2018</v>
      </c>
      <c r="U789" s="7"/>
      <c r="V789" t="s">
        <v>2993</v>
      </c>
    </row>
    <row r="790" spans="1:22" x14ac:dyDescent="0.35">
      <c r="A790">
        <v>1042</v>
      </c>
      <c r="B790" t="s">
        <v>2995</v>
      </c>
      <c r="C790" s="1">
        <v>42984</v>
      </c>
      <c r="D790" s="1">
        <v>42987</v>
      </c>
      <c r="E790" t="s">
        <v>19</v>
      </c>
      <c r="F790" t="s">
        <v>2996</v>
      </c>
      <c r="G790" t="s">
        <v>2997</v>
      </c>
      <c r="H790" t="s">
        <v>22</v>
      </c>
      <c r="I790" t="s">
        <v>23</v>
      </c>
      <c r="J790" t="s">
        <v>261</v>
      </c>
      <c r="K790" t="s">
        <v>262</v>
      </c>
      <c r="L790">
        <v>10035</v>
      </c>
      <c r="M790" t="s">
        <v>144</v>
      </c>
      <c r="N790" t="s">
        <v>2998</v>
      </c>
      <c r="O790" t="s">
        <v>67</v>
      </c>
      <c r="P790" t="s">
        <v>156</v>
      </c>
      <c r="Q790" t="s">
        <v>2999</v>
      </c>
      <c r="R790">
        <v>31.86</v>
      </c>
      <c r="S790" t="str">
        <f>TEXT(sales_data[[#This Row],[Order Date]],"mm")</f>
        <v>09</v>
      </c>
      <c r="T790">
        <f>YEAR(sales_data[[#This Row],[Order Date]])</f>
        <v>2017</v>
      </c>
      <c r="U790" s="7"/>
      <c r="V790" t="s">
        <v>2998</v>
      </c>
    </row>
    <row r="791" spans="1:22" x14ac:dyDescent="0.35">
      <c r="A791">
        <v>1043</v>
      </c>
      <c r="B791" t="s">
        <v>2995</v>
      </c>
      <c r="C791" s="1">
        <v>42984</v>
      </c>
      <c r="D791" s="1">
        <v>42987</v>
      </c>
      <c r="E791" t="s">
        <v>19</v>
      </c>
      <c r="F791" t="s">
        <v>2996</v>
      </c>
      <c r="G791" t="s">
        <v>2997</v>
      </c>
      <c r="H791" t="s">
        <v>22</v>
      </c>
      <c r="I791" t="s">
        <v>23</v>
      </c>
      <c r="J791" t="s">
        <v>261</v>
      </c>
      <c r="K791" t="s">
        <v>262</v>
      </c>
      <c r="L791">
        <v>10035</v>
      </c>
      <c r="M791" t="s">
        <v>144</v>
      </c>
      <c r="N791" t="s">
        <v>3000</v>
      </c>
      <c r="O791" t="s">
        <v>28</v>
      </c>
      <c r="P791" t="s">
        <v>29</v>
      </c>
      <c r="Q791" t="s">
        <v>3001</v>
      </c>
      <c r="R791">
        <v>722.35199999999998</v>
      </c>
      <c r="S791" t="str">
        <f>TEXT(sales_data[[#This Row],[Order Date]],"mm")</f>
        <v>09</v>
      </c>
      <c r="T791">
        <f>YEAR(sales_data[[#This Row],[Order Date]])</f>
        <v>2017</v>
      </c>
      <c r="U791" s="7"/>
      <c r="V791" t="s">
        <v>3000</v>
      </c>
    </row>
    <row r="792" spans="1:22" x14ac:dyDescent="0.35">
      <c r="A792">
        <v>1044</v>
      </c>
      <c r="B792" t="s">
        <v>3002</v>
      </c>
      <c r="C792" s="1">
        <v>43290</v>
      </c>
      <c r="D792" s="1">
        <v>43293</v>
      </c>
      <c r="E792" t="s">
        <v>183</v>
      </c>
      <c r="F792" t="s">
        <v>3003</v>
      </c>
      <c r="G792" t="s">
        <v>3004</v>
      </c>
      <c r="H792" t="s">
        <v>37</v>
      </c>
      <c r="I792" t="s">
        <v>23</v>
      </c>
      <c r="J792" t="s">
        <v>298</v>
      </c>
      <c r="K792" t="s">
        <v>206</v>
      </c>
      <c r="L792">
        <v>60610</v>
      </c>
      <c r="M792" t="s">
        <v>101</v>
      </c>
      <c r="N792" t="s">
        <v>3005</v>
      </c>
      <c r="O792" t="s">
        <v>42</v>
      </c>
      <c r="P792" t="s">
        <v>64</v>
      </c>
      <c r="Q792" t="s">
        <v>3006</v>
      </c>
      <c r="R792">
        <v>8.84</v>
      </c>
      <c r="S792" t="str">
        <f>TEXT(sales_data[[#This Row],[Order Date]],"mm")</f>
        <v>07</v>
      </c>
      <c r="T792">
        <f>YEAR(sales_data[[#This Row],[Order Date]])</f>
        <v>2018</v>
      </c>
      <c r="U792" s="7"/>
      <c r="V792" t="s">
        <v>3005</v>
      </c>
    </row>
    <row r="793" spans="1:22" x14ac:dyDescent="0.35">
      <c r="A793">
        <v>1045</v>
      </c>
      <c r="B793" t="s">
        <v>3002</v>
      </c>
      <c r="C793" s="1">
        <v>43290</v>
      </c>
      <c r="D793" s="1">
        <v>43293</v>
      </c>
      <c r="E793" t="s">
        <v>183</v>
      </c>
      <c r="F793" t="s">
        <v>3003</v>
      </c>
      <c r="G793" t="s">
        <v>3004</v>
      </c>
      <c r="H793" t="s">
        <v>37</v>
      </c>
      <c r="I793" t="s">
        <v>23</v>
      </c>
      <c r="J793" t="s">
        <v>298</v>
      </c>
      <c r="K793" t="s">
        <v>206</v>
      </c>
      <c r="L793">
        <v>60610</v>
      </c>
      <c r="M793" t="s">
        <v>101</v>
      </c>
      <c r="N793" t="s">
        <v>3007</v>
      </c>
      <c r="O793" t="s">
        <v>42</v>
      </c>
      <c r="P793" t="s">
        <v>74</v>
      </c>
      <c r="Q793" t="s">
        <v>3008</v>
      </c>
      <c r="R793">
        <v>58.463999999999999</v>
      </c>
      <c r="S793" t="str">
        <f>TEXT(sales_data[[#This Row],[Order Date]],"mm")</f>
        <v>07</v>
      </c>
      <c r="T793">
        <f>YEAR(sales_data[[#This Row],[Order Date]])</f>
        <v>2018</v>
      </c>
      <c r="U793" s="7"/>
      <c r="V793" t="s">
        <v>3007</v>
      </c>
    </row>
    <row r="794" spans="1:22" x14ac:dyDescent="0.35">
      <c r="A794">
        <v>1046</v>
      </c>
      <c r="B794" t="s">
        <v>3009</v>
      </c>
      <c r="C794" s="1">
        <v>43385</v>
      </c>
      <c r="D794" s="1">
        <v>43389</v>
      </c>
      <c r="E794" t="s">
        <v>46</v>
      </c>
      <c r="F794" t="s">
        <v>192</v>
      </c>
      <c r="G794" t="s">
        <v>193</v>
      </c>
      <c r="H794" t="s">
        <v>98</v>
      </c>
      <c r="I794" t="s">
        <v>23</v>
      </c>
      <c r="J794" t="s">
        <v>3010</v>
      </c>
      <c r="K794" t="s">
        <v>206</v>
      </c>
      <c r="L794">
        <v>61107</v>
      </c>
      <c r="M794" t="s">
        <v>101</v>
      </c>
      <c r="N794" t="s">
        <v>3011</v>
      </c>
      <c r="O794" t="s">
        <v>28</v>
      </c>
      <c r="P794" t="s">
        <v>32</v>
      </c>
      <c r="Q794" t="s">
        <v>3012</v>
      </c>
      <c r="R794">
        <v>254.60400000000001</v>
      </c>
      <c r="S794" t="str">
        <f>TEXT(sales_data[[#This Row],[Order Date]],"mm")</f>
        <v>10</v>
      </c>
      <c r="T794">
        <f>YEAR(sales_data[[#This Row],[Order Date]])</f>
        <v>2018</v>
      </c>
      <c r="U794" s="7"/>
      <c r="V794" t="s">
        <v>3011</v>
      </c>
    </row>
    <row r="795" spans="1:22" x14ac:dyDescent="0.35">
      <c r="A795">
        <v>1051</v>
      </c>
      <c r="B795" t="s">
        <v>3013</v>
      </c>
      <c r="C795" s="1">
        <v>42554</v>
      </c>
      <c r="D795" s="1">
        <v>42556</v>
      </c>
      <c r="E795" t="s">
        <v>183</v>
      </c>
      <c r="F795" t="s">
        <v>3014</v>
      </c>
      <c r="G795" t="s">
        <v>3015</v>
      </c>
      <c r="H795" t="s">
        <v>37</v>
      </c>
      <c r="I795" t="s">
        <v>23</v>
      </c>
      <c r="J795" t="s">
        <v>142</v>
      </c>
      <c r="K795" t="s">
        <v>143</v>
      </c>
      <c r="L795">
        <v>19134</v>
      </c>
      <c r="M795" t="s">
        <v>144</v>
      </c>
      <c r="N795" t="s">
        <v>3016</v>
      </c>
      <c r="O795" t="s">
        <v>28</v>
      </c>
      <c r="P795" t="s">
        <v>61</v>
      </c>
      <c r="Q795" t="s">
        <v>3017</v>
      </c>
      <c r="R795">
        <v>168.464</v>
      </c>
      <c r="S795" t="str">
        <f>TEXT(sales_data[[#This Row],[Order Date]],"mm")</f>
        <v>07</v>
      </c>
      <c r="T795">
        <f>YEAR(sales_data[[#This Row],[Order Date]])</f>
        <v>2016</v>
      </c>
      <c r="U795" s="7"/>
      <c r="V795" t="s">
        <v>3016</v>
      </c>
    </row>
    <row r="796" spans="1:22" x14ac:dyDescent="0.35">
      <c r="A796">
        <v>1052</v>
      </c>
      <c r="B796" t="s">
        <v>3013</v>
      </c>
      <c r="C796" s="1">
        <v>42554</v>
      </c>
      <c r="D796" s="1">
        <v>42556</v>
      </c>
      <c r="E796" t="s">
        <v>183</v>
      </c>
      <c r="F796" t="s">
        <v>3014</v>
      </c>
      <c r="G796" t="s">
        <v>3015</v>
      </c>
      <c r="H796" t="s">
        <v>37</v>
      </c>
      <c r="I796" t="s">
        <v>23</v>
      </c>
      <c r="J796" t="s">
        <v>142</v>
      </c>
      <c r="K796" t="s">
        <v>143</v>
      </c>
      <c r="L796">
        <v>19134</v>
      </c>
      <c r="M796" t="s">
        <v>144</v>
      </c>
      <c r="N796" t="s">
        <v>3018</v>
      </c>
      <c r="O796" t="s">
        <v>42</v>
      </c>
      <c r="P796" t="s">
        <v>86</v>
      </c>
      <c r="Q796" t="s">
        <v>3019</v>
      </c>
      <c r="R796">
        <v>6.72</v>
      </c>
      <c r="S796" t="str">
        <f>TEXT(sales_data[[#This Row],[Order Date]],"mm")</f>
        <v>07</v>
      </c>
      <c r="T796">
        <f>YEAR(sales_data[[#This Row],[Order Date]])</f>
        <v>2016</v>
      </c>
      <c r="V796" t="s">
        <v>3018</v>
      </c>
    </row>
    <row r="797" spans="1:22" x14ac:dyDescent="0.35">
      <c r="A797">
        <v>1053</v>
      </c>
      <c r="B797" t="s">
        <v>3013</v>
      </c>
      <c r="C797" s="1">
        <v>42554</v>
      </c>
      <c r="D797" s="1">
        <v>42556</v>
      </c>
      <c r="E797" t="s">
        <v>183</v>
      </c>
      <c r="F797" t="s">
        <v>3014</v>
      </c>
      <c r="G797" t="s">
        <v>3015</v>
      </c>
      <c r="H797" t="s">
        <v>37</v>
      </c>
      <c r="I797" t="s">
        <v>23</v>
      </c>
      <c r="J797" t="s">
        <v>142</v>
      </c>
      <c r="K797" t="s">
        <v>143</v>
      </c>
      <c r="L797">
        <v>19134</v>
      </c>
      <c r="M797" t="s">
        <v>144</v>
      </c>
      <c r="N797" t="s">
        <v>3020</v>
      </c>
      <c r="O797" t="s">
        <v>28</v>
      </c>
      <c r="P797" t="s">
        <v>61</v>
      </c>
      <c r="Q797" t="s">
        <v>3021</v>
      </c>
      <c r="R797">
        <v>282.88799999999998</v>
      </c>
      <c r="S797" t="str">
        <f>TEXT(sales_data[[#This Row],[Order Date]],"mm")</f>
        <v>07</v>
      </c>
      <c r="T797">
        <f>YEAR(sales_data[[#This Row],[Order Date]])</f>
        <v>2016</v>
      </c>
      <c r="V797" t="s">
        <v>3020</v>
      </c>
    </row>
    <row r="798" spans="1:22" x14ac:dyDescent="0.35">
      <c r="A798">
        <v>1054</v>
      </c>
      <c r="B798" t="s">
        <v>3022</v>
      </c>
      <c r="C798" s="1">
        <v>42464</v>
      </c>
      <c r="D798" s="1">
        <v>42468</v>
      </c>
      <c r="E798" t="s">
        <v>46</v>
      </c>
      <c r="F798" t="s">
        <v>3023</v>
      </c>
      <c r="G798" t="s">
        <v>3024</v>
      </c>
      <c r="H798" t="s">
        <v>98</v>
      </c>
      <c r="I798" t="s">
        <v>23</v>
      </c>
      <c r="J798" t="s">
        <v>261</v>
      </c>
      <c r="K798" t="s">
        <v>262</v>
      </c>
      <c r="L798">
        <v>10009</v>
      </c>
      <c r="M798" t="s">
        <v>144</v>
      </c>
      <c r="N798" t="s">
        <v>3025</v>
      </c>
      <c r="O798" t="s">
        <v>42</v>
      </c>
      <c r="P798" t="s">
        <v>64</v>
      </c>
      <c r="Q798" t="s">
        <v>3026</v>
      </c>
      <c r="R798">
        <v>11.16</v>
      </c>
      <c r="S798" t="str">
        <f>TEXT(sales_data[[#This Row],[Order Date]],"mm")</f>
        <v>04</v>
      </c>
      <c r="T798">
        <f>YEAR(sales_data[[#This Row],[Order Date]])</f>
        <v>2016</v>
      </c>
      <c r="V798" t="s">
        <v>3025</v>
      </c>
    </row>
    <row r="799" spans="1:22" x14ac:dyDescent="0.35">
      <c r="A799">
        <v>1055</v>
      </c>
      <c r="B799" t="s">
        <v>3022</v>
      </c>
      <c r="C799" s="1">
        <v>42464</v>
      </c>
      <c r="D799" s="1">
        <v>42468</v>
      </c>
      <c r="E799" t="s">
        <v>46</v>
      </c>
      <c r="F799" t="s">
        <v>3023</v>
      </c>
      <c r="G799" t="s">
        <v>3024</v>
      </c>
      <c r="H799" t="s">
        <v>98</v>
      </c>
      <c r="I799" t="s">
        <v>23</v>
      </c>
      <c r="J799" t="s">
        <v>261</v>
      </c>
      <c r="K799" t="s">
        <v>262</v>
      </c>
      <c r="L799">
        <v>10009</v>
      </c>
      <c r="M799" t="s">
        <v>144</v>
      </c>
      <c r="N799" t="s">
        <v>3027</v>
      </c>
      <c r="O799" t="s">
        <v>28</v>
      </c>
      <c r="P799" t="s">
        <v>61</v>
      </c>
      <c r="Q799" t="s">
        <v>3028</v>
      </c>
      <c r="R799">
        <v>108.4</v>
      </c>
      <c r="S799" t="str">
        <f>TEXT(sales_data[[#This Row],[Order Date]],"mm")</f>
        <v>04</v>
      </c>
      <c r="T799">
        <f>YEAR(sales_data[[#This Row],[Order Date]])</f>
        <v>2016</v>
      </c>
      <c r="V799" t="s">
        <v>3027</v>
      </c>
    </row>
    <row r="800" spans="1:22" x14ac:dyDescent="0.35">
      <c r="A800">
        <v>1057</v>
      </c>
      <c r="B800" t="s">
        <v>3022</v>
      </c>
      <c r="C800" s="1">
        <v>42464</v>
      </c>
      <c r="D800" s="1">
        <v>42468</v>
      </c>
      <c r="E800" t="s">
        <v>46</v>
      </c>
      <c r="F800" t="s">
        <v>3023</v>
      </c>
      <c r="G800" t="s">
        <v>3024</v>
      </c>
      <c r="H800" t="s">
        <v>98</v>
      </c>
      <c r="I800" t="s">
        <v>23</v>
      </c>
      <c r="J800" t="s">
        <v>261</v>
      </c>
      <c r="K800" t="s">
        <v>262</v>
      </c>
      <c r="L800">
        <v>10009</v>
      </c>
      <c r="M800" t="s">
        <v>144</v>
      </c>
      <c r="N800" t="s">
        <v>3029</v>
      </c>
      <c r="O800" t="s">
        <v>42</v>
      </c>
      <c r="P800" t="s">
        <v>71</v>
      </c>
      <c r="Q800" t="s">
        <v>3030</v>
      </c>
      <c r="R800">
        <v>9.0879999999999992</v>
      </c>
      <c r="S800" t="str">
        <f>TEXT(sales_data[[#This Row],[Order Date]],"mm")</f>
        <v>04</v>
      </c>
      <c r="T800">
        <f>YEAR(sales_data[[#This Row],[Order Date]])</f>
        <v>2016</v>
      </c>
      <c r="V800" t="s">
        <v>3029</v>
      </c>
    </row>
    <row r="801" spans="1:22" x14ac:dyDescent="0.35">
      <c r="A801">
        <v>1058</v>
      </c>
      <c r="B801" t="s">
        <v>3031</v>
      </c>
      <c r="C801" s="1">
        <v>43444</v>
      </c>
      <c r="D801" s="1">
        <v>43451</v>
      </c>
      <c r="E801" t="s">
        <v>46</v>
      </c>
      <c r="F801" t="s">
        <v>1124</v>
      </c>
      <c r="G801" t="s">
        <v>1125</v>
      </c>
      <c r="H801" t="s">
        <v>37</v>
      </c>
      <c r="I801" t="s">
        <v>23</v>
      </c>
      <c r="J801" t="s">
        <v>940</v>
      </c>
      <c r="K801" t="s">
        <v>39</v>
      </c>
      <c r="L801">
        <v>92037</v>
      </c>
      <c r="M801" t="s">
        <v>40</v>
      </c>
      <c r="N801" t="s">
        <v>3032</v>
      </c>
      <c r="O801" t="s">
        <v>42</v>
      </c>
      <c r="P801" t="s">
        <v>71</v>
      </c>
      <c r="Q801" t="s">
        <v>3033</v>
      </c>
      <c r="R801">
        <v>19.936</v>
      </c>
      <c r="S801" t="str">
        <f>TEXT(sales_data[[#This Row],[Order Date]],"mm")</f>
        <v>12</v>
      </c>
      <c r="T801">
        <f>YEAR(sales_data[[#This Row],[Order Date]])</f>
        <v>2018</v>
      </c>
      <c r="V801" t="s">
        <v>3032</v>
      </c>
    </row>
    <row r="802" spans="1:22" x14ac:dyDescent="0.35">
      <c r="A802">
        <v>1059</v>
      </c>
      <c r="B802" t="s">
        <v>3031</v>
      </c>
      <c r="C802" s="1">
        <v>43444</v>
      </c>
      <c r="D802" s="1">
        <v>43451</v>
      </c>
      <c r="E802" t="s">
        <v>46</v>
      </c>
      <c r="F802" t="s">
        <v>1124</v>
      </c>
      <c r="G802" t="s">
        <v>1125</v>
      </c>
      <c r="H802" t="s">
        <v>37</v>
      </c>
      <c r="I802" t="s">
        <v>23</v>
      </c>
      <c r="J802" t="s">
        <v>940</v>
      </c>
      <c r="K802" t="s">
        <v>39</v>
      </c>
      <c r="L802">
        <v>92037</v>
      </c>
      <c r="M802" t="s">
        <v>40</v>
      </c>
      <c r="N802" t="s">
        <v>3034</v>
      </c>
      <c r="O802" t="s">
        <v>42</v>
      </c>
      <c r="P802" t="s">
        <v>71</v>
      </c>
      <c r="Q802" t="s">
        <v>3035</v>
      </c>
      <c r="R802">
        <v>65.567999999999998</v>
      </c>
      <c r="S802" t="str">
        <f>TEXT(sales_data[[#This Row],[Order Date]],"mm")</f>
        <v>12</v>
      </c>
      <c r="T802">
        <f>YEAR(sales_data[[#This Row],[Order Date]])</f>
        <v>2018</v>
      </c>
      <c r="V802" t="s">
        <v>3034</v>
      </c>
    </row>
    <row r="803" spans="1:22" x14ac:dyDescent="0.35">
      <c r="A803">
        <v>1060</v>
      </c>
      <c r="B803" t="s">
        <v>3036</v>
      </c>
      <c r="C803" s="1">
        <v>43063</v>
      </c>
      <c r="D803" s="1">
        <v>43070</v>
      </c>
      <c r="E803" t="s">
        <v>46</v>
      </c>
      <c r="F803" t="s">
        <v>3037</v>
      </c>
      <c r="G803" t="s">
        <v>3038</v>
      </c>
      <c r="H803" t="s">
        <v>98</v>
      </c>
      <c r="I803" t="s">
        <v>23</v>
      </c>
      <c r="J803" t="s">
        <v>142</v>
      </c>
      <c r="K803" t="s">
        <v>143</v>
      </c>
      <c r="L803">
        <v>19143</v>
      </c>
      <c r="M803" t="s">
        <v>144</v>
      </c>
      <c r="N803" t="s">
        <v>3039</v>
      </c>
      <c r="O803" t="s">
        <v>42</v>
      </c>
      <c r="P803" t="s">
        <v>264</v>
      </c>
      <c r="Q803" t="s">
        <v>3040</v>
      </c>
      <c r="R803">
        <v>4.4160000000000004</v>
      </c>
      <c r="S803" t="str">
        <f>TEXT(sales_data[[#This Row],[Order Date]],"mm")</f>
        <v>11</v>
      </c>
      <c r="T803">
        <f>YEAR(sales_data[[#This Row],[Order Date]])</f>
        <v>2017</v>
      </c>
      <c r="V803" t="s">
        <v>3039</v>
      </c>
    </row>
    <row r="804" spans="1:22" x14ac:dyDescent="0.35">
      <c r="A804">
        <v>1063</v>
      </c>
      <c r="B804" t="s">
        <v>3041</v>
      </c>
      <c r="C804" s="1">
        <v>42476</v>
      </c>
      <c r="D804" s="1">
        <v>42481</v>
      </c>
      <c r="E804" t="s">
        <v>46</v>
      </c>
      <c r="F804" t="s">
        <v>3042</v>
      </c>
      <c r="G804" t="s">
        <v>3043</v>
      </c>
      <c r="H804" t="s">
        <v>37</v>
      </c>
      <c r="I804" t="s">
        <v>23</v>
      </c>
      <c r="J804" t="s">
        <v>2766</v>
      </c>
      <c r="K804" t="s">
        <v>493</v>
      </c>
      <c r="L804">
        <v>43615</v>
      </c>
      <c r="M804" t="s">
        <v>144</v>
      </c>
      <c r="N804" t="s">
        <v>3044</v>
      </c>
      <c r="O804" t="s">
        <v>42</v>
      </c>
      <c r="P804" t="s">
        <v>264</v>
      </c>
      <c r="Q804" t="s">
        <v>3045</v>
      </c>
      <c r="R804">
        <v>10.416</v>
      </c>
      <c r="S804" t="str">
        <f>TEXT(sales_data[[#This Row],[Order Date]],"mm")</f>
        <v>04</v>
      </c>
      <c r="T804">
        <f>YEAR(sales_data[[#This Row],[Order Date]])</f>
        <v>2016</v>
      </c>
      <c r="V804" t="s">
        <v>3044</v>
      </c>
    </row>
    <row r="805" spans="1:22" x14ac:dyDescent="0.35">
      <c r="A805">
        <v>1065</v>
      </c>
      <c r="B805" t="s">
        <v>3041</v>
      </c>
      <c r="C805" s="1">
        <v>42476</v>
      </c>
      <c r="D805" s="1">
        <v>42481</v>
      </c>
      <c r="E805" t="s">
        <v>46</v>
      </c>
      <c r="F805" t="s">
        <v>3042</v>
      </c>
      <c r="G805" t="s">
        <v>3043</v>
      </c>
      <c r="H805" t="s">
        <v>37</v>
      </c>
      <c r="I805" t="s">
        <v>23</v>
      </c>
      <c r="J805" t="s">
        <v>2766</v>
      </c>
      <c r="K805" t="s">
        <v>493</v>
      </c>
      <c r="L805">
        <v>43615</v>
      </c>
      <c r="M805" t="s">
        <v>144</v>
      </c>
      <c r="N805" t="s">
        <v>3046</v>
      </c>
      <c r="O805" t="s">
        <v>67</v>
      </c>
      <c r="P805" t="s">
        <v>68</v>
      </c>
      <c r="Q805" t="s">
        <v>3047</v>
      </c>
      <c r="R805">
        <v>118.782</v>
      </c>
      <c r="S805" t="str">
        <f>TEXT(sales_data[[#This Row],[Order Date]],"mm")</f>
        <v>04</v>
      </c>
      <c r="T805">
        <f>YEAR(sales_data[[#This Row],[Order Date]])</f>
        <v>2016</v>
      </c>
      <c r="V805" t="s">
        <v>3046</v>
      </c>
    </row>
    <row r="806" spans="1:22" x14ac:dyDescent="0.35">
      <c r="A806">
        <v>1066</v>
      </c>
      <c r="B806" t="s">
        <v>3041</v>
      </c>
      <c r="C806" s="1">
        <v>42476</v>
      </c>
      <c r="D806" s="1">
        <v>42481</v>
      </c>
      <c r="E806" t="s">
        <v>46</v>
      </c>
      <c r="F806" t="s">
        <v>3042</v>
      </c>
      <c r="G806" t="s">
        <v>3043</v>
      </c>
      <c r="H806" t="s">
        <v>37</v>
      </c>
      <c r="I806" t="s">
        <v>23</v>
      </c>
      <c r="J806" t="s">
        <v>2766</v>
      </c>
      <c r="K806" t="s">
        <v>493</v>
      </c>
      <c r="L806">
        <v>43615</v>
      </c>
      <c r="M806" t="s">
        <v>144</v>
      </c>
      <c r="N806" t="s">
        <v>3048</v>
      </c>
      <c r="O806" t="s">
        <v>42</v>
      </c>
      <c r="P806" t="s">
        <v>264</v>
      </c>
      <c r="Q806" t="s">
        <v>3049</v>
      </c>
      <c r="R806">
        <v>1.448</v>
      </c>
      <c r="S806" t="str">
        <f>TEXT(sales_data[[#This Row],[Order Date]],"mm")</f>
        <v>04</v>
      </c>
      <c r="T806">
        <f>YEAR(sales_data[[#This Row],[Order Date]])</f>
        <v>2016</v>
      </c>
      <c r="V806" t="s">
        <v>3048</v>
      </c>
    </row>
    <row r="807" spans="1:22" x14ac:dyDescent="0.35">
      <c r="A807">
        <v>1067</v>
      </c>
      <c r="B807" t="s">
        <v>3041</v>
      </c>
      <c r="C807" s="1">
        <v>42476</v>
      </c>
      <c r="D807" s="1">
        <v>42481</v>
      </c>
      <c r="E807" t="s">
        <v>46</v>
      </c>
      <c r="F807" t="s">
        <v>3042</v>
      </c>
      <c r="G807" t="s">
        <v>3043</v>
      </c>
      <c r="H807" t="s">
        <v>37</v>
      </c>
      <c r="I807" t="s">
        <v>23</v>
      </c>
      <c r="J807" t="s">
        <v>2766</v>
      </c>
      <c r="K807" t="s">
        <v>493</v>
      </c>
      <c r="L807">
        <v>43615</v>
      </c>
      <c r="M807" t="s">
        <v>144</v>
      </c>
      <c r="N807" t="s">
        <v>3050</v>
      </c>
      <c r="O807" t="s">
        <v>42</v>
      </c>
      <c r="P807" t="s">
        <v>71</v>
      </c>
      <c r="Q807" t="s">
        <v>3051</v>
      </c>
      <c r="R807">
        <v>55.47</v>
      </c>
      <c r="S807" t="str">
        <f>TEXT(sales_data[[#This Row],[Order Date]],"mm")</f>
        <v>04</v>
      </c>
      <c r="T807">
        <f>YEAR(sales_data[[#This Row],[Order Date]])</f>
        <v>2016</v>
      </c>
      <c r="V807" t="s">
        <v>3050</v>
      </c>
    </row>
    <row r="808" spans="1:22" x14ac:dyDescent="0.35">
      <c r="A808">
        <v>1073</v>
      </c>
      <c r="B808" t="s">
        <v>3059</v>
      </c>
      <c r="C808" s="1">
        <v>43418</v>
      </c>
      <c r="D808" s="1">
        <v>43423</v>
      </c>
      <c r="E808" t="s">
        <v>46</v>
      </c>
      <c r="F808" t="s">
        <v>3060</v>
      </c>
      <c r="G808" t="s">
        <v>3061</v>
      </c>
      <c r="H808" t="s">
        <v>22</v>
      </c>
      <c r="I808" t="s">
        <v>23</v>
      </c>
      <c r="J808" t="s">
        <v>261</v>
      </c>
      <c r="K808" t="s">
        <v>262</v>
      </c>
      <c r="L808">
        <v>10035</v>
      </c>
      <c r="M808" t="s">
        <v>144</v>
      </c>
      <c r="N808" t="s">
        <v>3062</v>
      </c>
      <c r="O808" t="s">
        <v>42</v>
      </c>
      <c r="P808" t="s">
        <v>71</v>
      </c>
      <c r="Q808" t="s">
        <v>3063</v>
      </c>
      <c r="R808">
        <v>8.64</v>
      </c>
      <c r="S808" t="str">
        <f>TEXT(sales_data[[#This Row],[Order Date]],"mm")</f>
        <v>11</v>
      </c>
      <c r="T808">
        <f>YEAR(sales_data[[#This Row],[Order Date]])</f>
        <v>2018</v>
      </c>
      <c r="V808" t="s">
        <v>3062</v>
      </c>
    </row>
    <row r="809" spans="1:22" x14ac:dyDescent="0.35">
      <c r="A809">
        <v>1074</v>
      </c>
      <c r="B809" t="s">
        <v>3064</v>
      </c>
      <c r="C809" s="1">
        <v>43051</v>
      </c>
      <c r="D809" s="1">
        <v>43058</v>
      </c>
      <c r="E809" t="s">
        <v>46</v>
      </c>
      <c r="F809" t="s">
        <v>3065</v>
      </c>
      <c r="G809" t="s">
        <v>3066</v>
      </c>
      <c r="H809" t="s">
        <v>22</v>
      </c>
      <c r="I809" t="s">
        <v>23</v>
      </c>
      <c r="J809" t="s">
        <v>1802</v>
      </c>
      <c r="K809" t="s">
        <v>305</v>
      </c>
      <c r="L809">
        <v>85204</v>
      </c>
      <c r="M809" t="s">
        <v>40</v>
      </c>
      <c r="N809" t="s">
        <v>3067</v>
      </c>
      <c r="O809" t="s">
        <v>42</v>
      </c>
      <c r="P809" t="s">
        <v>71</v>
      </c>
      <c r="Q809" t="s">
        <v>3068</v>
      </c>
      <c r="R809">
        <v>6.27</v>
      </c>
      <c r="S809" t="str">
        <f>TEXT(sales_data[[#This Row],[Order Date]],"mm")</f>
        <v>11</v>
      </c>
      <c r="T809">
        <f>YEAR(sales_data[[#This Row],[Order Date]])</f>
        <v>2017</v>
      </c>
      <c r="V809" t="s">
        <v>3067</v>
      </c>
    </row>
    <row r="810" spans="1:22" x14ac:dyDescent="0.35">
      <c r="A810">
        <v>1076</v>
      </c>
      <c r="B810" t="s">
        <v>3064</v>
      </c>
      <c r="C810" s="1">
        <v>43051</v>
      </c>
      <c r="D810" s="1">
        <v>43058</v>
      </c>
      <c r="E810" t="s">
        <v>46</v>
      </c>
      <c r="F810" t="s">
        <v>3065</v>
      </c>
      <c r="G810" t="s">
        <v>3066</v>
      </c>
      <c r="H810" t="s">
        <v>22</v>
      </c>
      <c r="I810" t="s">
        <v>23</v>
      </c>
      <c r="J810" t="s">
        <v>1802</v>
      </c>
      <c r="K810" t="s">
        <v>305</v>
      </c>
      <c r="L810">
        <v>85204</v>
      </c>
      <c r="M810" t="s">
        <v>40</v>
      </c>
      <c r="N810" t="s">
        <v>3069</v>
      </c>
      <c r="O810" t="s">
        <v>67</v>
      </c>
      <c r="P810" t="s">
        <v>156</v>
      </c>
      <c r="Q810" t="s">
        <v>3070</v>
      </c>
      <c r="R810">
        <v>31.984000000000002</v>
      </c>
      <c r="S810" t="str">
        <f>TEXT(sales_data[[#This Row],[Order Date]],"mm")</f>
        <v>11</v>
      </c>
      <c r="T810">
        <f>YEAR(sales_data[[#This Row],[Order Date]])</f>
        <v>2017</v>
      </c>
      <c r="V810" t="s">
        <v>3069</v>
      </c>
    </row>
    <row r="811" spans="1:22" x14ac:dyDescent="0.35">
      <c r="A811">
        <v>1077</v>
      </c>
      <c r="B811" t="s">
        <v>3071</v>
      </c>
      <c r="C811" s="1">
        <v>43007</v>
      </c>
      <c r="D811" s="1">
        <v>43008</v>
      </c>
      <c r="E811" t="s">
        <v>183</v>
      </c>
      <c r="F811" t="s">
        <v>3072</v>
      </c>
      <c r="G811" t="s">
        <v>3073</v>
      </c>
      <c r="H811" t="s">
        <v>98</v>
      </c>
      <c r="I811" t="s">
        <v>23</v>
      </c>
      <c r="J811" t="s">
        <v>492</v>
      </c>
      <c r="K811" t="s">
        <v>249</v>
      </c>
      <c r="L811">
        <v>47201</v>
      </c>
      <c r="M811" t="s">
        <v>101</v>
      </c>
      <c r="N811" t="s">
        <v>3074</v>
      </c>
      <c r="O811" t="s">
        <v>42</v>
      </c>
      <c r="P811" t="s">
        <v>64</v>
      </c>
      <c r="Q811" t="s">
        <v>3075</v>
      </c>
      <c r="R811">
        <v>40.880000000000003</v>
      </c>
      <c r="S811" t="str">
        <f>TEXT(sales_data[[#This Row],[Order Date]],"mm")</f>
        <v>09</v>
      </c>
      <c r="T811">
        <f>YEAR(sales_data[[#This Row],[Order Date]])</f>
        <v>2017</v>
      </c>
      <c r="V811" t="s">
        <v>3074</v>
      </c>
    </row>
    <row r="812" spans="1:22" x14ac:dyDescent="0.35">
      <c r="A812">
        <v>1078</v>
      </c>
      <c r="B812" t="s">
        <v>3076</v>
      </c>
      <c r="C812" s="1">
        <v>43366</v>
      </c>
      <c r="D812" s="1">
        <v>43368</v>
      </c>
      <c r="E812" t="s">
        <v>19</v>
      </c>
      <c r="F812" t="s">
        <v>3077</v>
      </c>
      <c r="G812" t="s">
        <v>3078</v>
      </c>
      <c r="H812" t="s">
        <v>22</v>
      </c>
      <c r="I812" t="s">
        <v>23</v>
      </c>
      <c r="J812" t="s">
        <v>91</v>
      </c>
      <c r="K812" t="s">
        <v>92</v>
      </c>
      <c r="L812">
        <v>98105</v>
      </c>
      <c r="M812" t="s">
        <v>40</v>
      </c>
      <c r="N812" t="s">
        <v>3079</v>
      </c>
      <c r="O812" t="s">
        <v>42</v>
      </c>
      <c r="P812" t="s">
        <v>74</v>
      </c>
      <c r="Q812" t="s">
        <v>3080</v>
      </c>
      <c r="R812">
        <v>119.96</v>
      </c>
      <c r="S812" t="str">
        <f>TEXT(sales_data[[#This Row],[Order Date]],"mm")</f>
        <v>09</v>
      </c>
      <c r="T812">
        <f>YEAR(sales_data[[#This Row],[Order Date]])</f>
        <v>2018</v>
      </c>
      <c r="V812" t="s">
        <v>3079</v>
      </c>
    </row>
    <row r="813" spans="1:22" x14ac:dyDescent="0.35">
      <c r="A813">
        <v>1081</v>
      </c>
      <c r="B813" t="s">
        <v>3081</v>
      </c>
      <c r="C813" s="1">
        <v>42703</v>
      </c>
      <c r="D813" s="1">
        <v>42708</v>
      </c>
      <c r="E813" t="s">
        <v>46</v>
      </c>
      <c r="F813" t="s">
        <v>3082</v>
      </c>
      <c r="G813" t="s">
        <v>3083</v>
      </c>
      <c r="H813" t="s">
        <v>37</v>
      </c>
      <c r="I813" t="s">
        <v>23</v>
      </c>
      <c r="J813" t="s">
        <v>872</v>
      </c>
      <c r="K813" t="s">
        <v>233</v>
      </c>
      <c r="L813">
        <v>48227</v>
      </c>
      <c r="M813" t="s">
        <v>101</v>
      </c>
      <c r="N813" t="s">
        <v>3084</v>
      </c>
      <c r="O813" t="s">
        <v>42</v>
      </c>
      <c r="P813" t="s">
        <v>86</v>
      </c>
      <c r="Q813" t="s">
        <v>181</v>
      </c>
      <c r="R813">
        <v>19.920000000000002</v>
      </c>
      <c r="S813" t="str">
        <f>TEXT(sales_data[[#This Row],[Order Date]],"mm")</f>
        <v>11</v>
      </c>
      <c r="T813">
        <f>YEAR(sales_data[[#This Row],[Order Date]])</f>
        <v>2016</v>
      </c>
      <c r="V813" t="s">
        <v>3084</v>
      </c>
    </row>
    <row r="814" spans="1:22" x14ac:dyDescent="0.35">
      <c r="A814">
        <v>1082</v>
      </c>
      <c r="B814" t="s">
        <v>3081</v>
      </c>
      <c r="C814" s="1">
        <v>42703</v>
      </c>
      <c r="D814" s="1">
        <v>42708</v>
      </c>
      <c r="E814" t="s">
        <v>46</v>
      </c>
      <c r="F814" t="s">
        <v>3082</v>
      </c>
      <c r="G814" t="s">
        <v>3083</v>
      </c>
      <c r="H814" t="s">
        <v>37</v>
      </c>
      <c r="I814" t="s">
        <v>23</v>
      </c>
      <c r="J814" t="s">
        <v>872</v>
      </c>
      <c r="K814" t="s">
        <v>233</v>
      </c>
      <c r="L814">
        <v>48227</v>
      </c>
      <c r="M814" t="s">
        <v>101</v>
      </c>
      <c r="N814" t="s">
        <v>3085</v>
      </c>
      <c r="O814" t="s">
        <v>28</v>
      </c>
      <c r="P814" t="s">
        <v>32</v>
      </c>
      <c r="Q814" t="s">
        <v>3086</v>
      </c>
      <c r="R814">
        <v>1106.9100000000001</v>
      </c>
      <c r="S814" t="str">
        <f>TEXT(sales_data[[#This Row],[Order Date]],"mm")</f>
        <v>11</v>
      </c>
      <c r="T814">
        <f>YEAR(sales_data[[#This Row],[Order Date]])</f>
        <v>2016</v>
      </c>
      <c r="V814" t="s">
        <v>3085</v>
      </c>
    </row>
    <row r="815" spans="1:22" x14ac:dyDescent="0.35">
      <c r="A815">
        <v>1084</v>
      </c>
      <c r="B815" t="s">
        <v>3087</v>
      </c>
      <c r="C815" s="1">
        <v>42795</v>
      </c>
      <c r="D815" s="1">
        <v>42799</v>
      </c>
      <c r="E815" t="s">
        <v>46</v>
      </c>
      <c r="F815" t="s">
        <v>311</v>
      </c>
      <c r="G815" t="s">
        <v>312</v>
      </c>
      <c r="H815" t="s">
        <v>22</v>
      </c>
      <c r="I815" t="s">
        <v>23</v>
      </c>
      <c r="J815" t="s">
        <v>3088</v>
      </c>
      <c r="K815" t="s">
        <v>262</v>
      </c>
      <c r="L815">
        <v>10701</v>
      </c>
      <c r="M815" t="s">
        <v>144</v>
      </c>
      <c r="N815" t="s">
        <v>3089</v>
      </c>
      <c r="O815" t="s">
        <v>42</v>
      </c>
      <c r="P815" t="s">
        <v>86</v>
      </c>
      <c r="Q815" t="s">
        <v>181</v>
      </c>
      <c r="R815">
        <v>26.38</v>
      </c>
      <c r="S815" t="str">
        <f>TEXT(sales_data[[#This Row],[Order Date]],"mm")</f>
        <v>03</v>
      </c>
      <c r="T815">
        <f>YEAR(sales_data[[#This Row],[Order Date]])</f>
        <v>2017</v>
      </c>
      <c r="V815" t="s">
        <v>3089</v>
      </c>
    </row>
    <row r="816" spans="1:22" x14ac:dyDescent="0.35">
      <c r="A816">
        <v>1086</v>
      </c>
      <c r="B816" t="s">
        <v>3087</v>
      </c>
      <c r="C816" s="1">
        <v>42795</v>
      </c>
      <c r="D816" s="1">
        <v>42799</v>
      </c>
      <c r="E816" t="s">
        <v>46</v>
      </c>
      <c r="F816" t="s">
        <v>311</v>
      </c>
      <c r="G816" t="s">
        <v>312</v>
      </c>
      <c r="H816" t="s">
        <v>22</v>
      </c>
      <c r="I816" t="s">
        <v>23</v>
      </c>
      <c r="J816" t="s">
        <v>3088</v>
      </c>
      <c r="K816" t="s">
        <v>262</v>
      </c>
      <c r="L816">
        <v>10701</v>
      </c>
      <c r="M816" t="s">
        <v>144</v>
      </c>
      <c r="N816" t="s">
        <v>3090</v>
      </c>
      <c r="O816" t="s">
        <v>67</v>
      </c>
      <c r="P816" t="s">
        <v>675</v>
      </c>
      <c r="Q816" t="s">
        <v>3091</v>
      </c>
      <c r="R816">
        <v>4899.93</v>
      </c>
      <c r="S816" t="str">
        <f>TEXT(sales_data[[#This Row],[Order Date]],"mm")</f>
        <v>03</v>
      </c>
      <c r="T816">
        <f>YEAR(sales_data[[#This Row],[Order Date]])</f>
        <v>2017</v>
      </c>
      <c r="V816" t="s">
        <v>3090</v>
      </c>
    </row>
    <row r="817" spans="1:22" x14ac:dyDescent="0.35">
      <c r="A817">
        <v>1087</v>
      </c>
      <c r="B817" t="s">
        <v>3092</v>
      </c>
      <c r="C817" s="1">
        <v>42959</v>
      </c>
      <c r="D817" s="1">
        <v>42959</v>
      </c>
      <c r="E817" t="s">
        <v>1277</v>
      </c>
      <c r="F817" t="s">
        <v>449</v>
      </c>
      <c r="G817" t="s">
        <v>450</v>
      </c>
      <c r="H817" t="s">
        <v>22</v>
      </c>
      <c r="I817" t="s">
        <v>23</v>
      </c>
      <c r="J817" t="s">
        <v>1365</v>
      </c>
      <c r="K817" t="s">
        <v>484</v>
      </c>
      <c r="L817">
        <v>50315</v>
      </c>
      <c r="M817" t="s">
        <v>101</v>
      </c>
      <c r="N817" t="s">
        <v>3093</v>
      </c>
      <c r="O817" t="s">
        <v>42</v>
      </c>
      <c r="P817" t="s">
        <v>86</v>
      </c>
      <c r="Q817" t="s">
        <v>3094</v>
      </c>
      <c r="R817">
        <v>6.48</v>
      </c>
      <c r="S817" t="str">
        <f>TEXT(sales_data[[#This Row],[Order Date]],"mm")</f>
        <v>08</v>
      </c>
      <c r="T817">
        <f>YEAR(sales_data[[#This Row],[Order Date]])</f>
        <v>2017</v>
      </c>
      <c r="V817" t="s">
        <v>3093</v>
      </c>
    </row>
    <row r="818" spans="1:22" x14ac:dyDescent="0.35">
      <c r="A818">
        <v>1089</v>
      </c>
      <c r="B818" t="s">
        <v>3095</v>
      </c>
      <c r="C818" s="1">
        <v>42962</v>
      </c>
      <c r="D818" s="1">
        <v>42967</v>
      </c>
      <c r="E818" t="s">
        <v>19</v>
      </c>
      <c r="F818" t="s">
        <v>3096</v>
      </c>
      <c r="G818" t="s">
        <v>3097</v>
      </c>
      <c r="H818" t="s">
        <v>37</v>
      </c>
      <c r="I818" t="s">
        <v>23</v>
      </c>
      <c r="J818" t="s">
        <v>3098</v>
      </c>
      <c r="K818" t="s">
        <v>39</v>
      </c>
      <c r="L818">
        <v>94601</v>
      </c>
      <c r="M818" t="s">
        <v>40</v>
      </c>
      <c r="N818" t="s">
        <v>3099</v>
      </c>
      <c r="O818" t="s">
        <v>42</v>
      </c>
      <c r="P818" t="s">
        <v>43</v>
      </c>
      <c r="Q818" t="s">
        <v>3100</v>
      </c>
      <c r="R818">
        <v>3.15</v>
      </c>
      <c r="S818" t="str">
        <f>TEXT(sales_data[[#This Row],[Order Date]],"mm")</f>
        <v>08</v>
      </c>
      <c r="T818">
        <f>YEAR(sales_data[[#This Row],[Order Date]])</f>
        <v>2017</v>
      </c>
      <c r="V818" t="s">
        <v>3099</v>
      </c>
    </row>
    <row r="819" spans="1:22" x14ac:dyDescent="0.35">
      <c r="A819">
        <v>1091</v>
      </c>
      <c r="B819" t="s">
        <v>3101</v>
      </c>
      <c r="C819" s="1">
        <v>43255</v>
      </c>
      <c r="D819" s="1">
        <v>43261</v>
      </c>
      <c r="E819" t="s">
        <v>46</v>
      </c>
      <c r="F819" t="s">
        <v>2832</v>
      </c>
      <c r="G819" t="s">
        <v>2833</v>
      </c>
      <c r="H819" t="s">
        <v>37</v>
      </c>
      <c r="I819" t="s">
        <v>23</v>
      </c>
      <c r="J819" t="s">
        <v>728</v>
      </c>
      <c r="K819" t="s">
        <v>84</v>
      </c>
      <c r="L819">
        <v>28110</v>
      </c>
      <c r="M819" t="s">
        <v>26</v>
      </c>
      <c r="N819" t="s">
        <v>3102</v>
      </c>
      <c r="O819" t="s">
        <v>67</v>
      </c>
      <c r="P819" t="s">
        <v>68</v>
      </c>
      <c r="Q819" t="s">
        <v>3103</v>
      </c>
      <c r="R819">
        <v>71.983999999999995</v>
      </c>
      <c r="S819" t="str">
        <f>TEXT(sales_data[[#This Row],[Order Date]],"mm")</f>
        <v>06</v>
      </c>
      <c r="T819">
        <f>YEAR(sales_data[[#This Row],[Order Date]])</f>
        <v>2018</v>
      </c>
      <c r="V819" t="s">
        <v>3102</v>
      </c>
    </row>
    <row r="820" spans="1:22" x14ac:dyDescent="0.35">
      <c r="A820">
        <v>1092</v>
      </c>
      <c r="B820" t="s">
        <v>3104</v>
      </c>
      <c r="C820" s="1">
        <v>42710</v>
      </c>
      <c r="D820" s="1">
        <v>42717</v>
      </c>
      <c r="E820" t="s">
        <v>46</v>
      </c>
      <c r="F820" t="s">
        <v>2205</v>
      </c>
      <c r="G820" t="s">
        <v>2206</v>
      </c>
      <c r="H820" t="s">
        <v>22</v>
      </c>
      <c r="I820" t="s">
        <v>23</v>
      </c>
      <c r="J820" t="s">
        <v>940</v>
      </c>
      <c r="K820" t="s">
        <v>39</v>
      </c>
      <c r="L820">
        <v>92105</v>
      </c>
      <c r="M820" t="s">
        <v>40</v>
      </c>
      <c r="N820" t="s">
        <v>3105</v>
      </c>
      <c r="O820" t="s">
        <v>42</v>
      </c>
      <c r="P820" t="s">
        <v>64</v>
      </c>
      <c r="Q820" t="s">
        <v>3106</v>
      </c>
      <c r="R820">
        <v>120.15</v>
      </c>
      <c r="S820" t="str">
        <f>TEXT(sales_data[[#This Row],[Order Date]],"mm")</f>
        <v>12</v>
      </c>
      <c r="T820">
        <f>YEAR(sales_data[[#This Row],[Order Date]])</f>
        <v>2016</v>
      </c>
      <c r="V820" t="s">
        <v>3105</v>
      </c>
    </row>
    <row r="821" spans="1:22" x14ac:dyDescent="0.35">
      <c r="A821">
        <v>1093</v>
      </c>
      <c r="B821" t="s">
        <v>3104</v>
      </c>
      <c r="C821" s="1">
        <v>42710</v>
      </c>
      <c r="D821" s="1">
        <v>42717</v>
      </c>
      <c r="E821" t="s">
        <v>46</v>
      </c>
      <c r="F821" t="s">
        <v>2205</v>
      </c>
      <c r="G821" t="s">
        <v>2206</v>
      </c>
      <c r="H821" t="s">
        <v>22</v>
      </c>
      <c r="I821" t="s">
        <v>23</v>
      </c>
      <c r="J821" t="s">
        <v>940</v>
      </c>
      <c r="K821" t="s">
        <v>39</v>
      </c>
      <c r="L821">
        <v>92105</v>
      </c>
      <c r="M821" t="s">
        <v>40</v>
      </c>
      <c r="N821" t="s">
        <v>3107</v>
      </c>
      <c r="O821" t="s">
        <v>67</v>
      </c>
      <c r="P821" t="s">
        <v>68</v>
      </c>
      <c r="Q821" t="s">
        <v>3108</v>
      </c>
      <c r="R821">
        <v>219.184</v>
      </c>
      <c r="S821" t="str">
        <f>TEXT(sales_data[[#This Row],[Order Date]],"mm")</f>
        <v>12</v>
      </c>
      <c r="T821">
        <f>YEAR(sales_data[[#This Row],[Order Date]])</f>
        <v>2016</v>
      </c>
      <c r="V821" t="s">
        <v>3107</v>
      </c>
    </row>
    <row r="822" spans="1:22" x14ac:dyDescent="0.35">
      <c r="A822">
        <v>1094</v>
      </c>
      <c r="B822" t="s">
        <v>3109</v>
      </c>
      <c r="C822" s="1">
        <v>42731</v>
      </c>
      <c r="D822" s="1">
        <v>42735</v>
      </c>
      <c r="E822" t="s">
        <v>46</v>
      </c>
      <c r="F822" t="s">
        <v>3110</v>
      </c>
      <c r="G822" t="s">
        <v>3111</v>
      </c>
      <c r="H822" t="s">
        <v>98</v>
      </c>
      <c r="I822" t="s">
        <v>23</v>
      </c>
      <c r="J822" t="s">
        <v>3112</v>
      </c>
      <c r="K822" t="s">
        <v>2676</v>
      </c>
      <c r="L822">
        <v>20735</v>
      </c>
      <c r="M822" t="s">
        <v>144</v>
      </c>
      <c r="N822" t="s">
        <v>3113</v>
      </c>
      <c r="O822" t="s">
        <v>42</v>
      </c>
      <c r="P822" t="s">
        <v>86</v>
      </c>
      <c r="Q822" t="s">
        <v>3114</v>
      </c>
      <c r="R822">
        <v>28.9</v>
      </c>
      <c r="S822" t="str">
        <f>TEXT(sales_data[[#This Row],[Order Date]],"mm")</f>
        <v>12</v>
      </c>
      <c r="T822">
        <f>YEAR(sales_data[[#This Row],[Order Date]])</f>
        <v>2016</v>
      </c>
      <c r="V822" t="s">
        <v>3113</v>
      </c>
    </row>
    <row r="823" spans="1:22" x14ac:dyDescent="0.35">
      <c r="A823">
        <v>1096</v>
      </c>
      <c r="B823" t="s">
        <v>3115</v>
      </c>
      <c r="C823" s="1">
        <v>43121</v>
      </c>
      <c r="D823" s="1">
        <v>43126</v>
      </c>
      <c r="E823" t="s">
        <v>46</v>
      </c>
      <c r="F823" t="s">
        <v>3116</v>
      </c>
      <c r="G823" t="s">
        <v>3117</v>
      </c>
      <c r="H823" t="s">
        <v>98</v>
      </c>
      <c r="I823" t="s">
        <v>23</v>
      </c>
      <c r="J823" t="s">
        <v>462</v>
      </c>
      <c r="K823" t="s">
        <v>84</v>
      </c>
      <c r="L823">
        <v>28205</v>
      </c>
      <c r="M823" t="s">
        <v>26</v>
      </c>
      <c r="N823" t="s">
        <v>3118</v>
      </c>
      <c r="O823" t="s">
        <v>42</v>
      </c>
      <c r="P823" t="s">
        <v>55</v>
      </c>
      <c r="Q823" t="s">
        <v>3119</v>
      </c>
      <c r="R823">
        <v>348.20800000000003</v>
      </c>
      <c r="S823" t="str">
        <f>TEXT(sales_data[[#This Row],[Order Date]],"mm")</f>
        <v>01</v>
      </c>
      <c r="T823">
        <f>YEAR(sales_data[[#This Row],[Order Date]])</f>
        <v>2018</v>
      </c>
      <c r="V823" t="s">
        <v>3118</v>
      </c>
    </row>
    <row r="824" spans="1:22" x14ac:dyDescent="0.35">
      <c r="A824">
        <v>1097</v>
      </c>
      <c r="B824" t="s">
        <v>3115</v>
      </c>
      <c r="C824" s="1">
        <v>43121</v>
      </c>
      <c r="D824" s="1">
        <v>43126</v>
      </c>
      <c r="E824" t="s">
        <v>46</v>
      </c>
      <c r="F824" t="s">
        <v>3116</v>
      </c>
      <c r="G824" t="s">
        <v>3117</v>
      </c>
      <c r="H824" t="s">
        <v>98</v>
      </c>
      <c r="I824" t="s">
        <v>23</v>
      </c>
      <c r="J824" t="s">
        <v>462</v>
      </c>
      <c r="K824" t="s">
        <v>84</v>
      </c>
      <c r="L824">
        <v>28205</v>
      </c>
      <c r="M824" t="s">
        <v>26</v>
      </c>
      <c r="N824" t="s">
        <v>3120</v>
      </c>
      <c r="O824" t="s">
        <v>42</v>
      </c>
      <c r="P824" t="s">
        <v>71</v>
      </c>
      <c r="Q824" t="s">
        <v>3121</v>
      </c>
      <c r="R824">
        <v>35.783999999999999</v>
      </c>
      <c r="S824" t="str">
        <f>TEXT(sales_data[[#This Row],[Order Date]],"mm")</f>
        <v>01</v>
      </c>
      <c r="T824">
        <f>YEAR(sales_data[[#This Row],[Order Date]])</f>
        <v>2018</v>
      </c>
      <c r="V824" t="s">
        <v>3120</v>
      </c>
    </row>
    <row r="825" spans="1:22" x14ac:dyDescent="0.35">
      <c r="A825">
        <v>1098</v>
      </c>
      <c r="B825" t="s">
        <v>3122</v>
      </c>
      <c r="C825" s="1">
        <v>42180</v>
      </c>
      <c r="D825" s="1">
        <v>42183</v>
      </c>
      <c r="E825" t="s">
        <v>183</v>
      </c>
      <c r="F825" t="s">
        <v>3003</v>
      </c>
      <c r="G825" t="s">
        <v>3004</v>
      </c>
      <c r="H825" t="s">
        <v>37</v>
      </c>
      <c r="I825" t="s">
        <v>23</v>
      </c>
      <c r="J825" t="s">
        <v>38</v>
      </c>
      <c r="K825" t="s">
        <v>39</v>
      </c>
      <c r="L825">
        <v>90049</v>
      </c>
      <c r="M825" t="s">
        <v>40</v>
      </c>
      <c r="N825" t="s">
        <v>3123</v>
      </c>
      <c r="O825" t="s">
        <v>28</v>
      </c>
      <c r="P825" t="s">
        <v>52</v>
      </c>
      <c r="Q825" t="s">
        <v>3124</v>
      </c>
      <c r="R825">
        <v>447.84</v>
      </c>
      <c r="S825" t="str">
        <f>TEXT(sales_data[[#This Row],[Order Date]],"mm")</f>
        <v>06</v>
      </c>
      <c r="T825">
        <f>YEAR(sales_data[[#This Row],[Order Date]])</f>
        <v>2015</v>
      </c>
      <c r="V825" t="s">
        <v>3123</v>
      </c>
    </row>
    <row r="826" spans="1:22" x14ac:dyDescent="0.35">
      <c r="A826">
        <v>1099</v>
      </c>
      <c r="B826" t="s">
        <v>3125</v>
      </c>
      <c r="C826" s="1">
        <v>42900</v>
      </c>
      <c r="D826" s="1">
        <v>42903</v>
      </c>
      <c r="E826" t="s">
        <v>183</v>
      </c>
      <c r="F826" t="s">
        <v>3126</v>
      </c>
      <c r="G826" t="s">
        <v>3127</v>
      </c>
      <c r="H826" t="s">
        <v>98</v>
      </c>
      <c r="I826" t="s">
        <v>23</v>
      </c>
      <c r="J826" t="s">
        <v>123</v>
      </c>
      <c r="K826" t="s">
        <v>39</v>
      </c>
      <c r="L826">
        <v>94122</v>
      </c>
      <c r="M826" t="s">
        <v>40</v>
      </c>
      <c r="N826" t="s">
        <v>3128</v>
      </c>
      <c r="O826" t="s">
        <v>42</v>
      </c>
      <c r="P826" t="s">
        <v>64</v>
      </c>
      <c r="Q826" t="s">
        <v>3129</v>
      </c>
      <c r="R826">
        <v>7.04</v>
      </c>
      <c r="S826" t="str">
        <f>TEXT(sales_data[[#This Row],[Order Date]],"mm")</f>
        <v>06</v>
      </c>
      <c r="T826">
        <f>YEAR(sales_data[[#This Row],[Order Date]])</f>
        <v>2017</v>
      </c>
      <c r="V826" t="s">
        <v>3128</v>
      </c>
    </row>
    <row r="827" spans="1:22" x14ac:dyDescent="0.35">
      <c r="A827">
        <v>1101</v>
      </c>
      <c r="B827" t="s">
        <v>3125</v>
      </c>
      <c r="C827" s="1">
        <v>42900</v>
      </c>
      <c r="D827" s="1">
        <v>42903</v>
      </c>
      <c r="E827" t="s">
        <v>183</v>
      </c>
      <c r="F827" t="s">
        <v>3126</v>
      </c>
      <c r="G827" t="s">
        <v>3127</v>
      </c>
      <c r="H827" t="s">
        <v>98</v>
      </c>
      <c r="I827" t="s">
        <v>23</v>
      </c>
      <c r="J827" t="s">
        <v>123</v>
      </c>
      <c r="K827" t="s">
        <v>39</v>
      </c>
      <c r="L827">
        <v>94122</v>
      </c>
      <c r="M827" t="s">
        <v>40</v>
      </c>
      <c r="N827" t="s">
        <v>3130</v>
      </c>
      <c r="O827" t="s">
        <v>67</v>
      </c>
      <c r="P827" t="s">
        <v>156</v>
      </c>
      <c r="Q827" t="s">
        <v>3131</v>
      </c>
      <c r="R827">
        <v>29.29</v>
      </c>
      <c r="S827" t="str">
        <f>TEXT(sales_data[[#This Row],[Order Date]],"mm")</f>
        <v>06</v>
      </c>
      <c r="T827">
        <f>YEAR(sales_data[[#This Row],[Order Date]])</f>
        <v>2017</v>
      </c>
      <c r="V827" t="s">
        <v>3130</v>
      </c>
    </row>
    <row r="828" spans="1:22" x14ac:dyDescent="0.35">
      <c r="A828">
        <v>1102</v>
      </c>
      <c r="B828" t="s">
        <v>3125</v>
      </c>
      <c r="C828" s="1">
        <v>42900</v>
      </c>
      <c r="D828" s="1">
        <v>42903</v>
      </c>
      <c r="E828" t="s">
        <v>183</v>
      </c>
      <c r="F828" t="s">
        <v>3126</v>
      </c>
      <c r="G828" t="s">
        <v>3127</v>
      </c>
      <c r="H828" t="s">
        <v>98</v>
      </c>
      <c r="I828" t="s">
        <v>23</v>
      </c>
      <c r="J828" t="s">
        <v>123</v>
      </c>
      <c r="K828" t="s">
        <v>39</v>
      </c>
      <c r="L828">
        <v>94122</v>
      </c>
      <c r="M828" t="s">
        <v>40</v>
      </c>
      <c r="N828" t="s">
        <v>3132</v>
      </c>
      <c r="O828" t="s">
        <v>42</v>
      </c>
      <c r="P828" t="s">
        <v>64</v>
      </c>
      <c r="Q828" t="s">
        <v>3133</v>
      </c>
      <c r="R828">
        <v>8.64</v>
      </c>
      <c r="S828" t="str">
        <f>TEXT(sales_data[[#This Row],[Order Date]],"mm")</f>
        <v>06</v>
      </c>
      <c r="T828">
        <f>YEAR(sales_data[[#This Row],[Order Date]])</f>
        <v>2017</v>
      </c>
      <c r="V828" t="s">
        <v>3132</v>
      </c>
    </row>
    <row r="829" spans="1:22" x14ac:dyDescent="0.35">
      <c r="A829">
        <v>1105</v>
      </c>
      <c r="B829" t="s">
        <v>3134</v>
      </c>
      <c r="C829" s="1">
        <v>43029</v>
      </c>
      <c r="D829" s="1">
        <v>43035</v>
      </c>
      <c r="E829" t="s">
        <v>46</v>
      </c>
      <c r="F829" t="s">
        <v>3135</v>
      </c>
      <c r="G829" t="s">
        <v>3136</v>
      </c>
      <c r="H829" t="s">
        <v>22</v>
      </c>
      <c r="I829" t="s">
        <v>23</v>
      </c>
      <c r="J829" t="s">
        <v>2784</v>
      </c>
      <c r="K829" t="s">
        <v>39</v>
      </c>
      <c r="L829">
        <v>92503</v>
      </c>
      <c r="M829" t="s">
        <v>40</v>
      </c>
      <c r="N829" t="s">
        <v>3137</v>
      </c>
      <c r="O829" t="s">
        <v>42</v>
      </c>
      <c r="P829" t="s">
        <v>86</v>
      </c>
      <c r="Q829" t="s">
        <v>3138</v>
      </c>
      <c r="R829">
        <v>22.92</v>
      </c>
      <c r="S829" t="str">
        <f>TEXT(sales_data[[#This Row],[Order Date]],"mm")</f>
        <v>10</v>
      </c>
      <c r="T829">
        <f>YEAR(sales_data[[#This Row],[Order Date]])</f>
        <v>2017</v>
      </c>
      <c r="V829" t="s">
        <v>3137</v>
      </c>
    </row>
    <row r="830" spans="1:22" x14ac:dyDescent="0.35">
      <c r="A830">
        <v>1108</v>
      </c>
      <c r="B830" t="s">
        <v>3139</v>
      </c>
      <c r="C830" s="1">
        <v>43058</v>
      </c>
      <c r="D830" s="1">
        <v>43063</v>
      </c>
      <c r="E830" t="s">
        <v>46</v>
      </c>
      <c r="F830" t="s">
        <v>151</v>
      </c>
      <c r="G830" t="s">
        <v>152</v>
      </c>
      <c r="H830" t="s">
        <v>22</v>
      </c>
      <c r="I830" t="s">
        <v>23</v>
      </c>
      <c r="J830" t="s">
        <v>179</v>
      </c>
      <c r="K830" t="s">
        <v>100</v>
      </c>
      <c r="L830">
        <v>77041</v>
      </c>
      <c r="M830" t="s">
        <v>101</v>
      </c>
      <c r="N830" t="s">
        <v>3140</v>
      </c>
      <c r="O830" t="s">
        <v>42</v>
      </c>
      <c r="P830" t="s">
        <v>71</v>
      </c>
      <c r="Q830" t="s">
        <v>3141</v>
      </c>
      <c r="R830">
        <v>10.78</v>
      </c>
      <c r="S830" t="str">
        <f>TEXT(sales_data[[#This Row],[Order Date]],"mm")</f>
        <v>11</v>
      </c>
      <c r="T830">
        <f>YEAR(sales_data[[#This Row],[Order Date]])</f>
        <v>2017</v>
      </c>
      <c r="V830" t="s">
        <v>3140</v>
      </c>
    </row>
    <row r="831" spans="1:22" x14ac:dyDescent="0.35">
      <c r="A831">
        <v>1109</v>
      </c>
      <c r="B831" t="s">
        <v>3139</v>
      </c>
      <c r="C831" s="1">
        <v>43058</v>
      </c>
      <c r="D831" s="1">
        <v>43063</v>
      </c>
      <c r="E831" t="s">
        <v>46</v>
      </c>
      <c r="F831" t="s">
        <v>151</v>
      </c>
      <c r="G831" t="s">
        <v>152</v>
      </c>
      <c r="H831" t="s">
        <v>22</v>
      </c>
      <c r="I831" t="s">
        <v>23</v>
      </c>
      <c r="J831" t="s">
        <v>179</v>
      </c>
      <c r="K831" t="s">
        <v>100</v>
      </c>
      <c r="L831">
        <v>77041</v>
      </c>
      <c r="M831" t="s">
        <v>101</v>
      </c>
      <c r="N831" t="s">
        <v>3142</v>
      </c>
      <c r="O831" t="s">
        <v>42</v>
      </c>
      <c r="P831" t="s">
        <v>264</v>
      </c>
      <c r="Q831" t="s">
        <v>557</v>
      </c>
      <c r="R831">
        <v>58.368000000000002</v>
      </c>
      <c r="S831" t="str">
        <f>TEXT(sales_data[[#This Row],[Order Date]],"mm")</f>
        <v>11</v>
      </c>
      <c r="T831">
        <f>YEAR(sales_data[[#This Row],[Order Date]])</f>
        <v>2017</v>
      </c>
      <c r="V831" t="s">
        <v>3142</v>
      </c>
    </row>
    <row r="832" spans="1:22" x14ac:dyDescent="0.35">
      <c r="A832">
        <v>1110</v>
      </c>
      <c r="B832" t="s">
        <v>3139</v>
      </c>
      <c r="C832" s="1">
        <v>43058</v>
      </c>
      <c r="D832" s="1">
        <v>43063</v>
      </c>
      <c r="E832" t="s">
        <v>46</v>
      </c>
      <c r="F832" t="s">
        <v>151</v>
      </c>
      <c r="G832" t="s">
        <v>152</v>
      </c>
      <c r="H832" t="s">
        <v>22</v>
      </c>
      <c r="I832" t="s">
        <v>23</v>
      </c>
      <c r="J832" t="s">
        <v>179</v>
      </c>
      <c r="K832" t="s">
        <v>100</v>
      </c>
      <c r="L832">
        <v>77041</v>
      </c>
      <c r="M832" t="s">
        <v>101</v>
      </c>
      <c r="N832" t="s">
        <v>3143</v>
      </c>
      <c r="O832" t="s">
        <v>42</v>
      </c>
      <c r="P832" t="s">
        <v>168</v>
      </c>
      <c r="Q832" t="s">
        <v>3144</v>
      </c>
      <c r="R832">
        <v>40.968000000000004</v>
      </c>
      <c r="S832" t="str">
        <f>TEXT(sales_data[[#This Row],[Order Date]],"mm")</f>
        <v>11</v>
      </c>
      <c r="T832">
        <f>YEAR(sales_data[[#This Row],[Order Date]])</f>
        <v>2017</v>
      </c>
      <c r="V832" t="s">
        <v>3143</v>
      </c>
    </row>
    <row r="833" spans="1:22" x14ac:dyDescent="0.35">
      <c r="A833">
        <v>1111</v>
      </c>
      <c r="B833" t="s">
        <v>3139</v>
      </c>
      <c r="C833" s="1">
        <v>43058</v>
      </c>
      <c r="D833" s="1">
        <v>43063</v>
      </c>
      <c r="E833" t="s">
        <v>46</v>
      </c>
      <c r="F833" t="s">
        <v>151</v>
      </c>
      <c r="G833" t="s">
        <v>152</v>
      </c>
      <c r="H833" t="s">
        <v>22</v>
      </c>
      <c r="I833" t="s">
        <v>23</v>
      </c>
      <c r="J833" t="s">
        <v>179</v>
      </c>
      <c r="K833" t="s">
        <v>100</v>
      </c>
      <c r="L833">
        <v>77041</v>
      </c>
      <c r="M833" t="s">
        <v>101</v>
      </c>
      <c r="N833" t="s">
        <v>3145</v>
      </c>
      <c r="O833" t="s">
        <v>67</v>
      </c>
      <c r="P833" t="s">
        <v>68</v>
      </c>
      <c r="Q833" t="s">
        <v>3146</v>
      </c>
      <c r="R833">
        <v>71.959999999999994</v>
      </c>
      <c r="S833" t="str">
        <f>TEXT(sales_data[[#This Row],[Order Date]],"mm")</f>
        <v>11</v>
      </c>
      <c r="T833">
        <f>YEAR(sales_data[[#This Row],[Order Date]])</f>
        <v>2017</v>
      </c>
      <c r="V833" t="s">
        <v>3145</v>
      </c>
    </row>
    <row r="834" spans="1:22" x14ac:dyDescent="0.35">
      <c r="A834">
        <v>1112</v>
      </c>
      <c r="B834" t="s">
        <v>3139</v>
      </c>
      <c r="C834" s="1">
        <v>43058</v>
      </c>
      <c r="D834" s="1">
        <v>43063</v>
      </c>
      <c r="E834" t="s">
        <v>46</v>
      </c>
      <c r="F834" t="s">
        <v>151</v>
      </c>
      <c r="G834" t="s">
        <v>152</v>
      </c>
      <c r="H834" t="s">
        <v>22</v>
      </c>
      <c r="I834" t="s">
        <v>23</v>
      </c>
      <c r="J834" t="s">
        <v>179</v>
      </c>
      <c r="K834" t="s">
        <v>100</v>
      </c>
      <c r="L834">
        <v>77041</v>
      </c>
      <c r="M834" t="s">
        <v>101</v>
      </c>
      <c r="N834" t="s">
        <v>3147</v>
      </c>
      <c r="O834" t="s">
        <v>42</v>
      </c>
      <c r="P834" t="s">
        <v>86</v>
      </c>
      <c r="Q834" t="s">
        <v>3148</v>
      </c>
      <c r="R834">
        <v>10.368</v>
      </c>
      <c r="S834" t="str">
        <f>TEXT(sales_data[[#This Row],[Order Date]],"mm")</f>
        <v>11</v>
      </c>
      <c r="T834">
        <f>YEAR(sales_data[[#This Row],[Order Date]])</f>
        <v>2017</v>
      </c>
      <c r="V834" t="s">
        <v>3147</v>
      </c>
    </row>
    <row r="835" spans="1:22" x14ac:dyDescent="0.35">
      <c r="A835">
        <v>1115</v>
      </c>
      <c r="B835" t="s">
        <v>3149</v>
      </c>
      <c r="C835" s="1">
        <v>43452</v>
      </c>
      <c r="D835" s="1">
        <v>43457</v>
      </c>
      <c r="E835" t="s">
        <v>19</v>
      </c>
      <c r="F835" t="s">
        <v>1317</v>
      </c>
      <c r="G835" t="s">
        <v>1318</v>
      </c>
      <c r="H835" t="s">
        <v>22</v>
      </c>
      <c r="I835" t="s">
        <v>23</v>
      </c>
      <c r="J835" t="s">
        <v>3150</v>
      </c>
      <c r="K835" t="s">
        <v>39</v>
      </c>
      <c r="L835">
        <v>92024</v>
      </c>
      <c r="M835" t="s">
        <v>40</v>
      </c>
      <c r="N835" t="s">
        <v>3151</v>
      </c>
      <c r="O835" t="s">
        <v>28</v>
      </c>
      <c r="P835" t="s">
        <v>29</v>
      </c>
      <c r="Q835" t="s">
        <v>3152</v>
      </c>
      <c r="R835">
        <v>119.833</v>
      </c>
      <c r="S835" t="str">
        <f>TEXT(sales_data[[#This Row],[Order Date]],"mm")</f>
        <v>12</v>
      </c>
      <c r="T835">
        <f>YEAR(sales_data[[#This Row],[Order Date]])</f>
        <v>2018</v>
      </c>
      <c r="V835" t="s">
        <v>3151</v>
      </c>
    </row>
    <row r="836" spans="1:22" x14ac:dyDescent="0.35">
      <c r="A836">
        <v>1120</v>
      </c>
      <c r="B836" t="s">
        <v>3155</v>
      </c>
      <c r="C836" s="1">
        <v>42617</v>
      </c>
      <c r="D836" s="1">
        <v>42621</v>
      </c>
      <c r="E836" t="s">
        <v>46</v>
      </c>
      <c r="F836" t="s">
        <v>3156</v>
      </c>
      <c r="G836" t="s">
        <v>3157</v>
      </c>
      <c r="H836" t="s">
        <v>22</v>
      </c>
      <c r="I836" t="s">
        <v>23</v>
      </c>
      <c r="J836" t="s">
        <v>3158</v>
      </c>
      <c r="K836" t="s">
        <v>1261</v>
      </c>
      <c r="L836">
        <v>30076</v>
      </c>
      <c r="M836" t="s">
        <v>26</v>
      </c>
      <c r="N836" t="s">
        <v>3159</v>
      </c>
      <c r="O836" t="s">
        <v>42</v>
      </c>
      <c r="P836" t="s">
        <v>86</v>
      </c>
      <c r="Q836" t="s">
        <v>3160</v>
      </c>
      <c r="R836">
        <v>4.3600000000000003</v>
      </c>
      <c r="S836" t="str">
        <f>TEXT(sales_data[[#This Row],[Order Date]],"mm")</f>
        <v>09</v>
      </c>
      <c r="T836">
        <f>YEAR(sales_data[[#This Row],[Order Date]])</f>
        <v>2016</v>
      </c>
      <c r="V836" t="s">
        <v>3159</v>
      </c>
    </row>
    <row r="837" spans="1:22" x14ac:dyDescent="0.35">
      <c r="A837">
        <v>1122</v>
      </c>
      <c r="B837" t="s">
        <v>3161</v>
      </c>
      <c r="C837" s="1">
        <v>42024</v>
      </c>
      <c r="D837" s="1">
        <v>42030</v>
      </c>
      <c r="E837" t="s">
        <v>46</v>
      </c>
      <c r="F837" t="s">
        <v>2693</v>
      </c>
      <c r="G837" t="s">
        <v>2694</v>
      </c>
      <c r="H837" t="s">
        <v>22</v>
      </c>
      <c r="I837" t="s">
        <v>23</v>
      </c>
      <c r="J837" t="s">
        <v>3162</v>
      </c>
      <c r="K837" t="s">
        <v>1692</v>
      </c>
      <c r="L837">
        <v>72401</v>
      </c>
      <c r="M837" t="s">
        <v>26</v>
      </c>
      <c r="N837" t="s">
        <v>3163</v>
      </c>
      <c r="O837" t="s">
        <v>67</v>
      </c>
      <c r="P837" t="s">
        <v>68</v>
      </c>
      <c r="Q837" t="s">
        <v>3164</v>
      </c>
      <c r="R837">
        <v>699.93</v>
      </c>
      <c r="S837" t="str">
        <f>TEXT(sales_data[[#This Row],[Order Date]],"mm")</f>
        <v>01</v>
      </c>
      <c r="T837">
        <f>YEAR(sales_data[[#This Row],[Order Date]])</f>
        <v>2015</v>
      </c>
      <c r="V837" t="s">
        <v>3163</v>
      </c>
    </row>
    <row r="838" spans="1:22" x14ac:dyDescent="0.35">
      <c r="A838">
        <v>1123</v>
      </c>
      <c r="B838" t="s">
        <v>3161</v>
      </c>
      <c r="C838" s="1">
        <v>42024</v>
      </c>
      <c r="D838" s="1">
        <v>42030</v>
      </c>
      <c r="E838" t="s">
        <v>46</v>
      </c>
      <c r="F838" t="s">
        <v>2693</v>
      </c>
      <c r="G838" t="s">
        <v>2694</v>
      </c>
      <c r="H838" t="s">
        <v>22</v>
      </c>
      <c r="I838" t="s">
        <v>23</v>
      </c>
      <c r="J838" t="s">
        <v>3162</v>
      </c>
      <c r="K838" t="s">
        <v>1692</v>
      </c>
      <c r="L838">
        <v>72401</v>
      </c>
      <c r="M838" t="s">
        <v>26</v>
      </c>
      <c r="N838" t="s">
        <v>3165</v>
      </c>
      <c r="O838" t="s">
        <v>42</v>
      </c>
      <c r="P838" t="s">
        <v>64</v>
      </c>
      <c r="Q838" t="s">
        <v>3166</v>
      </c>
      <c r="R838">
        <v>22.96</v>
      </c>
      <c r="S838" t="str">
        <f>TEXT(sales_data[[#This Row],[Order Date]],"mm")</f>
        <v>01</v>
      </c>
      <c r="T838">
        <f>YEAR(sales_data[[#This Row],[Order Date]])</f>
        <v>2015</v>
      </c>
      <c r="V838" t="s">
        <v>3165</v>
      </c>
    </row>
    <row r="839" spans="1:22" x14ac:dyDescent="0.35">
      <c r="A839">
        <v>1126</v>
      </c>
      <c r="B839" t="s">
        <v>3161</v>
      </c>
      <c r="C839" s="1">
        <v>42024</v>
      </c>
      <c r="D839" s="1">
        <v>42030</v>
      </c>
      <c r="E839" t="s">
        <v>46</v>
      </c>
      <c r="F839" t="s">
        <v>2693</v>
      </c>
      <c r="G839" t="s">
        <v>2694</v>
      </c>
      <c r="H839" t="s">
        <v>22</v>
      </c>
      <c r="I839" t="s">
        <v>23</v>
      </c>
      <c r="J839" t="s">
        <v>3162</v>
      </c>
      <c r="K839" t="s">
        <v>1692</v>
      </c>
      <c r="L839">
        <v>72401</v>
      </c>
      <c r="M839" t="s">
        <v>26</v>
      </c>
      <c r="N839" t="s">
        <v>3167</v>
      </c>
      <c r="O839" t="s">
        <v>42</v>
      </c>
      <c r="P839" t="s">
        <v>168</v>
      </c>
      <c r="Q839" t="s">
        <v>662</v>
      </c>
      <c r="R839">
        <v>23.34</v>
      </c>
      <c r="S839" t="str">
        <f>TEXT(sales_data[[#This Row],[Order Date]],"mm")</f>
        <v>01</v>
      </c>
      <c r="T839">
        <f>YEAR(sales_data[[#This Row],[Order Date]])</f>
        <v>2015</v>
      </c>
      <c r="V839" t="s">
        <v>3167</v>
      </c>
    </row>
    <row r="840" spans="1:22" x14ac:dyDescent="0.35">
      <c r="A840">
        <v>1130</v>
      </c>
      <c r="B840" t="s">
        <v>3168</v>
      </c>
      <c r="C840" s="1">
        <v>42837</v>
      </c>
      <c r="D840" s="1">
        <v>42841</v>
      </c>
      <c r="E840" t="s">
        <v>46</v>
      </c>
      <c r="F840" t="s">
        <v>1765</v>
      </c>
      <c r="G840" t="s">
        <v>1766</v>
      </c>
      <c r="H840" t="s">
        <v>22</v>
      </c>
      <c r="I840" t="s">
        <v>23</v>
      </c>
      <c r="J840" t="s">
        <v>313</v>
      </c>
      <c r="K840" t="s">
        <v>314</v>
      </c>
      <c r="L840">
        <v>22153</v>
      </c>
      <c r="M840" t="s">
        <v>26</v>
      </c>
      <c r="N840" t="s">
        <v>3169</v>
      </c>
      <c r="O840" t="s">
        <v>28</v>
      </c>
      <c r="P840" t="s">
        <v>52</v>
      </c>
      <c r="Q840" t="s">
        <v>3170</v>
      </c>
      <c r="R840">
        <v>343.92</v>
      </c>
      <c r="S840" t="str">
        <f>TEXT(sales_data[[#This Row],[Order Date]],"mm")</f>
        <v>04</v>
      </c>
      <c r="T840">
        <f>YEAR(sales_data[[#This Row],[Order Date]])</f>
        <v>2017</v>
      </c>
      <c r="V840" t="s">
        <v>3169</v>
      </c>
    </row>
    <row r="841" spans="1:22" x14ac:dyDescent="0.35">
      <c r="A841">
        <v>1131</v>
      </c>
      <c r="B841" t="s">
        <v>3168</v>
      </c>
      <c r="C841" s="1">
        <v>42837</v>
      </c>
      <c r="D841" s="1">
        <v>42841</v>
      </c>
      <c r="E841" t="s">
        <v>46</v>
      </c>
      <c r="F841" t="s">
        <v>1765</v>
      </c>
      <c r="G841" t="s">
        <v>1766</v>
      </c>
      <c r="H841" t="s">
        <v>22</v>
      </c>
      <c r="I841" t="s">
        <v>23</v>
      </c>
      <c r="J841" t="s">
        <v>313</v>
      </c>
      <c r="K841" t="s">
        <v>314</v>
      </c>
      <c r="L841">
        <v>22153</v>
      </c>
      <c r="M841" t="s">
        <v>26</v>
      </c>
      <c r="N841" t="s">
        <v>3171</v>
      </c>
      <c r="O841" t="s">
        <v>42</v>
      </c>
      <c r="P841" t="s">
        <v>86</v>
      </c>
      <c r="Q841" t="s">
        <v>3172</v>
      </c>
      <c r="R841">
        <v>40.99</v>
      </c>
      <c r="S841" t="str">
        <f>TEXT(sales_data[[#This Row],[Order Date]],"mm")</f>
        <v>04</v>
      </c>
      <c r="T841">
        <f>YEAR(sales_data[[#This Row],[Order Date]])</f>
        <v>2017</v>
      </c>
      <c r="V841" t="s">
        <v>3171</v>
      </c>
    </row>
    <row r="842" spans="1:22" x14ac:dyDescent="0.35">
      <c r="A842">
        <v>1135</v>
      </c>
      <c r="B842" t="s">
        <v>3173</v>
      </c>
      <c r="C842" s="1">
        <v>42891</v>
      </c>
      <c r="D842" s="1">
        <v>42895</v>
      </c>
      <c r="E842" t="s">
        <v>46</v>
      </c>
      <c r="F842" t="s">
        <v>1597</v>
      </c>
      <c r="G842" t="s">
        <v>1598</v>
      </c>
      <c r="H842" t="s">
        <v>98</v>
      </c>
      <c r="I842" t="s">
        <v>23</v>
      </c>
      <c r="J842" t="s">
        <v>142</v>
      </c>
      <c r="K842" t="s">
        <v>143</v>
      </c>
      <c r="L842">
        <v>19134</v>
      </c>
      <c r="M842" t="s">
        <v>144</v>
      </c>
      <c r="N842" t="s">
        <v>3174</v>
      </c>
      <c r="O842" t="s">
        <v>42</v>
      </c>
      <c r="P842" t="s">
        <v>43</v>
      </c>
      <c r="Q842" t="s">
        <v>3175</v>
      </c>
      <c r="R842">
        <v>7.56</v>
      </c>
      <c r="S842" t="str">
        <f>TEXT(sales_data[[#This Row],[Order Date]],"mm")</f>
        <v>06</v>
      </c>
      <c r="T842">
        <f>YEAR(sales_data[[#This Row],[Order Date]])</f>
        <v>2017</v>
      </c>
      <c r="V842" t="s">
        <v>3174</v>
      </c>
    </row>
    <row r="843" spans="1:22" x14ac:dyDescent="0.35">
      <c r="A843">
        <v>1136</v>
      </c>
      <c r="B843" t="s">
        <v>3176</v>
      </c>
      <c r="C843" s="1">
        <v>43080</v>
      </c>
      <c r="D843" s="1">
        <v>43080</v>
      </c>
      <c r="E843" t="s">
        <v>1277</v>
      </c>
      <c r="F843" t="s">
        <v>1967</v>
      </c>
      <c r="G843" t="s">
        <v>1968</v>
      </c>
      <c r="H843" t="s">
        <v>22</v>
      </c>
      <c r="I843" t="s">
        <v>23</v>
      </c>
      <c r="J843" t="s">
        <v>3177</v>
      </c>
      <c r="K843" t="s">
        <v>50</v>
      </c>
      <c r="L843">
        <v>33030</v>
      </c>
      <c r="M843" t="s">
        <v>26</v>
      </c>
      <c r="N843" t="s">
        <v>3178</v>
      </c>
      <c r="O843" t="s">
        <v>42</v>
      </c>
      <c r="P843" t="s">
        <v>55</v>
      </c>
      <c r="Q843" t="s">
        <v>3179</v>
      </c>
      <c r="R843">
        <v>85.224000000000004</v>
      </c>
      <c r="S843" t="str">
        <f>TEXT(sales_data[[#This Row],[Order Date]],"mm")</f>
        <v>12</v>
      </c>
      <c r="T843">
        <f>YEAR(sales_data[[#This Row],[Order Date]])</f>
        <v>2017</v>
      </c>
      <c r="V843" t="s">
        <v>3178</v>
      </c>
    </row>
    <row r="844" spans="1:22" x14ac:dyDescent="0.35">
      <c r="A844">
        <v>1137</v>
      </c>
      <c r="B844" t="s">
        <v>3180</v>
      </c>
      <c r="C844" s="1">
        <v>43051</v>
      </c>
      <c r="D844" s="1">
        <v>43054</v>
      </c>
      <c r="E844" t="s">
        <v>19</v>
      </c>
      <c r="F844" t="s">
        <v>3181</v>
      </c>
      <c r="G844" t="s">
        <v>3182</v>
      </c>
      <c r="H844" t="s">
        <v>37</v>
      </c>
      <c r="I844" t="s">
        <v>23</v>
      </c>
      <c r="J844" t="s">
        <v>3183</v>
      </c>
      <c r="K844" t="s">
        <v>249</v>
      </c>
      <c r="L844">
        <v>46350</v>
      </c>
      <c r="M844" t="s">
        <v>101</v>
      </c>
      <c r="N844" t="s">
        <v>3184</v>
      </c>
      <c r="O844" t="s">
        <v>42</v>
      </c>
      <c r="P844" t="s">
        <v>168</v>
      </c>
      <c r="Q844" t="s">
        <v>3185</v>
      </c>
      <c r="R844">
        <v>287.52</v>
      </c>
      <c r="S844" t="str">
        <f>TEXT(sales_data[[#This Row],[Order Date]],"mm")</f>
        <v>11</v>
      </c>
      <c r="T844">
        <f>YEAR(sales_data[[#This Row],[Order Date]])</f>
        <v>2017</v>
      </c>
      <c r="V844" t="s">
        <v>3184</v>
      </c>
    </row>
    <row r="845" spans="1:22" x14ac:dyDescent="0.35">
      <c r="A845">
        <v>1139</v>
      </c>
      <c r="B845" t="s">
        <v>3180</v>
      </c>
      <c r="C845" s="1">
        <v>43051</v>
      </c>
      <c r="D845" s="1">
        <v>43054</v>
      </c>
      <c r="E845" t="s">
        <v>19</v>
      </c>
      <c r="F845" t="s">
        <v>3181</v>
      </c>
      <c r="G845" t="s">
        <v>3182</v>
      </c>
      <c r="H845" t="s">
        <v>37</v>
      </c>
      <c r="I845" t="s">
        <v>23</v>
      </c>
      <c r="J845" t="s">
        <v>3183</v>
      </c>
      <c r="K845" t="s">
        <v>249</v>
      </c>
      <c r="L845">
        <v>46350</v>
      </c>
      <c r="M845" t="s">
        <v>101</v>
      </c>
      <c r="N845" t="s">
        <v>3186</v>
      </c>
      <c r="O845" t="s">
        <v>42</v>
      </c>
      <c r="P845" t="s">
        <v>86</v>
      </c>
      <c r="Q845" t="s">
        <v>3187</v>
      </c>
      <c r="R845">
        <v>19.98</v>
      </c>
      <c r="S845" t="str">
        <f>TEXT(sales_data[[#This Row],[Order Date]],"mm")</f>
        <v>11</v>
      </c>
      <c r="T845">
        <f>YEAR(sales_data[[#This Row],[Order Date]])</f>
        <v>2017</v>
      </c>
      <c r="V845" t="s">
        <v>3186</v>
      </c>
    </row>
    <row r="846" spans="1:22" x14ac:dyDescent="0.35">
      <c r="A846">
        <v>1141</v>
      </c>
      <c r="B846" t="s">
        <v>3180</v>
      </c>
      <c r="C846" s="1">
        <v>43051</v>
      </c>
      <c r="D846" s="1">
        <v>43054</v>
      </c>
      <c r="E846" t="s">
        <v>19</v>
      </c>
      <c r="F846" t="s">
        <v>3181</v>
      </c>
      <c r="G846" t="s">
        <v>3182</v>
      </c>
      <c r="H846" t="s">
        <v>37</v>
      </c>
      <c r="I846" t="s">
        <v>23</v>
      </c>
      <c r="J846" t="s">
        <v>3183</v>
      </c>
      <c r="K846" t="s">
        <v>249</v>
      </c>
      <c r="L846">
        <v>46350</v>
      </c>
      <c r="M846" t="s">
        <v>101</v>
      </c>
      <c r="N846" t="s">
        <v>3188</v>
      </c>
      <c r="O846" t="s">
        <v>42</v>
      </c>
      <c r="P846" t="s">
        <v>71</v>
      </c>
      <c r="Q846" t="s">
        <v>3189</v>
      </c>
      <c r="R846">
        <v>17.38</v>
      </c>
      <c r="S846" t="str">
        <f>TEXT(sales_data[[#This Row],[Order Date]],"mm")</f>
        <v>11</v>
      </c>
      <c r="T846">
        <f>YEAR(sales_data[[#This Row],[Order Date]])</f>
        <v>2017</v>
      </c>
      <c r="V846" t="s">
        <v>3188</v>
      </c>
    </row>
    <row r="847" spans="1:22" x14ac:dyDescent="0.35">
      <c r="A847">
        <v>1143</v>
      </c>
      <c r="B847" t="s">
        <v>3190</v>
      </c>
      <c r="C847" s="1">
        <v>42276</v>
      </c>
      <c r="D847" s="1">
        <v>42280</v>
      </c>
      <c r="E847" t="s">
        <v>46</v>
      </c>
      <c r="F847" t="s">
        <v>2255</v>
      </c>
      <c r="G847" t="s">
        <v>2256</v>
      </c>
      <c r="H847" t="s">
        <v>22</v>
      </c>
      <c r="I847" t="s">
        <v>23</v>
      </c>
      <c r="J847" t="s">
        <v>38</v>
      </c>
      <c r="K847" t="s">
        <v>39</v>
      </c>
      <c r="L847">
        <v>90045</v>
      </c>
      <c r="M847" t="s">
        <v>40</v>
      </c>
      <c r="N847" t="s">
        <v>3191</v>
      </c>
      <c r="O847" t="s">
        <v>42</v>
      </c>
      <c r="P847" t="s">
        <v>264</v>
      </c>
      <c r="Q847" t="s">
        <v>3192</v>
      </c>
      <c r="R847">
        <v>8.7200000000000006</v>
      </c>
      <c r="S847" t="str">
        <f>TEXT(sales_data[[#This Row],[Order Date]],"mm")</f>
        <v>09</v>
      </c>
      <c r="T847">
        <f>YEAR(sales_data[[#This Row],[Order Date]])</f>
        <v>2015</v>
      </c>
      <c r="V847" t="s">
        <v>3191</v>
      </c>
    </row>
    <row r="848" spans="1:22" x14ac:dyDescent="0.35">
      <c r="A848">
        <v>1145</v>
      </c>
      <c r="B848" t="s">
        <v>3190</v>
      </c>
      <c r="C848" s="1">
        <v>42276</v>
      </c>
      <c r="D848" s="1">
        <v>42280</v>
      </c>
      <c r="E848" t="s">
        <v>46</v>
      </c>
      <c r="F848" t="s">
        <v>2255</v>
      </c>
      <c r="G848" t="s">
        <v>2256</v>
      </c>
      <c r="H848" t="s">
        <v>22</v>
      </c>
      <c r="I848" t="s">
        <v>23</v>
      </c>
      <c r="J848" t="s">
        <v>38</v>
      </c>
      <c r="K848" t="s">
        <v>39</v>
      </c>
      <c r="L848">
        <v>90045</v>
      </c>
      <c r="M848" t="s">
        <v>40</v>
      </c>
      <c r="N848" t="s">
        <v>3193</v>
      </c>
      <c r="O848" t="s">
        <v>67</v>
      </c>
      <c r="P848" t="s">
        <v>675</v>
      </c>
      <c r="Q848" t="s">
        <v>3194</v>
      </c>
      <c r="R848">
        <v>686.32</v>
      </c>
      <c r="S848" t="str">
        <f>TEXT(sales_data[[#This Row],[Order Date]],"mm")</f>
        <v>09</v>
      </c>
      <c r="T848">
        <f>YEAR(sales_data[[#This Row],[Order Date]])</f>
        <v>2015</v>
      </c>
      <c r="V848" t="s">
        <v>3193</v>
      </c>
    </row>
    <row r="849" spans="1:22" x14ac:dyDescent="0.35">
      <c r="A849">
        <v>1147</v>
      </c>
      <c r="B849" t="s">
        <v>3195</v>
      </c>
      <c r="C849" s="1">
        <v>42464</v>
      </c>
      <c r="D849" s="1">
        <v>42464</v>
      </c>
      <c r="E849" t="s">
        <v>1277</v>
      </c>
      <c r="F849" t="s">
        <v>3196</v>
      </c>
      <c r="G849" t="s">
        <v>3197</v>
      </c>
      <c r="H849" t="s">
        <v>22</v>
      </c>
      <c r="I849" t="s">
        <v>23</v>
      </c>
      <c r="J849" t="s">
        <v>3198</v>
      </c>
      <c r="K849" t="s">
        <v>233</v>
      </c>
      <c r="L849">
        <v>48911</v>
      </c>
      <c r="M849" t="s">
        <v>101</v>
      </c>
      <c r="N849" t="s">
        <v>3199</v>
      </c>
      <c r="O849" t="s">
        <v>42</v>
      </c>
      <c r="P849" t="s">
        <v>74</v>
      </c>
      <c r="Q849" t="s">
        <v>3200</v>
      </c>
      <c r="R849">
        <v>644.07600000000002</v>
      </c>
      <c r="S849" t="str">
        <f>TEXT(sales_data[[#This Row],[Order Date]],"mm")</f>
        <v>04</v>
      </c>
      <c r="T849">
        <f>YEAR(sales_data[[#This Row],[Order Date]])</f>
        <v>2016</v>
      </c>
      <c r="V849" t="s">
        <v>3199</v>
      </c>
    </row>
    <row r="850" spans="1:22" x14ac:dyDescent="0.35">
      <c r="A850">
        <v>1148</v>
      </c>
      <c r="B850" t="s">
        <v>3195</v>
      </c>
      <c r="C850" s="1">
        <v>42464</v>
      </c>
      <c r="D850" s="1">
        <v>42464</v>
      </c>
      <c r="E850" t="s">
        <v>1277</v>
      </c>
      <c r="F850" t="s">
        <v>3196</v>
      </c>
      <c r="G850" t="s">
        <v>3197</v>
      </c>
      <c r="H850" t="s">
        <v>22</v>
      </c>
      <c r="I850" t="s">
        <v>23</v>
      </c>
      <c r="J850" t="s">
        <v>3198</v>
      </c>
      <c r="K850" t="s">
        <v>233</v>
      </c>
      <c r="L850">
        <v>48911</v>
      </c>
      <c r="M850" t="s">
        <v>101</v>
      </c>
      <c r="N850" t="s">
        <v>3201</v>
      </c>
      <c r="O850" t="s">
        <v>42</v>
      </c>
      <c r="P850" t="s">
        <v>264</v>
      </c>
      <c r="Q850" t="s">
        <v>557</v>
      </c>
      <c r="R850">
        <v>5.84</v>
      </c>
      <c r="S850" t="str">
        <f>TEXT(sales_data[[#This Row],[Order Date]],"mm")</f>
        <v>04</v>
      </c>
      <c r="T850">
        <f>YEAR(sales_data[[#This Row],[Order Date]])</f>
        <v>2016</v>
      </c>
      <c r="V850" t="s">
        <v>3201</v>
      </c>
    </row>
    <row r="851" spans="1:22" x14ac:dyDescent="0.35">
      <c r="A851">
        <v>1149</v>
      </c>
      <c r="B851" t="s">
        <v>3195</v>
      </c>
      <c r="C851" s="1">
        <v>42464</v>
      </c>
      <c r="D851" s="1">
        <v>42464</v>
      </c>
      <c r="E851" t="s">
        <v>1277</v>
      </c>
      <c r="F851" t="s">
        <v>3196</v>
      </c>
      <c r="G851" t="s">
        <v>3197</v>
      </c>
      <c r="H851" t="s">
        <v>22</v>
      </c>
      <c r="I851" t="s">
        <v>23</v>
      </c>
      <c r="J851" t="s">
        <v>3198</v>
      </c>
      <c r="K851" t="s">
        <v>233</v>
      </c>
      <c r="L851">
        <v>48911</v>
      </c>
      <c r="M851" t="s">
        <v>101</v>
      </c>
      <c r="N851" t="s">
        <v>3202</v>
      </c>
      <c r="O851" t="s">
        <v>42</v>
      </c>
      <c r="P851" t="s">
        <v>71</v>
      </c>
      <c r="Q851" t="s">
        <v>3203</v>
      </c>
      <c r="R851">
        <v>12.76</v>
      </c>
      <c r="S851" t="str">
        <f>TEXT(sales_data[[#This Row],[Order Date]],"mm")</f>
        <v>04</v>
      </c>
      <c r="T851">
        <f>YEAR(sales_data[[#This Row],[Order Date]])</f>
        <v>2016</v>
      </c>
      <c r="V851" t="s">
        <v>3202</v>
      </c>
    </row>
    <row r="852" spans="1:22" x14ac:dyDescent="0.35">
      <c r="A852">
        <v>1150</v>
      </c>
      <c r="B852" t="s">
        <v>3195</v>
      </c>
      <c r="C852" s="1">
        <v>42464</v>
      </c>
      <c r="D852" s="1">
        <v>42464</v>
      </c>
      <c r="E852" t="s">
        <v>1277</v>
      </c>
      <c r="F852" t="s">
        <v>3196</v>
      </c>
      <c r="G852" t="s">
        <v>3197</v>
      </c>
      <c r="H852" t="s">
        <v>22</v>
      </c>
      <c r="I852" t="s">
        <v>23</v>
      </c>
      <c r="J852" t="s">
        <v>3198</v>
      </c>
      <c r="K852" t="s">
        <v>233</v>
      </c>
      <c r="L852">
        <v>48911</v>
      </c>
      <c r="M852" t="s">
        <v>101</v>
      </c>
      <c r="N852" t="s">
        <v>3204</v>
      </c>
      <c r="O852" t="s">
        <v>67</v>
      </c>
      <c r="P852" t="s">
        <v>68</v>
      </c>
      <c r="Q852" t="s">
        <v>3205</v>
      </c>
      <c r="R852">
        <v>10.95</v>
      </c>
      <c r="S852" t="str">
        <f>TEXT(sales_data[[#This Row],[Order Date]],"mm")</f>
        <v>04</v>
      </c>
      <c r="T852">
        <f>YEAR(sales_data[[#This Row],[Order Date]])</f>
        <v>2016</v>
      </c>
      <c r="V852" t="s">
        <v>3204</v>
      </c>
    </row>
    <row r="853" spans="1:22" x14ac:dyDescent="0.35">
      <c r="A853">
        <v>1151</v>
      </c>
      <c r="B853" t="s">
        <v>3195</v>
      </c>
      <c r="C853" s="1">
        <v>42464</v>
      </c>
      <c r="D853" s="1">
        <v>42464</v>
      </c>
      <c r="E853" t="s">
        <v>1277</v>
      </c>
      <c r="F853" t="s">
        <v>3196</v>
      </c>
      <c r="G853" t="s">
        <v>3197</v>
      </c>
      <c r="H853" t="s">
        <v>22</v>
      </c>
      <c r="I853" t="s">
        <v>23</v>
      </c>
      <c r="J853" t="s">
        <v>3198</v>
      </c>
      <c r="K853" t="s">
        <v>233</v>
      </c>
      <c r="L853">
        <v>48911</v>
      </c>
      <c r="M853" t="s">
        <v>101</v>
      </c>
      <c r="N853" t="s">
        <v>3206</v>
      </c>
      <c r="O853" t="s">
        <v>67</v>
      </c>
      <c r="P853" t="s">
        <v>1209</v>
      </c>
      <c r="Q853" t="s">
        <v>3207</v>
      </c>
      <c r="R853">
        <v>599.98</v>
      </c>
      <c r="S853" t="str">
        <f>TEXT(sales_data[[#This Row],[Order Date]],"mm")</f>
        <v>04</v>
      </c>
      <c r="T853">
        <f>YEAR(sales_data[[#This Row],[Order Date]])</f>
        <v>2016</v>
      </c>
      <c r="V853" t="s">
        <v>3206</v>
      </c>
    </row>
    <row r="854" spans="1:22" x14ac:dyDescent="0.35">
      <c r="A854">
        <v>1152</v>
      </c>
      <c r="B854" t="s">
        <v>3208</v>
      </c>
      <c r="C854" s="1">
        <v>42498</v>
      </c>
      <c r="D854" s="1">
        <v>42504</v>
      </c>
      <c r="E854" t="s">
        <v>46</v>
      </c>
      <c r="F854" t="s">
        <v>988</v>
      </c>
      <c r="G854" t="s">
        <v>989</v>
      </c>
      <c r="H854" t="s">
        <v>37</v>
      </c>
      <c r="I854" t="s">
        <v>23</v>
      </c>
      <c r="J854" t="s">
        <v>3209</v>
      </c>
      <c r="K854" t="s">
        <v>493</v>
      </c>
      <c r="L854">
        <v>44221</v>
      </c>
      <c r="M854" t="s">
        <v>144</v>
      </c>
      <c r="N854" t="s">
        <v>3210</v>
      </c>
      <c r="O854" t="s">
        <v>28</v>
      </c>
      <c r="P854" t="s">
        <v>61</v>
      </c>
      <c r="Q854" t="s">
        <v>3211</v>
      </c>
      <c r="R854">
        <v>8.3520000000000003</v>
      </c>
      <c r="S854" t="str">
        <f>TEXT(sales_data[[#This Row],[Order Date]],"mm")</f>
        <v>05</v>
      </c>
      <c r="T854">
        <f>YEAR(sales_data[[#This Row],[Order Date]])</f>
        <v>2016</v>
      </c>
      <c r="V854" t="s">
        <v>3210</v>
      </c>
    </row>
    <row r="855" spans="1:22" x14ac:dyDescent="0.35">
      <c r="A855">
        <v>1153</v>
      </c>
      <c r="B855" t="s">
        <v>3212</v>
      </c>
      <c r="C855" s="1">
        <v>43100</v>
      </c>
      <c r="D855" s="1">
        <v>43106</v>
      </c>
      <c r="E855" t="s">
        <v>46</v>
      </c>
      <c r="F855" t="s">
        <v>1072</v>
      </c>
      <c r="G855" t="s">
        <v>1073</v>
      </c>
      <c r="H855" t="s">
        <v>37</v>
      </c>
      <c r="I855" t="s">
        <v>23</v>
      </c>
      <c r="J855" t="s">
        <v>3213</v>
      </c>
      <c r="K855" t="s">
        <v>1380</v>
      </c>
      <c r="L855">
        <v>89502</v>
      </c>
      <c r="M855" t="s">
        <v>40</v>
      </c>
      <c r="N855" t="s">
        <v>3214</v>
      </c>
      <c r="O855" t="s">
        <v>42</v>
      </c>
      <c r="P855" t="s">
        <v>64</v>
      </c>
      <c r="Q855" t="s">
        <v>3215</v>
      </c>
      <c r="R855">
        <v>3.64</v>
      </c>
      <c r="S855" t="str">
        <f>TEXT(sales_data[[#This Row],[Order Date]],"mm")</f>
        <v>12</v>
      </c>
      <c r="T855">
        <f>YEAR(sales_data[[#This Row],[Order Date]])</f>
        <v>2017</v>
      </c>
      <c r="V855" t="s">
        <v>3214</v>
      </c>
    </row>
    <row r="856" spans="1:22" x14ac:dyDescent="0.35">
      <c r="A856">
        <v>1155</v>
      </c>
      <c r="B856" t="s">
        <v>3216</v>
      </c>
      <c r="C856" s="1">
        <v>42358</v>
      </c>
      <c r="D856" s="1">
        <v>42359</v>
      </c>
      <c r="E856" t="s">
        <v>183</v>
      </c>
      <c r="F856" t="s">
        <v>3116</v>
      </c>
      <c r="G856" t="s">
        <v>3117</v>
      </c>
      <c r="H856" t="s">
        <v>98</v>
      </c>
      <c r="I856" t="s">
        <v>23</v>
      </c>
      <c r="J856" t="s">
        <v>3217</v>
      </c>
      <c r="K856" t="s">
        <v>314</v>
      </c>
      <c r="L856">
        <v>22801</v>
      </c>
      <c r="M856" t="s">
        <v>26</v>
      </c>
      <c r="N856" t="s">
        <v>3218</v>
      </c>
      <c r="O856" t="s">
        <v>42</v>
      </c>
      <c r="P856" t="s">
        <v>55</v>
      </c>
      <c r="Q856" t="s">
        <v>3219</v>
      </c>
      <c r="R856">
        <v>122.48</v>
      </c>
      <c r="S856" t="str">
        <f>TEXT(sales_data[[#This Row],[Order Date]],"mm")</f>
        <v>12</v>
      </c>
      <c r="T856">
        <f>YEAR(sales_data[[#This Row],[Order Date]])</f>
        <v>2015</v>
      </c>
      <c r="V856" t="s">
        <v>3218</v>
      </c>
    </row>
    <row r="857" spans="1:22" x14ac:dyDescent="0.35">
      <c r="A857">
        <v>1156</v>
      </c>
      <c r="B857" t="s">
        <v>3216</v>
      </c>
      <c r="C857" s="1">
        <v>42358</v>
      </c>
      <c r="D857" s="1">
        <v>42359</v>
      </c>
      <c r="E857" t="s">
        <v>183</v>
      </c>
      <c r="F857" t="s">
        <v>3116</v>
      </c>
      <c r="G857" t="s">
        <v>3117</v>
      </c>
      <c r="H857" t="s">
        <v>98</v>
      </c>
      <c r="I857" t="s">
        <v>23</v>
      </c>
      <c r="J857" t="s">
        <v>3217</v>
      </c>
      <c r="K857" t="s">
        <v>314</v>
      </c>
      <c r="L857">
        <v>22801</v>
      </c>
      <c r="M857" t="s">
        <v>26</v>
      </c>
      <c r="N857" t="s">
        <v>3220</v>
      </c>
      <c r="O857" t="s">
        <v>28</v>
      </c>
      <c r="P857" t="s">
        <v>52</v>
      </c>
      <c r="Q857" t="s">
        <v>3221</v>
      </c>
      <c r="R857">
        <v>2244.48</v>
      </c>
      <c r="S857" t="str">
        <f>TEXT(sales_data[[#This Row],[Order Date]],"mm")</f>
        <v>12</v>
      </c>
      <c r="T857">
        <f>YEAR(sales_data[[#This Row],[Order Date]])</f>
        <v>2015</v>
      </c>
      <c r="V857" t="s">
        <v>3220</v>
      </c>
    </row>
    <row r="858" spans="1:22" x14ac:dyDescent="0.35">
      <c r="A858">
        <v>1159</v>
      </c>
      <c r="B858" t="s">
        <v>3222</v>
      </c>
      <c r="C858" s="1">
        <v>42918</v>
      </c>
      <c r="D858" s="1">
        <v>42923</v>
      </c>
      <c r="E858" t="s">
        <v>19</v>
      </c>
      <c r="F858" t="s">
        <v>2699</v>
      </c>
      <c r="G858" t="s">
        <v>2700</v>
      </c>
      <c r="H858" t="s">
        <v>37</v>
      </c>
      <c r="I858" t="s">
        <v>23</v>
      </c>
      <c r="J858" t="s">
        <v>38</v>
      </c>
      <c r="K858" t="s">
        <v>39</v>
      </c>
      <c r="L858">
        <v>90004</v>
      </c>
      <c r="M858" t="s">
        <v>40</v>
      </c>
      <c r="N858" t="s">
        <v>3223</v>
      </c>
      <c r="O858" t="s">
        <v>28</v>
      </c>
      <c r="P858" t="s">
        <v>32</v>
      </c>
      <c r="Q858" t="s">
        <v>3224</v>
      </c>
      <c r="R858">
        <v>195.184</v>
      </c>
      <c r="S858" t="str">
        <f>TEXT(sales_data[[#This Row],[Order Date]],"mm")</f>
        <v>07</v>
      </c>
      <c r="T858">
        <f>YEAR(sales_data[[#This Row],[Order Date]])</f>
        <v>2017</v>
      </c>
      <c r="V858" t="s">
        <v>3223</v>
      </c>
    </row>
    <row r="859" spans="1:22" x14ac:dyDescent="0.35">
      <c r="A859">
        <v>1163</v>
      </c>
      <c r="B859" t="s">
        <v>3228</v>
      </c>
      <c r="C859" s="1">
        <v>42066</v>
      </c>
      <c r="D859" s="1">
        <v>42071</v>
      </c>
      <c r="E859" t="s">
        <v>46</v>
      </c>
      <c r="F859" t="s">
        <v>3229</v>
      </c>
      <c r="G859" t="s">
        <v>3230</v>
      </c>
      <c r="H859" t="s">
        <v>98</v>
      </c>
      <c r="I859" t="s">
        <v>23</v>
      </c>
      <c r="J859" t="s">
        <v>261</v>
      </c>
      <c r="K859" t="s">
        <v>262</v>
      </c>
      <c r="L859">
        <v>10035</v>
      </c>
      <c r="M859" t="s">
        <v>144</v>
      </c>
      <c r="N859" t="s">
        <v>3231</v>
      </c>
      <c r="O859" t="s">
        <v>67</v>
      </c>
      <c r="P859" t="s">
        <v>68</v>
      </c>
      <c r="Q859" t="s">
        <v>3232</v>
      </c>
      <c r="R859">
        <v>9.99</v>
      </c>
      <c r="S859" t="str">
        <f>TEXT(sales_data[[#This Row],[Order Date]],"mm")</f>
        <v>03</v>
      </c>
      <c r="T859">
        <f>YEAR(sales_data[[#This Row],[Order Date]])</f>
        <v>2015</v>
      </c>
      <c r="V859" t="s">
        <v>3231</v>
      </c>
    </row>
    <row r="860" spans="1:22" x14ac:dyDescent="0.35">
      <c r="A860">
        <v>1165</v>
      </c>
      <c r="B860" t="s">
        <v>3228</v>
      </c>
      <c r="C860" s="1">
        <v>42066</v>
      </c>
      <c r="D860" s="1">
        <v>42071</v>
      </c>
      <c r="E860" t="s">
        <v>46</v>
      </c>
      <c r="F860" t="s">
        <v>3229</v>
      </c>
      <c r="G860" t="s">
        <v>3230</v>
      </c>
      <c r="H860" t="s">
        <v>98</v>
      </c>
      <c r="I860" t="s">
        <v>23</v>
      </c>
      <c r="J860" t="s">
        <v>261</v>
      </c>
      <c r="K860" t="s">
        <v>262</v>
      </c>
      <c r="L860">
        <v>10035</v>
      </c>
      <c r="M860" t="s">
        <v>144</v>
      </c>
      <c r="N860" t="s">
        <v>3233</v>
      </c>
      <c r="O860" t="s">
        <v>42</v>
      </c>
      <c r="P860" t="s">
        <v>71</v>
      </c>
      <c r="Q860" t="s">
        <v>3234</v>
      </c>
      <c r="R860">
        <v>25.32</v>
      </c>
      <c r="S860" t="str">
        <f>TEXT(sales_data[[#This Row],[Order Date]],"mm")</f>
        <v>03</v>
      </c>
      <c r="T860">
        <f>YEAR(sales_data[[#This Row],[Order Date]])</f>
        <v>2015</v>
      </c>
      <c r="V860" t="s">
        <v>3233</v>
      </c>
    </row>
    <row r="861" spans="1:22" x14ac:dyDescent="0.35">
      <c r="A861">
        <v>1168</v>
      </c>
      <c r="B861" t="s">
        <v>3236</v>
      </c>
      <c r="C861" s="1">
        <v>43442</v>
      </c>
      <c r="D861" s="1">
        <v>43444</v>
      </c>
      <c r="E861" t="s">
        <v>19</v>
      </c>
      <c r="F861" t="s">
        <v>944</v>
      </c>
      <c r="G861" t="s">
        <v>945</v>
      </c>
      <c r="H861" t="s">
        <v>22</v>
      </c>
      <c r="I861" t="s">
        <v>23</v>
      </c>
      <c r="J861" t="s">
        <v>261</v>
      </c>
      <c r="K861" t="s">
        <v>262</v>
      </c>
      <c r="L861">
        <v>10035</v>
      </c>
      <c r="M861" t="s">
        <v>144</v>
      </c>
      <c r="N861" t="s">
        <v>3237</v>
      </c>
      <c r="O861" t="s">
        <v>28</v>
      </c>
      <c r="P861" t="s">
        <v>61</v>
      </c>
      <c r="Q861" t="s">
        <v>3238</v>
      </c>
      <c r="R861">
        <v>109.48</v>
      </c>
      <c r="S861" t="str">
        <f>TEXT(sales_data[[#This Row],[Order Date]],"mm")</f>
        <v>12</v>
      </c>
      <c r="T861">
        <f>YEAR(sales_data[[#This Row],[Order Date]])</f>
        <v>2018</v>
      </c>
      <c r="V861" t="s">
        <v>3237</v>
      </c>
    </row>
    <row r="862" spans="1:22" x14ac:dyDescent="0.35">
      <c r="A862">
        <v>1170</v>
      </c>
      <c r="B862" t="s">
        <v>3236</v>
      </c>
      <c r="C862" s="1">
        <v>43442</v>
      </c>
      <c r="D862" s="1">
        <v>43444</v>
      </c>
      <c r="E862" t="s">
        <v>19</v>
      </c>
      <c r="F862" t="s">
        <v>944</v>
      </c>
      <c r="G862" t="s">
        <v>945</v>
      </c>
      <c r="H862" t="s">
        <v>22</v>
      </c>
      <c r="I862" t="s">
        <v>23</v>
      </c>
      <c r="J862" t="s">
        <v>261</v>
      </c>
      <c r="K862" t="s">
        <v>262</v>
      </c>
      <c r="L862">
        <v>10035</v>
      </c>
      <c r="M862" t="s">
        <v>144</v>
      </c>
      <c r="N862" t="s">
        <v>3239</v>
      </c>
      <c r="O862" t="s">
        <v>42</v>
      </c>
      <c r="P862" t="s">
        <v>86</v>
      </c>
      <c r="Q862" t="s">
        <v>3240</v>
      </c>
      <c r="R862">
        <v>19.440000000000001</v>
      </c>
      <c r="S862" t="str">
        <f>TEXT(sales_data[[#This Row],[Order Date]],"mm")</f>
        <v>12</v>
      </c>
      <c r="T862">
        <f>YEAR(sales_data[[#This Row],[Order Date]])</f>
        <v>2018</v>
      </c>
      <c r="V862" t="s">
        <v>3239</v>
      </c>
    </row>
    <row r="863" spans="1:22" x14ac:dyDescent="0.35">
      <c r="A863">
        <v>1171</v>
      </c>
      <c r="B863" t="s">
        <v>3236</v>
      </c>
      <c r="C863" s="1">
        <v>43442</v>
      </c>
      <c r="D863" s="1">
        <v>43444</v>
      </c>
      <c r="E863" t="s">
        <v>19</v>
      </c>
      <c r="F863" t="s">
        <v>944</v>
      </c>
      <c r="G863" t="s">
        <v>945</v>
      </c>
      <c r="H863" t="s">
        <v>22</v>
      </c>
      <c r="I863" t="s">
        <v>23</v>
      </c>
      <c r="J863" t="s">
        <v>261</v>
      </c>
      <c r="K863" t="s">
        <v>262</v>
      </c>
      <c r="L863">
        <v>10035</v>
      </c>
      <c r="M863" t="s">
        <v>144</v>
      </c>
      <c r="N863" t="s">
        <v>3241</v>
      </c>
      <c r="O863" t="s">
        <v>42</v>
      </c>
      <c r="P863" t="s">
        <v>55</v>
      </c>
      <c r="Q863" t="s">
        <v>3242</v>
      </c>
      <c r="R863">
        <v>31.92</v>
      </c>
      <c r="S863" t="str">
        <f>TEXT(sales_data[[#This Row],[Order Date]],"mm")</f>
        <v>12</v>
      </c>
      <c r="T863">
        <f>YEAR(sales_data[[#This Row],[Order Date]])</f>
        <v>2018</v>
      </c>
      <c r="V863" t="s">
        <v>3241</v>
      </c>
    </row>
    <row r="864" spans="1:22" x14ac:dyDescent="0.35">
      <c r="A864">
        <v>1172</v>
      </c>
      <c r="B864" t="s">
        <v>3243</v>
      </c>
      <c r="C864" s="1">
        <v>42073</v>
      </c>
      <c r="D864" s="1">
        <v>42077</v>
      </c>
      <c r="E864" t="s">
        <v>46</v>
      </c>
      <c r="F864" t="s">
        <v>2818</v>
      </c>
      <c r="G864" t="s">
        <v>2819</v>
      </c>
      <c r="H864" t="s">
        <v>22</v>
      </c>
      <c r="I864" t="s">
        <v>23</v>
      </c>
      <c r="J864" t="s">
        <v>3244</v>
      </c>
      <c r="K864" t="s">
        <v>233</v>
      </c>
      <c r="L864">
        <v>48073</v>
      </c>
      <c r="M864" t="s">
        <v>101</v>
      </c>
      <c r="N864" t="s">
        <v>3245</v>
      </c>
      <c r="O864" t="s">
        <v>42</v>
      </c>
      <c r="P864" t="s">
        <v>86</v>
      </c>
      <c r="Q864" t="s">
        <v>3246</v>
      </c>
      <c r="R864">
        <v>22.38</v>
      </c>
      <c r="S864" t="str">
        <f>TEXT(sales_data[[#This Row],[Order Date]],"mm")</f>
        <v>03</v>
      </c>
      <c r="T864">
        <f>YEAR(sales_data[[#This Row],[Order Date]])</f>
        <v>2015</v>
      </c>
      <c r="V864" t="s">
        <v>3245</v>
      </c>
    </row>
    <row r="865" spans="1:22" x14ac:dyDescent="0.35">
      <c r="A865">
        <v>1173</v>
      </c>
      <c r="B865" t="s">
        <v>3247</v>
      </c>
      <c r="C865" s="1">
        <v>42115</v>
      </c>
      <c r="D865" s="1">
        <v>42119</v>
      </c>
      <c r="E865" t="s">
        <v>46</v>
      </c>
      <c r="F865" t="s">
        <v>1800</v>
      </c>
      <c r="G865" t="s">
        <v>1801</v>
      </c>
      <c r="H865" t="s">
        <v>22</v>
      </c>
      <c r="I865" t="s">
        <v>23</v>
      </c>
      <c r="J865" t="s">
        <v>38</v>
      </c>
      <c r="K865" t="s">
        <v>39</v>
      </c>
      <c r="L865">
        <v>90008</v>
      </c>
      <c r="M865" t="s">
        <v>40</v>
      </c>
      <c r="N865" t="s">
        <v>3248</v>
      </c>
      <c r="O865" t="s">
        <v>42</v>
      </c>
      <c r="P865" t="s">
        <v>71</v>
      </c>
      <c r="Q865" t="s">
        <v>3249</v>
      </c>
      <c r="R865">
        <v>16.52</v>
      </c>
      <c r="S865" t="str">
        <f>TEXT(sales_data[[#This Row],[Order Date]],"mm")</f>
        <v>04</v>
      </c>
      <c r="T865">
        <f>YEAR(sales_data[[#This Row],[Order Date]])</f>
        <v>2015</v>
      </c>
      <c r="V865" t="s">
        <v>3248</v>
      </c>
    </row>
    <row r="866" spans="1:22" x14ac:dyDescent="0.35">
      <c r="A866">
        <v>1175</v>
      </c>
      <c r="B866" t="s">
        <v>3250</v>
      </c>
      <c r="C866" s="1">
        <v>42604</v>
      </c>
      <c r="D866" s="1">
        <v>42607</v>
      </c>
      <c r="E866" t="s">
        <v>183</v>
      </c>
      <c r="F866" t="s">
        <v>2589</v>
      </c>
      <c r="G866" t="s">
        <v>2590</v>
      </c>
      <c r="H866" t="s">
        <v>37</v>
      </c>
      <c r="I866" t="s">
        <v>23</v>
      </c>
      <c r="J866" t="s">
        <v>261</v>
      </c>
      <c r="K866" t="s">
        <v>262</v>
      </c>
      <c r="L866">
        <v>10035</v>
      </c>
      <c r="M866" t="s">
        <v>144</v>
      </c>
      <c r="N866" t="s">
        <v>3251</v>
      </c>
      <c r="O866" t="s">
        <v>42</v>
      </c>
      <c r="P866" t="s">
        <v>71</v>
      </c>
      <c r="Q866" t="s">
        <v>3252</v>
      </c>
      <c r="R866">
        <v>50.112000000000002</v>
      </c>
      <c r="S866" t="str">
        <f>TEXT(sales_data[[#This Row],[Order Date]],"mm")</f>
        <v>08</v>
      </c>
      <c r="T866">
        <f>YEAR(sales_data[[#This Row],[Order Date]])</f>
        <v>2016</v>
      </c>
      <c r="V866" t="s">
        <v>3251</v>
      </c>
    </row>
    <row r="867" spans="1:22" x14ac:dyDescent="0.35">
      <c r="A867">
        <v>1177</v>
      </c>
      <c r="B867" t="s">
        <v>3253</v>
      </c>
      <c r="C867" s="1">
        <v>42365</v>
      </c>
      <c r="D867" s="1">
        <v>42368</v>
      </c>
      <c r="E867" t="s">
        <v>19</v>
      </c>
      <c r="F867" t="s">
        <v>3254</v>
      </c>
      <c r="G867" t="s">
        <v>3255</v>
      </c>
      <c r="H867" t="s">
        <v>98</v>
      </c>
      <c r="I867" t="s">
        <v>23</v>
      </c>
      <c r="J867" t="s">
        <v>38</v>
      </c>
      <c r="K867" t="s">
        <v>39</v>
      </c>
      <c r="L867">
        <v>90004</v>
      </c>
      <c r="M867" t="s">
        <v>40</v>
      </c>
      <c r="N867" t="s">
        <v>3256</v>
      </c>
      <c r="O867" t="s">
        <v>42</v>
      </c>
      <c r="P867" t="s">
        <v>43</v>
      </c>
      <c r="Q867" t="s">
        <v>3257</v>
      </c>
      <c r="R867">
        <v>11.56</v>
      </c>
      <c r="S867" t="str">
        <f>TEXT(sales_data[[#This Row],[Order Date]],"mm")</f>
        <v>12</v>
      </c>
      <c r="T867">
        <f>YEAR(sales_data[[#This Row],[Order Date]])</f>
        <v>2015</v>
      </c>
      <c r="V867" t="s">
        <v>3256</v>
      </c>
    </row>
    <row r="868" spans="1:22" x14ac:dyDescent="0.35">
      <c r="A868">
        <v>1178</v>
      </c>
      <c r="B868" t="s">
        <v>3258</v>
      </c>
      <c r="C868" s="1">
        <v>43070</v>
      </c>
      <c r="D868" s="1">
        <v>43074</v>
      </c>
      <c r="E868" t="s">
        <v>46</v>
      </c>
      <c r="F868" t="s">
        <v>327</v>
      </c>
      <c r="G868" t="s">
        <v>328</v>
      </c>
      <c r="H868" t="s">
        <v>22</v>
      </c>
      <c r="I868" t="s">
        <v>23</v>
      </c>
      <c r="J868" t="s">
        <v>3259</v>
      </c>
      <c r="K868" t="s">
        <v>2676</v>
      </c>
      <c r="L868">
        <v>20852</v>
      </c>
      <c r="M868" t="s">
        <v>144</v>
      </c>
      <c r="N868" t="s">
        <v>3260</v>
      </c>
      <c r="O868" t="s">
        <v>28</v>
      </c>
      <c r="P868" t="s">
        <v>32</v>
      </c>
      <c r="Q868" t="s">
        <v>3261</v>
      </c>
      <c r="R868">
        <v>172.5</v>
      </c>
      <c r="S868" t="str">
        <f>TEXT(sales_data[[#This Row],[Order Date]],"mm")</f>
        <v>12</v>
      </c>
      <c r="T868">
        <f>YEAR(sales_data[[#This Row],[Order Date]])</f>
        <v>2017</v>
      </c>
      <c r="V868" t="s">
        <v>3260</v>
      </c>
    </row>
    <row r="869" spans="1:22" x14ac:dyDescent="0.35">
      <c r="A869">
        <v>1181</v>
      </c>
      <c r="B869" t="s">
        <v>3263</v>
      </c>
      <c r="C869" s="1">
        <v>42176</v>
      </c>
      <c r="D869" s="1">
        <v>42180</v>
      </c>
      <c r="E869" t="s">
        <v>46</v>
      </c>
      <c r="F869" t="s">
        <v>635</v>
      </c>
      <c r="G869" t="s">
        <v>636</v>
      </c>
      <c r="H869" t="s">
        <v>22</v>
      </c>
      <c r="I869" t="s">
        <v>23</v>
      </c>
      <c r="J869" t="s">
        <v>1112</v>
      </c>
      <c r="K869" t="s">
        <v>780</v>
      </c>
      <c r="L869">
        <v>8701</v>
      </c>
      <c r="M869" t="s">
        <v>144</v>
      </c>
      <c r="N869" t="s">
        <v>3264</v>
      </c>
      <c r="O869" t="s">
        <v>67</v>
      </c>
      <c r="P869" t="s">
        <v>68</v>
      </c>
      <c r="Q869" t="s">
        <v>3265</v>
      </c>
      <c r="R869">
        <v>1322.93</v>
      </c>
      <c r="S869" t="str">
        <f>TEXT(sales_data[[#This Row],[Order Date]],"mm")</f>
        <v>06</v>
      </c>
      <c r="T869">
        <f>YEAR(sales_data[[#This Row],[Order Date]])</f>
        <v>2015</v>
      </c>
      <c r="V869" t="s">
        <v>3264</v>
      </c>
    </row>
    <row r="870" spans="1:22" x14ac:dyDescent="0.35">
      <c r="A870">
        <v>1182</v>
      </c>
      <c r="B870" t="s">
        <v>3263</v>
      </c>
      <c r="C870" s="1">
        <v>42176</v>
      </c>
      <c r="D870" s="1">
        <v>42180</v>
      </c>
      <c r="E870" t="s">
        <v>46</v>
      </c>
      <c r="F870" t="s">
        <v>635</v>
      </c>
      <c r="G870" t="s">
        <v>636</v>
      </c>
      <c r="H870" t="s">
        <v>22</v>
      </c>
      <c r="I870" t="s">
        <v>23</v>
      </c>
      <c r="J870" t="s">
        <v>1112</v>
      </c>
      <c r="K870" t="s">
        <v>780</v>
      </c>
      <c r="L870">
        <v>8701</v>
      </c>
      <c r="M870" t="s">
        <v>144</v>
      </c>
      <c r="N870" t="s">
        <v>3266</v>
      </c>
      <c r="O870" t="s">
        <v>42</v>
      </c>
      <c r="P870" t="s">
        <v>64</v>
      </c>
      <c r="Q870" t="s">
        <v>3267</v>
      </c>
      <c r="R870">
        <v>3.76</v>
      </c>
      <c r="S870" t="str">
        <f>TEXT(sales_data[[#This Row],[Order Date]],"mm")</f>
        <v>06</v>
      </c>
      <c r="T870">
        <f>YEAR(sales_data[[#This Row],[Order Date]])</f>
        <v>2015</v>
      </c>
      <c r="V870" t="s">
        <v>3266</v>
      </c>
    </row>
    <row r="871" spans="1:22" x14ac:dyDescent="0.35">
      <c r="A871">
        <v>1184</v>
      </c>
      <c r="B871" t="s">
        <v>3268</v>
      </c>
      <c r="C871" s="1">
        <v>43114</v>
      </c>
      <c r="D871" s="1">
        <v>43115</v>
      </c>
      <c r="E871" t="s">
        <v>183</v>
      </c>
      <c r="F871" t="s">
        <v>2163</v>
      </c>
      <c r="G871" t="s">
        <v>2164</v>
      </c>
      <c r="H871" t="s">
        <v>22</v>
      </c>
      <c r="I871" t="s">
        <v>23</v>
      </c>
      <c r="J871" t="s">
        <v>1509</v>
      </c>
      <c r="K871" t="s">
        <v>84</v>
      </c>
      <c r="L871">
        <v>28540</v>
      </c>
      <c r="M871" t="s">
        <v>26</v>
      </c>
      <c r="N871" t="s">
        <v>3269</v>
      </c>
      <c r="O871" t="s">
        <v>67</v>
      </c>
      <c r="P871" t="s">
        <v>68</v>
      </c>
      <c r="Q871" t="s">
        <v>3270</v>
      </c>
      <c r="R871">
        <v>7.92</v>
      </c>
      <c r="S871" t="str">
        <f>TEXT(sales_data[[#This Row],[Order Date]],"mm")</f>
        <v>01</v>
      </c>
      <c r="T871">
        <f>YEAR(sales_data[[#This Row],[Order Date]])</f>
        <v>2018</v>
      </c>
      <c r="V871" t="s">
        <v>3269</v>
      </c>
    </row>
    <row r="872" spans="1:22" x14ac:dyDescent="0.35">
      <c r="A872">
        <v>1185</v>
      </c>
      <c r="B872" t="s">
        <v>3271</v>
      </c>
      <c r="C872" s="1">
        <v>42332</v>
      </c>
      <c r="D872" s="1">
        <v>42338</v>
      </c>
      <c r="E872" t="s">
        <v>46</v>
      </c>
      <c r="F872" t="s">
        <v>3272</v>
      </c>
      <c r="G872" t="s">
        <v>3273</v>
      </c>
      <c r="H872" t="s">
        <v>37</v>
      </c>
      <c r="I872" t="s">
        <v>23</v>
      </c>
      <c r="J872" t="s">
        <v>91</v>
      </c>
      <c r="K872" t="s">
        <v>92</v>
      </c>
      <c r="L872">
        <v>98103</v>
      </c>
      <c r="M872" t="s">
        <v>40</v>
      </c>
      <c r="N872" t="s">
        <v>3274</v>
      </c>
      <c r="O872" t="s">
        <v>42</v>
      </c>
      <c r="P872" t="s">
        <v>71</v>
      </c>
      <c r="Q872" t="s">
        <v>3275</v>
      </c>
      <c r="R872">
        <v>12.096</v>
      </c>
      <c r="S872" t="str">
        <f>TEXT(sales_data[[#This Row],[Order Date]],"mm")</f>
        <v>11</v>
      </c>
      <c r="T872">
        <f>YEAR(sales_data[[#This Row],[Order Date]])</f>
        <v>2015</v>
      </c>
      <c r="V872" t="s">
        <v>3274</v>
      </c>
    </row>
    <row r="873" spans="1:22" x14ac:dyDescent="0.35">
      <c r="A873">
        <v>1186</v>
      </c>
      <c r="B873" t="s">
        <v>3271</v>
      </c>
      <c r="C873" s="1">
        <v>42332</v>
      </c>
      <c r="D873" s="1">
        <v>42338</v>
      </c>
      <c r="E873" t="s">
        <v>46</v>
      </c>
      <c r="F873" t="s">
        <v>3272</v>
      </c>
      <c r="G873" t="s">
        <v>3273</v>
      </c>
      <c r="H873" t="s">
        <v>37</v>
      </c>
      <c r="I873" t="s">
        <v>23</v>
      </c>
      <c r="J873" t="s">
        <v>91</v>
      </c>
      <c r="K873" t="s">
        <v>92</v>
      </c>
      <c r="L873">
        <v>98103</v>
      </c>
      <c r="M873" t="s">
        <v>40</v>
      </c>
      <c r="N873" t="s">
        <v>3276</v>
      </c>
      <c r="O873" t="s">
        <v>42</v>
      </c>
      <c r="P873" t="s">
        <v>55</v>
      </c>
      <c r="Q873" t="s">
        <v>3277</v>
      </c>
      <c r="R873">
        <v>485.88</v>
      </c>
      <c r="S873" t="str">
        <f>TEXT(sales_data[[#This Row],[Order Date]],"mm")</f>
        <v>11</v>
      </c>
      <c r="T873">
        <f>YEAR(sales_data[[#This Row],[Order Date]])</f>
        <v>2015</v>
      </c>
      <c r="V873" t="s">
        <v>3276</v>
      </c>
    </row>
    <row r="874" spans="1:22" x14ac:dyDescent="0.35">
      <c r="A874">
        <v>1190</v>
      </c>
      <c r="B874" t="s">
        <v>3278</v>
      </c>
      <c r="C874" s="1">
        <v>43157</v>
      </c>
      <c r="D874" s="1">
        <v>43159</v>
      </c>
      <c r="E874" t="s">
        <v>19</v>
      </c>
      <c r="F874" t="s">
        <v>3279</v>
      </c>
      <c r="G874" t="s">
        <v>3280</v>
      </c>
      <c r="H874" t="s">
        <v>98</v>
      </c>
      <c r="I874" t="s">
        <v>23</v>
      </c>
      <c r="J874" t="s">
        <v>38</v>
      </c>
      <c r="K874" t="s">
        <v>39</v>
      </c>
      <c r="L874">
        <v>90036</v>
      </c>
      <c r="M874" t="s">
        <v>40</v>
      </c>
      <c r="N874" t="s">
        <v>3281</v>
      </c>
      <c r="O874" t="s">
        <v>67</v>
      </c>
      <c r="P874" t="s">
        <v>68</v>
      </c>
      <c r="Q874" t="s">
        <v>3282</v>
      </c>
      <c r="R874">
        <v>889.53599999999994</v>
      </c>
      <c r="S874" t="str">
        <f>TEXT(sales_data[[#This Row],[Order Date]],"mm")</f>
        <v>02</v>
      </c>
      <c r="T874">
        <f>YEAR(sales_data[[#This Row],[Order Date]])</f>
        <v>2018</v>
      </c>
      <c r="V874" t="s">
        <v>3281</v>
      </c>
    </row>
    <row r="875" spans="1:22" x14ac:dyDescent="0.35">
      <c r="A875">
        <v>1191</v>
      </c>
      <c r="B875" t="s">
        <v>3278</v>
      </c>
      <c r="C875" s="1">
        <v>43157</v>
      </c>
      <c r="D875" s="1">
        <v>43159</v>
      </c>
      <c r="E875" t="s">
        <v>19</v>
      </c>
      <c r="F875" t="s">
        <v>3279</v>
      </c>
      <c r="G875" t="s">
        <v>3280</v>
      </c>
      <c r="H875" t="s">
        <v>98</v>
      </c>
      <c r="I875" t="s">
        <v>23</v>
      </c>
      <c r="J875" t="s">
        <v>38</v>
      </c>
      <c r="K875" t="s">
        <v>39</v>
      </c>
      <c r="L875">
        <v>90036</v>
      </c>
      <c r="M875" t="s">
        <v>40</v>
      </c>
      <c r="N875" t="s">
        <v>3283</v>
      </c>
      <c r="O875" t="s">
        <v>28</v>
      </c>
      <c r="P875" t="s">
        <v>32</v>
      </c>
      <c r="Q875" t="s">
        <v>3284</v>
      </c>
      <c r="R875">
        <v>892.22400000000005</v>
      </c>
      <c r="S875" t="str">
        <f>TEXT(sales_data[[#This Row],[Order Date]],"mm")</f>
        <v>02</v>
      </c>
      <c r="T875">
        <f>YEAR(sales_data[[#This Row],[Order Date]])</f>
        <v>2018</v>
      </c>
      <c r="V875" t="s">
        <v>3283</v>
      </c>
    </row>
    <row r="876" spans="1:22" x14ac:dyDescent="0.35">
      <c r="A876">
        <v>1193</v>
      </c>
      <c r="B876" t="s">
        <v>3278</v>
      </c>
      <c r="C876" s="1">
        <v>43157</v>
      </c>
      <c r="D876" s="1">
        <v>43159</v>
      </c>
      <c r="E876" t="s">
        <v>19</v>
      </c>
      <c r="F876" t="s">
        <v>3279</v>
      </c>
      <c r="G876" t="s">
        <v>3280</v>
      </c>
      <c r="H876" t="s">
        <v>98</v>
      </c>
      <c r="I876" t="s">
        <v>23</v>
      </c>
      <c r="J876" t="s">
        <v>38</v>
      </c>
      <c r="K876" t="s">
        <v>39</v>
      </c>
      <c r="L876">
        <v>90036</v>
      </c>
      <c r="M876" t="s">
        <v>40</v>
      </c>
      <c r="N876" t="s">
        <v>3285</v>
      </c>
      <c r="O876" t="s">
        <v>42</v>
      </c>
      <c r="P876" t="s">
        <v>86</v>
      </c>
      <c r="Q876" t="s">
        <v>3286</v>
      </c>
      <c r="R876">
        <v>23.12</v>
      </c>
      <c r="S876" t="str">
        <f>TEXT(sales_data[[#This Row],[Order Date]],"mm")</f>
        <v>02</v>
      </c>
      <c r="T876">
        <f>YEAR(sales_data[[#This Row],[Order Date]])</f>
        <v>2018</v>
      </c>
      <c r="V876" t="s">
        <v>3285</v>
      </c>
    </row>
    <row r="877" spans="1:22" x14ac:dyDescent="0.35">
      <c r="A877">
        <v>1195</v>
      </c>
      <c r="B877" t="s">
        <v>3287</v>
      </c>
      <c r="C877" s="1">
        <v>42628</v>
      </c>
      <c r="D877" s="1">
        <v>42628</v>
      </c>
      <c r="E877" t="s">
        <v>1277</v>
      </c>
      <c r="F877" t="s">
        <v>2018</v>
      </c>
      <c r="G877" t="s">
        <v>2019</v>
      </c>
      <c r="H877" t="s">
        <v>37</v>
      </c>
      <c r="I877" t="s">
        <v>23</v>
      </c>
      <c r="J877" t="s">
        <v>3288</v>
      </c>
      <c r="K877" t="s">
        <v>50</v>
      </c>
      <c r="L877">
        <v>33065</v>
      </c>
      <c r="M877" t="s">
        <v>26</v>
      </c>
      <c r="N877" t="s">
        <v>3289</v>
      </c>
      <c r="O877" t="s">
        <v>28</v>
      </c>
      <c r="P877" t="s">
        <v>61</v>
      </c>
      <c r="Q877" t="s">
        <v>3290</v>
      </c>
      <c r="R877">
        <v>15.712</v>
      </c>
      <c r="S877" t="str">
        <f>TEXT(sales_data[[#This Row],[Order Date]],"mm")</f>
        <v>09</v>
      </c>
      <c r="T877">
        <f>YEAR(sales_data[[#This Row],[Order Date]])</f>
        <v>2016</v>
      </c>
      <c r="V877" t="s">
        <v>3289</v>
      </c>
    </row>
    <row r="878" spans="1:22" x14ac:dyDescent="0.35">
      <c r="A878">
        <v>1198</v>
      </c>
      <c r="B878" t="s">
        <v>3291</v>
      </c>
      <c r="C878" s="1">
        <v>42833</v>
      </c>
      <c r="D878" s="1">
        <v>42837</v>
      </c>
      <c r="E878" t="s">
        <v>46</v>
      </c>
      <c r="F878" t="s">
        <v>1951</v>
      </c>
      <c r="G878" t="s">
        <v>1952</v>
      </c>
      <c r="H878" t="s">
        <v>22</v>
      </c>
      <c r="I878" t="s">
        <v>23</v>
      </c>
      <c r="J878" t="s">
        <v>179</v>
      </c>
      <c r="K878" t="s">
        <v>100</v>
      </c>
      <c r="L878">
        <v>77041</v>
      </c>
      <c r="M878" t="s">
        <v>101</v>
      </c>
      <c r="N878" t="s">
        <v>3292</v>
      </c>
      <c r="O878" t="s">
        <v>67</v>
      </c>
      <c r="P878" t="s">
        <v>156</v>
      </c>
      <c r="Q878" t="s">
        <v>3293</v>
      </c>
      <c r="R878">
        <v>431.928</v>
      </c>
      <c r="S878" t="str">
        <f>TEXT(sales_data[[#This Row],[Order Date]],"mm")</f>
        <v>04</v>
      </c>
      <c r="T878">
        <f>YEAR(sales_data[[#This Row],[Order Date]])</f>
        <v>2017</v>
      </c>
      <c r="V878" t="s">
        <v>3292</v>
      </c>
    </row>
    <row r="879" spans="1:22" x14ac:dyDescent="0.35">
      <c r="A879">
        <v>1199</v>
      </c>
      <c r="B879" t="s">
        <v>3291</v>
      </c>
      <c r="C879" s="1">
        <v>42833</v>
      </c>
      <c r="D879" s="1">
        <v>42837</v>
      </c>
      <c r="E879" t="s">
        <v>46</v>
      </c>
      <c r="F879" t="s">
        <v>1951</v>
      </c>
      <c r="G879" t="s">
        <v>1952</v>
      </c>
      <c r="H879" t="s">
        <v>22</v>
      </c>
      <c r="I879" t="s">
        <v>23</v>
      </c>
      <c r="J879" t="s">
        <v>179</v>
      </c>
      <c r="K879" t="s">
        <v>100</v>
      </c>
      <c r="L879">
        <v>77041</v>
      </c>
      <c r="M879" t="s">
        <v>101</v>
      </c>
      <c r="N879" t="s">
        <v>3294</v>
      </c>
      <c r="O879" t="s">
        <v>28</v>
      </c>
      <c r="P879" t="s">
        <v>32</v>
      </c>
      <c r="Q879" t="s">
        <v>3295</v>
      </c>
      <c r="R879">
        <v>95.983999999999995</v>
      </c>
      <c r="S879" t="str">
        <f>TEXT(sales_data[[#This Row],[Order Date]],"mm")</f>
        <v>04</v>
      </c>
      <c r="T879">
        <f>YEAR(sales_data[[#This Row],[Order Date]])</f>
        <v>2017</v>
      </c>
      <c r="V879" t="s">
        <v>3294</v>
      </c>
    </row>
    <row r="880" spans="1:22" x14ac:dyDescent="0.35">
      <c r="A880">
        <v>1204</v>
      </c>
      <c r="B880" t="s">
        <v>3296</v>
      </c>
      <c r="C880" s="1">
        <v>42934</v>
      </c>
      <c r="D880" s="1">
        <v>42940</v>
      </c>
      <c r="E880" t="s">
        <v>46</v>
      </c>
      <c r="F880" t="s">
        <v>2627</v>
      </c>
      <c r="G880" t="s">
        <v>2628</v>
      </c>
      <c r="H880" t="s">
        <v>37</v>
      </c>
      <c r="I880" t="s">
        <v>23</v>
      </c>
      <c r="J880" t="s">
        <v>799</v>
      </c>
      <c r="K880" t="s">
        <v>452</v>
      </c>
      <c r="L880">
        <v>80219</v>
      </c>
      <c r="M880" t="s">
        <v>40</v>
      </c>
      <c r="N880" t="s">
        <v>3297</v>
      </c>
      <c r="O880" t="s">
        <v>42</v>
      </c>
      <c r="P880" t="s">
        <v>55</v>
      </c>
      <c r="Q880" t="s">
        <v>3298</v>
      </c>
      <c r="R880">
        <v>593.56799999999998</v>
      </c>
      <c r="S880" t="str">
        <f>TEXT(sales_data[[#This Row],[Order Date]],"mm")</f>
        <v>07</v>
      </c>
      <c r="T880">
        <f>YEAR(sales_data[[#This Row],[Order Date]])</f>
        <v>2017</v>
      </c>
      <c r="V880" t="s">
        <v>3297</v>
      </c>
    </row>
    <row r="881" spans="1:22" x14ac:dyDescent="0.35">
      <c r="A881">
        <v>1210</v>
      </c>
      <c r="B881" t="s">
        <v>3300</v>
      </c>
      <c r="C881" s="1">
        <v>42930</v>
      </c>
      <c r="D881" s="1">
        <v>42934</v>
      </c>
      <c r="E881" t="s">
        <v>19</v>
      </c>
      <c r="F881" t="s">
        <v>3301</v>
      </c>
      <c r="G881" t="s">
        <v>3302</v>
      </c>
      <c r="H881" t="s">
        <v>37</v>
      </c>
      <c r="I881" t="s">
        <v>23</v>
      </c>
      <c r="J881" t="s">
        <v>261</v>
      </c>
      <c r="K881" t="s">
        <v>262</v>
      </c>
      <c r="L881">
        <v>10009</v>
      </c>
      <c r="M881" t="s">
        <v>144</v>
      </c>
      <c r="N881" t="s">
        <v>3303</v>
      </c>
      <c r="O881" t="s">
        <v>42</v>
      </c>
      <c r="P881" t="s">
        <v>64</v>
      </c>
      <c r="Q881" t="s">
        <v>3304</v>
      </c>
      <c r="R881">
        <v>41.86</v>
      </c>
      <c r="S881" t="str">
        <f>TEXT(sales_data[[#This Row],[Order Date]],"mm")</f>
        <v>07</v>
      </c>
      <c r="T881">
        <f>YEAR(sales_data[[#This Row],[Order Date]])</f>
        <v>2017</v>
      </c>
      <c r="V881" t="s">
        <v>3303</v>
      </c>
    </row>
    <row r="882" spans="1:22" x14ac:dyDescent="0.35">
      <c r="A882">
        <v>1211</v>
      </c>
      <c r="B882" t="s">
        <v>3300</v>
      </c>
      <c r="C882" s="1">
        <v>42930</v>
      </c>
      <c r="D882" s="1">
        <v>42934</v>
      </c>
      <c r="E882" t="s">
        <v>19</v>
      </c>
      <c r="F882" t="s">
        <v>3301</v>
      </c>
      <c r="G882" t="s">
        <v>3302</v>
      </c>
      <c r="H882" t="s">
        <v>37</v>
      </c>
      <c r="I882" t="s">
        <v>23</v>
      </c>
      <c r="J882" t="s">
        <v>261</v>
      </c>
      <c r="K882" t="s">
        <v>262</v>
      </c>
      <c r="L882">
        <v>10009</v>
      </c>
      <c r="M882" t="s">
        <v>144</v>
      </c>
      <c r="N882" t="s">
        <v>3305</v>
      </c>
      <c r="O882" t="s">
        <v>42</v>
      </c>
      <c r="P882" t="s">
        <v>71</v>
      </c>
      <c r="Q882" t="s">
        <v>3306</v>
      </c>
      <c r="R882">
        <v>8.5440000000000005</v>
      </c>
      <c r="S882" t="str">
        <f>TEXT(sales_data[[#This Row],[Order Date]],"mm")</f>
        <v>07</v>
      </c>
      <c r="T882">
        <f>YEAR(sales_data[[#This Row],[Order Date]])</f>
        <v>2017</v>
      </c>
      <c r="V882" t="s">
        <v>3305</v>
      </c>
    </row>
    <row r="883" spans="1:22" x14ac:dyDescent="0.35">
      <c r="A883">
        <v>1214</v>
      </c>
      <c r="B883" t="s">
        <v>3307</v>
      </c>
      <c r="C883" s="1">
        <v>43352</v>
      </c>
      <c r="D883" s="1">
        <v>43356</v>
      </c>
      <c r="E883" t="s">
        <v>46</v>
      </c>
      <c r="F883" t="s">
        <v>3308</v>
      </c>
      <c r="G883" t="s">
        <v>3309</v>
      </c>
      <c r="H883" t="s">
        <v>37</v>
      </c>
      <c r="I883" t="s">
        <v>23</v>
      </c>
      <c r="J883" t="s">
        <v>142</v>
      </c>
      <c r="K883" t="s">
        <v>143</v>
      </c>
      <c r="L883">
        <v>19134</v>
      </c>
      <c r="M883" t="s">
        <v>144</v>
      </c>
      <c r="N883" t="s">
        <v>3310</v>
      </c>
      <c r="O883" t="s">
        <v>42</v>
      </c>
      <c r="P883" t="s">
        <v>71</v>
      </c>
      <c r="Q883" t="s">
        <v>3311</v>
      </c>
      <c r="R883">
        <v>3.036</v>
      </c>
      <c r="S883" t="str">
        <f>TEXT(sales_data[[#This Row],[Order Date]],"mm")</f>
        <v>09</v>
      </c>
      <c r="T883">
        <f>YEAR(sales_data[[#This Row],[Order Date]])</f>
        <v>2018</v>
      </c>
      <c r="V883" t="s">
        <v>3310</v>
      </c>
    </row>
    <row r="884" spans="1:22" x14ac:dyDescent="0.35">
      <c r="A884">
        <v>1218</v>
      </c>
      <c r="B884" t="s">
        <v>3307</v>
      </c>
      <c r="C884" s="1">
        <v>43352</v>
      </c>
      <c r="D884" s="1">
        <v>43356</v>
      </c>
      <c r="E884" t="s">
        <v>46</v>
      </c>
      <c r="F884" t="s">
        <v>3308</v>
      </c>
      <c r="G884" t="s">
        <v>3309</v>
      </c>
      <c r="H884" t="s">
        <v>37</v>
      </c>
      <c r="I884" t="s">
        <v>23</v>
      </c>
      <c r="J884" t="s">
        <v>142</v>
      </c>
      <c r="K884" t="s">
        <v>143</v>
      </c>
      <c r="L884">
        <v>19134</v>
      </c>
      <c r="M884" t="s">
        <v>144</v>
      </c>
      <c r="N884" t="s">
        <v>3312</v>
      </c>
      <c r="O884" t="s">
        <v>28</v>
      </c>
      <c r="P884" t="s">
        <v>61</v>
      </c>
      <c r="Q884" t="s">
        <v>3313</v>
      </c>
      <c r="R884">
        <v>17.024000000000001</v>
      </c>
      <c r="S884" t="str">
        <f>TEXT(sales_data[[#This Row],[Order Date]],"mm")</f>
        <v>09</v>
      </c>
      <c r="T884">
        <f>YEAR(sales_data[[#This Row],[Order Date]])</f>
        <v>2018</v>
      </c>
      <c r="V884" t="s">
        <v>3312</v>
      </c>
    </row>
    <row r="885" spans="1:22" x14ac:dyDescent="0.35">
      <c r="A885">
        <v>1220</v>
      </c>
      <c r="B885" t="s">
        <v>3307</v>
      </c>
      <c r="C885" s="1">
        <v>43352</v>
      </c>
      <c r="D885" s="1">
        <v>43356</v>
      </c>
      <c r="E885" t="s">
        <v>46</v>
      </c>
      <c r="F885" t="s">
        <v>3308</v>
      </c>
      <c r="G885" t="s">
        <v>3309</v>
      </c>
      <c r="H885" t="s">
        <v>37</v>
      </c>
      <c r="I885" t="s">
        <v>23</v>
      </c>
      <c r="J885" t="s">
        <v>142</v>
      </c>
      <c r="K885" t="s">
        <v>143</v>
      </c>
      <c r="L885">
        <v>19134</v>
      </c>
      <c r="M885" t="s">
        <v>144</v>
      </c>
      <c r="N885" t="s">
        <v>3314</v>
      </c>
      <c r="O885" t="s">
        <v>67</v>
      </c>
      <c r="P885" t="s">
        <v>68</v>
      </c>
      <c r="Q885" t="s">
        <v>3315</v>
      </c>
      <c r="R885">
        <v>1931.9580000000001</v>
      </c>
      <c r="S885" t="str">
        <f>TEXT(sales_data[[#This Row],[Order Date]],"mm")</f>
        <v>09</v>
      </c>
      <c r="T885">
        <f>YEAR(sales_data[[#This Row],[Order Date]])</f>
        <v>2018</v>
      </c>
      <c r="V885" t="s">
        <v>3314</v>
      </c>
    </row>
    <row r="886" spans="1:22" x14ac:dyDescent="0.35">
      <c r="A886">
        <v>1222</v>
      </c>
      <c r="B886" t="s">
        <v>3316</v>
      </c>
      <c r="C886" s="1">
        <v>42197</v>
      </c>
      <c r="D886" s="1">
        <v>42201</v>
      </c>
      <c r="E886" t="s">
        <v>46</v>
      </c>
      <c r="F886" t="s">
        <v>3317</v>
      </c>
      <c r="G886" t="s">
        <v>3318</v>
      </c>
      <c r="H886" t="s">
        <v>98</v>
      </c>
      <c r="I886" t="s">
        <v>23</v>
      </c>
      <c r="J886" t="s">
        <v>38</v>
      </c>
      <c r="K886" t="s">
        <v>39</v>
      </c>
      <c r="L886">
        <v>90036</v>
      </c>
      <c r="M886" t="s">
        <v>40</v>
      </c>
      <c r="N886" t="s">
        <v>3319</v>
      </c>
      <c r="O886" t="s">
        <v>67</v>
      </c>
      <c r="P886" t="s">
        <v>68</v>
      </c>
      <c r="Q886" t="s">
        <v>3320</v>
      </c>
      <c r="R886">
        <v>255.93600000000001</v>
      </c>
      <c r="S886" t="str">
        <f>TEXT(sales_data[[#This Row],[Order Date]],"mm")</f>
        <v>07</v>
      </c>
      <c r="T886">
        <f>YEAR(sales_data[[#This Row],[Order Date]])</f>
        <v>2015</v>
      </c>
      <c r="V886" t="s">
        <v>3319</v>
      </c>
    </row>
    <row r="887" spans="1:22" x14ac:dyDescent="0.35">
      <c r="A887">
        <v>1226</v>
      </c>
      <c r="B887" t="s">
        <v>3321</v>
      </c>
      <c r="C887" s="1">
        <v>43073</v>
      </c>
      <c r="D887" s="1">
        <v>43074</v>
      </c>
      <c r="E887" t="s">
        <v>183</v>
      </c>
      <c r="F887" t="s">
        <v>669</v>
      </c>
      <c r="G887" t="s">
        <v>670</v>
      </c>
      <c r="H887" t="s">
        <v>22</v>
      </c>
      <c r="I887" t="s">
        <v>23</v>
      </c>
      <c r="J887" t="s">
        <v>261</v>
      </c>
      <c r="K887" t="s">
        <v>262</v>
      </c>
      <c r="L887">
        <v>10024</v>
      </c>
      <c r="M887" t="s">
        <v>144</v>
      </c>
      <c r="N887" t="s">
        <v>3322</v>
      </c>
      <c r="O887" t="s">
        <v>42</v>
      </c>
      <c r="P887" t="s">
        <v>86</v>
      </c>
      <c r="Q887" t="s">
        <v>181</v>
      </c>
      <c r="R887">
        <v>40.56</v>
      </c>
      <c r="S887" t="str">
        <f>TEXT(sales_data[[#This Row],[Order Date]],"mm")</f>
        <v>12</v>
      </c>
      <c r="T887">
        <f>YEAR(sales_data[[#This Row],[Order Date]])</f>
        <v>2017</v>
      </c>
      <c r="V887" t="s">
        <v>3322</v>
      </c>
    </row>
    <row r="888" spans="1:22" x14ac:dyDescent="0.35">
      <c r="A888">
        <v>1227</v>
      </c>
      <c r="B888" t="s">
        <v>3321</v>
      </c>
      <c r="C888" s="1">
        <v>43073</v>
      </c>
      <c r="D888" s="1">
        <v>43074</v>
      </c>
      <c r="E888" t="s">
        <v>183</v>
      </c>
      <c r="F888" t="s">
        <v>669</v>
      </c>
      <c r="G888" t="s">
        <v>670</v>
      </c>
      <c r="H888" t="s">
        <v>22</v>
      </c>
      <c r="I888" t="s">
        <v>23</v>
      </c>
      <c r="J888" t="s">
        <v>261</v>
      </c>
      <c r="K888" t="s">
        <v>262</v>
      </c>
      <c r="L888">
        <v>10024</v>
      </c>
      <c r="M888" t="s">
        <v>144</v>
      </c>
      <c r="N888" t="s">
        <v>3323</v>
      </c>
      <c r="O888" t="s">
        <v>42</v>
      </c>
      <c r="P888" t="s">
        <v>55</v>
      </c>
      <c r="Q888" t="s">
        <v>3324</v>
      </c>
      <c r="R888">
        <v>182.94</v>
      </c>
      <c r="S888" t="str">
        <f>TEXT(sales_data[[#This Row],[Order Date]],"mm")</f>
        <v>12</v>
      </c>
      <c r="T888">
        <f>YEAR(sales_data[[#This Row],[Order Date]])</f>
        <v>2017</v>
      </c>
      <c r="V888" t="s">
        <v>3323</v>
      </c>
    </row>
    <row r="889" spans="1:22" x14ac:dyDescent="0.35">
      <c r="A889">
        <v>1228</v>
      </c>
      <c r="B889" t="s">
        <v>3321</v>
      </c>
      <c r="C889" s="1">
        <v>43073</v>
      </c>
      <c r="D889" s="1">
        <v>43074</v>
      </c>
      <c r="E889" t="s">
        <v>183</v>
      </c>
      <c r="F889" t="s">
        <v>669</v>
      </c>
      <c r="G889" t="s">
        <v>670</v>
      </c>
      <c r="H889" t="s">
        <v>22</v>
      </c>
      <c r="I889" t="s">
        <v>23</v>
      </c>
      <c r="J889" t="s">
        <v>261</v>
      </c>
      <c r="K889" t="s">
        <v>262</v>
      </c>
      <c r="L889">
        <v>10024</v>
      </c>
      <c r="M889" t="s">
        <v>144</v>
      </c>
      <c r="N889" t="s">
        <v>3325</v>
      </c>
      <c r="O889" t="s">
        <v>42</v>
      </c>
      <c r="P889" t="s">
        <v>55</v>
      </c>
      <c r="Q889" t="s">
        <v>3326</v>
      </c>
      <c r="R889">
        <v>193.86</v>
      </c>
      <c r="S889" t="str">
        <f>TEXT(sales_data[[#This Row],[Order Date]],"mm")</f>
        <v>12</v>
      </c>
      <c r="T889">
        <f>YEAR(sales_data[[#This Row],[Order Date]])</f>
        <v>2017</v>
      </c>
      <c r="V889" t="s">
        <v>3325</v>
      </c>
    </row>
    <row r="890" spans="1:22" x14ac:dyDescent="0.35">
      <c r="A890">
        <v>1231</v>
      </c>
      <c r="B890" t="s">
        <v>3327</v>
      </c>
      <c r="C890" s="1">
        <v>43410</v>
      </c>
      <c r="D890" s="1">
        <v>43415</v>
      </c>
      <c r="E890" t="s">
        <v>46</v>
      </c>
      <c r="F890" t="s">
        <v>1951</v>
      </c>
      <c r="G890" t="s">
        <v>1952</v>
      </c>
      <c r="H890" t="s">
        <v>22</v>
      </c>
      <c r="I890" t="s">
        <v>23</v>
      </c>
      <c r="J890" t="s">
        <v>38</v>
      </c>
      <c r="K890" t="s">
        <v>39</v>
      </c>
      <c r="L890">
        <v>90045</v>
      </c>
      <c r="M890" t="s">
        <v>40</v>
      </c>
      <c r="N890" t="s">
        <v>3328</v>
      </c>
      <c r="O890" t="s">
        <v>42</v>
      </c>
      <c r="P890" t="s">
        <v>64</v>
      </c>
      <c r="Q890" t="s">
        <v>3329</v>
      </c>
      <c r="R890">
        <v>5.68</v>
      </c>
      <c r="S890" t="str">
        <f>TEXT(sales_data[[#This Row],[Order Date]],"mm")</f>
        <v>11</v>
      </c>
      <c r="T890">
        <f>YEAR(sales_data[[#This Row],[Order Date]])</f>
        <v>2018</v>
      </c>
      <c r="V890" t="s">
        <v>3328</v>
      </c>
    </row>
    <row r="891" spans="1:22" x14ac:dyDescent="0.35">
      <c r="A891">
        <v>1233</v>
      </c>
      <c r="B891" t="s">
        <v>3330</v>
      </c>
      <c r="C891" s="1">
        <v>42674</v>
      </c>
      <c r="D891" s="1">
        <v>42676</v>
      </c>
      <c r="E891" t="s">
        <v>19</v>
      </c>
      <c r="F891" t="s">
        <v>3331</v>
      </c>
      <c r="G891" t="s">
        <v>3332</v>
      </c>
      <c r="H891" t="s">
        <v>22</v>
      </c>
      <c r="I891" t="s">
        <v>23</v>
      </c>
      <c r="J891" t="s">
        <v>3333</v>
      </c>
      <c r="K891" t="s">
        <v>262</v>
      </c>
      <c r="L891">
        <v>14215</v>
      </c>
      <c r="M891" t="s">
        <v>144</v>
      </c>
      <c r="N891" t="s">
        <v>3334</v>
      </c>
      <c r="O891" t="s">
        <v>42</v>
      </c>
      <c r="P891" t="s">
        <v>168</v>
      </c>
      <c r="Q891" t="s">
        <v>3335</v>
      </c>
      <c r="R891">
        <v>79.959999999999994</v>
      </c>
      <c r="S891" t="str">
        <f>TEXT(sales_data[[#This Row],[Order Date]],"mm")</f>
        <v>10</v>
      </c>
      <c r="T891">
        <f>YEAR(sales_data[[#This Row],[Order Date]])</f>
        <v>2016</v>
      </c>
      <c r="V891" t="s">
        <v>3334</v>
      </c>
    </row>
    <row r="892" spans="1:22" x14ac:dyDescent="0.35">
      <c r="A892">
        <v>1234</v>
      </c>
      <c r="B892" t="s">
        <v>3336</v>
      </c>
      <c r="C892" s="1">
        <v>42885</v>
      </c>
      <c r="D892" s="1">
        <v>42887</v>
      </c>
      <c r="E892" t="s">
        <v>183</v>
      </c>
      <c r="F892" t="s">
        <v>3337</v>
      </c>
      <c r="G892" t="s">
        <v>3338</v>
      </c>
      <c r="H892" t="s">
        <v>37</v>
      </c>
      <c r="I892" t="s">
        <v>23</v>
      </c>
      <c r="J892" t="s">
        <v>1000</v>
      </c>
      <c r="K892" t="s">
        <v>493</v>
      </c>
      <c r="L892">
        <v>45231</v>
      </c>
      <c r="M892" t="s">
        <v>144</v>
      </c>
      <c r="N892" t="s">
        <v>3339</v>
      </c>
      <c r="O892" t="s">
        <v>67</v>
      </c>
      <c r="P892" t="s">
        <v>1209</v>
      </c>
      <c r="Q892" t="s">
        <v>3340</v>
      </c>
      <c r="R892">
        <v>839.98800000000006</v>
      </c>
      <c r="S892" t="str">
        <f>TEXT(sales_data[[#This Row],[Order Date]],"mm")</f>
        <v>05</v>
      </c>
      <c r="T892">
        <f>YEAR(sales_data[[#This Row],[Order Date]])</f>
        <v>2017</v>
      </c>
      <c r="V892" t="s">
        <v>3339</v>
      </c>
    </row>
    <row r="893" spans="1:22" x14ac:dyDescent="0.35">
      <c r="A893">
        <v>1235</v>
      </c>
      <c r="B893" t="s">
        <v>3341</v>
      </c>
      <c r="C893" s="1">
        <v>43036</v>
      </c>
      <c r="D893" s="1">
        <v>43036</v>
      </c>
      <c r="E893" t="s">
        <v>1277</v>
      </c>
      <c r="F893" t="s">
        <v>2521</v>
      </c>
      <c r="G893" t="s">
        <v>2522</v>
      </c>
      <c r="H893" t="s">
        <v>22</v>
      </c>
      <c r="I893" t="s">
        <v>23</v>
      </c>
      <c r="J893" t="s">
        <v>3342</v>
      </c>
      <c r="K893" t="s">
        <v>50</v>
      </c>
      <c r="L893">
        <v>33437</v>
      </c>
      <c r="M893" t="s">
        <v>26</v>
      </c>
      <c r="N893" t="s">
        <v>3343</v>
      </c>
      <c r="O893" t="s">
        <v>28</v>
      </c>
      <c r="P893" t="s">
        <v>61</v>
      </c>
      <c r="Q893" t="s">
        <v>3344</v>
      </c>
      <c r="R893">
        <v>47.951999999999998</v>
      </c>
      <c r="S893" t="str">
        <f>TEXT(sales_data[[#This Row],[Order Date]],"mm")</f>
        <v>10</v>
      </c>
      <c r="T893">
        <f>YEAR(sales_data[[#This Row],[Order Date]])</f>
        <v>2017</v>
      </c>
      <c r="V893" t="s">
        <v>3343</v>
      </c>
    </row>
    <row r="894" spans="1:22" x14ac:dyDescent="0.35">
      <c r="A894">
        <v>1237</v>
      </c>
      <c r="B894" t="s">
        <v>3341</v>
      </c>
      <c r="C894" s="1">
        <v>43036</v>
      </c>
      <c r="D894" s="1">
        <v>43036</v>
      </c>
      <c r="E894" t="s">
        <v>1277</v>
      </c>
      <c r="F894" t="s">
        <v>2521</v>
      </c>
      <c r="G894" t="s">
        <v>2522</v>
      </c>
      <c r="H894" t="s">
        <v>22</v>
      </c>
      <c r="I894" t="s">
        <v>23</v>
      </c>
      <c r="J894" t="s">
        <v>3342</v>
      </c>
      <c r="K894" t="s">
        <v>50</v>
      </c>
      <c r="L894">
        <v>33437</v>
      </c>
      <c r="M894" t="s">
        <v>26</v>
      </c>
      <c r="N894" t="s">
        <v>3345</v>
      </c>
      <c r="O894" t="s">
        <v>28</v>
      </c>
      <c r="P894" t="s">
        <v>61</v>
      </c>
      <c r="Q894" t="s">
        <v>3346</v>
      </c>
      <c r="R894">
        <v>63.968000000000004</v>
      </c>
      <c r="S894" t="str">
        <f>TEXT(sales_data[[#This Row],[Order Date]],"mm")</f>
        <v>10</v>
      </c>
      <c r="T894">
        <f>YEAR(sales_data[[#This Row],[Order Date]])</f>
        <v>2017</v>
      </c>
      <c r="V894" t="s">
        <v>3345</v>
      </c>
    </row>
    <row r="895" spans="1:22" x14ac:dyDescent="0.35">
      <c r="A895">
        <v>1239</v>
      </c>
      <c r="B895" t="s">
        <v>3347</v>
      </c>
      <c r="C895" s="1">
        <v>42227</v>
      </c>
      <c r="D895" s="1">
        <v>42231</v>
      </c>
      <c r="E895" t="s">
        <v>46</v>
      </c>
      <c r="F895" t="s">
        <v>3348</v>
      </c>
      <c r="G895" t="s">
        <v>3349</v>
      </c>
      <c r="H895" t="s">
        <v>22</v>
      </c>
      <c r="I895" t="s">
        <v>23</v>
      </c>
      <c r="J895" t="s">
        <v>91</v>
      </c>
      <c r="K895" t="s">
        <v>92</v>
      </c>
      <c r="L895">
        <v>98105</v>
      </c>
      <c r="M895" t="s">
        <v>40</v>
      </c>
      <c r="N895" t="s">
        <v>3350</v>
      </c>
      <c r="O895" t="s">
        <v>28</v>
      </c>
      <c r="P895" t="s">
        <v>61</v>
      </c>
      <c r="Q895" t="s">
        <v>3351</v>
      </c>
      <c r="R895">
        <v>12.35</v>
      </c>
      <c r="S895" t="str">
        <f>TEXT(sales_data[[#This Row],[Order Date]],"mm")</f>
        <v>08</v>
      </c>
      <c r="T895">
        <f>YEAR(sales_data[[#This Row],[Order Date]])</f>
        <v>2015</v>
      </c>
      <c r="V895" t="s">
        <v>3350</v>
      </c>
    </row>
    <row r="896" spans="1:22" x14ac:dyDescent="0.35">
      <c r="A896">
        <v>1240</v>
      </c>
      <c r="B896" t="s">
        <v>3347</v>
      </c>
      <c r="C896" s="1">
        <v>42227</v>
      </c>
      <c r="D896" s="1">
        <v>42231</v>
      </c>
      <c r="E896" t="s">
        <v>46</v>
      </c>
      <c r="F896" t="s">
        <v>3348</v>
      </c>
      <c r="G896" t="s">
        <v>3349</v>
      </c>
      <c r="H896" t="s">
        <v>22</v>
      </c>
      <c r="I896" t="s">
        <v>23</v>
      </c>
      <c r="J896" t="s">
        <v>91</v>
      </c>
      <c r="K896" t="s">
        <v>92</v>
      </c>
      <c r="L896">
        <v>98105</v>
      </c>
      <c r="M896" t="s">
        <v>40</v>
      </c>
      <c r="N896" t="s">
        <v>3352</v>
      </c>
      <c r="O896" t="s">
        <v>42</v>
      </c>
      <c r="P896" t="s">
        <v>64</v>
      </c>
      <c r="Q896" t="s">
        <v>3353</v>
      </c>
      <c r="R896">
        <v>40.97</v>
      </c>
      <c r="S896" t="str">
        <f>TEXT(sales_data[[#This Row],[Order Date]],"mm")</f>
        <v>08</v>
      </c>
      <c r="T896">
        <f>YEAR(sales_data[[#This Row],[Order Date]])</f>
        <v>2015</v>
      </c>
      <c r="V896" t="s">
        <v>3352</v>
      </c>
    </row>
    <row r="897" spans="1:22" x14ac:dyDescent="0.35">
      <c r="A897">
        <v>1242</v>
      </c>
      <c r="B897" t="s">
        <v>3354</v>
      </c>
      <c r="C897" s="1">
        <v>42976</v>
      </c>
      <c r="D897" s="1">
        <v>42982</v>
      </c>
      <c r="E897" t="s">
        <v>46</v>
      </c>
      <c r="F897" t="s">
        <v>2044</v>
      </c>
      <c r="G897" t="s">
        <v>2045</v>
      </c>
      <c r="H897" t="s">
        <v>98</v>
      </c>
      <c r="I897" t="s">
        <v>23</v>
      </c>
      <c r="J897" t="s">
        <v>261</v>
      </c>
      <c r="K897" t="s">
        <v>262</v>
      </c>
      <c r="L897">
        <v>10024</v>
      </c>
      <c r="M897" t="s">
        <v>144</v>
      </c>
      <c r="N897" t="s">
        <v>3355</v>
      </c>
      <c r="O897" t="s">
        <v>67</v>
      </c>
      <c r="P897" t="s">
        <v>68</v>
      </c>
      <c r="Q897" t="s">
        <v>3356</v>
      </c>
      <c r="R897">
        <v>22</v>
      </c>
      <c r="S897" t="str">
        <f>TEXT(sales_data[[#This Row],[Order Date]],"mm")</f>
        <v>08</v>
      </c>
      <c r="T897">
        <f>YEAR(sales_data[[#This Row],[Order Date]])</f>
        <v>2017</v>
      </c>
      <c r="V897" t="s">
        <v>3355</v>
      </c>
    </row>
    <row r="898" spans="1:22" x14ac:dyDescent="0.35">
      <c r="A898">
        <v>1243</v>
      </c>
      <c r="B898" t="s">
        <v>3357</v>
      </c>
      <c r="C898" s="1">
        <v>42781</v>
      </c>
      <c r="D898" s="1">
        <v>42788</v>
      </c>
      <c r="E898" t="s">
        <v>46</v>
      </c>
      <c r="F898" t="s">
        <v>2521</v>
      </c>
      <c r="G898" t="s">
        <v>2522</v>
      </c>
      <c r="H898" t="s">
        <v>22</v>
      </c>
      <c r="I898" t="s">
        <v>23</v>
      </c>
      <c r="J898" t="s">
        <v>261</v>
      </c>
      <c r="K898" t="s">
        <v>262</v>
      </c>
      <c r="L898">
        <v>10009</v>
      </c>
      <c r="M898" t="s">
        <v>144</v>
      </c>
      <c r="N898" t="s">
        <v>3358</v>
      </c>
      <c r="O898" t="s">
        <v>42</v>
      </c>
      <c r="P898" t="s">
        <v>71</v>
      </c>
      <c r="Q898" t="s">
        <v>3359</v>
      </c>
      <c r="R898">
        <v>398.35199999999998</v>
      </c>
      <c r="S898" t="str">
        <f>TEXT(sales_data[[#This Row],[Order Date]],"mm")</f>
        <v>02</v>
      </c>
      <c r="T898">
        <f>YEAR(sales_data[[#This Row],[Order Date]])</f>
        <v>2017</v>
      </c>
      <c r="V898" t="s">
        <v>3358</v>
      </c>
    </row>
    <row r="899" spans="1:22" x14ac:dyDescent="0.35">
      <c r="A899">
        <v>1245</v>
      </c>
      <c r="B899" t="s">
        <v>3360</v>
      </c>
      <c r="C899" s="1">
        <v>43234</v>
      </c>
      <c r="D899" s="1">
        <v>43241</v>
      </c>
      <c r="E899" t="s">
        <v>46</v>
      </c>
      <c r="F899" t="s">
        <v>3361</v>
      </c>
      <c r="G899" t="s">
        <v>3362</v>
      </c>
      <c r="H899" t="s">
        <v>22</v>
      </c>
      <c r="I899" t="s">
        <v>23</v>
      </c>
      <c r="J899" t="s">
        <v>3363</v>
      </c>
      <c r="K899" t="s">
        <v>1475</v>
      </c>
      <c r="L899">
        <v>39503</v>
      </c>
      <c r="M899" t="s">
        <v>26</v>
      </c>
      <c r="N899" t="s">
        <v>3364</v>
      </c>
      <c r="O899" t="s">
        <v>42</v>
      </c>
      <c r="P899" t="s">
        <v>168</v>
      </c>
      <c r="Q899" t="s">
        <v>3365</v>
      </c>
      <c r="R899">
        <v>48.69</v>
      </c>
      <c r="S899" t="str">
        <f>TEXT(sales_data[[#This Row],[Order Date]],"mm")</f>
        <v>05</v>
      </c>
      <c r="T899">
        <f>YEAR(sales_data[[#This Row],[Order Date]])</f>
        <v>2018</v>
      </c>
      <c r="V899" t="s">
        <v>3364</v>
      </c>
    </row>
    <row r="900" spans="1:22" x14ac:dyDescent="0.35">
      <c r="A900">
        <v>1246</v>
      </c>
      <c r="B900" t="s">
        <v>3366</v>
      </c>
      <c r="C900" s="1">
        <v>42350</v>
      </c>
      <c r="D900" s="1">
        <v>42352</v>
      </c>
      <c r="E900" t="s">
        <v>19</v>
      </c>
      <c r="F900" t="s">
        <v>3367</v>
      </c>
      <c r="G900" t="s">
        <v>3368</v>
      </c>
      <c r="H900" t="s">
        <v>22</v>
      </c>
      <c r="I900" t="s">
        <v>23</v>
      </c>
      <c r="J900" t="s">
        <v>3369</v>
      </c>
      <c r="K900" t="s">
        <v>39</v>
      </c>
      <c r="L900">
        <v>93727</v>
      </c>
      <c r="M900" t="s">
        <v>40</v>
      </c>
      <c r="N900" t="s">
        <v>3370</v>
      </c>
      <c r="O900" t="s">
        <v>28</v>
      </c>
      <c r="P900" t="s">
        <v>52</v>
      </c>
      <c r="Q900" t="s">
        <v>3371</v>
      </c>
      <c r="R900">
        <v>764.68799999999999</v>
      </c>
      <c r="S900" t="str">
        <f>TEXT(sales_data[[#This Row],[Order Date]],"mm")</f>
        <v>12</v>
      </c>
      <c r="T900">
        <f>YEAR(sales_data[[#This Row],[Order Date]])</f>
        <v>2015</v>
      </c>
      <c r="V900" t="s">
        <v>3370</v>
      </c>
    </row>
    <row r="901" spans="1:22" x14ac:dyDescent="0.35">
      <c r="A901">
        <v>1248</v>
      </c>
      <c r="B901" t="s">
        <v>3366</v>
      </c>
      <c r="C901" s="1">
        <v>42350</v>
      </c>
      <c r="D901" s="1">
        <v>42352</v>
      </c>
      <c r="E901" t="s">
        <v>19</v>
      </c>
      <c r="F901" t="s">
        <v>3367</v>
      </c>
      <c r="G901" t="s">
        <v>3368</v>
      </c>
      <c r="H901" t="s">
        <v>22</v>
      </c>
      <c r="I901" t="s">
        <v>23</v>
      </c>
      <c r="J901" t="s">
        <v>3369</v>
      </c>
      <c r="K901" t="s">
        <v>39</v>
      </c>
      <c r="L901">
        <v>93727</v>
      </c>
      <c r="M901" t="s">
        <v>40</v>
      </c>
      <c r="N901" t="s">
        <v>3372</v>
      </c>
      <c r="O901" t="s">
        <v>28</v>
      </c>
      <c r="P901" t="s">
        <v>29</v>
      </c>
      <c r="Q901" t="s">
        <v>3373</v>
      </c>
      <c r="R901">
        <v>254.97450000000001</v>
      </c>
      <c r="S901" t="str">
        <f>TEXT(sales_data[[#This Row],[Order Date]],"mm")</f>
        <v>12</v>
      </c>
      <c r="T901">
        <f>YEAR(sales_data[[#This Row],[Order Date]])</f>
        <v>2015</v>
      </c>
      <c r="V901" t="s">
        <v>3372</v>
      </c>
    </row>
    <row r="902" spans="1:22" x14ac:dyDescent="0.35">
      <c r="A902">
        <v>1249</v>
      </c>
      <c r="B902" t="s">
        <v>3374</v>
      </c>
      <c r="C902" s="1">
        <v>43452</v>
      </c>
      <c r="D902" s="1">
        <v>43458</v>
      </c>
      <c r="E902" t="s">
        <v>46</v>
      </c>
      <c r="F902" t="s">
        <v>2182</v>
      </c>
      <c r="G902" t="s">
        <v>2183</v>
      </c>
      <c r="H902" t="s">
        <v>22</v>
      </c>
      <c r="I902" t="s">
        <v>23</v>
      </c>
      <c r="J902" t="s">
        <v>261</v>
      </c>
      <c r="K902" t="s">
        <v>262</v>
      </c>
      <c r="L902">
        <v>10009</v>
      </c>
      <c r="M902" t="s">
        <v>144</v>
      </c>
      <c r="N902" t="s">
        <v>3375</v>
      </c>
      <c r="O902" t="s">
        <v>42</v>
      </c>
      <c r="P902" t="s">
        <v>64</v>
      </c>
      <c r="Q902" t="s">
        <v>2947</v>
      </c>
      <c r="R902">
        <v>38.82</v>
      </c>
      <c r="S902" t="str">
        <f>TEXT(sales_data[[#This Row],[Order Date]],"mm")</f>
        <v>12</v>
      </c>
      <c r="T902">
        <f>YEAR(sales_data[[#This Row],[Order Date]])</f>
        <v>2018</v>
      </c>
      <c r="V902" t="s">
        <v>3375</v>
      </c>
    </row>
    <row r="903" spans="1:22" x14ac:dyDescent="0.35">
      <c r="A903">
        <v>1250</v>
      </c>
      <c r="B903" t="s">
        <v>3374</v>
      </c>
      <c r="C903" s="1">
        <v>43452</v>
      </c>
      <c r="D903" s="1">
        <v>43458</v>
      </c>
      <c r="E903" t="s">
        <v>46</v>
      </c>
      <c r="F903" t="s">
        <v>2182</v>
      </c>
      <c r="G903" t="s">
        <v>2183</v>
      </c>
      <c r="H903" t="s">
        <v>22</v>
      </c>
      <c r="I903" t="s">
        <v>23</v>
      </c>
      <c r="J903" t="s">
        <v>261</v>
      </c>
      <c r="K903" t="s">
        <v>262</v>
      </c>
      <c r="L903">
        <v>10009</v>
      </c>
      <c r="M903" t="s">
        <v>144</v>
      </c>
      <c r="N903" t="s">
        <v>3376</v>
      </c>
      <c r="O903" t="s">
        <v>28</v>
      </c>
      <c r="P903" t="s">
        <v>32</v>
      </c>
      <c r="Q903" t="s">
        <v>3377</v>
      </c>
      <c r="R903">
        <v>1141.9380000000001</v>
      </c>
      <c r="S903" t="str">
        <f>TEXT(sales_data[[#This Row],[Order Date]],"mm")</f>
        <v>12</v>
      </c>
      <c r="T903">
        <f>YEAR(sales_data[[#This Row],[Order Date]])</f>
        <v>2018</v>
      </c>
      <c r="V903" t="s">
        <v>3376</v>
      </c>
    </row>
    <row r="904" spans="1:22" x14ac:dyDescent="0.35">
      <c r="A904">
        <v>1252</v>
      </c>
      <c r="B904" t="s">
        <v>3374</v>
      </c>
      <c r="C904" s="1">
        <v>43452</v>
      </c>
      <c r="D904" s="1">
        <v>43458</v>
      </c>
      <c r="E904" t="s">
        <v>46</v>
      </c>
      <c r="F904" t="s">
        <v>2182</v>
      </c>
      <c r="G904" t="s">
        <v>2183</v>
      </c>
      <c r="H904" t="s">
        <v>22</v>
      </c>
      <c r="I904" t="s">
        <v>23</v>
      </c>
      <c r="J904" t="s">
        <v>261</v>
      </c>
      <c r="K904" t="s">
        <v>262</v>
      </c>
      <c r="L904">
        <v>10009</v>
      </c>
      <c r="M904" t="s">
        <v>144</v>
      </c>
      <c r="N904" t="s">
        <v>3378</v>
      </c>
      <c r="O904" t="s">
        <v>42</v>
      </c>
      <c r="P904" t="s">
        <v>64</v>
      </c>
      <c r="Q904" t="s">
        <v>3379</v>
      </c>
      <c r="R904">
        <v>3.2</v>
      </c>
      <c r="S904" t="str">
        <f>TEXT(sales_data[[#This Row],[Order Date]],"mm")</f>
        <v>12</v>
      </c>
      <c r="T904">
        <f>YEAR(sales_data[[#This Row],[Order Date]])</f>
        <v>2018</v>
      </c>
      <c r="V904" t="s">
        <v>3378</v>
      </c>
    </row>
    <row r="905" spans="1:22" x14ac:dyDescent="0.35">
      <c r="A905">
        <v>1253</v>
      </c>
      <c r="B905" t="s">
        <v>3380</v>
      </c>
      <c r="C905" s="1">
        <v>42555</v>
      </c>
      <c r="D905" s="1">
        <v>42560</v>
      </c>
      <c r="E905" t="s">
        <v>46</v>
      </c>
      <c r="F905" t="s">
        <v>89</v>
      </c>
      <c r="G905" t="s">
        <v>90</v>
      </c>
      <c r="H905" t="s">
        <v>22</v>
      </c>
      <c r="I905" t="s">
        <v>23</v>
      </c>
      <c r="J905" t="s">
        <v>2502</v>
      </c>
      <c r="K905" t="s">
        <v>110</v>
      </c>
      <c r="L905">
        <v>53209</v>
      </c>
      <c r="M905" t="s">
        <v>101</v>
      </c>
      <c r="N905" t="s">
        <v>3381</v>
      </c>
      <c r="O905" t="s">
        <v>67</v>
      </c>
      <c r="P905" t="s">
        <v>68</v>
      </c>
      <c r="Q905" t="s">
        <v>3382</v>
      </c>
      <c r="R905">
        <v>1099.96</v>
      </c>
      <c r="S905" t="str">
        <f>TEXT(sales_data[[#This Row],[Order Date]],"mm")</f>
        <v>07</v>
      </c>
      <c r="T905">
        <f>YEAR(sales_data[[#This Row],[Order Date]])</f>
        <v>2016</v>
      </c>
      <c r="V905" t="s">
        <v>3381</v>
      </c>
    </row>
    <row r="906" spans="1:22" x14ac:dyDescent="0.35">
      <c r="A906">
        <v>1256</v>
      </c>
      <c r="B906" t="s">
        <v>3383</v>
      </c>
      <c r="C906" s="1">
        <v>43169</v>
      </c>
      <c r="D906" s="1">
        <v>43173</v>
      </c>
      <c r="E906" t="s">
        <v>46</v>
      </c>
      <c r="F906" t="s">
        <v>3384</v>
      </c>
      <c r="G906" t="s">
        <v>3385</v>
      </c>
      <c r="H906" t="s">
        <v>98</v>
      </c>
      <c r="I906" t="s">
        <v>23</v>
      </c>
      <c r="J906" t="s">
        <v>2222</v>
      </c>
      <c r="K906" t="s">
        <v>143</v>
      </c>
      <c r="L906">
        <v>19013</v>
      </c>
      <c r="M906" t="s">
        <v>144</v>
      </c>
      <c r="N906" t="s">
        <v>3386</v>
      </c>
      <c r="O906" t="s">
        <v>28</v>
      </c>
      <c r="P906" t="s">
        <v>61</v>
      </c>
      <c r="Q906" t="s">
        <v>3387</v>
      </c>
      <c r="R906">
        <v>6.6959999999999997</v>
      </c>
      <c r="S906" t="str">
        <f>TEXT(sales_data[[#This Row],[Order Date]],"mm")</f>
        <v>03</v>
      </c>
      <c r="T906">
        <f>YEAR(sales_data[[#This Row],[Order Date]])</f>
        <v>2018</v>
      </c>
      <c r="V906" t="s">
        <v>3386</v>
      </c>
    </row>
    <row r="907" spans="1:22" x14ac:dyDescent="0.35">
      <c r="A907">
        <v>1257</v>
      </c>
      <c r="B907" t="s">
        <v>3383</v>
      </c>
      <c r="C907" s="1">
        <v>43169</v>
      </c>
      <c r="D907" s="1">
        <v>43173</v>
      </c>
      <c r="E907" t="s">
        <v>46</v>
      </c>
      <c r="F907" t="s">
        <v>3384</v>
      </c>
      <c r="G907" t="s">
        <v>3385</v>
      </c>
      <c r="H907" t="s">
        <v>98</v>
      </c>
      <c r="I907" t="s">
        <v>23</v>
      </c>
      <c r="J907" t="s">
        <v>2222</v>
      </c>
      <c r="K907" t="s">
        <v>143</v>
      </c>
      <c r="L907">
        <v>19013</v>
      </c>
      <c r="M907" t="s">
        <v>144</v>
      </c>
      <c r="N907" t="s">
        <v>3388</v>
      </c>
      <c r="O907" t="s">
        <v>28</v>
      </c>
      <c r="P907" t="s">
        <v>61</v>
      </c>
      <c r="Q907" t="s">
        <v>3389</v>
      </c>
      <c r="R907">
        <v>43.872</v>
      </c>
      <c r="S907" t="str">
        <f>TEXT(sales_data[[#This Row],[Order Date]],"mm")</f>
        <v>03</v>
      </c>
      <c r="T907">
        <f>YEAR(sales_data[[#This Row],[Order Date]])</f>
        <v>2018</v>
      </c>
      <c r="V907" t="s">
        <v>3388</v>
      </c>
    </row>
    <row r="908" spans="1:22" x14ac:dyDescent="0.35">
      <c r="A908">
        <v>1259</v>
      </c>
      <c r="B908" t="s">
        <v>3390</v>
      </c>
      <c r="C908" s="1">
        <v>43093</v>
      </c>
      <c r="D908" s="1">
        <v>43097</v>
      </c>
      <c r="E908" t="s">
        <v>19</v>
      </c>
      <c r="F908" t="s">
        <v>1496</v>
      </c>
      <c r="G908" t="s">
        <v>1497</v>
      </c>
      <c r="H908" t="s">
        <v>98</v>
      </c>
      <c r="I908" t="s">
        <v>23</v>
      </c>
      <c r="J908" t="s">
        <v>462</v>
      </c>
      <c r="K908" t="s">
        <v>84</v>
      </c>
      <c r="L908">
        <v>28205</v>
      </c>
      <c r="M908" t="s">
        <v>26</v>
      </c>
      <c r="N908" t="s">
        <v>3391</v>
      </c>
      <c r="O908" t="s">
        <v>42</v>
      </c>
      <c r="P908" t="s">
        <v>55</v>
      </c>
      <c r="Q908" t="s">
        <v>3392</v>
      </c>
      <c r="R908">
        <v>540.048</v>
      </c>
      <c r="S908" t="str">
        <f>TEXT(sales_data[[#This Row],[Order Date]],"mm")</f>
        <v>12</v>
      </c>
      <c r="T908">
        <f>YEAR(sales_data[[#This Row],[Order Date]])</f>
        <v>2017</v>
      </c>
      <c r="V908" t="s">
        <v>3391</v>
      </c>
    </row>
    <row r="909" spans="1:22" x14ac:dyDescent="0.35">
      <c r="A909">
        <v>1261</v>
      </c>
      <c r="B909" t="s">
        <v>3393</v>
      </c>
      <c r="C909" s="1">
        <v>43396</v>
      </c>
      <c r="D909" s="1">
        <v>43400</v>
      </c>
      <c r="E909" t="s">
        <v>46</v>
      </c>
      <c r="F909" t="s">
        <v>3394</v>
      </c>
      <c r="G909" t="s">
        <v>3395</v>
      </c>
      <c r="H909" t="s">
        <v>22</v>
      </c>
      <c r="I909" t="s">
        <v>23</v>
      </c>
      <c r="J909" t="s">
        <v>1509</v>
      </c>
      <c r="K909" t="s">
        <v>50</v>
      </c>
      <c r="L909">
        <v>32216</v>
      </c>
      <c r="M909" t="s">
        <v>26</v>
      </c>
      <c r="N909" t="s">
        <v>3396</v>
      </c>
      <c r="O909" t="s">
        <v>67</v>
      </c>
      <c r="P909" t="s">
        <v>68</v>
      </c>
      <c r="Q909" t="s">
        <v>3397</v>
      </c>
      <c r="R909">
        <v>863.88</v>
      </c>
      <c r="S909" t="str">
        <f>TEXT(sales_data[[#This Row],[Order Date]],"mm")</f>
        <v>10</v>
      </c>
      <c r="T909">
        <f>YEAR(sales_data[[#This Row],[Order Date]])</f>
        <v>2018</v>
      </c>
      <c r="V909" t="s">
        <v>3396</v>
      </c>
    </row>
    <row r="910" spans="1:22" x14ac:dyDescent="0.35">
      <c r="A910">
        <v>1262</v>
      </c>
      <c r="B910" t="s">
        <v>3398</v>
      </c>
      <c r="C910" s="1">
        <v>43036</v>
      </c>
      <c r="D910" s="1">
        <v>43043</v>
      </c>
      <c r="E910" t="s">
        <v>46</v>
      </c>
      <c r="F910" t="s">
        <v>3399</v>
      </c>
      <c r="G910" t="s">
        <v>3400</v>
      </c>
      <c r="H910" t="s">
        <v>37</v>
      </c>
      <c r="I910" t="s">
        <v>23</v>
      </c>
      <c r="J910" t="s">
        <v>3401</v>
      </c>
      <c r="K910" t="s">
        <v>84</v>
      </c>
      <c r="L910">
        <v>27834</v>
      </c>
      <c r="M910" t="s">
        <v>26</v>
      </c>
      <c r="N910" t="s">
        <v>3402</v>
      </c>
      <c r="O910" t="s">
        <v>42</v>
      </c>
      <c r="P910" t="s">
        <v>71</v>
      </c>
      <c r="Q910" t="s">
        <v>3403</v>
      </c>
      <c r="R910">
        <v>17.616</v>
      </c>
      <c r="S910" t="str">
        <f>TEXT(sales_data[[#This Row],[Order Date]],"mm")</f>
        <v>10</v>
      </c>
      <c r="T910">
        <f>YEAR(sales_data[[#This Row],[Order Date]])</f>
        <v>2017</v>
      </c>
      <c r="V910" t="s">
        <v>3402</v>
      </c>
    </row>
    <row r="911" spans="1:22" x14ac:dyDescent="0.35">
      <c r="A911">
        <v>1266</v>
      </c>
      <c r="B911" t="s">
        <v>3406</v>
      </c>
      <c r="C911" s="1">
        <v>43345</v>
      </c>
      <c r="D911" s="1">
        <v>43350</v>
      </c>
      <c r="E911" t="s">
        <v>46</v>
      </c>
      <c r="F911" t="s">
        <v>3407</v>
      </c>
      <c r="G911" t="s">
        <v>3408</v>
      </c>
      <c r="H911" t="s">
        <v>22</v>
      </c>
      <c r="I911" t="s">
        <v>23</v>
      </c>
      <c r="J911" t="s">
        <v>123</v>
      </c>
      <c r="K911" t="s">
        <v>39</v>
      </c>
      <c r="L911">
        <v>94122</v>
      </c>
      <c r="M911" t="s">
        <v>40</v>
      </c>
      <c r="N911" t="s">
        <v>3409</v>
      </c>
      <c r="O911" t="s">
        <v>42</v>
      </c>
      <c r="P911" t="s">
        <v>64</v>
      </c>
      <c r="Q911" t="s">
        <v>3410</v>
      </c>
      <c r="R911">
        <v>6.57</v>
      </c>
      <c r="S911" t="str">
        <f>TEXT(sales_data[[#This Row],[Order Date]],"mm")</f>
        <v>09</v>
      </c>
      <c r="T911">
        <f>YEAR(sales_data[[#This Row],[Order Date]])</f>
        <v>2018</v>
      </c>
      <c r="V911" t="s">
        <v>3409</v>
      </c>
    </row>
    <row r="912" spans="1:22" x14ac:dyDescent="0.35">
      <c r="A912">
        <v>1270</v>
      </c>
      <c r="B912" t="s">
        <v>3411</v>
      </c>
      <c r="C912" s="1">
        <v>43255</v>
      </c>
      <c r="D912" s="1">
        <v>43259</v>
      </c>
      <c r="E912" t="s">
        <v>46</v>
      </c>
      <c r="F912" t="s">
        <v>3412</v>
      </c>
      <c r="G912" t="s">
        <v>3413</v>
      </c>
      <c r="H912" t="s">
        <v>22</v>
      </c>
      <c r="I912" t="s">
        <v>23</v>
      </c>
      <c r="J912" t="s">
        <v>2533</v>
      </c>
      <c r="K912" t="s">
        <v>353</v>
      </c>
      <c r="L912">
        <v>35630</v>
      </c>
      <c r="M912" t="s">
        <v>26</v>
      </c>
      <c r="N912" t="s">
        <v>3414</v>
      </c>
      <c r="O912" t="s">
        <v>42</v>
      </c>
      <c r="P912" t="s">
        <v>86</v>
      </c>
      <c r="Q912" t="s">
        <v>3415</v>
      </c>
      <c r="R912">
        <v>12.48</v>
      </c>
      <c r="S912" t="str">
        <f>TEXT(sales_data[[#This Row],[Order Date]],"mm")</f>
        <v>06</v>
      </c>
      <c r="T912">
        <f>YEAR(sales_data[[#This Row],[Order Date]])</f>
        <v>2018</v>
      </c>
      <c r="V912" t="s">
        <v>3414</v>
      </c>
    </row>
    <row r="913" spans="1:22" x14ac:dyDescent="0.35">
      <c r="A913">
        <v>1271</v>
      </c>
      <c r="B913" t="s">
        <v>3416</v>
      </c>
      <c r="C913" s="1">
        <v>42846</v>
      </c>
      <c r="D913" s="1">
        <v>42851</v>
      </c>
      <c r="E913" t="s">
        <v>46</v>
      </c>
      <c r="F913" t="s">
        <v>2139</v>
      </c>
      <c r="G913" t="s">
        <v>2140</v>
      </c>
      <c r="H913" t="s">
        <v>37</v>
      </c>
      <c r="I913" t="s">
        <v>23</v>
      </c>
      <c r="J913" t="s">
        <v>298</v>
      </c>
      <c r="K913" t="s">
        <v>206</v>
      </c>
      <c r="L913">
        <v>60623</v>
      </c>
      <c r="M913" t="s">
        <v>101</v>
      </c>
      <c r="N913" t="s">
        <v>3417</v>
      </c>
      <c r="O913" t="s">
        <v>42</v>
      </c>
      <c r="P913" t="s">
        <v>55</v>
      </c>
      <c r="Q913" t="s">
        <v>3418</v>
      </c>
      <c r="R913">
        <v>102.336</v>
      </c>
      <c r="S913" t="str">
        <f>TEXT(sales_data[[#This Row],[Order Date]],"mm")</f>
        <v>04</v>
      </c>
      <c r="T913">
        <f>YEAR(sales_data[[#This Row],[Order Date]])</f>
        <v>2017</v>
      </c>
      <c r="V913" t="s">
        <v>3417</v>
      </c>
    </row>
    <row r="914" spans="1:22" x14ac:dyDescent="0.35">
      <c r="A914">
        <v>1273</v>
      </c>
      <c r="B914" t="s">
        <v>3416</v>
      </c>
      <c r="C914" s="1">
        <v>42846</v>
      </c>
      <c r="D914" s="1">
        <v>42851</v>
      </c>
      <c r="E914" t="s">
        <v>46</v>
      </c>
      <c r="F914" t="s">
        <v>2139</v>
      </c>
      <c r="G914" t="s">
        <v>2140</v>
      </c>
      <c r="H914" t="s">
        <v>37</v>
      </c>
      <c r="I914" t="s">
        <v>23</v>
      </c>
      <c r="J914" t="s">
        <v>298</v>
      </c>
      <c r="K914" t="s">
        <v>206</v>
      </c>
      <c r="L914">
        <v>60623</v>
      </c>
      <c r="M914" t="s">
        <v>101</v>
      </c>
      <c r="N914" t="s">
        <v>3419</v>
      </c>
      <c r="O914" t="s">
        <v>42</v>
      </c>
      <c r="P914" t="s">
        <v>71</v>
      </c>
      <c r="Q914" t="s">
        <v>3420</v>
      </c>
      <c r="R914">
        <v>44.847999999999999</v>
      </c>
      <c r="S914" t="str">
        <f>TEXT(sales_data[[#This Row],[Order Date]],"mm")</f>
        <v>04</v>
      </c>
      <c r="T914">
        <f>YEAR(sales_data[[#This Row],[Order Date]])</f>
        <v>2017</v>
      </c>
      <c r="V914" t="s">
        <v>3419</v>
      </c>
    </row>
    <row r="915" spans="1:22" x14ac:dyDescent="0.35">
      <c r="A915">
        <v>1275</v>
      </c>
      <c r="B915" t="s">
        <v>3421</v>
      </c>
      <c r="C915" s="1">
        <v>42881</v>
      </c>
      <c r="D915" s="1">
        <v>42881</v>
      </c>
      <c r="E915" t="s">
        <v>1277</v>
      </c>
      <c r="F915" t="s">
        <v>3065</v>
      </c>
      <c r="G915" t="s">
        <v>3066</v>
      </c>
      <c r="H915" t="s">
        <v>22</v>
      </c>
      <c r="I915" t="s">
        <v>23</v>
      </c>
      <c r="J915" t="s">
        <v>99</v>
      </c>
      <c r="K915" t="s">
        <v>100</v>
      </c>
      <c r="L915">
        <v>76106</v>
      </c>
      <c r="M915" t="s">
        <v>101</v>
      </c>
      <c r="N915" t="s">
        <v>3422</v>
      </c>
      <c r="O915" t="s">
        <v>28</v>
      </c>
      <c r="P915" t="s">
        <v>32</v>
      </c>
      <c r="Q915" t="s">
        <v>3423</v>
      </c>
      <c r="R915">
        <v>388.43</v>
      </c>
      <c r="S915" t="str">
        <f>TEXT(sales_data[[#This Row],[Order Date]],"mm")</f>
        <v>05</v>
      </c>
      <c r="T915">
        <f>YEAR(sales_data[[#This Row],[Order Date]])</f>
        <v>2017</v>
      </c>
      <c r="V915" t="s">
        <v>3422</v>
      </c>
    </row>
    <row r="916" spans="1:22" x14ac:dyDescent="0.35">
      <c r="A916">
        <v>1277</v>
      </c>
      <c r="B916" t="s">
        <v>3421</v>
      </c>
      <c r="C916" s="1">
        <v>42881</v>
      </c>
      <c r="D916" s="1">
        <v>42881</v>
      </c>
      <c r="E916" t="s">
        <v>1277</v>
      </c>
      <c r="F916" t="s">
        <v>3065</v>
      </c>
      <c r="G916" t="s">
        <v>3066</v>
      </c>
      <c r="H916" t="s">
        <v>22</v>
      </c>
      <c r="I916" t="s">
        <v>23</v>
      </c>
      <c r="J916" t="s">
        <v>99</v>
      </c>
      <c r="K916" t="s">
        <v>100</v>
      </c>
      <c r="L916">
        <v>76106</v>
      </c>
      <c r="M916" t="s">
        <v>101</v>
      </c>
      <c r="N916" t="s">
        <v>3424</v>
      </c>
      <c r="O916" t="s">
        <v>67</v>
      </c>
      <c r="P916" t="s">
        <v>156</v>
      </c>
      <c r="Q916" t="s">
        <v>3425</v>
      </c>
      <c r="R916">
        <v>63.991999999999997</v>
      </c>
      <c r="S916" t="str">
        <f>TEXT(sales_data[[#This Row],[Order Date]],"mm")</f>
        <v>05</v>
      </c>
      <c r="T916">
        <f>YEAR(sales_data[[#This Row],[Order Date]])</f>
        <v>2017</v>
      </c>
      <c r="V916" t="s">
        <v>3424</v>
      </c>
    </row>
    <row r="917" spans="1:22" x14ac:dyDescent="0.35">
      <c r="A917">
        <v>1278</v>
      </c>
      <c r="B917" t="s">
        <v>3426</v>
      </c>
      <c r="C917" s="1">
        <v>42857</v>
      </c>
      <c r="D917" s="1">
        <v>42862</v>
      </c>
      <c r="E917" t="s">
        <v>46</v>
      </c>
      <c r="F917" t="s">
        <v>3427</v>
      </c>
      <c r="G917" t="s">
        <v>3428</v>
      </c>
      <c r="H917" t="s">
        <v>22</v>
      </c>
      <c r="I917" t="s">
        <v>23</v>
      </c>
      <c r="J917" t="s">
        <v>179</v>
      </c>
      <c r="K917" t="s">
        <v>100</v>
      </c>
      <c r="L917">
        <v>77070</v>
      </c>
      <c r="M917" t="s">
        <v>101</v>
      </c>
      <c r="N917" t="s">
        <v>3429</v>
      </c>
      <c r="O917" t="s">
        <v>42</v>
      </c>
      <c r="P917" t="s">
        <v>64</v>
      </c>
      <c r="Q917" t="s">
        <v>3430</v>
      </c>
      <c r="R917">
        <v>86.352000000000004</v>
      </c>
      <c r="S917" t="str">
        <f>TEXT(sales_data[[#This Row],[Order Date]],"mm")</f>
        <v>05</v>
      </c>
      <c r="T917">
        <f>YEAR(sales_data[[#This Row],[Order Date]])</f>
        <v>2017</v>
      </c>
      <c r="V917" t="s">
        <v>3429</v>
      </c>
    </row>
    <row r="918" spans="1:22" x14ac:dyDescent="0.35">
      <c r="A918">
        <v>1279</v>
      </c>
      <c r="B918" t="s">
        <v>3431</v>
      </c>
      <c r="C918" s="1">
        <v>42255</v>
      </c>
      <c r="D918" s="1">
        <v>42258</v>
      </c>
      <c r="E918" t="s">
        <v>183</v>
      </c>
      <c r="F918" t="s">
        <v>2790</v>
      </c>
      <c r="G918" t="s">
        <v>2791</v>
      </c>
      <c r="H918" t="s">
        <v>37</v>
      </c>
      <c r="I918" t="s">
        <v>23</v>
      </c>
      <c r="J918" t="s">
        <v>3432</v>
      </c>
      <c r="K918" t="s">
        <v>1261</v>
      </c>
      <c r="L918">
        <v>31204</v>
      </c>
      <c r="M918" t="s">
        <v>26</v>
      </c>
      <c r="N918" t="s">
        <v>3433</v>
      </c>
      <c r="O918" t="s">
        <v>67</v>
      </c>
      <c r="P918" t="s">
        <v>156</v>
      </c>
      <c r="Q918" t="s">
        <v>3434</v>
      </c>
      <c r="R918">
        <v>32.97</v>
      </c>
      <c r="S918" t="str">
        <f>TEXT(sales_data[[#This Row],[Order Date]],"mm")</f>
        <v>09</v>
      </c>
      <c r="T918">
        <f>YEAR(sales_data[[#This Row],[Order Date]])</f>
        <v>2015</v>
      </c>
      <c r="V918" t="s">
        <v>3433</v>
      </c>
    </row>
    <row r="919" spans="1:22" x14ac:dyDescent="0.35">
      <c r="A919">
        <v>1280</v>
      </c>
      <c r="B919" t="s">
        <v>3431</v>
      </c>
      <c r="C919" s="1">
        <v>42255</v>
      </c>
      <c r="D919" s="1">
        <v>42258</v>
      </c>
      <c r="E919" t="s">
        <v>183</v>
      </c>
      <c r="F919" t="s">
        <v>2790</v>
      </c>
      <c r="G919" t="s">
        <v>2791</v>
      </c>
      <c r="H919" t="s">
        <v>37</v>
      </c>
      <c r="I919" t="s">
        <v>23</v>
      </c>
      <c r="J919" t="s">
        <v>3432</v>
      </c>
      <c r="K919" t="s">
        <v>1261</v>
      </c>
      <c r="L919">
        <v>31204</v>
      </c>
      <c r="M919" t="s">
        <v>26</v>
      </c>
      <c r="N919" t="s">
        <v>3435</v>
      </c>
      <c r="O919" t="s">
        <v>67</v>
      </c>
      <c r="P919" t="s">
        <v>156</v>
      </c>
      <c r="Q919" t="s">
        <v>3436</v>
      </c>
      <c r="R919">
        <v>83.88</v>
      </c>
      <c r="S919" t="str">
        <f>TEXT(sales_data[[#This Row],[Order Date]],"mm")</f>
        <v>09</v>
      </c>
      <c r="T919">
        <f>YEAR(sales_data[[#This Row],[Order Date]])</f>
        <v>2015</v>
      </c>
      <c r="V919" t="s">
        <v>3435</v>
      </c>
    </row>
    <row r="920" spans="1:22" x14ac:dyDescent="0.35">
      <c r="A920">
        <v>1281</v>
      </c>
      <c r="B920" t="s">
        <v>3437</v>
      </c>
      <c r="C920" s="1">
        <v>42983</v>
      </c>
      <c r="D920" s="1">
        <v>42984</v>
      </c>
      <c r="E920" t="s">
        <v>183</v>
      </c>
      <c r="F920" t="s">
        <v>2516</v>
      </c>
      <c r="G920" t="s">
        <v>2517</v>
      </c>
      <c r="H920" t="s">
        <v>22</v>
      </c>
      <c r="I920" t="s">
        <v>23</v>
      </c>
      <c r="J920" t="s">
        <v>3438</v>
      </c>
      <c r="K920" t="s">
        <v>484</v>
      </c>
      <c r="L920">
        <v>52402</v>
      </c>
      <c r="M920" t="s">
        <v>101</v>
      </c>
      <c r="N920" t="s">
        <v>3439</v>
      </c>
      <c r="O920" t="s">
        <v>67</v>
      </c>
      <c r="P920" t="s">
        <v>68</v>
      </c>
      <c r="Q920" t="s">
        <v>3440</v>
      </c>
      <c r="R920">
        <v>278.39999999999998</v>
      </c>
      <c r="S920" t="str">
        <f>TEXT(sales_data[[#This Row],[Order Date]],"mm")</f>
        <v>09</v>
      </c>
      <c r="T920">
        <f>YEAR(sales_data[[#This Row],[Order Date]])</f>
        <v>2017</v>
      </c>
      <c r="V920" t="s">
        <v>3439</v>
      </c>
    </row>
    <row r="921" spans="1:22" x14ac:dyDescent="0.35">
      <c r="A921">
        <v>1282</v>
      </c>
      <c r="B921" t="s">
        <v>3441</v>
      </c>
      <c r="C921" s="1">
        <v>43199</v>
      </c>
      <c r="D921" s="1">
        <v>43201</v>
      </c>
      <c r="E921" t="s">
        <v>183</v>
      </c>
      <c r="F921" t="s">
        <v>1659</v>
      </c>
      <c r="G921" t="s">
        <v>1660</v>
      </c>
      <c r="H921" t="s">
        <v>22</v>
      </c>
      <c r="I921" t="s">
        <v>23</v>
      </c>
      <c r="J921" t="s">
        <v>1509</v>
      </c>
      <c r="K921" t="s">
        <v>50</v>
      </c>
      <c r="L921">
        <v>32216</v>
      </c>
      <c r="M921" t="s">
        <v>26</v>
      </c>
      <c r="N921" t="s">
        <v>3442</v>
      </c>
      <c r="O921" t="s">
        <v>42</v>
      </c>
      <c r="P921" t="s">
        <v>43</v>
      </c>
      <c r="Q921" t="s">
        <v>3443</v>
      </c>
      <c r="R921">
        <v>15.12</v>
      </c>
      <c r="S921" t="str">
        <f>TEXT(sales_data[[#This Row],[Order Date]],"mm")</f>
        <v>04</v>
      </c>
      <c r="T921">
        <f>YEAR(sales_data[[#This Row],[Order Date]])</f>
        <v>2018</v>
      </c>
      <c r="V921" t="s">
        <v>3442</v>
      </c>
    </row>
    <row r="922" spans="1:22" x14ac:dyDescent="0.35">
      <c r="A922">
        <v>1283</v>
      </c>
      <c r="B922" t="s">
        <v>3441</v>
      </c>
      <c r="C922" s="1">
        <v>43199</v>
      </c>
      <c r="D922" s="1">
        <v>43201</v>
      </c>
      <c r="E922" t="s">
        <v>183</v>
      </c>
      <c r="F922" t="s">
        <v>1659</v>
      </c>
      <c r="G922" t="s">
        <v>1660</v>
      </c>
      <c r="H922" t="s">
        <v>22</v>
      </c>
      <c r="I922" t="s">
        <v>23</v>
      </c>
      <c r="J922" t="s">
        <v>1509</v>
      </c>
      <c r="K922" t="s">
        <v>50</v>
      </c>
      <c r="L922">
        <v>32216</v>
      </c>
      <c r="M922" t="s">
        <v>26</v>
      </c>
      <c r="N922" t="s">
        <v>3444</v>
      </c>
      <c r="O922" t="s">
        <v>42</v>
      </c>
      <c r="P922" t="s">
        <v>71</v>
      </c>
      <c r="Q922" t="s">
        <v>3445</v>
      </c>
      <c r="R922">
        <v>17.43</v>
      </c>
      <c r="S922" t="str">
        <f>TEXT(sales_data[[#This Row],[Order Date]],"mm")</f>
        <v>04</v>
      </c>
      <c r="T922">
        <f>YEAR(sales_data[[#This Row],[Order Date]])</f>
        <v>2018</v>
      </c>
      <c r="V922" t="s">
        <v>3444</v>
      </c>
    </row>
    <row r="923" spans="1:22" x14ac:dyDescent="0.35">
      <c r="A923">
        <v>1284</v>
      </c>
      <c r="B923" t="s">
        <v>3441</v>
      </c>
      <c r="C923" s="1">
        <v>43199</v>
      </c>
      <c r="D923" s="1">
        <v>43201</v>
      </c>
      <c r="E923" t="s">
        <v>183</v>
      </c>
      <c r="F923" t="s">
        <v>1659</v>
      </c>
      <c r="G923" t="s">
        <v>1660</v>
      </c>
      <c r="H923" t="s">
        <v>22</v>
      </c>
      <c r="I923" t="s">
        <v>23</v>
      </c>
      <c r="J923" t="s">
        <v>1509</v>
      </c>
      <c r="K923" t="s">
        <v>50</v>
      </c>
      <c r="L923">
        <v>32216</v>
      </c>
      <c r="M923" t="s">
        <v>26</v>
      </c>
      <c r="N923" t="s">
        <v>3446</v>
      </c>
      <c r="O923" t="s">
        <v>42</v>
      </c>
      <c r="P923" t="s">
        <v>86</v>
      </c>
      <c r="Q923" t="s">
        <v>3447</v>
      </c>
      <c r="R923">
        <v>251.64</v>
      </c>
      <c r="S923" t="str">
        <f>TEXT(sales_data[[#This Row],[Order Date]],"mm")</f>
        <v>04</v>
      </c>
      <c r="T923">
        <f>YEAR(sales_data[[#This Row],[Order Date]])</f>
        <v>2018</v>
      </c>
      <c r="V923" t="s">
        <v>3446</v>
      </c>
    </row>
    <row r="924" spans="1:22" x14ac:dyDescent="0.35">
      <c r="A924">
        <v>1285</v>
      </c>
      <c r="B924" t="s">
        <v>3448</v>
      </c>
      <c r="C924" s="1">
        <v>42710</v>
      </c>
      <c r="D924" s="1">
        <v>42716</v>
      </c>
      <c r="E924" t="s">
        <v>46</v>
      </c>
      <c r="F924" t="s">
        <v>1267</v>
      </c>
      <c r="G924" t="s">
        <v>1268</v>
      </c>
      <c r="H924" t="s">
        <v>22</v>
      </c>
      <c r="I924" t="s">
        <v>23</v>
      </c>
      <c r="J924" t="s">
        <v>1229</v>
      </c>
      <c r="K924" t="s">
        <v>100</v>
      </c>
      <c r="L924">
        <v>78745</v>
      </c>
      <c r="M924" t="s">
        <v>101</v>
      </c>
      <c r="N924" t="s">
        <v>3449</v>
      </c>
      <c r="O924" t="s">
        <v>42</v>
      </c>
      <c r="P924" t="s">
        <v>71</v>
      </c>
      <c r="Q924" t="s">
        <v>3450</v>
      </c>
      <c r="R924">
        <v>2.7719999999999998</v>
      </c>
      <c r="S924" t="str">
        <f>TEXT(sales_data[[#This Row],[Order Date]],"mm")</f>
        <v>12</v>
      </c>
      <c r="T924">
        <f>YEAR(sales_data[[#This Row],[Order Date]])</f>
        <v>2016</v>
      </c>
      <c r="V924" t="s">
        <v>3449</v>
      </c>
    </row>
    <row r="925" spans="1:22" x14ac:dyDescent="0.35">
      <c r="A925">
        <v>1287</v>
      </c>
      <c r="B925" t="s">
        <v>3454</v>
      </c>
      <c r="C925" s="1">
        <v>42555</v>
      </c>
      <c r="D925" s="1">
        <v>42559</v>
      </c>
      <c r="E925" t="s">
        <v>46</v>
      </c>
      <c r="F925" t="s">
        <v>526</v>
      </c>
      <c r="G925" t="s">
        <v>527</v>
      </c>
      <c r="H925" t="s">
        <v>98</v>
      </c>
      <c r="I925" t="s">
        <v>23</v>
      </c>
      <c r="J925" t="s">
        <v>261</v>
      </c>
      <c r="K925" t="s">
        <v>262</v>
      </c>
      <c r="L925">
        <v>10035</v>
      </c>
      <c r="M925" t="s">
        <v>144</v>
      </c>
      <c r="N925" t="s">
        <v>3455</v>
      </c>
      <c r="O925" t="s">
        <v>42</v>
      </c>
      <c r="P925" t="s">
        <v>64</v>
      </c>
      <c r="Q925" t="s">
        <v>3456</v>
      </c>
      <c r="R925">
        <v>15.48</v>
      </c>
      <c r="S925" t="str">
        <f>TEXT(sales_data[[#This Row],[Order Date]],"mm")</f>
        <v>07</v>
      </c>
      <c r="T925">
        <f>YEAR(sales_data[[#This Row],[Order Date]])</f>
        <v>2016</v>
      </c>
      <c r="V925" t="s">
        <v>3455</v>
      </c>
    </row>
    <row r="926" spans="1:22" x14ac:dyDescent="0.35">
      <c r="A926">
        <v>1290</v>
      </c>
      <c r="B926" t="s">
        <v>3457</v>
      </c>
      <c r="C926" s="1">
        <v>43061</v>
      </c>
      <c r="D926" s="1">
        <v>43065</v>
      </c>
      <c r="E926" t="s">
        <v>46</v>
      </c>
      <c r="F926" t="s">
        <v>3458</v>
      </c>
      <c r="G926" t="s">
        <v>3459</v>
      </c>
      <c r="H926" t="s">
        <v>37</v>
      </c>
      <c r="I926" t="s">
        <v>23</v>
      </c>
      <c r="J926" t="s">
        <v>261</v>
      </c>
      <c r="K926" t="s">
        <v>262</v>
      </c>
      <c r="L926">
        <v>10009</v>
      </c>
      <c r="M926" t="s">
        <v>144</v>
      </c>
      <c r="N926" t="s">
        <v>3460</v>
      </c>
      <c r="O926" t="s">
        <v>42</v>
      </c>
      <c r="P926" t="s">
        <v>64</v>
      </c>
      <c r="Q926" t="s">
        <v>3461</v>
      </c>
      <c r="R926">
        <v>20.82</v>
      </c>
      <c r="S926" t="str">
        <f>TEXT(sales_data[[#This Row],[Order Date]],"mm")</f>
        <v>11</v>
      </c>
      <c r="T926">
        <f>YEAR(sales_data[[#This Row],[Order Date]])</f>
        <v>2017</v>
      </c>
      <c r="V926" t="s">
        <v>3460</v>
      </c>
    </row>
    <row r="927" spans="1:22" x14ac:dyDescent="0.35">
      <c r="A927">
        <v>1291</v>
      </c>
      <c r="B927" t="s">
        <v>3462</v>
      </c>
      <c r="C927" s="1">
        <v>43049</v>
      </c>
      <c r="D927" s="1">
        <v>43051</v>
      </c>
      <c r="E927" t="s">
        <v>183</v>
      </c>
      <c r="F927" t="s">
        <v>2105</v>
      </c>
      <c r="G927" t="s">
        <v>2106</v>
      </c>
      <c r="H927" t="s">
        <v>98</v>
      </c>
      <c r="I927" t="s">
        <v>23</v>
      </c>
      <c r="J927" t="s">
        <v>123</v>
      </c>
      <c r="K927" t="s">
        <v>39</v>
      </c>
      <c r="L927">
        <v>94122</v>
      </c>
      <c r="M927" t="s">
        <v>40</v>
      </c>
      <c r="N927" t="s">
        <v>3463</v>
      </c>
      <c r="O927" t="s">
        <v>42</v>
      </c>
      <c r="P927" t="s">
        <v>71</v>
      </c>
      <c r="Q927" t="s">
        <v>3464</v>
      </c>
      <c r="R927">
        <v>13.215999999999999</v>
      </c>
      <c r="S927" t="str">
        <f>TEXT(sales_data[[#This Row],[Order Date]],"mm")</f>
        <v>11</v>
      </c>
      <c r="T927">
        <f>YEAR(sales_data[[#This Row],[Order Date]])</f>
        <v>2017</v>
      </c>
      <c r="V927" t="s">
        <v>3463</v>
      </c>
    </row>
    <row r="928" spans="1:22" x14ac:dyDescent="0.35">
      <c r="A928">
        <v>1294</v>
      </c>
      <c r="B928" t="s">
        <v>3465</v>
      </c>
      <c r="C928" s="1">
        <v>42609</v>
      </c>
      <c r="D928" s="1">
        <v>42614</v>
      </c>
      <c r="E928" t="s">
        <v>46</v>
      </c>
      <c r="F928" t="s">
        <v>531</v>
      </c>
      <c r="G928" t="s">
        <v>532</v>
      </c>
      <c r="H928" t="s">
        <v>22</v>
      </c>
      <c r="I928" t="s">
        <v>23</v>
      </c>
      <c r="J928" t="s">
        <v>940</v>
      </c>
      <c r="K928" t="s">
        <v>39</v>
      </c>
      <c r="L928">
        <v>92105</v>
      </c>
      <c r="M928" t="s">
        <v>40</v>
      </c>
      <c r="N928" t="s">
        <v>3466</v>
      </c>
      <c r="O928" t="s">
        <v>42</v>
      </c>
      <c r="P928" t="s">
        <v>86</v>
      </c>
      <c r="Q928" t="s">
        <v>3467</v>
      </c>
      <c r="R928">
        <v>114.2</v>
      </c>
      <c r="S928" t="str">
        <f>TEXT(sales_data[[#This Row],[Order Date]],"mm")</f>
        <v>08</v>
      </c>
      <c r="T928">
        <f>YEAR(sales_data[[#This Row],[Order Date]])</f>
        <v>2016</v>
      </c>
      <c r="V928" t="s">
        <v>3466</v>
      </c>
    </row>
    <row r="929" spans="1:22" x14ac:dyDescent="0.35">
      <c r="A929">
        <v>1303</v>
      </c>
      <c r="B929" t="s">
        <v>3473</v>
      </c>
      <c r="C929" s="1">
        <v>42632</v>
      </c>
      <c r="D929" s="1">
        <v>42637</v>
      </c>
      <c r="E929" t="s">
        <v>19</v>
      </c>
      <c r="F929" t="s">
        <v>3474</v>
      </c>
      <c r="G929" t="s">
        <v>3475</v>
      </c>
      <c r="H929" t="s">
        <v>98</v>
      </c>
      <c r="I929" t="s">
        <v>23</v>
      </c>
      <c r="J929" t="s">
        <v>1120</v>
      </c>
      <c r="K929" t="s">
        <v>314</v>
      </c>
      <c r="L929">
        <v>22204</v>
      </c>
      <c r="M929" t="s">
        <v>26</v>
      </c>
      <c r="N929" t="s">
        <v>3476</v>
      </c>
      <c r="O929" t="s">
        <v>28</v>
      </c>
      <c r="P929" t="s">
        <v>29</v>
      </c>
      <c r="Q929" t="s">
        <v>3477</v>
      </c>
      <c r="R929">
        <v>61.96</v>
      </c>
      <c r="S929" t="str">
        <f>TEXT(sales_data[[#This Row],[Order Date]],"mm")</f>
        <v>09</v>
      </c>
      <c r="T929">
        <f>YEAR(sales_data[[#This Row],[Order Date]])</f>
        <v>2016</v>
      </c>
      <c r="V929" t="s">
        <v>3476</v>
      </c>
    </row>
    <row r="930" spans="1:22" x14ac:dyDescent="0.35">
      <c r="A930">
        <v>1304</v>
      </c>
      <c r="B930" t="s">
        <v>3478</v>
      </c>
      <c r="C930" s="1">
        <v>43284</v>
      </c>
      <c r="D930" s="1">
        <v>43288</v>
      </c>
      <c r="E930" t="s">
        <v>46</v>
      </c>
      <c r="F930" t="s">
        <v>3479</v>
      </c>
      <c r="G930" t="s">
        <v>3480</v>
      </c>
      <c r="H930" t="s">
        <v>22</v>
      </c>
      <c r="I930" t="s">
        <v>23</v>
      </c>
      <c r="J930" t="s">
        <v>492</v>
      </c>
      <c r="K930" t="s">
        <v>1261</v>
      </c>
      <c r="L930">
        <v>31907</v>
      </c>
      <c r="M930" t="s">
        <v>26</v>
      </c>
      <c r="N930" t="s">
        <v>3481</v>
      </c>
      <c r="O930" t="s">
        <v>28</v>
      </c>
      <c r="P930" t="s">
        <v>61</v>
      </c>
      <c r="Q930" t="s">
        <v>3482</v>
      </c>
      <c r="R930">
        <v>23.99</v>
      </c>
      <c r="S930" t="str">
        <f>TEXT(sales_data[[#This Row],[Order Date]],"mm")</f>
        <v>07</v>
      </c>
      <c r="T930">
        <f>YEAR(sales_data[[#This Row],[Order Date]])</f>
        <v>2018</v>
      </c>
      <c r="V930" t="s">
        <v>3481</v>
      </c>
    </row>
    <row r="931" spans="1:22" x14ac:dyDescent="0.35">
      <c r="A931">
        <v>1306</v>
      </c>
      <c r="B931" t="s">
        <v>3483</v>
      </c>
      <c r="C931" s="1">
        <v>42930</v>
      </c>
      <c r="D931" s="1">
        <v>42932</v>
      </c>
      <c r="E931" t="s">
        <v>19</v>
      </c>
      <c r="F931" t="s">
        <v>2418</v>
      </c>
      <c r="G931" t="s">
        <v>2419</v>
      </c>
      <c r="H931" t="s">
        <v>22</v>
      </c>
      <c r="I931" t="s">
        <v>23</v>
      </c>
      <c r="J931" t="s">
        <v>179</v>
      </c>
      <c r="K931" t="s">
        <v>100</v>
      </c>
      <c r="L931">
        <v>77036</v>
      </c>
      <c r="M931" t="s">
        <v>101</v>
      </c>
      <c r="N931" t="s">
        <v>3484</v>
      </c>
      <c r="O931" t="s">
        <v>67</v>
      </c>
      <c r="P931" t="s">
        <v>68</v>
      </c>
      <c r="Q931" t="s">
        <v>3485</v>
      </c>
      <c r="R931">
        <v>419.94400000000002</v>
      </c>
      <c r="S931" t="str">
        <f>TEXT(sales_data[[#This Row],[Order Date]],"mm")</f>
        <v>07</v>
      </c>
      <c r="T931">
        <f>YEAR(sales_data[[#This Row],[Order Date]])</f>
        <v>2017</v>
      </c>
      <c r="V931" t="s">
        <v>3484</v>
      </c>
    </row>
    <row r="932" spans="1:22" x14ac:dyDescent="0.35">
      <c r="A932">
        <v>1309</v>
      </c>
      <c r="B932" t="s">
        <v>3486</v>
      </c>
      <c r="C932" s="1">
        <v>42906</v>
      </c>
      <c r="D932" s="1">
        <v>42907</v>
      </c>
      <c r="E932" t="s">
        <v>183</v>
      </c>
      <c r="F932" t="s">
        <v>977</v>
      </c>
      <c r="G932" t="s">
        <v>978</v>
      </c>
      <c r="H932" t="s">
        <v>22</v>
      </c>
      <c r="I932" t="s">
        <v>23</v>
      </c>
      <c r="J932" t="s">
        <v>595</v>
      </c>
      <c r="K932" t="s">
        <v>39</v>
      </c>
      <c r="L932">
        <v>91104</v>
      </c>
      <c r="M932" t="s">
        <v>40</v>
      </c>
      <c r="N932" t="s">
        <v>3487</v>
      </c>
      <c r="O932" t="s">
        <v>42</v>
      </c>
      <c r="P932" t="s">
        <v>74</v>
      </c>
      <c r="Q932" t="s">
        <v>3488</v>
      </c>
      <c r="R932">
        <v>21.78</v>
      </c>
      <c r="S932" t="str">
        <f>TEXT(sales_data[[#This Row],[Order Date]],"mm")</f>
        <v>06</v>
      </c>
      <c r="T932">
        <f>YEAR(sales_data[[#This Row],[Order Date]])</f>
        <v>2017</v>
      </c>
      <c r="V932" t="s">
        <v>3487</v>
      </c>
    </row>
    <row r="933" spans="1:22" x14ac:dyDescent="0.35">
      <c r="A933">
        <v>1311</v>
      </c>
      <c r="B933" t="s">
        <v>3486</v>
      </c>
      <c r="C933" s="1">
        <v>42906</v>
      </c>
      <c r="D933" s="1">
        <v>42907</v>
      </c>
      <c r="E933" t="s">
        <v>183</v>
      </c>
      <c r="F933" t="s">
        <v>977</v>
      </c>
      <c r="G933" t="s">
        <v>978</v>
      </c>
      <c r="H933" t="s">
        <v>22</v>
      </c>
      <c r="I933" t="s">
        <v>23</v>
      </c>
      <c r="J933" t="s">
        <v>595</v>
      </c>
      <c r="K933" t="s">
        <v>39</v>
      </c>
      <c r="L933">
        <v>91104</v>
      </c>
      <c r="M933" t="s">
        <v>40</v>
      </c>
      <c r="N933" t="s">
        <v>3489</v>
      </c>
      <c r="O933" t="s">
        <v>28</v>
      </c>
      <c r="P933" t="s">
        <v>32</v>
      </c>
      <c r="Q933" t="s">
        <v>3490</v>
      </c>
      <c r="R933">
        <v>161.56800000000001</v>
      </c>
      <c r="S933" t="str">
        <f>TEXT(sales_data[[#This Row],[Order Date]],"mm")</f>
        <v>06</v>
      </c>
      <c r="T933">
        <f>YEAR(sales_data[[#This Row],[Order Date]])</f>
        <v>2017</v>
      </c>
      <c r="V933" t="s">
        <v>3489</v>
      </c>
    </row>
    <row r="934" spans="1:22" x14ac:dyDescent="0.35">
      <c r="A934">
        <v>1312</v>
      </c>
      <c r="B934" t="s">
        <v>3491</v>
      </c>
      <c r="C934" s="1">
        <v>43078</v>
      </c>
      <c r="D934" s="1">
        <v>43082</v>
      </c>
      <c r="E934" t="s">
        <v>46</v>
      </c>
      <c r="F934" t="s">
        <v>2057</v>
      </c>
      <c r="G934" t="s">
        <v>2058</v>
      </c>
      <c r="H934" t="s">
        <v>22</v>
      </c>
      <c r="I934" t="s">
        <v>23</v>
      </c>
      <c r="J934" t="s">
        <v>1467</v>
      </c>
      <c r="K934" t="s">
        <v>1235</v>
      </c>
      <c r="L934">
        <v>1841</v>
      </c>
      <c r="M934" t="s">
        <v>144</v>
      </c>
      <c r="N934" t="s">
        <v>3492</v>
      </c>
      <c r="O934" t="s">
        <v>42</v>
      </c>
      <c r="P934" t="s">
        <v>43</v>
      </c>
      <c r="Q934" t="s">
        <v>3493</v>
      </c>
      <c r="R934">
        <v>3.69</v>
      </c>
      <c r="S934" t="str">
        <f>TEXT(sales_data[[#This Row],[Order Date]],"mm")</f>
        <v>12</v>
      </c>
      <c r="T934">
        <f>YEAR(sales_data[[#This Row],[Order Date]])</f>
        <v>2017</v>
      </c>
      <c r="V934" t="s">
        <v>3492</v>
      </c>
    </row>
    <row r="935" spans="1:22" x14ac:dyDescent="0.35">
      <c r="A935">
        <v>1313</v>
      </c>
      <c r="B935" t="s">
        <v>3491</v>
      </c>
      <c r="C935" s="1">
        <v>43078</v>
      </c>
      <c r="D935" s="1">
        <v>43082</v>
      </c>
      <c r="E935" t="s">
        <v>46</v>
      </c>
      <c r="F935" t="s">
        <v>2057</v>
      </c>
      <c r="G935" t="s">
        <v>2058</v>
      </c>
      <c r="H935" t="s">
        <v>22</v>
      </c>
      <c r="I935" t="s">
        <v>23</v>
      </c>
      <c r="J935" t="s">
        <v>1467</v>
      </c>
      <c r="K935" t="s">
        <v>1235</v>
      </c>
      <c r="L935">
        <v>1841</v>
      </c>
      <c r="M935" t="s">
        <v>144</v>
      </c>
      <c r="N935" t="s">
        <v>3494</v>
      </c>
      <c r="O935" t="s">
        <v>42</v>
      </c>
      <c r="P935" t="s">
        <v>43</v>
      </c>
      <c r="Q935" t="s">
        <v>3495</v>
      </c>
      <c r="R935">
        <v>122.12</v>
      </c>
      <c r="S935" t="str">
        <f>TEXT(sales_data[[#This Row],[Order Date]],"mm")</f>
        <v>12</v>
      </c>
      <c r="T935">
        <f>YEAR(sales_data[[#This Row],[Order Date]])</f>
        <v>2017</v>
      </c>
      <c r="V935" t="s">
        <v>3494</v>
      </c>
    </row>
    <row r="936" spans="1:22" x14ac:dyDescent="0.35">
      <c r="A936">
        <v>1315</v>
      </c>
      <c r="B936" t="s">
        <v>3496</v>
      </c>
      <c r="C936" s="1">
        <v>43087</v>
      </c>
      <c r="D936" s="1">
        <v>43092</v>
      </c>
      <c r="E936" t="s">
        <v>46</v>
      </c>
      <c r="F936" t="s">
        <v>3497</v>
      </c>
      <c r="G936" t="s">
        <v>3498</v>
      </c>
      <c r="H936" t="s">
        <v>37</v>
      </c>
      <c r="I936" t="s">
        <v>23</v>
      </c>
      <c r="J936" t="s">
        <v>38</v>
      </c>
      <c r="K936" t="s">
        <v>39</v>
      </c>
      <c r="L936">
        <v>90032</v>
      </c>
      <c r="M936" t="s">
        <v>40</v>
      </c>
      <c r="N936" t="s">
        <v>3499</v>
      </c>
      <c r="O936" t="s">
        <v>42</v>
      </c>
      <c r="P936" t="s">
        <v>86</v>
      </c>
      <c r="Q936" t="s">
        <v>3500</v>
      </c>
      <c r="R936">
        <v>38.880000000000003</v>
      </c>
      <c r="S936" t="str">
        <f>TEXT(sales_data[[#This Row],[Order Date]],"mm")</f>
        <v>12</v>
      </c>
      <c r="T936">
        <f>YEAR(sales_data[[#This Row],[Order Date]])</f>
        <v>2017</v>
      </c>
      <c r="V936" t="s">
        <v>3499</v>
      </c>
    </row>
    <row r="937" spans="1:22" x14ac:dyDescent="0.35">
      <c r="A937">
        <v>1316</v>
      </c>
      <c r="B937" t="s">
        <v>3496</v>
      </c>
      <c r="C937" s="1">
        <v>43087</v>
      </c>
      <c r="D937" s="1">
        <v>43092</v>
      </c>
      <c r="E937" t="s">
        <v>46</v>
      </c>
      <c r="F937" t="s">
        <v>3497</v>
      </c>
      <c r="G937" t="s">
        <v>3498</v>
      </c>
      <c r="H937" t="s">
        <v>37</v>
      </c>
      <c r="I937" t="s">
        <v>23</v>
      </c>
      <c r="J937" t="s">
        <v>38</v>
      </c>
      <c r="K937" t="s">
        <v>39</v>
      </c>
      <c r="L937">
        <v>90032</v>
      </c>
      <c r="M937" t="s">
        <v>40</v>
      </c>
      <c r="N937" t="s">
        <v>3501</v>
      </c>
      <c r="O937" t="s">
        <v>28</v>
      </c>
      <c r="P937" t="s">
        <v>61</v>
      </c>
      <c r="Q937" t="s">
        <v>3502</v>
      </c>
      <c r="R937">
        <v>183.84</v>
      </c>
      <c r="S937" t="str">
        <f>TEXT(sales_data[[#This Row],[Order Date]],"mm")</f>
        <v>12</v>
      </c>
      <c r="T937">
        <f>YEAR(sales_data[[#This Row],[Order Date]])</f>
        <v>2017</v>
      </c>
      <c r="V937" t="s">
        <v>3501</v>
      </c>
    </row>
    <row r="938" spans="1:22" x14ac:dyDescent="0.35">
      <c r="A938">
        <v>1318</v>
      </c>
      <c r="B938" t="s">
        <v>3503</v>
      </c>
      <c r="C938" s="1">
        <v>43444</v>
      </c>
      <c r="D938" s="1">
        <v>43448</v>
      </c>
      <c r="E938" t="s">
        <v>46</v>
      </c>
      <c r="F938" t="s">
        <v>593</v>
      </c>
      <c r="G938" t="s">
        <v>594</v>
      </c>
      <c r="H938" t="s">
        <v>22</v>
      </c>
      <c r="I938" t="s">
        <v>23</v>
      </c>
      <c r="J938" t="s">
        <v>142</v>
      </c>
      <c r="K938" t="s">
        <v>143</v>
      </c>
      <c r="L938">
        <v>19120</v>
      </c>
      <c r="M938" t="s">
        <v>144</v>
      </c>
      <c r="N938" t="s">
        <v>3504</v>
      </c>
      <c r="O938" t="s">
        <v>67</v>
      </c>
      <c r="P938" t="s">
        <v>156</v>
      </c>
      <c r="Q938" t="s">
        <v>3505</v>
      </c>
      <c r="R938">
        <v>14.2</v>
      </c>
      <c r="S938" t="str">
        <f>TEXT(sales_data[[#This Row],[Order Date]],"mm")</f>
        <v>12</v>
      </c>
      <c r="T938">
        <f>YEAR(sales_data[[#This Row],[Order Date]])</f>
        <v>2018</v>
      </c>
      <c r="V938" t="s">
        <v>3504</v>
      </c>
    </row>
    <row r="939" spans="1:22" x14ac:dyDescent="0.35">
      <c r="A939">
        <v>1323</v>
      </c>
      <c r="B939" t="s">
        <v>3510</v>
      </c>
      <c r="C939" s="1">
        <v>43162</v>
      </c>
      <c r="D939" s="1">
        <v>43167</v>
      </c>
      <c r="E939" t="s">
        <v>46</v>
      </c>
      <c r="F939" t="s">
        <v>3511</v>
      </c>
      <c r="G939" t="s">
        <v>3512</v>
      </c>
      <c r="H939" t="s">
        <v>22</v>
      </c>
      <c r="I939" t="s">
        <v>23</v>
      </c>
      <c r="J939" t="s">
        <v>3513</v>
      </c>
      <c r="K939" t="s">
        <v>25</v>
      </c>
      <c r="L939">
        <v>42071</v>
      </c>
      <c r="M939" t="s">
        <v>26</v>
      </c>
      <c r="N939" t="s">
        <v>3514</v>
      </c>
      <c r="O939" t="s">
        <v>42</v>
      </c>
      <c r="P939" t="s">
        <v>74</v>
      </c>
      <c r="Q939" t="s">
        <v>3515</v>
      </c>
      <c r="R939">
        <v>72.8</v>
      </c>
      <c r="S939" t="str">
        <f>TEXT(sales_data[[#This Row],[Order Date]],"mm")</f>
        <v>03</v>
      </c>
      <c r="T939">
        <f>YEAR(sales_data[[#This Row],[Order Date]])</f>
        <v>2018</v>
      </c>
      <c r="V939" t="s">
        <v>3514</v>
      </c>
    </row>
    <row r="940" spans="1:22" x14ac:dyDescent="0.35">
      <c r="A940">
        <v>1324</v>
      </c>
      <c r="B940" t="s">
        <v>3516</v>
      </c>
      <c r="C940" s="1">
        <v>43382</v>
      </c>
      <c r="D940" s="1">
        <v>43383</v>
      </c>
      <c r="E940" t="s">
        <v>183</v>
      </c>
      <c r="F940" t="s">
        <v>3517</v>
      </c>
      <c r="G940" t="s">
        <v>3518</v>
      </c>
      <c r="H940" t="s">
        <v>22</v>
      </c>
      <c r="I940" t="s">
        <v>23</v>
      </c>
      <c r="J940" t="s">
        <v>516</v>
      </c>
      <c r="K940" t="s">
        <v>84</v>
      </c>
      <c r="L940">
        <v>28403</v>
      </c>
      <c r="M940" t="s">
        <v>26</v>
      </c>
      <c r="N940" t="s">
        <v>3519</v>
      </c>
      <c r="O940" t="s">
        <v>42</v>
      </c>
      <c r="P940" t="s">
        <v>86</v>
      </c>
      <c r="Q940" t="s">
        <v>3520</v>
      </c>
      <c r="R940">
        <v>10.816000000000001</v>
      </c>
      <c r="S940" t="str">
        <f>TEXT(sales_data[[#This Row],[Order Date]],"mm")</f>
        <v>10</v>
      </c>
      <c r="T940">
        <f>YEAR(sales_data[[#This Row],[Order Date]])</f>
        <v>2018</v>
      </c>
      <c r="V940" t="s">
        <v>3519</v>
      </c>
    </row>
    <row r="941" spans="1:22" x14ac:dyDescent="0.35">
      <c r="A941">
        <v>1326</v>
      </c>
      <c r="B941" t="s">
        <v>3522</v>
      </c>
      <c r="C941" s="1">
        <v>42151</v>
      </c>
      <c r="D941" s="1">
        <v>42154</v>
      </c>
      <c r="E941" t="s">
        <v>183</v>
      </c>
      <c r="F941" t="s">
        <v>816</v>
      </c>
      <c r="G941" t="s">
        <v>817</v>
      </c>
      <c r="H941" t="s">
        <v>22</v>
      </c>
      <c r="I941" t="s">
        <v>23</v>
      </c>
      <c r="J941" t="s">
        <v>298</v>
      </c>
      <c r="K941" t="s">
        <v>206</v>
      </c>
      <c r="L941">
        <v>60653</v>
      </c>
      <c r="M941" t="s">
        <v>101</v>
      </c>
      <c r="N941" t="s">
        <v>3523</v>
      </c>
      <c r="O941" t="s">
        <v>42</v>
      </c>
      <c r="P941" t="s">
        <v>71</v>
      </c>
      <c r="Q941" t="s">
        <v>3524</v>
      </c>
      <c r="R941">
        <v>17.46</v>
      </c>
      <c r="S941" t="str">
        <f>TEXT(sales_data[[#This Row],[Order Date]],"mm")</f>
        <v>05</v>
      </c>
      <c r="T941">
        <f>YEAR(sales_data[[#This Row],[Order Date]])</f>
        <v>2015</v>
      </c>
      <c r="V941" t="s">
        <v>3523</v>
      </c>
    </row>
    <row r="942" spans="1:22" x14ac:dyDescent="0.35">
      <c r="A942">
        <v>1329</v>
      </c>
      <c r="B942" t="s">
        <v>3527</v>
      </c>
      <c r="C942" s="1">
        <v>43388</v>
      </c>
      <c r="D942" s="1">
        <v>43391</v>
      </c>
      <c r="E942" t="s">
        <v>19</v>
      </c>
      <c r="F942" t="s">
        <v>3528</v>
      </c>
      <c r="G942" t="s">
        <v>3529</v>
      </c>
      <c r="H942" t="s">
        <v>98</v>
      </c>
      <c r="I942" t="s">
        <v>23</v>
      </c>
      <c r="J942" t="s">
        <v>123</v>
      </c>
      <c r="K942" t="s">
        <v>39</v>
      </c>
      <c r="L942">
        <v>94110</v>
      </c>
      <c r="M942" t="s">
        <v>40</v>
      </c>
      <c r="N942" t="s">
        <v>3530</v>
      </c>
      <c r="O942" t="s">
        <v>42</v>
      </c>
      <c r="P942" t="s">
        <v>64</v>
      </c>
      <c r="Q942" t="s">
        <v>3531</v>
      </c>
      <c r="R942">
        <v>87.92</v>
      </c>
      <c r="S942" t="str">
        <f>TEXT(sales_data[[#This Row],[Order Date]],"mm")</f>
        <v>10</v>
      </c>
      <c r="T942">
        <f>YEAR(sales_data[[#This Row],[Order Date]])</f>
        <v>2018</v>
      </c>
      <c r="V942" t="s">
        <v>3530</v>
      </c>
    </row>
    <row r="943" spans="1:22" x14ac:dyDescent="0.35">
      <c r="A943">
        <v>1334</v>
      </c>
      <c r="B943" t="s">
        <v>3535</v>
      </c>
      <c r="C943" s="1">
        <v>42051</v>
      </c>
      <c r="D943" s="1">
        <v>42056</v>
      </c>
      <c r="E943" t="s">
        <v>46</v>
      </c>
      <c r="F943" t="s">
        <v>3536</v>
      </c>
      <c r="G943" t="s">
        <v>3537</v>
      </c>
      <c r="H943" t="s">
        <v>22</v>
      </c>
      <c r="I943" t="s">
        <v>23</v>
      </c>
      <c r="J943" t="s">
        <v>807</v>
      </c>
      <c r="K943" t="s">
        <v>100</v>
      </c>
      <c r="L943">
        <v>75220</v>
      </c>
      <c r="M943" t="s">
        <v>101</v>
      </c>
      <c r="N943" t="s">
        <v>3538</v>
      </c>
      <c r="O943" t="s">
        <v>42</v>
      </c>
      <c r="P943" t="s">
        <v>74</v>
      </c>
      <c r="Q943" t="s">
        <v>3539</v>
      </c>
      <c r="R943">
        <v>7.96</v>
      </c>
      <c r="S943" t="str">
        <f>TEXT(sales_data[[#This Row],[Order Date]],"mm")</f>
        <v>02</v>
      </c>
      <c r="T943">
        <f>YEAR(sales_data[[#This Row],[Order Date]])</f>
        <v>2015</v>
      </c>
      <c r="V943" t="s">
        <v>3538</v>
      </c>
    </row>
    <row r="944" spans="1:22" x14ac:dyDescent="0.35">
      <c r="A944">
        <v>1336</v>
      </c>
      <c r="B944" t="s">
        <v>3540</v>
      </c>
      <c r="C944" s="1">
        <v>42871</v>
      </c>
      <c r="D944" s="1">
        <v>42878</v>
      </c>
      <c r="E944" t="s">
        <v>46</v>
      </c>
      <c r="F944" t="s">
        <v>3541</v>
      </c>
      <c r="G944" t="s">
        <v>3542</v>
      </c>
      <c r="H944" t="s">
        <v>22</v>
      </c>
      <c r="I944" t="s">
        <v>23</v>
      </c>
      <c r="J944" t="s">
        <v>3543</v>
      </c>
      <c r="K944" t="s">
        <v>740</v>
      </c>
      <c r="L944">
        <v>6457</v>
      </c>
      <c r="M944" t="s">
        <v>144</v>
      </c>
      <c r="N944" t="s">
        <v>3544</v>
      </c>
      <c r="O944" t="s">
        <v>42</v>
      </c>
      <c r="P944" t="s">
        <v>55</v>
      </c>
      <c r="Q944" t="s">
        <v>3545</v>
      </c>
      <c r="R944">
        <v>552.55999999999995</v>
      </c>
      <c r="S944" t="str">
        <f>TEXT(sales_data[[#This Row],[Order Date]],"mm")</f>
        <v>05</v>
      </c>
      <c r="T944">
        <f>YEAR(sales_data[[#This Row],[Order Date]])</f>
        <v>2017</v>
      </c>
      <c r="V944" t="s">
        <v>3544</v>
      </c>
    </row>
    <row r="945" spans="1:22" x14ac:dyDescent="0.35">
      <c r="A945">
        <v>1338</v>
      </c>
      <c r="B945" t="s">
        <v>3547</v>
      </c>
      <c r="C945" s="1">
        <v>43190</v>
      </c>
      <c r="D945" s="1">
        <v>43192</v>
      </c>
      <c r="E945" t="s">
        <v>19</v>
      </c>
      <c r="F945" t="s">
        <v>3548</v>
      </c>
      <c r="G945" t="s">
        <v>3549</v>
      </c>
      <c r="H945" t="s">
        <v>22</v>
      </c>
      <c r="I945" t="s">
        <v>23</v>
      </c>
      <c r="J945" t="s">
        <v>261</v>
      </c>
      <c r="K945" t="s">
        <v>262</v>
      </c>
      <c r="L945">
        <v>10011</v>
      </c>
      <c r="M945" t="s">
        <v>144</v>
      </c>
      <c r="N945" t="s">
        <v>3550</v>
      </c>
      <c r="O945" t="s">
        <v>28</v>
      </c>
      <c r="P945" t="s">
        <v>61</v>
      </c>
      <c r="Q945" t="s">
        <v>3551</v>
      </c>
      <c r="R945">
        <v>29.78</v>
      </c>
      <c r="S945" t="str">
        <f>TEXT(sales_data[[#This Row],[Order Date]],"mm")</f>
        <v>03</v>
      </c>
      <c r="T945">
        <f>YEAR(sales_data[[#This Row],[Order Date]])</f>
        <v>2018</v>
      </c>
      <c r="V945" t="s">
        <v>3550</v>
      </c>
    </row>
    <row r="946" spans="1:22" x14ac:dyDescent="0.35">
      <c r="A946">
        <v>1339</v>
      </c>
      <c r="B946" t="s">
        <v>3547</v>
      </c>
      <c r="C946" s="1">
        <v>43190</v>
      </c>
      <c r="D946" s="1">
        <v>43192</v>
      </c>
      <c r="E946" t="s">
        <v>19</v>
      </c>
      <c r="F946" t="s">
        <v>3548</v>
      </c>
      <c r="G946" t="s">
        <v>3549</v>
      </c>
      <c r="H946" t="s">
        <v>22</v>
      </c>
      <c r="I946" t="s">
        <v>23</v>
      </c>
      <c r="J946" t="s">
        <v>261</v>
      </c>
      <c r="K946" t="s">
        <v>262</v>
      </c>
      <c r="L946">
        <v>10011</v>
      </c>
      <c r="M946" t="s">
        <v>144</v>
      </c>
      <c r="N946" t="s">
        <v>3552</v>
      </c>
      <c r="O946" t="s">
        <v>67</v>
      </c>
      <c r="P946" t="s">
        <v>68</v>
      </c>
      <c r="Q946" t="s">
        <v>3553</v>
      </c>
      <c r="R946">
        <v>677.58</v>
      </c>
      <c r="S946" t="str">
        <f>TEXT(sales_data[[#This Row],[Order Date]],"mm")</f>
        <v>03</v>
      </c>
      <c r="T946">
        <f>YEAR(sales_data[[#This Row],[Order Date]])</f>
        <v>2018</v>
      </c>
      <c r="V946" t="s">
        <v>3552</v>
      </c>
    </row>
    <row r="947" spans="1:22" x14ac:dyDescent="0.35">
      <c r="A947">
        <v>1340</v>
      </c>
      <c r="B947" t="s">
        <v>3547</v>
      </c>
      <c r="C947" s="1">
        <v>43190</v>
      </c>
      <c r="D947" s="1">
        <v>43192</v>
      </c>
      <c r="E947" t="s">
        <v>19</v>
      </c>
      <c r="F947" t="s">
        <v>3548</v>
      </c>
      <c r="G947" t="s">
        <v>3549</v>
      </c>
      <c r="H947" t="s">
        <v>22</v>
      </c>
      <c r="I947" t="s">
        <v>23</v>
      </c>
      <c r="J947" t="s">
        <v>261</v>
      </c>
      <c r="K947" t="s">
        <v>262</v>
      </c>
      <c r="L947">
        <v>10011</v>
      </c>
      <c r="M947" t="s">
        <v>144</v>
      </c>
      <c r="N947" t="s">
        <v>3554</v>
      </c>
      <c r="O947" t="s">
        <v>42</v>
      </c>
      <c r="P947" t="s">
        <v>86</v>
      </c>
      <c r="Q947" t="s">
        <v>3555</v>
      </c>
      <c r="R947">
        <v>75.040000000000006</v>
      </c>
      <c r="S947" t="str">
        <f>TEXT(sales_data[[#This Row],[Order Date]],"mm")</f>
        <v>03</v>
      </c>
      <c r="T947">
        <f>YEAR(sales_data[[#This Row],[Order Date]])</f>
        <v>2018</v>
      </c>
      <c r="V947" t="s">
        <v>3554</v>
      </c>
    </row>
    <row r="948" spans="1:22" x14ac:dyDescent="0.35">
      <c r="A948">
        <v>1341</v>
      </c>
      <c r="B948" t="s">
        <v>3556</v>
      </c>
      <c r="C948" s="1">
        <v>43102</v>
      </c>
      <c r="D948" s="1">
        <v>43104</v>
      </c>
      <c r="E948" t="s">
        <v>183</v>
      </c>
      <c r="F948" t="s">
        <v>3557</v>
      </c>
      <c r="G948" t="s">
        <v>3558</v>
      </c>
      <c r="H948" t="s">
        <v>37</v>
      </c>
      <c r="I948" t="s">
        <v>23</v>
      </c>
      <c r="J948" t="s">
        <v>1509</v>
      </c>
      <c r="K948" t="s">
        <v>84</v>
      </c>
      <c r="L948">
        <v>28540</v>
      </c>
      <c r="M948" t="s">
        <v>26</v>
      </c>
      <c r="N948" t="s">
        <v>3559</v>
      </c>
      <c r="O948" t="s">
        <v>67</v>
      </c>
      <c r="P948" t="s">
        <v>675</v>
      </c>
      <c r="Q948" t="s">
        <v>3560</v>
      </c>
      <c r="R948">
        <v>695.7</v>
      </c>
      <c r="S948" t="str">
        <f>TEXT(sales_data[[#This Row],[Order Date]],"mm")</f>
        <v>01</v>
      </c>
      <c r="T948">
        <f>YEAR(sales_data[[#This Row],[Order Date]])</f>
        <v>2018</v>
      </c>
      <c r="V948" t="s">
        <v>3559</v>
      </c>
    </row>
    <row r="949" spans="1:22" x14ac:dyDescent="0.35">
      <c r="A949">
        <v>1344</v>
      </c>
      <c r="B949" t="s">
        <v>3561</v>
      </c>
      <c r="C949" s="1">
        <v>42518</v>
      </c>
      <c r="D949" s="1">
        <v>42522</v>
      </c>
      <c r="E949" t="s">
        <v>46</v>
      </c>
      <c r="F949" t="s">
        <v>402</v>
      </c>
      <c r="G949" t="s">
        <v>403</v>
      </c>
      <c r="H949" t="s">
        <v>22</v>
      </c>
      <c r="I949" t="s">
        <v>23</v>
      </c>
      <c r="J949" t="s">
        <v>3562</v>
      </c>
      <c r="K949" t="s">
        <v>262</v>
      </c>
      <c r="L949">
        <v>11520</v>
      </c>
      <c r="M949" t="s">
        <v>144</v>
      </c>
      <c r="N949" t="s">
        <v>3563</v>
      </c>
      <c r="O949" t="s">
        <v>42</v>
      </c>
      <c r="P949" t="s">
        <v>64</v>
      </c>
      <c r="Q949" t="s">
        <v>3564</v>
      </c>
      <c r="R949">
        <v>47.82</v>
      </c>
      <c r="S949" t="str">
        <f>TEXT(sales_data[[#This Row],[Order Date]],"mm")</f>
        <v>05</v>
      </c>
      <c r="T949">
        <f>YEAR(sales_data[[#This Row],[Order Date]])</f>
        <v>2016</v>
      </c>
      <c r="V949" t="s">
        <v>3563</v>
      </c>
    </row>
    <row r="950" spans="1:22" x14ac:dyDescent="0.35">
      <c r="A950">
        <v>1345</v>
      </c>
      <c r="B950" t="s">
        <v>3561</v>
      </c>
      <c r="C950" s="1">
        <v>42518</v>
      </c>
      <c r="D950" s="1">
        <v>42522</v>
      </c>
      <c r="E950" t="s">
        <v>46</v>
      </c>
      <c r="F950" t="s">
        <v>402</v>
      </c>
      <c r="G950" t="s">
        <v>403</v>
      </c>
      <c r="H950" t="s">
        <v>22</v>
      </c>
      <c r="I950" t="s">
        <v>23</v>
      </c>
      <c r="J950" t="s">
        <v>3562</v>
      </c>
      <c r="K950" t="s">
        <v>262</v>
      </c>
      <c r="L950">
        <v>11520</v>
      </c>
      <c r="M950" t="s">
        <v>144</v>
      </c>
      <c r="N950" t="s">
        <v>3565</v>
      </c>
      <c r="O950" t="s">
        <v>42</v>
      </c>
      <c r="P950" t="s">
        <v>43</v>
      </c>
      <c r="Q950" t="s">
        <v>3566</v>
      </c>
      <c r="R950">
        <v>13.05</v>
      </c>
      <c r="S950" t="str">
        <f>TEXT(sales_data[[#This Row],[Order Date]],"mm")</f>
        <v>05</v>
      </c>
      <c r="T950">
        <f>YEAR(sales_data[[#This Row],[Order Date]])</f>
        <v>2016</v>
      </c>
      <c r="V950" t="s">
        <v>3565</v>
      </c>
    </row>
    <row r="951" spans="1:22" x14ac:dyDescent="0.35">
      <c r="A951">
        <v>1347</v>
      </c>
      <c r="B951" t="s">
        <v>3567</v>
      </c>
      <c r="C951" s="1">
        <v>42080</v>
      </c>
      <c r="D951" s="1">
        <v>42087</v>
      </c>
      <c r="E951" t="s">
        <v>46</v>
      </c>
      <c r="F951" t="s">
        <v>1736</v>
      </c>
      <c r="G951" t="s">
        <v>1737</v>
      </c>
      <c r="H951" t="s">
        <v>22</v>
      </c>
      <c r="I951" t="s">
        <v>23</v>
      </c>
      <c r="J951" t="s">
        <v>925</v>
      </c>
      <c r="K951" t="s">
        <v>224</v>
      </c>
      <c r="L951">
        <v>55044</v>
      </c>
      <c r="M951" t="s">
        <v>101</v>
      </c>
      <c r="N951" t="s">
        <v>3568</v>
      </c>
      <c r="O951" t="s">
        <v>42</v>
      </c>
      <c r="P951" t="s">
        <v>86</v>
      </c>
      <c r="Q951" t="s">
        <v>3569</v>
      </c>
      <c r="R951">
        <v>47.18</v>
      </c>
      <c r="S951" t="str">
        <f>TEXT(sales_data[[#This Row],[Order Date]],"mm")</f>
        <v>03</v>
      </c>
      <c r="T951">
        <f>YEAR(sales_data[[#This Row],[Order Date]])</f>
        <v>2015</v>
      </c>
      <c r="V951" t="s">
        <v>3568</v>
      </c>
    </row>
    <row r="952" spans="1:22" x14ac:dyDescent="0.35">
      <c r="A952">
        <v>1348</v>
      </c>
      <c r="B952" t="s">
        <v>3567</v>
      </c>
      <c r="C952" s="1">
        <v>42080</v>
      </c>
      <c r="D952" s="1">
        <v>42087</v>
      </c>
      <c r="E952" t="s">
        <v>46</v>
      </c>
      <c r="F952" t="s">
        <v>1736</v>
      </c>
      <c r="G952" t="s">
        <v>1737</v>
      </c>
      <c r="H952" t="s">
        <v>22</v>
      </c>
      <c r="I952" t="s">
        <v>23</v>
      </c>
      <c r="J952" t="s">
        <v>925</v>
      </c>
      <c r="K952" t="s">
        <v>224</v>
      </c>
      <c r="L952">
        <v>55044</v>
      </c>
      <c r="M952" t="s">
        <v>101</v>
      </c>
      <c r="N952" t="s">
        <v>3570</v>
      </c>
      <c r="O952" t="s">
        <v>42</v>
      </c>
      <c r="P952" t="s">
        <v>64</v>
      </c>
      <c r="Q952" t="s">
        <v>3571</v>
      </c>
      <c r="R952">
        <v>19.68</v>
      </c>
      <c r="S952" t="str">
        <f>TEXT(sales_data[[#This Row],[Order Date]],"mm")</f>
        <v>03</v>
      </c>
      <c r="T952">
        <f>YEAR(sales_data[[#This Row],[Order Date]])</f>
        <v>2015</v>
      </c>
      <c r="V952" t="s">
        <v>3570</v>
      </c>
    </row>
    <row r="953" spans="1:22" x14ac:dyDescent="0.35">
      <c r="A953">
        <v>1349</v>
      </c>
      <c r="B953" t="s">
        <v>3567</v>
      </c>
      <c r="C953" s="1">
        <v>42080</v>
      </c>
      <c r="D953" s="1">
        <v>42087</v>
      </c>
      <c r="E953" t="s">
        <v>46</v>
      </c>
      <c r="F953" t="s">
        <v>1736</v>
      </c>
      <c r="G953" t="s">
        <v>1737</v>
      </c>
      <c r="H953" t="s">
        <v>22</v>
      </c>
      <c r="I953" t="s">
        <v>23</v>
      </c>
      <c r="J953" t="s">
        <v>925</v>
      </c>
      <c r="K953" t="s">
        <v>224</v>
      </c>
      <c r="L953">
        <v>55044</v>
      </c>
      <c r="M953" t="s">
        <v>101</v>
      </c>
      <c r="N953" t="s">
        <v>3572</v>
      </c>
      <c r="O953" t="s">
        <v>42</v>
      </c>
      <c r="P953" t="s">
        <v>71</v>
      </c>
      <c r="Q953" t="s">
        <v>3573</v>
      </c>
      <c r="R953">
        <v>53.4</v>
      </c>
      <c r="S953" t="str">
        <f>TEXT(sales_data[[#This Row],[Order Date]],"mm")</f>
        <v>03</v>
      </c>
      <c r="T953">
        <f>YEAR(sales_data[[#This Row],[Order Date]])</f>
        <v>2015</v>
      </c>
      <c r="V953" t="s">
        <v>3572</v>
      </c>
    </row>
    <row r="954" spans="1:22" x14ac:dyDescent="0.35">
      <c r="A954">
        <v>1350</v>
      </c>
      <c r="B954" t="s">
        <v>3567</v>
      </c>
      <c r="C954" s="1">
        <v>42080</v>
      </c>
      <c r="D954" s="1">
        <v>42087</v>
      </c>
      <c r="E954" t="s">
        <v>46</v>
      </c>
      <c r="F954" t="s">
        <v>1736</v>
      </c>
      <c r="G954" t="s">
        <v>1737</v>
      </c>
      <c r="H954" t="s">
        <v>22</v>
      </c>
      <c r="I954" t="s">
        <v>23</v>
      </c>
      <c r="J954" t="s">
        <v>925</v>
      </c>
      <c r="K954" t="s">
        <v>224</v>
      </c>
      <c r="L954">
        <v>55044</v>
      </c>
      <c r="M954" t="s">
        <v>101</v>
      </c>
      <c r="N954" t="s">
        <v>3574</v>
      </c>
      <c r="O954" t="s">
        <v>42</v>
      </c>
      <c r="P954" t="s">
        <v>71</v>
      </c>
      <c r="Q954" t="s">
        <v>3575</v>
      </c>
      <c r="R954">
        <v>35.880000000000003</v>
      </c>
      <c r="S954" t="str">
        <f>TEXT(sales_data[[#This Row],[Order Date]],"mm")</f>
        <v>03</v>
      </c>
      <c r="T954">
        <f>YEAR(sales_data[[#This Row],[Order Date]])</f>
        <v>2015</v>
      </c>
      <c r="V954" t="s">
        <v>3574</v>
      </c>
    </row>
    <row r="955" spans="1:22" x14ac:dyDescent="0.35">
      <c r="A955">
        <v>1352</v>
      </c>
      <c r="B955" t="s">
        <v>3577</v>
      </c>
      <c r="C955" s="1">
        <v>42822</v>
      </c>
      <c r="D955" s="1">
        <v>42825</v>
      </c>
      <c r="E955" t="s">
        <v>183</v>
      </c>
      <c r="F955" t="s">
        <v>3557</v>
      </c>
      <c r="G955" t="s">
        <v>3558</v>
      </c>
      <c r="H955" t="s">
        <v>37</v>
      </c>
      <c r="I955" t="s">
        <v>23</v>
      </c>
      <c r="J955" t="s">
        <v>1120</v>
      </c>
      <c r="K955" t="s">
        <v>314</v>
      </c>
      <c r="L955">
        <v>22204</v>
      </c>
      <c r="M955" t="s">
        <v>26</v>
      </c>
      <c r="N955" t="s">
        <v>3578</v>
      </c>
      <c r="O955" t="s">
        <v>42</v>
      </c>
      <c r="P955" t="s">
        <v>55</v>
      </c>
      <c r="Q955" t="s">
        <v>3579</v>
      </c>
      <c r="R955">
        <v>31.4</v>
      </c>
      <c r="S955" t="str">
        <f>TEXT(sales_data[[#This Row],[Order Date]],"mm")</f>
        <v>03</v>
      </c>
      <c r="T955">
        <f>YEAR(sales_data[[#This Row],[Order Date]])</f>
        <v>2017</v>
      </c>
      <c r="V955" t="s">
        <v>3578</v>
      </c>
    </row>
    <row r="956" spans="1:22" x14ac:dyDescent="0.35">
      <c r="A956">
        <v>1358</v>
      </c>
      <c r="B956" t="s">
        <v>3580</v>
      </c>
      <c r="C956" s="1">
        <v>42860</v>
      </c>
      <c r="D956" s="1">
        <v>42862</v>
      </c>
      <c r="E956" t="s">
        <v>183</v>
      </c>
      <c r="F956" t="s">
        <v>3581</v>
      </c>
      <c r="G956" t="s">
        <v>3582</v>
      </c>
      <c r="H956" t="s">
        <v>22</v>
      </c>
      <c r="I956" t="s">
        <v>23</v>
      </c>
      <c r="J956" t="s">
        <v>1461</v>
      </c>
      <c r="K956" t="s">
        <v>25</v>
      </c>
      <c r="L956">
        <v>40214</v>
      </c>
      <c r="M956" t="s">
        <v>26</v>
      </c>
      <c r="N956" t="s">
        <v>3583</v>
      </c>
      <c r="O956" t="s">
        <v>42</v>
      </c>
      <c r="P956" t="s">
        <v>86</v>
      </c>
      <c r="Q956" t="s">
        <v>3584</v>
      </c>
      <c r="R956">
        <v>79.14</v>
      </c>
      <c r="S956" t="str">
        <f>TEXT(sales_data[[#This Row],[Order Date]],"mm")</f>
        <v>05</v>
      </c>
      <c r="T956">
        <f>YEAR(sales_data[[#This Row],[Order Date]])</f>
        <v>2017</v>
      </c>
      <c r="V956" t="s">
        <v>3583</v>
      </c>
    </row>
    <row r="957" spans="1:22" x14ac:dyDescent="0.35">
      <c r="A957">
        <v>1360</v>
      </c>
      <c r="B957" t="s">
        <v>3586</v>
      </c>
      <c r="C957" s="1">
        <v>42273</v>
      </c>
      <c r="D957" s="1">
        <v>42278</v>
      </c>
      <c r="E957" t="s">
        <v>19</v>
      </c>
      <c r="F957" t="s">
        <v>3587</v>
      </c>
      <c r="G957" t="s">
        <v>3588</v>
      </c>
      <c r="H957" t="s">
        <v>22</v>
      </c>
      <c r="I957" t="s">
        <v>23</v>
      </c>
      <c r="J957" t="s">
        <v>38</v>
      </c>
      <c r="K957" t="s">
        <v>39</v>
      </c>
      <c r="L957">
        <v>90049</v>
      </c>
      <c r="M957" t="s">
        <v>40</v>
      </c>
      <c r="N957" t="s">
        <v>3589</v>
      </c>
      <c r="O957" t="s">
        <v>28</v>
      </c>
      <c r="P957" t="s">
        <v>32</v>
      </c>
      <c r="Q957" t="s">
        <v>3590</v>
      </c>
      <c r="R957">
        <v>145.56800000000001</v>
      </c>
      <c r="S957" t="str">
        <f>TEXT(sales_data[[#This Row],[Order Date]],"mm")</f>
        <v>09</v>
      </c>
      <c r="T957">
        <f>YEAR(sales_data[[#This Row],[Order Date]])</f>
        <v>2015</v>
      </c>
      <c r="V957" t="s">
        <v>3589</v>
      </c>
    </row>
    <row r="958" spans="1:22" x14ac:dyDescent="0.35">
      <c r="A958">
        <v>1362</v>
      </c>
      <c r="B958" t="s">
        <v>3591</v>
      </c>
      <c r="C958" s="1">
        <v>43392</v>
      </c>
      <c r="D958" s="1">
        <v>43398</v>
      </c>
      <c r="E958" t="s">
        <v>46</v>
      </c>
      <c r="F958" t="s">
        <v>3592</v>
      </c>
      <c r="G958" t="s">
        <v>3593</v>
      </c>
      <c r="H958" t="s">
        <v>37</v>
      </c>
      <c r="I958" t="s">
        <v>23</v>
      </c>
      <c r="J958" t="s">
        <v>142</v>
      </c>
      <c r="K958" t="s">
        <v>143</v>
      </c>
      <c r="L958">
        <v>19120</v>
      </c>
      <c r="M958" t="s">
        <v>144</v>
      </c>
      <c r="N958" t="s">
        <v>3594</v>
      </c>
      <c r="O958" t="s">
        <v>42</v>
      </c>
      <c r="P958" t="s">
        <v>86</v>
      </c>
      <c r="Q958" t="s">
        <v>3595</v>
      </c>
      <c r="R958">
        <v>23.68</v>
      </c>
      <c r="S958" t="str">
        <f>TEXT(sales_data[[#This Row],[Order Date]],"mm")</f>
        <v>10</v>
      </c>
      <c r="T958">
        <f>YEAR(sales_data[[#This Row],[Order Date]])</f>
        <v>2018</v>
      </c>
      <c r="V958" t="s">
        <v>3594</v>
      </c>
    </row>
    <row r="959" spans="1:22" x14ac:dyDescent="0.35">
      <c r="A959">
        <v>1363</v>
      </c>
      <c r="B959" t="s">
        <v>3591</v>
      </c>
      <c r="C959" s="1">
        <v>43392</v>
      </c>
      <c r="D959" s="1">
        <v>43398</v>
      </c>
      <c r="E959" t="s">
        <v>46</v>
      </c>
      <c r="F959" t="s">
        <v>3592</v>
      </c>
      <c r="G959" t="s">
        <v>3593</v>
      </c>
      <c r="H959" t="s">
        <v>37</v>
      </c>
      <c r="I959" t="s">
        <v>23</v>
      </c>
      <c r="J959" t="s">
        <v>142</v>
      </c>
      <c r="K959" t="s">
        <v>143</v>
      </c>
      <c r="L959">
        <v>19120</v>
      </c>
      <c r="M959" t="s">
        <v>144</v>
      </c>
      <c r="N959" t="s">
        <v>3596</v>
      </c>
      <c r="O959" t="s">
        <v>67</v>
      </c>
      <c r="P959" t="s">
        <v>68</v>
      </c>
      <c r="Q959" t="s">
        <v>3597</v>
      </c>
      <c r="R959">
        <v>309.57600000000002</v>
      </c>
      <c r="S959" t="str">
        <f>TEXT(sales_data[[#This Row],[Order Date]],"mm")</f>
        <v>10</v>
      </c>
      <c r="T959">
        <f>YEAR(sales_data[[#This Row],[Order Date]])</f>
        <v>2018</v>
      </c>
      <c r="V959" t="s">
        <v>3596</v>
      </c>
    </row>
    <row r="960" spans="1:22" x14ac:dyDescent="0.35">
      <c r="A960">
        <v>1365</v>
      </c>
      <c r="B960" t="s">
        <v>3598</v>
      </c>
      <c r="C960" s="1">
        <v>43414</v>
      </c>
      <c r="D960" s="1">
        <v>43415</v>
      </c>
      <c r="E960" t="s">
        <v>183</v>
      </c>
      <c r="F960" t="s">
        <v>3599</v>
      </c>
      <c r="G960" t="s">
        <v>3600</v>
      </c>
      <c r="H960" t="s">
        <v>37</v>
      </c>
      <c r="I960" t="s">
        <v>23</v>
      </c>
      <c r="J960" t="s">
        <v>1298</v>
      </c>
      <c r="K960" t="s">
        <v>305</v>
      </c>
      <c r="L960">
        <v>85705</v>
      </c>
      <c r="M960" t="s">
        <v>40</v>
      </c>
      <c r="N960" t="s">
        <v>3601</v>
      </c>
      <c r="O960" t="s">
        <v>67</v>
      </c>
      <c r="P960" t="s">
        <v>675</v>
      </c>
      <c r="Q960" t="s">
        <v>3602</v>
      </c>
      <c r="R960">
        <v>95.994</v>
      </c>
      <c r="S960" t="str">
        <f>TEXT(sales_data[[#This Row],[Order Date]],"mm")</f>
        <v>11</v>
      </c>
      <c r="T960">
        <f>YEAR(sales_data[[#This Row],[Order Date]])</f>
        <v>2018</v>
      </c>
      <c r="V960" t="s">
        <v>3601</v>
      </c>
    </row>
    <row r="961" spans="1:22" x14ac:dyDescent="0.35">
      <c r="A961">
        <v>1366</v>
      </c>
      <c r="B961" t="s">
        <v>3598</v>
      </c>
      <c r="C961" s="1">
        <v>43414</v>
      </c>
      <c r="D961" s="1">
        <v>43415</v>
      </c>
      <c r="E961" t="s">
        <v>183</v>
      </c>
      <c r="F961" t="s">
        <v>3599</v>
      </c>
      <c r="G961" t="s">
        <v>3600</v>
      </c>
      <c r="H961" t="s">
        <v>37</v>
      </c>
      <c r="I961" t="s">
        <v>23</v>
      </c>
      <c r="J961" t="s">
        <v>1298</v>
      </c>
      <c r="K961" t="s">
        <v>305</v>
      </c>
      <c r="L961">
        <v>85705</v>
      </c>
      <c r="M961" t="s">
        <v>40</v>
      </c>
      <c r="N961" t="s">
        <v>3603</v>
      </c>
      <c r="O961" t="s">
        <v>67</v>
      </c>
      <c r="P961" t="s">
        <v>156</v>
      </c>
      <c r="Q961" t="s">
        <v>3604</v>
      </c>
      <c r="R961">
        <v>239.952</v>
      </c>
      <c r="S961" t="str">
        <f>TEXT(sales_data[[#This Row],[Order Date]],"mm")</f>
        <v>11</v>
      </c>
      <c r="T961">
        <f>YEAR(sales_data[[#This Row],[Order Date]])</f>
        <v>2018</v>
      </c>
      <c r="V961" t="s">
        <v>3603</v>
      </c>
    </row>
    <row r="962" spans="1:22" x14ac:dyDescent="0.35">
      <c r="A962">
        <v>1372</v>
      </c>
      <c r="B962" t="s">
        <v>3607</v>
      </c>
      <c r="C962" s="1">
        <v>43166</v>
      </c>
      <c r="D962" s="1">
        <v>43171</v>
      </c>
      <c r="E962" t="s">
        <v>46</v>
      </c>
      <c r="F962" t="s">
        <v>3608</v>
      </c>
      <c r="G962" t="s">
        <v>3609</v>
      </c>
      <c r="H962" t="s">
        <v>98</v>
      </c>
      <c r="I962" t="s">
        <v>23</v>
      </c>
      <c r="J962" t="s">
        <v>3112</v>
      </c>
      <c r="K962" t="s">
        <v>2676</v>
      </c>
      <c r="L962">
        <v>20735</v>
      </c>
      <c r="M962" t="s">
        <v>144</v>
      </c>
      <c r="N962" t="s">
        <v>3610</v>
      </c>
      <c r="O962" t="s">
        <v>67</v>
      </c>
      <c r="P962" t="s">
        <v>156</v>
      </c>
      <c r="Q962" t="s">
        <v>3611</v>
      </c>
      <c r="R962">
        <v>49.08</v>
      </c>
      <c r="S962" t="str">
        <f>TEXT(sales_data[[#This Row],[Order Date]],"mm")</f>
        <v>03</v>
      </c>
      <c r="T962">
        <f>YEAR(sales_data[[#This Row],[Order Date]])</f>
        <v>2018</v>
      </c>
      <c r="V962" t="s">
        <v>3610</v>
      </c>
    </row>
    <row r="963" spans="1:22" x14ac:dyDescent="0.35">
      <c r="A963">
        <v>1374</v>
      </c>
      <c r="B963" t="s">
        <v>3612</v>
      </c>
      <c r="C963" s="1">
        <v>42095</v>
      </c>
      <c r="D963" s="1">
        <v>42100</v>
      </c>
      <c r="E963" t="s">
        <v>19</v>
      </c>
      <c r="F963" t="s">
        <v>285</v>
      </c>
      <c r="G963" t="s">
        <v>286</v>
      </c>
      <c r="H963" t="s">
        <v>22</v>
      </c>
      <c r="I963" t="s">
        <v>23</v>
      </c>
      <c r="J963" t="s">
        <v>2082</v>
      </c>
      <c r="K963" t="s">
        <v>39</v>
      </c>
      <c r="L963">
        <v>94591</v>
      </c>
      <c r="M963" t="s">
        <v>40</v>
      </c>
      <c r="N963" t="s">
        <v>3613</v>
      </c>
      <c r="O963" t="s">
        <v>42</v>
      </c>
      <c r="P963" t="s">
        <v>71</v>
      </c>
      <c r="Q963" t="s">
        <v>3614</v>
      </c>
      <c r="R963">
        <v>17.088000000000001</v>
      </c>
      <c r="S963" t="str">
        <f>TEXT(sales_data[[#This Row],[Order Date]],"mm")</f>
        <v>04</v>
      </c>
      <c r="T963">
        <f>YEAR(sales_data[[#This Row],[Order Date]])</f>
        <v>2015</v>
      </c>
      <c r="V963" t="s">
        <v>3613</v>
      </c>
    </row>
    <row r="964" spans="1:22" x14ac:dyDescent="0.35">
      <c r="A964">
        <v>1375</v>
      </c>
      <c r="B964" t="s">
        <v>3615</v>
      </c>
      <c r="C964" s="1">
        <v>42627</v>
      </c>
      <c r="D964" s="1">
        <v>42632</v>
      </c>
      <c r="E964" t="s">
        <v>46</v>
      </c>
      <c r="F964" t="s">
        <v>2029</v>
      </c>
      <c r="G964" t="s">
        <v>2030</v>
      </c>
      <c r="H964" t="s">
        <v>22</v>
      </c>
      <c r="I964" t="s">
        <v>23</v>
      </c>
      <c r="J964" t="s">
        <v>3616</v>
      </c>
      <c r="K964" t="s">
        <v>117</v>
      </c>
      <c r="L964">
        <v>84604</v>
      </c>
      <c r="M964" t="s">
        <v>40</v>
      </c>
      <c r="N964" t="s">
        <v>3617</v>
      </c>
      <c r="O964" t="s">
        <v>28</v>
      </c>
      <c r="P964" t="s">
        <v>52</v>
      </c>
      <c r="Q964" t="s">
        <v>3618</v>
      </c>
      <c r="R964">
        <v>912.75</v>
      </c>
      <c r="S964" t="str">
        <f>TEXT(sales_data[[#This Row],[Order Date]],"mm")</f>
        <v>09</v>
      </c>
      <c r="T964">
        <f>YEAR(sales_data[[#This Row],[Order Date]])</f>
        <v>2016</v>
      </c>
      <c r="V964" t="s">
        <v>3617</v>
      </c>
    </row>
    <row r="965" spans="1:22" x14ac:dyDescent="0.35">
      <c r="A965">
        <v>1376</v>
      </c>
      <c r="B965" t="s">
        <v>3619</v>
      </c>
      <c r="C965" s="1">
        <v>42220</v>
      </c>
      <c r="D965" s="1">
        <v>42225</v>
      </c>
      <c r="E965" t="s">
        <v>19</v>
      </c>
      <c r="F965" t="s">
        <v>880</v>
      </c>
      <c r="G965" t="s">
        <v>881</v>
      </c>
      <c r="H965" t="s">
        <v>22</v>
      </c>
      <c r="I965" t="s">
        <v>23</v>
      </c>
      <c r="J965" t="s">
        <v>3620</v>
      </c>
      <c r="K965" t="s">
        <v>117</v>
      </c>
      <c r="L965">
        <v>84062</v>
      </c>
      <c r="M965" t="s">
        <v>40</v>
      </c>
      <c r="N965" t="s">
        <v>3621</v>
      </c>
      <c r="O965" t="s">
        <v>42</v>
      </c>
      <c r="P965" t="s">
        <v>74</v>
      </c>
      <c r="Q965" t="s">
        <v>3622</v>
      </c>
      <c r="R965">
        <v>1089.75</v>
      </c>
      <c r="S965" t="str">
        <f>TEXT(sales_data[[#This Row],[Order Date]],"mm")</f>
        <v>08</v>
      </c>
      <c r="T965">
        <f>YEAR(sales_data[[#This Row],[Order Date]])</f>
        <v>2015</v>
      </c>
      <c r="V965" t="s">
        <v>3621</v>
      </c>
    </row>
    <row r="966" spans="1:22" x14ac:dyDescent="0.35">
      <c r="A966">
        <v>1377</v>
      </c>
      <c r="B966" t="s">
        <v>3619</v>
      </c>
      <c r="C966" s="1">
        <v>42220</v>
      </c>
      <c r="D966" s="1">
        <v>42225</v>
      </c>
      <c r="E966" t="s">
        <v>19</v>
      </c>
      <c r="F966" t="s">
        <v>880</v>
      </c>
      <c r="G966" t="s">
        <v>881</v>
      </c>
      <c r="H966" t="s">
        <v>22</v>
      </c>
      <c r="I966" t="s">
        <v>23</v>
      </c>
      <c r="J966" t="s">
        <v>3620</v>
      </c>
      <c r="K966" t="s">
        <v>117</v>
      </c>
      <c r="L966">
        <v>84062</v>
      </c>
      <c r="M966" t="s">
        <v>40</v>
      </c>
      <c r="N966" t="s">
        <v>3623</v>
      </c>
      <c r="O966" t="s">
        <v>42</v>
      </c>
      <c r="P966" t="s">
        <v>86</v>
      </c>
      <c r="Q966" t="s">
        <v>3624</v>
      </c>
      <c r="R966">
        <v>447.84</v>
      </c>
      <c r="S966" t="str">
        <f>TEXT(sales_data[[#This Row],[Order Date]],"mm")</f>
        <v>08</v>
      </c>
      <c r="T966">
        <f>YEAR(sales_data[[#This Row],[Order Date]])</f>
        <v>2015</v>
      </c>
      <c r="V966" t="s">
        <v>3623</v>
      </c>
    </row>
    <row r="967" spans="1:22" x14ac:dyDescent="0.35">
      <c r="A967">
        <v>1378</v>
      </c>
      <c r="B967" t="s">
        <v>3619</v>
      </c>
      <c r="C967" s="1">
        <v>42220</v>
      </c>
      <c r="D967" s="1">
        <v>42225</v>
      </c>
      <c r="E967" t="s">
        <v>19</v>
      </c>
      <c r="F967" t="s">
        <v>880</v>
      </c>
      <c r="G967" t="s">
        <v>881</v>
      </c>
      <c r="H967" t="s">
        <v>22</v>
      </c>
      <c r="I967" t="s">
        <v>23</v>
      </c>
      <c r="J967" t="s">
        <v>3620</v>
      </c>
      <c r="K967" t="s">
        <v>117</v>
      </c>
      <c r="L967">
        <v>84062</v>
      </c>
      <c r="M967" t="s">
        <v>40</v>
      </c>
      <c r="N967" t="s">
        <v>3625</v>
      </c>
      <c r="O967" t="s">
        <v>42</v>
      </c>
      <c r="P967" t="s">
        <v>64</v>
      </c>
      <c r="Q967" t="s">
        <v>3626</v>
      </c>
      <c r="R967">
        <v>16.399999999999999</v>
      </c>
      <c r="S967" t="str">
        <f>TEXT(sales_data[[#This Row],[Order Date]],"mm")</f>
        <v>08</v>
      </c>
      <c r="T967">
        <f>YEAR(sales_data[[#This Row],[Order Date]])</f>
        <v>2015</v>
      </c>
      <c r="V967" t="s">
        <v>3625</v>
      </c>
    </row>
    <row r="968" spans="1:22" x14ac:dyDescent="0.35">
      <c r="A968">
        <v>1379</v>
      </c>
      <c r="B968" t="s">
        <v>3619</v>
      </c>
      <c r="C968" s="1">
        <v>42220</v>
      </c>
      <c r="D968" s="1">
        <v>42225</v>
      </c>
      <c r="E968" t="s">
        <v>19</v>
      </c>
      <c r="F968" t="s">
        <v>880</v>
      </c>
      <c r="G968" t="s">
        <v>881</v>
      </c>
      <c r="H968" t="s">
        <v>22</v>
      </c>
      <c r="I968" t="s">
        <v>23</v>
      </c>
      <c r="J968" t="s">
        <v>3620</v>
      </c>
      <c r="K968" t="s">
        <v>117</v>
      </c>
      <c r="L968">
        <v>84062</v>
      </c>
      <c r="M968" t="s">
        <v>40</v>
      </c>
      <c r="N968" t="s">
        <v>3627</v>
      </c>
      <c r="O968" t="s">
        <v>67</v>
      </c>
      <c r="P968" t="s">
        <v>68</v>
      </c>
      <c r="Q968" t="s">
        <v>3628</v>
      </c>
      <c r="R968">
        <v>399.96</v>
      </c>
      <c r="S968" t="str">
        <f>TEXT(sales_data[[#This Row],[Order Date]],"mm")</f>
        <v>08</v>
      </c>
      <c r="T968">
        <f>YEAR(sales_data[[#This Row],[Order Date]])</f>
        <v>2015</v>
      </c>
      <c r="V968" t="s">
        <v>3627</v>
      </c>
    </row>
    <row r="969" spans="1:22" x14ac:dyDescent="0.35">
      <c r="A969">
        <v>1380</v>
      </c>
      <c r="B969" t="s">
        <v>3619</v>
      </c>
      <c r="C969" s="1">
        <v>42220</v>
      </c>
      <c r="D969" s="1">
        <v>42225</v>
      </c>
      <c r="E969" t="s">
        <v>19</v>
      </c>
      <c r="F969" t="s">
        <v>880</v>
      </c>
      <c r="G969" t="s">
        <v>881</v>
      </c>
      <c r="H969" t="s">
        <v>22</v>
      </c>
      <c r="I969" t="s">
        <v>23</v>
      </c>
      <c r="J969" t="s">
        <v>3620</v>
      </c>
      <c r="K969" t="s">
        <v>117</v>
      </c>
      <c r="L969">
        <v>84062</v>
      </c>
      <c r="M969" t="s">
        <v>40</v>
      </c>
      <c r="N969" t="s">
        <v>3629</v>
      </c>
      <c r="O969" t="s">
        <v>42</v>
      </c>
      <c r="P969" t="s">
        <v>55</v>
      </c>
      <c r="Q969" t="s">
        <v>3630</v>
      </c>
      <c r="R969">
        <v>158.9</v>
      </c>
      <c r="S969" t="str">
        <f>TEXT(sales_data[[#This Row],[Order Date]],"mm")</f>
        <v>08</v>
      </c>
      <c r="T969">
        <f>YEAR(sales_data[[#This Row],[Order Date]])</f>
        <v>2015</v>
      </c>
      <c r="V969" t="s">
        <v>3629</v>
      </c>
    </row>
    <row r="970" spans="1:22" x14ac:dyDescent="0.35">
      <c r="A970">
        <v>1384</v>
      </c>
      <c r="B970" t="s">
        <v>3633</v>
      </c>
      <c r="C970" s="1">
        <v>42771</v>
      </c>
      <c r="D970" s="1">
        <v>42771</v>
      </c>
      <c r="E970" t="s">
        <v>1277</v>
      </c>
      <c r="F970" t="s">
        <v>3634</v>
      </c>
      <c r="G970" t="s">
        <v>3635</v>
      </c>
      <c r="H970" t="s">
        <v>98</v>
      </c>
      <c r="I970" t="s">
        <v>23</v>
      </c>
      <c r="J970" t="s">
        <v>3636</v>
      </c>
      <c r="K970" t="s">
        <v>1261</v>
      </c>
      <c r="L970">
        <v>30080</v>
      </c>
      <c r="M970" t="s">
        <v>26</v>
      </c>
      <c r="N970" t="s">
        <v>3637</v>
      </c>
      <c r="O970" t="s">
        <v>42</v>
      </c>
      <c r="P970" t="s">
        <v>86</v>
      </c>
      <c r="Q970" t="s">
        <v>3638</v>
      </c>
      <c r="R970">
        <v>348.84</v>
      </c>
      <c r="S970" t="str">
        <f>TEXT(sales_data[[#This Row],[Order Date]],"mm")</f>
        <v>02</v>
      </c>
      <c r="T970">
        <f>YEAR(sales_data[[#This Row],[Order Date]])</f>
        <v>2017</v>
      </c>
      <c r="V970" t="s">
        <v>3637</v>
      </c>
    </row>
    <row r="971" spans="1:22" x14ac:dyDescent="0.35">
      <c r="A971">
        <v>1385</v>
      </c>
      <c r="B971" t="s">
        <v>3633</v>
      </c>
      <c r="C971" s="1">
        <v>42771</v>
      </c>
      <c r="D971" s="1">
        <v>42771</v>
      </c>
      <c r="E971" t="s">
        <v>1277</v>
      </c>
      <c r="F971" t="s">
        <v>3634</v>
      </c>
      <c r="G971" t="s">
        <v>3635</v>
      </c>
      <c r="H971" t="s">
        <v>98</v>
      </c>
      <c r="I971" t="s">
        <v>23</v>
      </c>
      <c r="J971" t="s">
        <v>3636</v>
      </c>
      <c r="K971" t="s">
        <v>1261</v>
      </c>
      <c r="L971">
        <v>30080</v>
      </c>
      <c r="M971" t="s">
        <v>26</v>
      </c>
      <c r="N971" t="s">
        <v>3639</v>
      </c>
      <c r="O971" t="s">
        <v>42</v>
      </c>
      <c r="P971" t="s">
        <v>264</v>
      </c>
      <c r="Q971" t="s">
        <v>3640</v>
      </c>
      <c r="R971">
        <v>9.4499999999999993</v>
      </c>
      <c r="S971" t="str">
        <f>TEXT(sales_data[[#This Row],[Order Date]],"mm")</f>
        <v>02</v>
      </c>
      <c r="T971">
        <f>YEAR(sales_data[[#This Row],[Order Date]])</f>
        <v>2017</v>
      </c>
      <c r="V971" t="s">
        <v>3639</v>
      </c>
    </row>
    <row r="972" spans="1:22" x14ac:dyDescent="0.35">
      <c r="A972">
        <v>1388</v>
      </c>
      <c r="B972" t="s">
        <v>3633</v>
      </c>
      <c r="C972" s="1">
        <v>42771</v>
      </c>
      <c r="D972" s="1">
        <v>42771</v>
      </c>
      <c r="E972" t="s">
        <v>1277</v>
      </c>
      <c r="F972" t="s">
        <v>3634</v>
      </c>
      <c r="G972" t="s">
        <v>3635</v>
      </c>
      <c r="H972" t="s">
        <v>98</v>
      </c>
      <c r="I972" t="s">
        <v>23</v>
      </c>
      <c r="J972" t="s">
        <v>3636</v>
      </c>
      <c r="K972" t="s">
        <v>1261</v>
      </c>
      <c r="L972">
        <v>30080</v>
      </c>
      <c r="M972" t="s">
        <v>26</v>
      </c>
      <c r="N972" t="s">
        <v>3641</v>
      </c>
      <c r="O972" t="s">
        <v>42</v>
      </c>
      <c r="P972" t="s">
        <v>168</v>
      </c>
      <c r="Q972" t="s">
        <v>3642</v>
      </c>
      <c r="R972">
        <v>167.96</v>
      </c>
      <c r="S972" t="str">
        <f>TEXT(sales_data[[#This Row],[Order Date]],"mm")</f>
        <v>02</v>
      </c>
      <c r="T972">
        <f>YEAR(sales_data[[#This Row],[Order Date]])</f>
        <v>2017</v>
      </c>
      <c r="V972" t="s">
        <v>3641</v>
      </c>
    </row>
    <row r="973" spans="1:22" x14ac:dyDescent="0.35">
      <c r="A973">
        <v>1395</v>
      </c>
      <c r="B973" t="s">
        <v>3644</v>
      </c>
      <c r="C973" s="1">
        <v>43382</v>
      </c>
      <c r="D973" s="1">
        <v>43387</v>
      </c>
      <c r="E973" t="s">
        <v>46</v>
      </c>
      <c r="F973" t="s">
        <v>2583</v>
      </c>
      <c r="G973" t="s">
        <v>2584</v>
      </c>
      <c r="H973" t="s">
        <v>37</v>
      </c>
      <c r="I973" t="s">
        <v>23</v>
      </c>
      <c r="J973" t="s">
        <v>451</v>
      </c>
      <c r="K973" t="s">
        <v>206</v>
      </c>
      <c r="L973">
        <v>60505</v>
      </c>
      <c r="M973" t="s">
        <v>101</v>
      </c>
      <c r="N973" t="s">
        <v>3645</v>
      </c>
      <c r="O973" t="s">
        <v>28</v>
      </c>
      <c r="P973" t="s">
        <v>52</v>
      </c>
      <c r="Q973" t="s">
        <v>3646</v>
      </c>
      <c r="R973">
        <v>652.45000000000005</v>
      </c>
      <c r="S973" t="str">
        <f>TEXT(sales_data[[#This Row],[Order Date]],"mm")</f>
        <v>10</v>
      </c>
      <c r="T973">
        <f>YEAR(sales_data[[#This Row],[Order Date]])</f>
        <v>2018</v>
      </c>
      <c r="V973" t="s">
        <v>3645</v>
      </c>
    </row>
    <row r="974" spans="1:22" x14ac:dyDescent="0.35">
      <c r="A974">
        <v>1396</v>
      </c>
      <c r="B974" t="s">
        <v>3644</v>
      </c>
      <c r="C974" s="1">
        <v>43382</v>
      </c>
      <c r="D974" s="1">
        <v>43387</v>
      </c>
      <c r="E974" t="s">
        <v>46</v>
      </c>
      <c r="F974" t="s">
        <v>2583</v>
      </c>
      <c r="G974" t="s">
        <v>2584</v>
      </c>
      <c r="H974" t="s">
        <v>37</v>
      </c>
      <c r="I974" t="s">
        <v>23</v>
      </c>
      <c r="J974" t="s">
        <v>451</v>
      </c>
      <c r="K974" t="s">
        <v>206</v>
      </c>
      <c r="L974">
        <v>60505</v>
      </c>
      <c r="M974" t="s">
        <v>101</v>
      </c>
      <c r="N974" t="s">
        <v>3647</v>
      </c>
      <c r="O974" t="s">
        <v>28</v>
      </c>
      <c r="P974" t="s">
        <v>52</v>
      </c>
      <c r="Q974" t="s">
        <v>3648</v>
      </c>
      <c r="R974">
        <v>66.644999999999996</v>
      </c>
      <c r="S974" t="str">
        <f>TEXT(sales_data[[#This Row],[Order Date]],"mm")</f>
        <v>10</v>
      </c>
      <c r="T974">
        <f>YEAR(sales_data[[#This Row],[Order Date]])</f>
        <v>2018</v>
      </c>
      <c r="V974" t="s">
        <v>3647</v>
      </c>
    </row>
    <row r="975" spans="1:22" x14ac:dyDescent="0.35">
      <c r="A975">
        <v>1397</v>
      </c>
      <c r="B975" t="s">
        <v>3649</v>
      </c>
      <c r="C975" s="1">
        <v>43063</v>
      </c>
      <c r="D975" s="1">
        <v>43065</v>
      </c>
      <c r="E975" t="s">
        <v>183</v>
      </c>
      <c r="F975" t="s">
        <v>3196</v>
      </c>
      <c r="G975" t="s">
        <v>3197</v>
      </c>
      <c r="H975" t="s">
        <v>22</v>
      </c>
      <c r="I975" t="s">
        <v>23</v>
      </c>
      <c r="J975" t="s">
        <v>261</v>
      </c>
      <c r="K975" t="s">
        <v>262</v>
      </c>
      <c r="L975">
        <v>10035</v>
      </c>
      <c r="M975" t="s">
        <v>144</v>
      </c>
      <c r="N975" t="s">
        <v>3650</v>
      </c>
      <c r="O975" t="s">
        <v>42</v>
      </c>
      <c r="P975" t="s">
        <v>71</v>
      </c>
      <c r="Q975" t="s">
        <v>3651</v>
      </c>
      <c r="R975">
        <v>17.216000000000001</v>
      </c>
      <c r="S975" t="str">
        <f>TEXT(sales_data[[#This Row],[Order Date]],"mm")</f>
        <v>11</v>
      </c>
      <c r="T975">
        <f>YEAR(sales_data[[#This Row],[Order Date]])</f>
        <v>2017</v>
      </c>
      <c r="V975" t="s">
        <v>3650</v>
      </c>
    </row>
    <row r="976" spans="1:22" x14ac:dyDescent="0.35">
      <c r="A976">
        <v>1400</v>
      </c>
      <c r="B976" t="s">
        <v>3649</v>
      </c>
      <c r="C976" s="1">
        <v>43063</v>
      </c>
      <c r="D976" s="1">
        <v>43065</v>
      </c>
      <c r="E976" t="s">
        <v>183</v>
      </c>
      <c r="F976" t="s">
        <v>3196</v>
      </c>
      <c r="G976" t="s">
        <v>3197</v>
      </c>
      <c r="H976" t="s">
        <v>22</v>
      </c>
      <c r="I976" t="s">
        <v>23</v>
      </c>
      <c r="J976" t="s">
        <v>261</v>
      </c>
      <c r="K976" t="s">
        <v>262</v>
      </c>
      <c r="L976">
        <v>10035</v>
      </c>
      <c r="M976" t="s">
        <v>144</v>
      </c>
      <c r="N976" t="s">
        <v>3652</v>
      </c>
      <c r="O976" t="s">
        <v>42</v>
      </c>
      <c r="P976" t="s">
        <v>86</v>
      </c>
      <c r="Q976" t="s">
        <v>3653</v>
      </c>
      <c r="R976">
        <v>6.48</v>
      </c>
      <c r="S976" t="str">
        <f>TEXT(sales_data[[#This Row],[Order Date]],"mm")</f>
        <v>11</v>
      </c>
      <c r="T976">
        <f>YEAR(sales_data[[#This Row],[Order Date]])</f>
        <v>2017</v>
      </c>
      <c r="V976" t="s">
        <v>3652</v>
      </c>
    </row>
    <row r="977" spans="1:22" x14ac:dyDescent="0.35">
      <c r="A977">
        <v>1403</v>
      </c>
      <c r="B977" t="s">
        <v>3655</v>
      </c>
      <c r="C977" s="1">
        <v>42844</v>
      </c>
      <c r="D977" s="1">
        <v>42850</v>
      </c>
      <c r="E977" t="s">
        <v>46</v>
      </c>
      <c r="F977" t="s">
        <v>390</v>
      </c>
      <c r="G977" t="s">
        <v>391</v>
      </c>
      <c r="H977" t="s">
        <v>98</v>
      </c>
      <c r="I977" t="s">
        <v>23</v>
      </c>
      <c r="J977" t="s">
        <v>492</v>
      </c>
      <c r="K977" t="s">
        <v>493</v>
      </c>
      <c r="L977">
        <v>43229</v>
      </c>
      <c r="M977" t="s">
        <v>144</v>
      </c>
      <c r="N977" t="s">
        <v>3656</v>
      </c>
      <c r="O977" t="s">
        <v>28</v>
      </c>
      <c r="P977" t="s">
        <v>52</v>
      </c>
      <c r="Q977" t="s">
        <v>3657</v>
      </c>
      <c r="R977">
        <v>205.17599999999999</v>
      </c>
      <c r="S977" t="str">
        <f>TEXT(sales_data[[#This Row],[Order Date]],"mm")</f>
        <v>04</v>
      </c>
      <c r="T977">
        <f>YEAR(sales_data[[#This Row],[Order Date]])</f>
        <v>2017</v>
      </c>
      <c r="V977" t="s">
        <v>3656</v>
      </c>
    </row>
    <row r="978" spans="1:22" x14ac:dyDescent="0.35">
      <c r="A978">
        <v>1404</v>
      </c>
      <c r="B978" t="s">
        <v>3655</v>
      </c>
      <c r="C978" s="1">
        <v>42844</v>
      </c>
      <c r="D978" s="1">
        <v>42850</v>
      </c>
      <c r="E978" t="s">
        <v>46</v>
      </c>
      <c r="F978" t="s">
        <v>390</v>
      </c>
      <c r="G978" t="s">
        <v>391</v>
      </c>
      <c r="H978" t="s">
        <v>98</v>
      </c>
      <c r="I978" t="s">
        <v>23</v>
      </c>
      <c r="J978" t="s">
        <v>492</v>
      </c>
      <c r="K978" t="s">
        <v>493</v>
      </c>
      <c r="L978">
        <v>43229</v>
      </c>
      <c r="M978" t="s">
        <v>144</v>
      </c>
      <c r="N978" t="s">
        <v>3658</v>
      </c>
      <c r="O978" t="s">
        <v>42</v>
      </c>
      <c r="P978" t="s">
        <v>86</v>
      </c>
      <c r="Q978" t="s">
        <v>3659</v>
      </c>
      <c r="R978">
        <v>419.4</v>
      </c>
      <c r="S978" t="str">
        <f>TEXT(sales_data[[#This Row],[Order Date]],"mm")</f>
        <v>04</v>
      </c>
      <c r="T978">
        <f>YEAR(sales_data[[#This Row],[Order Date]])</f>
        <v>2017</v>
      </c>
      <c r="V978" t="s">
        <v>3658</v>
      </c>
    </row>
    <row r="979" spans="1:22" x14ac:dyDescent="0.35">
      <c r="A979">
        <v>1406</v>
      </c>
      <c r="B979" t="s">
        <v>3660</v>
      </c>
      <c r="C979" s="1">
        <v>42100</v>
      </c>
      <c r="D979" s="1">
        <v>42102</v>
      </c>
      <c r="E979" t="s">
        <v>183</v>
      </c>
      <c r="F979" t="s">
        <v>1485</v>
      </c>
      <c r="G979" t="s">
        <v>1486</v>
      </c>
      <c r="H979" t="s">
        <v>98</v>
      </c>
      <c r="I979" t="s">
        <v>23</v>
      </c>
      <c r="J979" t="s">
        <v>142</v>
      </c>
      <c r="K979" t="s">
        <v>143</v>
      </c>
      <c r="L979">
        <v>19143</v>
      </c>
      <c r="M979" t="s">
        <v>144</v>
      </c>
      <c r="N979" t="s">
        <v>3661</v>
      </c>
      <c r="O979" t="s">
        <v>28</v>
      </c>
      <c r="P979" t="s">
        <v>52</v>
      </c>
      <c r="Q979" t="s">
        <v>3170</v>
      </c>
      <c r="R979">
        <v>154.76400000000001</v>
      </c>
      <c r="S979" t="str">
        <f>TEXT(sales_data[[#This Row],[Order Date]],"mm")</f>
        <v>04</v>
      </c>
      <c r="T979">
        <f>YEAR(sales_data[[#This Row],[Order Date]])</f>
        <v>2015</v>
      </c>
      <c r="V979" t="s">
        <v>3661</v>
      </c>
    </row>
    <row r="980" spans="1:22" x14ac:dyDescent="0.35">
      <c r="A980">
        <v>1408</v>
      </c>
      <c r="B980" t="s">
        <v>3662</v>
      </c>
      <c r="C980" s="1">
        <v>42980</v>
      </c>
      <c r="D980" s="1">
        <v>42984</v>
      </c>
      <c r="E980" t="s">
        <v>46</v>
      </c>
      <c r="F980" t="s">
        <v>311</v>
      </c>
      <c r="G980" t="s">
        <v>312</v>
      </c>
      <c r="H980" t="s">
        <v>22</v>
      </c>
      <c r="I980" t="s">
        <v>23</v>
      </c>
      <c r="J980" t="s">
        <v>261</v>
      </c>
      <c r="K980" t="s">
        <v>262</v>
      </c>
      <c r="L980">
        <v>10024</v>
      </c>
      <c r="M980" t="s">
        <v>144</v>
      </c>
      <c r="N980" t="s">
        <v>3663</v>
      </c>
      <c r="O980" t="s">
        <v>42</v>
      </c>
      <c r="P980" t="s">
        <v>64</v>
      </c>
      <c r="Q980" t="s">
        <v>3664</v>
      </c>
      <c r="R980">
        <v>75.48</v>
      </c>
      <c r="S980" t="str">
        <f>TEXT(sales_data[[#This Row],[Order Date]],"mm")</f>
        <v>09</v>
      </c>
      <c r="T980">
        <f>YEAR(sales_data[[#This Row],[Order Date]])</f>
        <v>2017</v>
      </c>
      <c r="V980" t="s">
        <v>3663</v>
      </c>
    </row>
    <row r="981" spans="1:22" x14ac:dyDescent="0.35">
      <c r="A981">
        <v>1414</v>
      </c>
      <c r="B981" t="s">
        <v>3667</v>
      </c>
      <c r="C981" s="1">
        <v>42185</v>
      </c>
      <c r="D981" s="1">
        <v>42190</v>
      </c>
      <c r="E981" t="s">
        <v>46</v>
      </c>
      <c r="F981" t="s">
        <v>3668</v>
      </c>
      <c r="G981" t="s">
        <v>3669</v>
      </c>
      <c r="H981" t="s">
        <v>22</v>
      </c>
      <c r="I981" t="s">
        <v>23</v>
      </c>
      <c r="J981" t="s">
        <v>261</v>
      </c>
      <c r="K981" t="s">
        <v>262</v>
      </c>
      <c r="L981">
        <v>10024</v>
      </c>
      <c r="M981" t="s">
        <v>144</v>
      </c>
      <c r="N981" t="s">
        <v>3670</v>
      </c>
      <c r="O981" t="s">
        <v>42</v>
      </c>
      <c r="P981" t="s">
        <v>71</v>
      </c>
      <c r="Q981" t="s">
        <v>3671</v>
      </c>
      <c r="R981">
        <v>334.76799999999997</v>
      </c>
      <c r="S981" t="str">
        <f>TEXT(sales_data[[#This Row],[Order Date]],"mm")</f>
        <v>06</v>
      </c>
      <c r="T981">
        <f>YEAR(sales_data[[#This Row],[Order Date]])</f>
        <v>2015</v>
      </c>
      <c r="V981" t="s">
        <v>3670</v>
      </c>
    </row>
    <row r="982" spans="1:22" x14ac:dyDescent="0.35">
      <c r="A982">
        <v>1416</v>
      </c>
      <c r="B982" t="s">
        <v>3672</v>
      </c>
      <c r="C982" s="1">
        <v>43128</v>
      </c>
      <c r="D982" s="1">
        <v>43131</v>
      </c>
      <c r="E982" t="s">
        <v>19</v>
      </c>
      <c r="F982" t="s">
        <v>3673</v>
      </c>
      <c r="G982" t="s">
        <v>3674</v>
      </c>
      <c r="H982" t="s">
        <v>98</v>
      </c>
      <c r="I982" t="s">
        <v>23</v>
      </c>
      <c r="J982" t="s">
        <v>1696</v>
      </c>
      <c r="K982" t="s">
        <v>39</v>
      </c>
      <c r="L982">
        <v>92627</v>
      </c>
      <c r="M982" t="s">
        <v>40</v>
      </c>
      <c r="N982" t="s">
        <v>3675</v>
      </c>
      <c r="O982" t="s">
        <v>28</v>
      </c>
      <c r="P982" t="s">
        <v>61</v>
      </c>
      <c r="Q982" t="s">
        <v>3676</v>
      </c>
      <c r="R982">
        <v>37.74</v>
      </c>
      <c r="S982" t="str">
        <f>TEXT(sales_data[[#This Row],[Order Date]],"mm")</f>
        <v>01</v>
      </c>
      <c r="T982">
        <f>YEAR(sales_data[[#This Row],[Order Date]])</f>
        <v>2018</v>
      </c>
      <c r="V982" t="s">
        <v>3675</v>
      </c>
    </row>
    <row r="983" spans="1:22" x14ac:dyDescent="0.35">
      <c r="A983">
        <v>1417</v>
      </c>
      <c r="B983" t="s">
        <v>3677</v>
      </c>
      <c r="C983" s="1">
        <v>42634</v>
      </c>
      <c r="D983" s="1">
        <v>42637</v>
      </c>
      <c r="E983" t="s">
        <v>183</v>
      </c>
      <c r="F983" t="s">
        <v>3678</v>
      </c>
      <c r="G983" t="s">
        <v>3679</v>
      </c>
      <c r="H983" t="s">
        <v>37</v>
      </c>
      <c r="I983" t="s">
        <v>23</v>
      </c>
      <c r="J983" t="s">
        <v>179</v>
      </c>
      <c r="K983" t="s">
        <v>100</v>
      </c>
      <c r="L983">
        <v>77041</v>
      </c>
      <c r="M983" t="s">
        <v>101</v>
      </c>
      <c r="N983" t="s">
        <v>3680</v>
      </c>
      <c r="O983" t="s">
        <v>67</v>
      </c>
      <c r="P983" t="s">
        <v>68</v>
      </c>
      <c r="Q983" t="s">
        <v>3681</v>
      </c>
      <c r="R983">
        <v>946.34400000000005</v>
      </c>
      <c r="S983" t="str">
        <f>TEXT(sales_data[[#This Row],[Order Date]],"mm")</f>
        <v>09</v>
      </c>
      <c r="T983">
        <f>YEAR(sales_data[[#This Row],[Order Date]])</f>
        <v>2016</v>
      </c>
      <c r="V983" t="s">
        <v>3680</v>
      </c>
    </row>
    <row r="984" spans="1:22" x14ac:dyDescent="0.35">
      <c r="A984">
        <v>1420</v>
      </c>
      <c r="B984" t="s">
        <v>3682</v>
      </c>
      <c r="C984" s="1">
        <v>42639</v>
      </c>
      <c r="D984" s="1">
        <v>42643</v>
      </c>
      <c r="E984" t="s">
        <v>46</v>
      </c>
      <c r="F984" t="s">
        <v>3683</v>
      </c>
      <c r="G984" t="s">
        <v>3684</v>
      </c>
      <c r="H984" t="s">
        <v>37</v>
      </c>
      <c r="I984" t="s">
        <v>23</v>
      </c>
      <c r="J984" t="s">
        <v>1802</v>
      </c>
      <c r="K984" t="s">
        <v>305</v>
      </c>
      <c r="L984">
        <v>85204</v>
      </c>
      <c r="M984" t="s">
        <v>40</v>
      </c>
      <c r="N984" t="s">
        <v>3685</v>
      </c>
      <c r="O984" t="s">
        <v>42</v>
      </c>
      <c r="P984" t="s">
        <v>86</v>
      </c>
      <c r="Q984" t="s">
        <v>3686</v>
      </c>
      <c r="R984">
        <v>86.272000000000006</v>
      </c>
      <c r="S984" t="str">
        <f>TEXT(sales_data[[#This Row],[Order Date]],"mm")</f>
        <v>09</v>
      </c>
      <c r="T984">
        <f>YEAR(sales_data[[#This Row],[Order Date]])</f>
        <v>2016</v>
      </c>
      <c r="V984" t="s">
        <v>3685</v>
      </c>
    </row>
    <row r="985" spans="1:22" x14ac:dyDescent="0.35">
      <c r="A985">
        <v>1422</v>
      </c>
      <c r="B985" t="s">
        <v>3682</v>
      </c>
      <c r="C985" s="1">
        <v>42639</v>
      </c>
      <c r="D985" s="1">
        <v>42643</v>
      </c>
      <c r="E985" t="s">
        <v>46</v>
      </c>
      <c r="F985" t="s">
        <v>3683</v>
      </c>
      <c r="G985" t="s">
        <v>3684</v>
      </c>
      <c r="H985" t="s">
        <v>37</v>
      </c>
      <c r="I985" t="s">
        <v>23</v>
      </c>
      <c r="J985" t="s">
        <v>1802</v>
      </c>
      <c r="K985" t="s">
        <v>305</v>
      </c>
      <c r="L985">
        <v>85204</v>
      </c>
      <c r="M985" t="s">
        <v>40</v>
      </c>
      <c r="N985" t="s">
        <v>3687</v>
      </c>
      <c r="O985" t="s">
        <v>42</v>
      </c>
      <c r="P985" t="s">
        <v>74</v>
      </c>
      <c r="Q985" t="s">
        <v>3688</v>
      </c>
      <c r="R985">
        <v>60.671999999999997</v>
      </c>
      <c r="S985" t="str">
        <f>TEXT(sales_data[[#This Row],[Order Date]],"mm")</f>
        <v>09</v>
      </c>
      <c r="T985">
        <f>YEAR(sales_data[[#This Row],[Order Date]])</f>
        <v>2016</v>
      </c>
      <c r="V985" t="s">
        <v>3687</v>
      </c>
    </row>
    <row r="986" spans="1:22" x14ac:dyDescent="0.35">
      <c r="A986">
        <v>1425</v>
      </c>
      <c r="B986" t="s">
        <v>3682</v>
      </c>
      <c r="C986" s="1">
        <v>42639</v>
      </c>
      <c r="D986" s="1">
        <v>42643</v>
      </c>
      <c r="E986" t="s">
        <v>46</v>
      </c>
      <c r="F986" t="s">
        <v>3683</v>
      </c>
      <c r="G986" t="s">
        <v>3684</v>
      </c>
      <c r="H986" t="s">
        <v>37</v>
      </c>
      <c r="I986" t="s">
        <v>23</v>
      </c>
      <c r="J986" t="s">
        <v>1802</v>
      </c>
      <c r="K986" t="s">
        <v>305</v>
      </c>
      <c r="L986">
        <v>85204</v>
      </c>
      <c r="M986" t="s">
        <v>40</v>
      </c>
      <c r="N986" t="s">
        <v>3689</v>
      </c>
      <c r="O986" t="s">
        <v>67</v>
      </c>
      <c r="P986" t="s">
        <v>68</v>
      </c>
      <c r="Q986" t="s">
        <v>3690</v>
      </c>
      <c r="R986">
        <v>263.95999999999998</v>
      </c>
      <c r="S986" t="str">
        <f>TEXT(sales_data[[#This Row],[Order Date]],"mm")</f>
        <v>09</v>
      </c>
      <c r="T986">
        <f>YEAR(sales_data[[#This Row],[Order Date]])</f>
        <v>2016</v>
      </c>
      <c r="V986" t="s">
        <v>3689</v>
      </c>
    </row>
    <row r="987" spans="1:22" x14ac:dyDescent="0.35">
      <c r="A987">
        <v>1429</v>
      </c>
      <c r="B987" t="s">
        <v>3691</v>
      </c>
      <c r="C987" s="1">
        <v>42674</v>
      </c>
      <c r="D987" s="1">
        <v>42678</v>
      </c>
      <c r="E987" t="s">
        <v>19</v>
      </c>
      <c r="F987" t="s">
        <v>3692</v>
      </c>
      <c r="G987" t="s">
        <v>3693</v>
      </c>
      <c r="H987" t="s">
        <v>37</v>
      </c>
      <c r="I987" t="s">
        <v>23</v>
      </c>
      <c r="J987" t="s">
        <v>2591</v>
      </c>
      <c r="K987" t="s">
        <v>39</v>
      </c>
      <c r="L987">
        <v>93905</v>
      </c>
      <c r="M987" t="s">
        <v>40</v>
      </c>
      <c r="N987" t="s">
        <v>3694</v>
      </c>
      <c r="O987" t="s">
        <v>42</v>
      </c>
      <c r="P987" t="s">
        <v>71</v>
      </c>
      <c r="Q987" t="s">
        <v>3695</v>
      </c>
      <c r="R987">
        <v>29.8</v>
      </c>
      <c r="S987" t="str">
        <f>TEXT(sales_data[[#This Row],[Order Date]],"mm")</f>
        <v>10</v>
      </c>
      <c r="T987">
        <f>YEAR(sales_data[[#This Row],[Order Date]])</f>
        <v>2016</v>
      </c>
      <c r="V987" t="s">
        <v>3694</v>
      </c>
    </row>
    <row r="988" spans="1:22" x14ac:dyDescent="0.35">
      <c r="A988">
        <v>1432</v>
      </c>
      <c r="B988" t="s">
        <v>3696</v>
      </c>
      <c r="C988" s="1">
        <v>42357</v>
      </c>
      <c r="D988" s="1">
        <v>42359</v>
      </c>
      <c r="E988" t="s">
        <v>19</v>
      </c>
      <c r="F988" t="s">
        <v>89</v>
      </c>
      <c r="G988" t="s">
        <v>90</v>
      </c>
      <c r="H988" t="s">
        <v>22</v>
      </c>
      <c r="I988" t="s">
        <v>23</v>
      </c>
      <c r="J988" t="s">
        <v>2533</v>
      </c>
      <c r="K988" t="s">
        <v>353</v>
      </c>
      <c r="L988">
        <v>35630</v>
      </c>
      <c r="M988" t="s">
        <v>26</v>
      </c>
      <c r="N988" t="s">
        <v>3697</v>
      </c>
      <c r="O988" t="s">
        <v>42</v>
      </c>
      <c r="P988" t="s">
        <v>71</v>
      </c>
      <c r="Q988" t="s">
        <v>3698</v>
      </c>
      <c r="R988">
        <v>152.76</v>
      </c>
      <c r="S988" t="str">
        <f>TEXT(sales_data[[#This Row],[Order Date]],"mm")</f>
        <v>12</v>
      </c>
      <c r="T988">
        <f>YEAR(sales_data[[#This Row],[Order Date]])</f>
        <v>2015</v>
      </c>
      <c r="V988" t="s">
        <v>3697</v>
      </c>
    </row>
    <row r="989" spans="1:22" x14ac:dyDescent="0.35">
      <c r="A989">
        <v>1435</v>
      </c>
      <c r="B989" t="s">
        <v>3699</v>
      </c>
      <c r="C989" s="1">
        <v>43095</v>
      </c>
      <c r="D989" s="1">
        <v>43099</v>
      </c>
      <c r="E989" t="s">
        <v>46</v>
      </c>
      <c r="F989" t="s">
        <v>1895</v>
      </c>
      <c r="G989" t="s">
        <v>1896</v>
      </c>
      <c r="H989" t="s">
        <v>22</v>
      </c>
      <c r="I989" t="s">
        <v>23</v>
      </c>
      <c r="J989" t="s">
        <v>91</v>
      </c>
      <c r="K989" t="s">
        <v>92</v>
      </c>
      <c r="L989">
        <v>98105</v>
      </c>
      <c r="M989" t="s">
        <v>40</v>
      </c>
      <c r="N989" t="s">
        <v>3700</v>
      </c>
      <c r="O989" t="s">
        <v>42</v>
      </c>
      <c r="P989" t="s">
        <v>86</v>
      </c>
      <c r="Q989" t="s">
        <v>3701</v>
      </c>
      <c r="R989">
        <v>33.9</v>
      </c>
      <c r="S989" t="str">
        <f>TEXT(sales_data[[#This Row],[Order Date]],"mm")</f>
        <v>12</v>
      </c>
      <c r="T989">
        <f>YEAR(sales_data[[#This Row],[Order Date]])</f>
        <v>2017</v>
      </c>
      <c r="V989" t="s">
        <v>3700</v>
      </c>
    </row>
    <row r="990" spans="1:22" x14ac:dyDescent="0.35">
      <c r="A990">
        <v>1436</v>
      </c>
      <c r="B990" t="s">
        <v>3702</v>
      </c>
      <c r="C990" s="1">
        <v>43271</v>
      </c>
      <c r="D990" s="1">
        <v>43278</v>
      </c>
      <c r="E990" t="s">
        <v>46</v>
      </c>
      <c r="F990" t="s">
        <v>3703</v>
      </c>
      <c r="G990" t="s">
        <v>3704</v>
      </c>
      <c r="H990" t="s">
        <v>22</v>
      </c>
      <c r="I990" t="s">
        <v>23</v>
      </c>
      <c r="J990" t="s">
        <v>3705</v>
      </c>
      <c r="K990" t="s">
        <v>493</v>
      </c>
      <c r="L990">
        <v>44134</v>
      </c>
      <c r="M990" t="s">
        <v>144</v>
      </c>
      <c r="N990" t="s">
        <v>3706</v>
      </c>
      <c r="O990" t="s">
        <v>42</v>
      </c>
      <c r="P990" t="s">
        <v>86</v>
      </c>
      <c r="Q990" t="s">
        <v>3707</v>
      </c>
      <c r="R990">
        <v>31.103999999999999</v>
      </c>
      <c r="S990" t="str">
        <f>TEXT(sales_data[[#This Row],[Order Date]],"mm")</f>
        <v>06</v>
      </c>
      <c r="T990">
        <f>YEAR(sales_data[[#This Row],[Order Date]])</f>
        <v>2018</v>
      </c>
      <c r="V990" t="s">
        <v>3706</v>
      </c>
    </row>
    <row r="991" spans="1:22" x14ac:dyDescent="0.35">
      <c r="A991">
        <v>1438</v>
      </c>
      <c r="B991" t="s">
        <v>3708</v>
      </c>
      <c r="C991" s="1">
        <v>42658</v>
      </c>
      <c r="D991" s="1">
        <v>42658</v>
      </c>
      <c r="E991" t="s">
        <v>1277</v>
      </c>
      <c r="F991" t="s">
        <v>327</v>
      </c>
      <c r="G991" t="s">
        <v>328</v>
      </c>
      <c r="H991" t="s">
        <v>22</v>
      </c>
      <c r="I991" t="s">
        <v>23</v>
      </c>
      <c r="J991" t="s">
        <v>1600</v>
      </c>
      <c r="K991" t="s">
        <v>100</v>
      </c>
      <c r="L991">
        <v>79109</v>
      </c>
      <c r="M991" t="s">
        <v>101</v>
      </c>
      <c r="N991" t="s">
        <v>3709</v>
      </c>
      <c r="O991" t="s">
        <v>67</v>
      </c>
      <c r="P991" t="s">
        <v>156</v>
      </c>
      <c r="Q991" t="s">
        <v>3710</v>
      </c>
      <c r="R991">
        <v>263.88</v>
      </c>
      <c r="S991" t="str">
        <f>TEXT(sales_data[[#This Row],[Order Date]],"mm")</f>
        <v>10</v>
      </c>
      <c r="T991">
        <f>YEAR(sales_data[[#This Row],[Order Date]])</f>
        <v>2016</v>
      </c>
      <c r="V991" t="s">
        <v>3709</v>
      </c>
    </row>
    <row r="992" spans="1:22" x14ac:dyDescent="0.35">
      <c r="A992">
        <v>1440</v>
      </c>
      <c r="B992" t="s">
        <v>3711</v>
      </c>
      <c r="C992" s="1">
        <v>43202</v>
      </c>
      <c r="D992" s="1">
        <v>43205</v>
      </c>
      <c r="E992" t="s">
        <v>19</v>
      </c>
      <c r="F992" t="s">
        <v>1847</v>
      </c>
      <c r="G992" t="s">
        <v>1848</v>
      </c>
      <c r="H992" t="s">
        <v>22</v>
      </c>
      <c r="I992" t="s">
        <v>23</v>
      </c>
      <c r="J992" t="s">
        <v>3453</v>
      </c>
      <c r="K992" t="s">
        <v>1387</v>
      </c>
      <c r="L992">
        <v>2908</v>
      </c>
      <c r="M992" t="s">
        <v>144</v>
      </c>
      <c r="N992" t="s">
        <v>3712</v>
      </c>
      <c r="O992" t="s">
        <v>42</v>
      </c>
      <c r="P992" t="s">
        <v>71</v>
      </c>
      <c r="Q992" t="s">
        <v>1207</v>
      </c>
      <c r="R992">
        <v>29.7</v>
      </c>
      <c r="S992" t="str">
        <f>TEXT(sales_data[[#This Row],[Order Date]],"mm")</f>
        <v>04</v>
      </c>
      <c r="T992">
        <f>YEAR(sales_data[[#This Row],[Order Date]])</f>
        <v>2018</v>
      </c>
      <c r="V992" t="s">
        <v>3712</v>
      </c>
    </row>
    <row r="993" spans="1:22" x14ac:dyDescent="0.35">
      <c r="A993">
        <v>1441</v>
      </c>
      <c r="B993" t="s">
        <v>3711</v>
      </c>
      <c r="C993" s="1">
        <v>43202</v>
      </c>
      <c r="D993" s="1">
        <v>43205</v>
      </c>
      <c r="E993" t="s">
        <v>19</v>
      </c>
      <c r="F993" t="s">
        <v>1847</v>
      </c>
      <c r="G993" t="s">
        <v>1848</v>
      </c>
      <c r="H993" t="s">
        <v>22</v>
      </c>
      <c r="I993" t="s">
        <v>23</v>
      </c>
      <c r="J993" t="s">
        <v>3453</v>
      </c>
      <c r="K993" t="s">
        <v>1387</v>
      </c>
      <c r="L993">
        <v>2908</v>
      </c>
      <c r="M993" t="s">
        <v>144</v>
      </c>
      <c r="N993" t="s">
        <v>3713</v>
      </c>
      <c r="O993" t="s">
        <v>42</v>
      </c>
      <c r="P993" t="s">
        <v>86</v>
      </c>
      <c r="Q993" t="s">
        <v>3714</v>
      </c>
      <c r="R993">
        <v>39.96</v>
      </c>
      <c r="S993" t="str">
        <f>TEXT(sales_data[[#This Row],[Order Date]],"mm")</f>
        <v>04</v>
      </c>
      <c r="T993">
        <f>YEAR(sales_data[[#This Row],[Order Date]])</f>
        <v>2018</v>
      </c>
      <c r="V993" t="s">
        <v>3713</v>
      </c>
    </row>
    <row r="994" spans="1:22" x14ac:dyDescent="0.35">
      <c r="A994">
        <v>1447</v>
      </c>
      <c r="B994" t="s">
        <v>3719</v>
      </c>
      <c r="C994" s="1">
        <v>43264</v>
      </c>
      <c r="D994" s="1">
        <v>43267</v>
      </c>
      <c r="E994" t="s">
        <v>183</v>
      </c>
      <c r="F994" t="s">
        <v>1485</v>
      </c>
      <c r="G994" t="s">
        <v>1486</v>
      </c>
      <c r="H994" t="s">
        <v>98</v>
      </c>
      <c r="I994" t="s">
        <v>23</v>
      </c>
      <c r="J994" t="s">
        <v>298</v>
      </c>
      <c r="K994" t="s">
        <v>206</v>
      </c>
      <c r="L994">
        <v>60653</v>
      </c>
      <c r="M994" t="s">
        <v>101</v>
      </c>
      <c r="N994" t="s">
        <v>3720</v>
      </c>
      <c r="O994" t="s">
        <v>28</v>
      </c>
      <c r="P994" t="s">
        <v>32</v>
      </c>
      <c r="Q994" t="s">
        <v>3721</v>
      </c>
      <c r="R994">
        <v>470.30200000000002</v>
      </c>
      <c r="S994" t="str">
        <f>TEXT(sales_data[[#This Row],[Order Date]],"mm")</f>
        <v>06</v>
      </c>
      <c r="T994">
        <f>YEAR(sales_data[[#This Row],[Order Date]])</f>
        <v>2018</v>
      </c>
      <c r="V994" t="s">
        <v>3720</v>
      </c>
    </row>
    <row r="995" spans="1:22" x14ac:dyDescent="0.35">
      <c r="A995">
        <v>1448</v>
      </c>
      <c r="B995" t="s">
        <v>3719</v>
      </c>
      <c r="C995" s="1">
        <v>43264</v>
      </c>
      <c r="D995" s="1">
        <v>43267</v>
      </c>
      <c r="E995" t="s">
        <v>183</v>
      </c>
      <c r="F995" t="s">
        <v>1485</v>
      </c>
      <c r="G995" t="s">
        <v>1486</v>
      </c>
      <c r="H995" t="s">
        <v>98</v>
      </c>
      <c r="I995" t="s">
        <v>23</v>
      </c>
      <c r="J995" t="s">
        <v>298</v>
      </c>
      <c r="K995" t="s">
        <v>206</v>
      </c>
      <c r="L995">
        <v>60653</v>
      </c>
      <c r="M995" t="s">
        <v>101</v>
      </c>
      <c r="N995" t="s">
        <v>3722</v>
      </c>
      <c r="O995" t="s">
        <v>67</v>
      </c>
      <c r="P995" t="s">
        <v>68</v>
      </c>
      <c r="Q995" t="s">
        <v>3723</v>
      </c>
      <c r="R995">
        <v>47.984000000000002</v>
      </c>
      <c r="S995" t="str">
        <f>TEXT(sales_data[[#This Row],[Order Date]],"mm")</f>
        <v>06</v>
      </c>
      <c r="T995">
        <f>YEAR(sales_data[[#This Row],[Order Date]])</f>
        <v>2018</v>
      </c>
      <c r="V995" t="s">
        <v>3722</v>
      </c>
    </row>
    <row r="996" spans="1:22" x14ac:dyDescent="0.35">
      <c r="A996">
        <v>1449</v>
      </c>
      <c r="B996" t="s">
        <v>3724</v>
      </c>
      <c r="C996" s="1">
        <v>42117</v>
      </c>
      <c r="D996" s="1">
        <v>42118</v>
      </c>
      <c r="E996" t="s">
        <v>183</v>
      </c>
      <c r="F996" t="s">
        <v>3042</v>
      </c>
      <c r="G996" t="s">
        <v>3043</v>
      </c>
      <c r="H996" t="s">
        <v>37</v>
      </c>
      <c r="I996" t="s">
        <v>23</v>
      </c>
      <c r="J996" t="s">
        <v>142</v>
      </c>
      <c r="K996" t="s">
        <v>143</v>
      </c>
      <c r="L996">
        <v>19134</v>
      </c>
      <c r="M996" t="s">
        <v>144</v>
      </c>
      <c r="N996" t="s">
        <v>3725</v>
      </c>
      <c r="O996" t="s">
        <v>42</v>
      </c>
      <c r="P996" t="s">
        <v>71</v>
      </c>
      <c r="Q996" t="s">
        <v>3726</v>
      </c>
      <c r="R996">
        <v>2.5019999999999998</v>
      </c>
      <c r="S996" t="str">
        <f>TEXT(sales_data[[#This Row],[Order Date]],"mm")</f>
        <v>04</v>
      </c>
      <c r="T996">
        <f>YEAR(sales_data[[#This Row],[Order Date]])</f>
        <v>2015</v>
      </c>
      <c r="V996" t="s">
        <v>3725</v>
      </c>
    </row>
    <row r="997" spans="1:22" x14ac:dyDescent="0.35">
      <c r="A997">
        <v>1450</v>
      </c>
      <c r="B997" t="s">
        <v>3727</v>
      </c>
      <c r="C997" s="1">
        <v>42491</v>
      </c>
      <c r="D997" s="1">
        <v>42497</v>
      </c>
      <c r="E997" t="s">
        <v>46</v>
      </c>
      <c r="F997" t="s">
        <v>697</v>
      </c>
      <c r="G997" t="s">
        <v>698</v>
      </c>
      <c r="H997" t="s">
        <v>37</v>
      </c>
      <c r="I997" t="s">
        <v>23</v>
      </c>
      <c r="J997" t="s">
        <v>38</v>
      </c>
      <c r="K997" t="s">
        <v>39</v>
      </c>
      <c r="L997">
        <v>90008</v>
      </c>
      <c r="M997" t="s">
        <v>40</v>
      </c>
      <c r="N997" t="s">
        <v>3728</v>
      </c>
      <c r="O997" t="s">
        <v>67</v>
      </c>
      <c r="P997" t="s">
        <v>68</v>
      </c>
      <c r="Q997" t="s">
        <v>3729</v>
      </c>
      <c r="R997">
        <v>88.751999999999995</v>
      </c>
      <c r="S997" t="str">
        <f>TEXT(sales_data[[#This Row],[Order Date]],"mm")</f>
        <v>05</v>
      </c>
      <c r="T997">
        <f>YEAR(sales_data[[#This Row],[Order Date]])</f>
        <v>2016</v>
      </c>
      <c r="V997" t="s">
        <v>3728</v>
      </c>
    </row>
    <row r="998" spans="1:22" x14ac:dyDescent="0.35">
      <c r="A998">
        <v>1451</v>
      </c>
      <c r="B998" t="s">
        <v>3730</v>
      </c>
      <c r="C998" s="1">
        <v>42570</v>
      </c>
      <c r="D998" s="1">
        <v>42571</v>
      </c>
      <c r="E998" t="s">
        <v>183</v>
      </c>
      <c r="F998" t="s">
        <v>3731</v>
      </c>
      <c r="G998" t="s">
        <v>3732</v>
      </c>
      <c r="H998" t="s">
        <v>22</v>
      </c>
      <c r="I998" t="s">
        <v>23</v>
      </c>
      <c r="J998" t="s">
        <v>539</v>
      </c>
      <c r="K998" t="s">
        <v>305</v>
      </c>
      <c r="L998">
        <v>85023</v>
      </c>
      <c r="M998" t="s">
        <v>40</v>
      </c>
      <c r="N998" t="s">
        <v>3733</v>
      </c>
      <c r="O998" t="s">
        <v>42</v>
      </c>
      <c r="P998" t="s">
        <v>71</v>
      </c>
      <c r="Q998" t="s">
        <v>3734</v>
      </c>
      <c r="R998">
        <v>2.0249999999999999</v>
      </c>
      <c r="S998" t="str">
        <f>TEXT(sales_data[[#This Row],[Order Date]],"mm")</f>
        <v>07</v>
      </c>
      <c r="T998">
        <f>YEAR(sales_data[[#This Row],[Order Date]])</f>
        <v>2016</v>
      </c>
      <c r="V998" t="s">
        <v>3733</v>
      </c>
    </row>
    <row r="999" spans="1:22" x14ac:dyDescent="0.35">
      <c r="A999">
        <v>1453</v>
      </c>
      <c r="B999" t="s">
        <v>3735</v>
      </c>
      <c r="C999" s="1">
        <v>43065</v>
      </c>
      <c r="D999" s="1">
        <v>43068</v>
      </c>
      <c r="E999" t="s">
        <v>183</v>
      </c>
      <c r="F999" t="s">
        <v>3736</v>
      </c>
      <c r="G999" t="s">
        <v>3737</v>
      </c>
      <c r="H999" t="s">
        <v>37</v>
      </c>
      <c r="I999" t="s">
        <v>23</v>
      </c>
      <c r="J999" t="s">
        <v>3738</v>
      </c>
      <c r="K999" t="s">
        <v>353</v>
      </c>
      <c r="L999">
        <v>36608</v>
      </c>
      <c r="M999" t="s">
        <v>26</v>
      </c>
      <c r="N999" t="s">
        <v>3739</v>
      </c>
      <c r="O999" t="s">
        <v>42</v>
      </c>
      <c r="P999" t="s">
        <v>71</v>
      </c>
      <c r="Q999" t="s">
        <v>3740</v>
      </c>
      <c r="R999">
        <v>91.68</v>
      </c>
      <c r="S999" t="str">
        <f>TEXT(sales_data[[#This Row],[Order Date]],"mm")</f>
        <v>11</v>
      </c>
      <c r="T999">
        <f>YEAR(sales_data[[#This Row],[Order Date]])</f>
        <v>2017</v>
      </c>
      <c r="V999" t="s">
        <v>3739</v>
      </c>
    </row>
    <row r="1000" spans="1:22" x14ac:dyDescent="0.35">
      <c r="A1000">
        <v>1455</v>
      </c>
      <c r="B1000" t="s">
        <v>3735</v>
      </c>
      <c r="C1000" s="1">
        <v>43065</v>
      </c>
      <c r="D1000" s="1">
        <v>43068</v>
      </c>
      <c r="E1000" t="s">
        <v>183</v>
      </c>
      <c r="F1000" t="s">
        <v>3736</v>
      </c>
      <c r="G1000" t="s">
        <v>3737</v>
      </c>
      <c r="H1000" t="s">
        <v>37</v>
      </c>
      <c r="I1000" t="s">
        <v>23</v>
      </c>
      <c r="J1000" t="s">
        <v>3738</v>
      </c>
      <c r="K1000" t="s">
        <v>353</v>
      </c>
      <c r="L1000">
        <v>36608</v>
      </c>
      <c r="M1000" t="s">
        <v>26</v>
      </c>
      <c r="N1000" t="s">
        <v>3741</v>
      </c>
      <c r="O1000" t="s">
        <v>67</v>
      </c>
      <c r="P1000" t="s">
        <v>675</v>
      </c>
      <c r="Q1000" t="s">
        <v>3742</v>
      </c>
      <c r="R1000">
        <v>3040</v>
      </c>
      <c r="S1000" t="str">
        <f>TEXT(sales_data[[#This Row],[Order Date]],"mm")</f>
        <v>11</v>
      </c>
      <c r="T1000">
        <f>YEAR(sales_data[[#This Row],[Order Date]])</f>
        <v>2017</v>
      </c>
      <c r="V1000" t="s">
        <v>3741</v>
      </c>
    </row>
    <row r="1001" spans="1:22" x14ac:dyDescent="0.35">
      <c r="A1001">
        <v>1456</v>
      </c>
      <c r="B1001" t="s">
        <v>3743</v>
      </c>
      <c r="C1001" s="1">
        <v>43263</v>
      </c>
      <c r="D1001" s="1">
        <v>43270</v>
      </c>
      <c r="E1001" t="s">
        <v>46</v>
      </c>
      <c r="F1001" t="s">
        <v>3744</v>
      </c>
      <c r="G1001" t="s">
        <v>3745</v>
      </c>
      <c r="H1001" t="s">
        <v>98</v>
      </c>
      <c r="I1001" t="s">
        <v>23</v>
      </c>
      <c r="J1001" t="s">
        <v>492</v>
      </c>
      <c r="K1001" t="s">
        <v>1261</v>
      </c>
      <c r="L1001">
        <v>31907</v>
      </c>
      <c r="M1001" t="s">
        <v>26</v>
      </c>
      <c r="N1001" t="s">
        <v>3746</v>
      </c>
      <c r="O1001" t="s">
        <v>42</v>
      </c>
      <c r="P1001" t="s">
        <v>71</v>
      </c>
      <c r="Q1001" t="s">
        <v>3747</v>
      </c>
      <c r="R1001">
        <v>91.2</v>
      </c>
      <c r="S1001" t="str">
        <f>TEXT(sales_data[[#This Row],[Order Date]],"mm")</f>
        <v>06</v>
      </c>
      <c r="T1001">
        <f>YEAR(sales_data[[#This Row],[Order Date]])</f>
        <v>2018</v>
      </c>
      <c r="V1001" t="s">
        <v>3746</v>
      </c>
    </row>
    <row r="1002" spans="1:22" x14ac:dyDescent="0.35">
      <c r="A1002">
        <v>1457</v>
      </c>
      <c r="B1002" t="s">
        <v>3743</v>
      </c>
      <c r="C1002" s="1">
        <v>43263</v>
      </c>
      <c r="D1002" s="1">
        <v>43270</v>
      </c>
      <c r="E1002" t="s">
        <v>46</v>
      </c>
      <c r="F1002" t="s">
        <v>3744</v>
      </c>
      <c r="G1002" t="s">
        <v>3745</v>
      </c>
      <c r="H1002" t="s">
        <v>98</v>
      </c>
      <c r="I1002" t="s">
        <v>23</v>
      </c>
      <c r="J1002" t="s">
        <v>492</v>
      </c>
      <c r="K1002" t="s">
        <v>1261</v>
      </c>
      <c r="L1002">
        <v>31907</v>
      </c>
      <c r="M1002" t="s">
        <v>26</v>
      </c>
      <c r="N1002" t="s">
        <v>3748</v>
      </c>
      <c r="O1002" t="s">
        <v>28</v>
      </c>
      <c r="P1002" t="s">
        <v>52</v>
      </c>
      <c r="Q1002" t="s">
        <v>3749</v>
      </c>
      <c r="R1002">
        <v>452.94</v>
      </c>
      <c r="S1002" t="str">
        <f>TEXT(sales_data[[#This Row],[Order Date]],"mm")</f>
        <v>06</v>
      </c>
      <c r="T1002">
        <f>YEAR(sales_data[[#This Row],[Order Date]])</f>
        <v>2018</v>
      </c>
      <c r="V1002" t="s">
        <v>3748</v>
      </c>
    </row>
    <row r="1003" spans="1:22" x14ac:dyDescent="0.35">
      <c r="A1003">
        <v>1460</v>
      </c>
      <c r="B1003" t="s">
        <v>3751</v>
      </c>
      <c r="C1003" s="1">
        <v>42128</v>
      </c>
      <c r="D1003" s="1">
        <v>42128</v>
      </c>
      <c r="E1003" t="s">
        <v>1277</v>
      </c>
      <c r="F1003" t="s">
        <v>81</v>
      </c>
      <c r="G1003" t="s">
        <v>82</v>
      </c>
      <c r="H1003" t="s">
        <v>22</v>
      </c>
      <c r="I1003" t="s">
        <v>23</v>
      </c>
      <c r="J1003" t="s">
        <v>3543</v>
      </c>
      <c r="K1003" t="s">
        <v>740</v>
      </c>
      <c r="L1003">
        <v>6457</v>
      </c>
      <c r="M1003" t="s">
        <v>144</v>
      </c>
      <c r="N1003" t="s">
        <v>3752</v>
      </c>
      <c r="O1003" t="s">
        <v>28</v>
      </c>
      <c r="P1003" t="s">
        <v>61</v>
      </c>
      <c r="Q1003" t="s">
        <v>3753</v>
      </c>
      <c r="R1003">
        <v>27.46</v>
      </c>
      <c r="S1003" t="str">
        <f>TEXT(sales_data[[#This Row],[Order Date]],"mm")</f>
        <v>05</v>
      </c>
      <c r="T1003">
        <f>YEAR(sales_data[[#This Row],[Order Date]])</f>
        <v>2015</v>
      </c>
      <c r="V1003" t="s">
        <v>3752</v>
      </c>
    </row>
    <row r="1004" spans="1:22" x14ac:dyDescent="0.35">
      <c r="A1004">
        <v>1461</v>
      </c>
      <c r="B1004" t="s">
        <v>3754</v>
      </c>
      <c r="C1004" s="1">
        <v>42705</v>
      </c>
      <c r="D1004" s="1">
        <v>42712</v>
      </c>
      <c r="E1004" t="s">
        <v>46</v>
      </c>
      <c r="F1004" t="s">
        <v>805</v>
      </c>
      <c r="G1004" t="s">
        <v>806</v>
      </c>
      <c r="H1004" t="s">
        <v>22</v>
      </c>
      <c r="I1004" t="s">
        <v>23</v>
      </c>
      <c r="J1004" t="s">
        <v>91</v>
      </c>
      <c r="K1004" t="s">
        <v>92</v>
      </c>
      <c r="L1004">
        <v>98103</v>
      </c>
      <c r="M1004" t="s">
        <v>40</v>
      </c>
      <c r="N1004" t="s">
        <v>3755</v>
      </c>
      <c r="O1004" t="s">
        <v>42</v>
      </c>
      <c r="P1004" t="s">
        <v>71</v>
      </c>
      <c r="Q1004" t="s">
        <v>3756</v>
      </c>
      <c r="R1004">
        <v>55.423999999999999</v>
      </c>
      <c r="S1004" t="str">
        <f>TEXT(sales_data[[#This Row],[Order Date]],"mm")</f>
        <v>12</v>
      </c>
      <c r="T1004">
        <f>YEAR(sales_data[[#This Row],[Order Date]])</f>
        <v>2016</v>
      </c>
      <c r="V1004" t="s">
        <v>3755</v>
      </c>
    </row>
    <row r="1005" spans="1:22" x14ac:dyDescent="0.35">
      <c r="A1005">
        <v>1469</v>
      </c>
      <c r="B1005" t="s">
        <v>3761</v>
      </c>
      <c r="C1005" s="1">
        <v>43443</v>
      </c>
      <c r="D1005" s="1">
        <v>43447</v>
      </c>
      <c r="E1005" t="s">
        <v>46</v>
      </c>
      <c r="F1005" t="s">
        <v>3692</v>
      </c>
      <c r="G1005" t="s">
        <v>3693</v>
      </c>
      <c r="H1005" t="s">
        <v>37</v>
      </c>
      <c r="I1005" t="s">
        <v>23</v>
      </c>
      <c r="J1005" t="s">
        <v>872</v>
      </c>
      <c r="K1005" t="s">
        <v>233</v>
      </c>
      <c r="L1005">
        <v>48234</v>
      </c>
      <c r="M1005" t="s">
        <v>101</v>
      </c>
      <c r="N1005" t="s">
        <v>3762</v>
      </c>
      <c r="O1005" t="s">
        <v>28</v>
      </c>
      <c r="P1005" t="s">
        <v>32</v>
      </c>
      <c r="Q1005" t="s">
        <v>3763</v>
      </c>
      <c r="R1005">
        <v>872.94</v>
      </c>
      <c r="S1005" t="str">
        <f>TEXT(sales_data[[#This Row],[Order Date]],"mm")</f>
        <v>12</v>
      </c>
      <c r="T1005">
        <f>YEAR(sales_data[[#This Row],[Order Date]])</f>
        <v>2018</v>
      </c>
      <c r="V1005" t="s">
        <v>3762</v>
      </c>
    </row>
    <row r="1006" spans="1:22" x14ac:dyDescent="0.35">
      <c r="A1006">
        <v>1471</v>
      </c>
      <c r="B1006" t="s">
        <v>3761</v>
      </c>
      <c r="C1006" s="1">
        <v>43443</v>
      </c>
      <c r="D1006" s="1">
        <v>43447</v>
      </c>
      <c r="E1006" t="s">
        <v>46</v>
      </c>
      <c r="F1006" t="s">
        <v>3692</v>
      </c>
      <c r="G1006" t="s">
        <v>3693</v>
      </c>
      <c r="H1006" t="s">
        <v>37</v>
      </c>
      <c r="I1006" t="s">
        <v>23</v>
      </c>
      <c r="J1006" t="s">
        <v>872</v>
      </c>
      <c r="K1006" t="s">
        <v>233</v>
      </c>
      <c r="L1006">
        <v>48234</v>
      </c>
      <c r="M1006" t="s">
        <v>101</v>
      </c>
      <c r="N1006" t="s">
        <v>3764</v>
      </c>
      <c r="O1006" t="s">
        <v>42</v>
      </c>
      <c r="P1006" t="s">
        <v>86</v>
      </c>
      <c r="Q1006" t="s">
        <v>3765</v>
      </c>
      <c r="R1006">
        <v>12.96</v>
      </c>
      <c r="S1006" t="str">
        <f>TEXT(sales_data[[#This Row],[Order Date]],"mm")</f>
        <v>12</v>
      </c>
      <c r="T1006">
        <f>YEAR(sales_data[[#This Row],[Order Date]])</f>
        <v>2018</v>
      </c>
      <c r="V1006" t="s">
        <v>3764</v>
      </c>
    </row>
    <row r="1007" spans="1:22" x14ac:dyDescent="0.35">
      <c r="A1007">
        <v>1472</v>
      </c>
      <c r="B1007" t="s">
        <v>3766</v>
      </c>
      <c r="C1007" s="1">
        <v>42637</v>
      </c>
      <c r="D1007" s="1">
        <v>42640</v>
      </c>
      <c r="E1007" t="s">
        <v>19</v>
      </c>
      <c r="F1007" t="s">
        <v>221</v>
      </c>
      <c r="G1007" t="s">
        <v>222</v>
      </c>
      <c r="H1007" t="s">
        <v>37</v>
      </c>
      <c r="I1007" t="s">
        <v>23</v>
      </c>
      <c r="J1007" t="s">
        <v>142</v>
      </c>
      <c r="K1007" t="s">
        <v>143</v>
      </c>
      <c r="L1007">
        <v>19120</v>
      </c>
      <c r="M1007" t="s">
        <v>144</v>
      </c>
      <c r="N1007" t="s">
        <v>3767</v>
      </c>
      <c r="O1007" t="s">
        <v>42</v>
      </c>
      <c r="P1007" t="s">
        <v>64</v>
      </c>
      <c r="Q1007" t="s">
        <v>3768</v>
      </c>
      <c r="R1007">
        <v>6.8479999999999999</v>
      </c>
      <c r="S1007" t="str">
        <f>TEXT(sales_data[[#This Row],[Order Date]],"mm")</f>
        <v>09</v>
      </c>
      <c r="T1007">
        <f>YEAR(sales_data[[#This Row],[Order Date]])</f>
        <v>2016</v>
      </c>
      <c r="V1007" t="s">
        <v>3767</v>
      </c>
    </row>
    <row r="1008" spans="1:22" x14ac:dyDescent="0.35">
      <c r="A1008">
        <v>1474</v>
      </c>
      <c r="B1008" t="s">
        <v>3771</v>
      </c>
      <c r="C1008" s="1">
        <v>42705</v>
      </c>
      <c r="D1008" s="1">
        <v>42706</v>
      </c>
      <c r="E1008" t="s">
        <v>1277</v>
      </c>
      <c r="F1008" t="s">
        <v>3135</v>
      </c>
      <c r="G1008" t="s">
        <v>3136</v>
      </c>
      <c r="H1008" t="s">
        <v>22</v>
      </c>
      <c r="I1008" t="s">
        <v>23</v>
      </c>
      <c r="J1008" t="s">
        <v>179</v>
      </c>
      <c r="K1008" t="s">
        <v>100</v>
      </c>
      <c r="L1008">
        <v>77036</v>
      </c>
      <c r="M1008" t="s">
        <v>101</v>
      </c>
      <c r="N1008" t="s">
        <v>3772</v>
      </c>
      <c r="O1008" t="s">
        <v>28</v>
      </c>
      <c r="P1008" t="s">
        <v>61</v>
      </c>
      <c r="Q1008" t="s">
        <v>3773</v>
      </c>
      <c r="R1008">
        <v>6.6879999999999997</v>
      </c>
      <c r="S1008" t="str">
        <f>TEXT(sales_data[[#This Row],[Order Date]],"mm")</f>
        <v>12</v>
      </c>
      <c r="T1008">
        <f>YEAR(sales_data[[#This Row],[Order Date]])</f>
        <v>2016</v>
      </c>
      <c r="V1008" t="s">
        <v>3772</v>
      </c>
    </row>
    <row r="1009" spans="1:22" x14ac:dyDescent="0.35">
      <c r="A1009">
        <v>1475</v>
      </c>
      <c r="B1009" t="s">
        <v>3774</v>
      </c>
      <c r="C1009" s="1">
        <v>43058</v>
      </c>
      <c r="D1009" s="1">
        <v>43064</v>
      </c>
      <c r="E1009" t="s">
        <v>46</v>
      </c>
      <c r="F1009" t="s">
        <v>3775</v>
      </c>
      <c r="G1009" t="s">
        <v>3776</v>
      </c>
      <c r="H1009" t="s">
        <v>98</v>
      </c>
      <c r="I1009" t="s">
        <v>23</v>
      </c>
      <c r="J1009" t="s">
        <v>3777</v>
      </c>
      <c r="K1009" t="s">
        <v>262</v>
      </c>
      <c r="L1009">
        <v>14304</v>
      </c>
      <c r="M1009" t="s">
        <v>144</v>
      </c>
      <c r="N1009" t="s">
        <v>3778</v>
      </c>
      <c r="O1009" t="s">
        <v>42</v>
      </c>
      <c r="P1009" t="s">
        <v>64</v>
      </c>
      <c r="Q1009" t="s">
        <v>3779</v>
      </c>
      <c r="R1009">
        <v>17.28</v>
      </c>
      <c r="S1009" t="str">
        <f>TEXT(sales_data[[#This Row],[Order Date]],"mm")</f>
        <v>11</v>
      </c>
      <c r="T1009">
        <f>YEAR(sales_data[[#This Row],[Order Date]])</f>
        <v>2017</v>
      </c>
      <c r="V1009" t="s">
        <v>3778</v>
      </c>
    </row>
    <row r="1010" spans="1:22" x14ac:dyDescent="0.35">
      <c r="A1010">
        <v>1477</v>
      </c>
      <c r="B1010" t="s">
        <v>3780</v>
      </c>
      <c r="C1010" s="1">
        <v>43178</v>
      </c>
      <c r="D1010" s="1">
        <v>43183</v>
      </c>
      <c r="E1010" t="s">
        <v>46</v>
      </c>
      <c r="F1010" t="s">
        <v>2775</v>
      </c>
      <c r="G1010" t="s">
        <v>2776</v>
      </c>
      <c r="H1010" t="s">
        <v>98</v>
      </c>
      <c r="I1010" t="s">
        <v>23</v>
      </c>
      <c r="J1010" t="s">
        <v>261</v>
      </c>
      <c r="K1010" t="s">
        <v>262</v>
      </c>
      <c r="L1010">
        <v>10024</v>
      </c>
      <c r="M1010" t="s">
        <v>144</v>
      </c>
      <c r="N1010" t="s">
        <v>3781</v>
      </c>
      <c r="O1010" t="s">
        <v>42</v>
      </c>
      <c r="P1010" t="s">
        <v>43</v>
      </c>
      <c r="Q1010" t="s">
        <v>3782</v>
      </c>
      <c r="R1010">
        <v>28.91</v>
      </c>
      <c r="S1010" t="str">
        <f>TEXT(sales_data[[#This Row],[Order Date]],"mm")</f>
        <v>03</v>
      </c>
      <c r="T1010">
        <f>YEAR(sales_data[[#This Row],[Order Date]])</f>
        <v>2018</v>
      </c>
      <c r="V1010" t="s">
        <v>3781</v>
      </c>
    </row>
    <row r="1011" spans="1:22" x14ac:dyDescent="0.35">
      <c r="A1011">
        <v>1480</v>
      </c>
      <c r="B1011" t="s">
        <v>3786</v>
      </c>
      <c r="C1011" s="1">
        <v>43071</v>
      </c>
      <c r="D1011" s="1">
        <v>43077</v>
      </c>
      <c r="E1011" t="s">
        <v>46</v>
      </c>
      <c r="F1011" t="s">
        <v>1507</v>
      </c>
      <c r="G1011" t="s">
        <v>1508</v>
      </c>
      <c r="H1011" t="s">
        <v>22</v>
      </c>
      <c r="I1011" t="s">
        <v>23</v>
      </c>
      <c r="J1011" t="s">
        <v>123</v>
      </c>
      <c r="K1011" t="s">
        <v>39</v>
      </c>
      <c r="L1011">
        <v>94122</v>
      </c>
      <c r="M1011" t="s">
        <v>40</v>
      </c>
      <c r="N1011" t="s">
        <v>3787</v>
      </c>
      <c r="O1011" t="s">
        <v>42</v>
      </c>
      <c r="P1011" t="s">
        <v>86</v>
      </c>
      <c r="Q1011" t="s">
        <v>3788</v>
      </c>
      <c r="R1011">
        <v>25.92</v>
      </c>
      <c r="S1011" t="str">
        <f>TEXT(sales_data[[#This Row],[Order Date]],"mm")</f>
        <v>12</v>
      </c>
      <c r="T1011">
        <f>YEAR(sales_data[[#This Row],[Order Date]])</f>
        <v>2017</v>
      </c>
      <c r="V1011" t="s">
        <v>3787</v>
      </c>
    </row>
    <row r="1012" spans="1:22" x14ac:dyDescent="0.35">
      <c r="A1012">
        <v>1481</v>
      </c>
      <c r="B1012" t="s">
        <v>3786</v>
      </c>
      <c r="C1012" s="1">
        <v>43071</v>
      </c>
      <c r="D1012" s="1">
        <v>43077</v>
      </c>
      <c r="E1012" t="s">
        <v>46</v>
      </c>
      <c r="F1012" t="s">
        <v>1507</v>
      </c>
      <c r="G1012" t="s">
        <v>1508</v>
      </c>
      <c r="H1012" t="s">
        <v>22</v>
      </c>
      <c r="I1012" t="s">
        <v>23</v>
      </c>
      <c r="J1012" t="s">
        <v>123</v>
      </c>
      <c r="K1012" t="s">
        <v>39</v>
      </c>
      <c r="L1012">
        <v>94122</v>
      </c>
      <c r="M1012" t="s">
        <v>40</v>
      </c>
      <c r="N1012" t="s">
        <v>3789</v>
      </c>
      <c r="O1012" t="s">
        <v>42</v>
      </c>
      <c r="P1012" t="s">
        <v>86</v>
      </c>
      <c r="Q1012" t="s">
        <v>3790</v>
      </c>
      <c r="R1012">
        <v>40.46</v>
      </c>
      <c r="S1012" t="str">
        <f>TEXT(sales_data[[#This Row],[Order Date]],"mm")</f>
        <v>12</v>
      </c>
      <c r="T1012">
        <f>YEAR(sales_data[[#This Row],[Order Date]])</f>
        <v>2017</v>
      </c>
      <c r="V1012" t="s">
        <v>3789</v>
      </c>
    </row>
    <row r="1013" spans="1:22" x14ac:dyDescent="0.35">
      <c r="A1013">
        <v>1482</v>
      </c>
      <c r="B1013" t="s">
        <v>3786</v>
      </c>
      <c r="C1013" s="1">
        <v>43071</v>
      </c>
      <c r="D1013" s="1">
        <v>43077</v>
      </c>
      <c r="E1013" t="s">
        <v>46</v>
      </c>
      <c r="F1013" t="s">
        <v>1507</v>
      </c>
      <c r="G1013" t="s">
        <v>1508</v>
      </c>
      <c r="H1013" t="s">
        <v>22</v>
      </c>
      <c r="I1013" t="s">
        <v>23</v>
      </c>
      <c r="J1013" t="s">
        <v>123</v>
      </c>
      <c r="K1013" t="s">
        <v>39</v>
      </c>
      <c r="L1013">
        <v>94122</v>
      </c>
      <c r="M1013" t="s">
        <v>40</v>
      </c>
      <c r="N1013" t="s">
        <v>3791</v>
      </c>
      <c r="O1013" t="s">
        <v>42</v>
      </c>
      <c r="P1013" t="s">
        <v>55</v>
      </c>
      <c r="Q1013" t="s">
        <v>3792</v>
      </c>
      <c r="R1013">
        <v>33.869999999999997</v>
      </c>
      <c r="S1013" t="str">
        <f>TEXT(sales_data[[#This Row],[Order Date]],"mm")</f>
        <v>12</v>
      </c>
      <c r="T1013">
        <f>YEAR(sales_data[[#This Row],[Order Date]])</f>
        <v>2017</v>
      </c>
      <c r="V1013" t="s">
        <v>3791</v>
      </c>
    </row>
    <row r="1014" spans="1:22" x14ac:dyDescent="0.35">
      <c r="A1014">
        <v>1484</v>
      </c>
      <c r="B1014" t="s">
        <v>3793</v>
      </c>
      <c r="C1014" s="1">
        <v>43337</v>
      </c>
      <c r="D1014" s="1">
        <v>43340</v>
      </c>
      <c r="E1014" t="s">
        <v>19</v>
      </c>
      <c r="F1014" t="s">
        <v>3077</v>
      </c>
      <c r="G1014" t="s">
        <v>3078</v>
      </c>
      <c r="H1014" t="s">
        <v>22</v>
      </c>
      <c r="I1014" t="s">
        <v>23</v>
      </c>
      <c r="J1014" t="s">
        <v>323</v>
      </c>
      <c r="K1014" t="s">
        <v>330</v>
      </c>
      <c r="L1014">
        <v>38301</v>
      </c>
      <c r="M1014" t="s">
        <v>26</v>
      </c>
      <c r="N1014" t="s">
        <v>3794</v>
      </c>
      <c r="O1014" t="s">
        <v>42</v>
      </c>
      <c r="P1014" t="s">
        <v>86</v>
      </c>
      <c r="Q1014" t="s">
        <v>3795</v>
      </c>
      <c r="R1014">
        <v>3.4239999999999999</v>
      </c>
      <c r="S1014" t="str">
        <f>TEXT(sales_data[[#This Row],[Order Date]],"mm")</f>
        <v>08</v>
      </c>
      <c r="T1014">
        <f>YEAR(sales_data[[#This Row],[Order Date]])</f>
        <v>2018</v>
      </c>
      <c r="V1014" t="s">
        <v>3794</v>
      </c>
    </row>
    <row r="1015" spans="1:22" x14ac:dyDescent="0.35">
      <c r="A1015">
        <v>1485</v>
      </c>
      <c r="B1015" t="s">
        <v>3796</v>
      </c>
      <c r="C1015" s="1">
        <v>43022</v>
      </c>
      <c r="D1015" s="1">
        <v>43026</v>
      </c>
      <c r="E1015" t="s">
        <v>46</v>
      </c>
      <c r="F1015" t="s">
        <v>2367</v>
      </c>
      <c r="G1015" t="s">
        <v>2368</v>
      </c>
      <c r="H1015" t="s">
        <v>37</v>
      </c>
      <c r="I1015" t="s">
        <v>23</v>
      </c>
      <c r="J1015" t="s">
        <v>91</v>
      </c>
      <c r="K1015" t="s">
        <v>92</v>
      </c>
      <c r="L1015">
        <v>98115</v>
      </c>
      <c r="M1015" t="s">
        <v>40</v>
      </c>
      <c r="N1015" t="s">
        <v>3797</v>
      </c>
      <c r="O1015" t="s">
        <v>67</v>
      </c>
      <c r="P1015" t="s">
        <v>156</v>
      </c>
      <c r="Q1015" t="s">
        <v>3798</v>
      </c>
      <c r="R1015">
        <v>177</v>
      </c>
      <c r="S1015" t="str">
        <f>TEXT(sales_data[[#This Row],[Order Date]],"mm")</f>
        <v>10</v>
      </c>
      <c r="T1015">
        <f>YEAR(sales_data[[#This Row],[Order Date]])</f>
        <v>2017</v>
      </c>
      <c r="V1015" t="s">
        <v>3797</v>
      </c>
    </row>
    <row r="1016" spans="1:22" x14ac:dyDescent="0.35">
      <c r="A1016">
        <v>1486</v>
      </c>
      <c r="B1016" t="s">
        <v>3799</v>
      </c>
      <c r="C1016" s="1">
        <v>42335</v>
      </c>
      <c r="D1016" s="1">
        <v>42341</v>
      </c>
      <c r="E1016" t="s">
        <v>46</v>
      </c>
      <c r="F1016" t="s">
        <v>3800</v>
      </c>
      <c r="G1016" t="s">
        <v>3801</v>
      </c>
      <c r="H1016" t="s">
        <v>22</v>
      </c>
      <c r="I1016" t="s">
        <v>23</v>
      </c>
      <c r="J1016" t="s">
        <v>261</v>
      </c>
      <c r="K1016" t="s">
        <v>262</v>
      </c>
      <c r="L1016">
        <v>10035</v>
      </c>
      <c r="M1016" t="s">
        <v>144</v>
      </c>
      <c r="N1016" t="s">
        <v>3802</v>
      </c>
      <c r="O1016" t="s">
        <v>42</v>
      </c>
      <c r="P1016" t="s">
        <v>264</v>
      </c>
      <c r="Q1016" t="s">
        <v>557</v>
      </c>
      <c r="R1016">
        <v>3.76</v>
      </c>
      <c r="S1016" t="str">
        <f>TEXT(sales_data[[#This Row],[Order Date]],"mm")</f>
        <v>11</v>
      </c>
      <c r="T1016">
        <f>YEAR(sales_data[[#This Row],[Order Date]])</f>
        <v>2015</v>
      </c>
      <c r="V1016" t="s">
        <v>3802</v>
      </c>
    </row>
    <row r="1017" spans="1:22" x14ac:dyDescent="0.35">
      <c r="A1017">
        <v>1487</v>
      </c>
      <c r="B1017" t="s">
        <v>3803</v>
      </c>
      <c r="C1017" s="1">
        <v>42677</v>
      </c>
      <c r="D1017" s="1">
        <v>42681</v>
      </c>
      <c r="E1017" t="s">
        <v>46</v>
      </c>
      <c r="F1017" t="s">
        <v>3804</v>
      </c>
      <c r="G1017" t="s">
        <v>3805</v>
      </c>
      <c r="H1017" t="s">
        <v>98</v>
      </c>
      <c r="I1017" t="s">
        <v>23</v>
      </c>
      <c r="J1017" t="s">
        <v>38</v>
      </c>
      <c r="K1017" t="s">
        <v>39</v>
      </c>
      <c r="L1017">
        <v>90008</v>
      </c>
      <c r="M1017" t="s">
        <v>40</v>
      </c>
      <c r="N1017" t="s">
        <v>3806</v>
      </c>
      <c r="O1017" t="s">
        <v>67</v>
      </c>
      <c r="P1017" t="s">
        <v>68</v>
      </c>
      <c r="Q1017" t="s">
        <v>3807</v>
      </c>
      <c r="R1017">
        <v>1212.848</v>
      </c>
      <c r="S1017" t="str">
        <f>TEXT(sales_data[[#This Row],[Order Date]],"mm")</f>
        <v>11</v>
      </c>
      <c r="T1017">
        <f>YEAR(sales_data[[#This Row],[Order Date]])</f>
        <v>2016</v>
      </c>
      <c r="V1017" t="s">
        <v>3806</v>
      </c>
    </row>
    <row r="1018" spans="1:22" x14ac:dyDescent="0.35">
      <c r="A1018">
        <v>1488</v>
      </c>
      <c r="B1018" t="s">
        <v>3803</v>
      </c>
      <c r="C1018" s="1">
        <v>42677</v>
      </c>
      <c r="D1018" s="1">
        <v>42681</v>
      </c>
      <c r="E1018" t="s">
        <v>46</v>
      </c>
      <c r="F1018" t="s">
        <v>3804</v>
      </c>
      <c r="G1018" t="s">
        <v>3805</v>
      </c>
      <c r="H1018" t="s">
        <v>98</v>
      </c>
      <c r="I1018" t="s">
        <v>23</v>
      </c>
      <c r="J1018" t="s">
        <v>38</v>
      </c>
      <c r="K1018" t="s">
        <v>39</v>
      </c>
      <c r="L1018">
        <v>90008</v>
      </c>
      <c r="M1018" t="s">
        <v>40</v>
      </c>
      <c r="N1018" t="s">
        <v>3808</v>
      </c>
      <c r="O1018" t="s">
        <v>67</v>
      </c>
      <c r="P1018" t="s">
        <v>156</v>
      </c>
      <c r="Q1018" t="s">
        <v>3809</v>
      </c>
      <c r="R1018">
        <v>89.97</v>
      </c>
      <c r="S1018" t="str">
        <f>TEXT(sales_data[[#This Row],[Order Date]],"mm")</f>
        <v>11</v>
      </c>
      <c r="T1018">
        <f>YEAR(sales_data[[#This Row],[Order Date]])</f>
        <v>2016</v>
      </c>
      <c r="V1018" t="s">
        <v>3808</v>
      </c>
    </row>
    <row r="1019" spans="1:22" x14ac:dyDescent="0.35">
      <c r="A1019">
        <v>1492</v>
      </c>
      <c r="B1019" t="s">
        <v>3811</v>
      </c>
      <c r="C1019" s="1">
        <v>43428</v>
      </c>
      <c r="D1019" s="1">
        <v>43432</v>
      </c>
      <c r="E1019" t="s">
        <v>46</v>
      </c>
      <c r="F1019" t="s">
        <v>3812</v>
      </c>
      <c r="G1019" t="s">
        <v>3813</v>
      </c>
      <c r="H1019" t="s">
        <v>37</v>
      </c>
      <c r="I1019" t="s">
        <v>23</v>
      </c>
      <c r="J1019" t="s">
        <v>261</v>
      </c>
      <c r="K1019" t="s">
        <v>262</v>
      </c>
      <c r="L1019">
        <v>10035</v>
      </c>
      <c r="M1019" t="s">
        <v>144</v>
      </c>
      <c r="N1019" t="s">
        <v>3814</v>
      </c>
      <c r="O1019" t="s">
        <v>42</v>
      </c>
      <c r="P1019" t="s">
        <v>86</v>
      </c>
      <c r="Q1019" t="s">
        <v>3815</v>
      </c>
      <c r="R1019">
        <v>5.88</v>
      </c>
      <c r="S1019" t="str">
        <f>TEXT(sales_data[[#This Row],[Order Date]],"mm")</f>
        <v>11</v>
      </c>
      <c r="T1019">
        <f>YEAR(sales_data[[#This Row],[Order Date]])</f>
        <v>2018</v>
      </c>
      <c r="V1019" t="s">
        <v>3814</v>
      </c>
    </row>
    <row r="1020" spans="1:22" x14ac:dyDescent="0.35">
      <c r="A1020">
        <v>1497</v>
      </c>
      <c r="B1020" t="s">
        <v>3817</v>
      </c>
      <c r="C1020" s="1">
        <v>43347</v>
      </c>
      <c r="D1020" s="1">
        <v>43351</v>
      </c>
      <c r="E1020" t="s">
        <v>46</v>
      </c>
      <c r="F1020" t="s">
        <v>3818</v>
      </c>
      <c r="G1020" t="s">
        <v>3819</v>
      </c>
      <c r="H1020" t="s">
        <v>22</v>
      </c>
      <c r="I1020" t="s">
        <v>23</v>
      </c>
      <c r="J1020" t="s">
        <v>3820</v>
      </c>
      <c r="K1020" t="s">
        <v>100</v>
      </c>
      <c r="L1020">
        <v>75019</v>
      </c>
      <c r="M1020" t="s">
        <v>101</v>
      </c>
      <c r="N1020" t="s">
        <v>3821</v>
      </c>
      <c r="O1020" t="s">
        <v>42</v>
      </c>
      <c r="P1020" t="s">
        <v>55</v>
      </c>
      <c r="Q1020" t="s">
        <v>3822</v>
      </c>
      <c r="R1020">
        <v>16.783999999999999</v>
      </c>
      <c r="S1020" t="str">
        <f>TEXT(sales_data[[#This Row],[Order Date]],"mm")</f>
        <v>09</v>
      </c>
      <c r="T1020">
        <f>YEAR(sales_data[[#This Row],[Order Date]])</f>
        <v>2018</v>
      </c>
      <c r="V1020" t="s">
        <v>3821</v>
      </c>
    </row>
    <row r="1021" spans="1:22" x14ac:dyDescent="0.35">
      <c r="A1021">
        <v>1501</v>
      </c>
      <c r="B1021" t="s">
        <v>3823</v>
      </c>
      <c r="C1021" s="1">
        <v>43416</v>
      </c>
      <c r="D1021" s="1">
        <v>43422</v>
      </c>
      <c r="E1021" t="s">
        <v>46</v>
      </c>
      <c r="F1021" t="s">
        <v>1353</v>
      </c>
      <c r="G1021" t="s">
        <v>1354</v>
      </c>
      <c r="H1021" t="s">
        <v>22</v>
      </c>
      <c r="I1021" t="s">
        <v>23</v>
      </c>
      <c r="J1021" t="s">
        <v>1229</v>
      </c>
      <c r="K1021" t="s">
        <v>100</v>
      </c>
      <c r="L1021">
        <v>78745</v>
      </c>
      <c r="M1021" t="s">
        <v>101</v>
      </c>
      <c r="N1021" t="s">
        <v>3824</v>
      </c>
      <c r="O1021" t="s">
        <v>42</v>
      </c>
      <c r="P1021" t="s">
        <v>86</v>
      </c>
      <c r="Q1021" t="s">
        <v>3825</v>
      </c>
      <c r="R1021">
        <v>223.05600000000001</v>
      </c>
      <c r="S1021" t="str">
        <f>TEXT(sales_data[[#This Row],[Order Date]],"mm")</f>
        <v>11</v>
      </c>
      <c r="T1021">
        <f>YEAR(sales_data[[#This Row],[Order Date]])</f>
        <v>2018</v>
      </c>
      <c r="V1021" t="s">
        <v>3824</v>
      </c>
    </row>
    <row r="1022" spans="1:22" x14ac:dyDescent="0.35">
      <c r="A1022">
        <v>1503</v>
      </c>
      <c r="B1022" t="s">
        <v>3826</v>
      </c>
      <c r="C1022" s="1">
        <v>43063</v>
      </c>
      <c r="D1022" s="1">
        <v>43070</v>
      </c>
      <c r="E1022" t="s">
        <v>46</v>
      </c>
      <c r="F1022" t="s">
        <v>3254</v>
      </c>
      <c r="G1022" t="s">
        <v>3255</v>
      </c>
      <c r="H1022" t="s">
        <v>98</v>
      </c>
      <c r="I1022" t="s">
        <v>23</v>
      </c>
      <c r="J1022" t="s">
        <v>38</v>
      </c>
      <c r="K1022" t="s">
        <v>39</v>
      </c>
      <c r="L1022">
        <v>90045</v>
      </c>
      <c r="M1022" t="s">
        <v>40</v>
      </c>
      <c r="N1022" t="s">
        <v>3827</v>
      </c>
      <c r="O1022" t="s">
        <v>67</v>
      </c>
      <c r="P1022" t="s">
        <v>68</v>
      </c>
      <c r="Q1022" t="s">
        <v>3828</v>
      </c>
      <c r="R1022">
        <v>33.520000000000003</v>
      </c>
      <c r="S1022" t="str">
        <f>TEXT(sales_data[[#This Row],[Order Date]],"mm")</f>
        <v>11</v>
      </c>
      <c r="T1022">
        <f>YEAR(sales_data[[#This Row],[Order Date]])</f>
        <v>2017</v>
      </c>
      <c r="V1022" t="s">
        <v>3827</v>
      </c>
    </row>
    <row r="1023" spans="1:22" x14ac:dyDescent="0.35">
      <c r="A1023">
        <v>1506</v>
      </c>
      <c r="B1023" t="s">
        <v>3829</v>
      </c>
      <c r="C1023" s="1">
        <v>42583</v>
      </c>
      <c r="D1023" s="1">
        <v>42589</v>
      </c>
      <c r="E1023" t="s">
        <v>46</v>
      </c>
      <c r="F1023" t="s">
        <v>3830</v>
      </c>
      <c r="G1023" t="s">
        <v>3831</v>
      </c>
      <c r="H1023" t="s">
        <v>98</v>
      </c>
      <c r="I1023" t="s">
        <v>23</v>
      </c>
      <c r="J1023" t="s">
        <v>38</v>
      </c>
      <c r="K1023" t="s">
        <v>39</v>
      </c>
      <c r="L1023">
        <v>90004</v>
      </c>
      <c r="M1023" t="s">
        <v>40</v>
      </c>
      <c r="N1023" t="s">
        <v>3832</v>
      </c>
      <c r="O1023" t="s">
        <v>28</v>
      </c>
      <c r="P1023" t="s">
        <v>52</v>
      </c>
      <c r="Q1023" t="s">
        <v>3833</v>
      </c>
      <c r="R1023">
        <v>1004.976</v>
      </c>
      <c r="S1023" t="str">
        <f>TEXT(sales_data[[#This Row],[Order Date]],"mm")</f>
        <v>08</v>
      </c>
      <c r="T1023">
        <f>YEAR(sales_data[[#This Row],[Order Date]])</f>
        <v>2016</v>
      </c>
      <c r="V1023" t="s">
        <v>3832</v>
      </c>
    </row>
    <row r="1024" spans="1:22" x14ac:dyDescent="0.35">
      <c r="A1024">
        <v>1508</v>
      </c>
      <c r="B1024" t="s">
        <v>3836</v>
      </c>
      <c r="C1024" s="1">
        <v>42995</v>
      </c>
      <c r="D1024" s="1">
        <v>43001</v>
      </c>
      <c r="E1024" t="s">
        <v>46</v>
      </c>
      <c r="F1024" t="s">
        <v>3783</v>
      </c>
      <c r="G1024" t="s">
        <v>3784</v>
      </c>
      <c r="H1024" t="s">
        <v>22</v>
      </c>
      <c r="I1024" t="s">
        <v>23</v>
      </c>
      <c r="J1024" t="s">
        <v>492</v>
      </c>
      <c r="K1024" t="s">
        <v>1261</v>
      </c>
      <c r="L1024">
        <v>31907</v>
      </c>
      <c r="M1024" t="s">
        <v>26</v>
      </c>
      <c r="N1024" t="s">
        <v>3837</v>
      </c>
      <c r="O1024" t="s">
        <v>67</v>
      </c>
      <c r="P1024" t="s">
        <v>675</v>
      </c>
      <c r="Q1024" t="s">
        <v>3838</v>
      </c>
      <c r="R1024">
        <v>396</v>
      </c>
      <c r="S1024" t="str">
        <f>TEXT(sales_data[[#This Row],[Order Date]],"mm")</f>
        <v>09</v>
      </c>
      <c r="T1024">
        <f>YEAR(sales_data[[#This Row],[Order Date]])</f>
        <v>2017</v>
      </c>
      <c r="V1024" t="s">
        <v>3837</v>
      </c>
    </row>
    <row r="1025" spans="1:22" x14ac:dyDescent="0.35">
      <c r="A1025">
        <v>1509</v>
      </c>
      <c r="B1025" t="s">
        <v>3839</v>
      </c>
      <c r="C1025" s="1">
        <v>43444</v>
      </c>
      <c r="D1025" s="1">
        <v>43444</v>
      </c>
      <c r="E1025" t="s">
        <v>1277</v>
      </c>
      <c r="F1025" t="s">
        <v>545</v>
      </c>
      <c r="G1025" t="s">
        <v>546</v>
      </c>
      <c r="H1025" t="s">
        <v>98</v>
      </c>
      <c r="I1025" t="s">
        <v>23</v>
      </c>
      <c r="J1025" t="s">
        <v>2485</v>
      </c>
      <c r="K1025" t="s">
        <v>134</v>
      </c>
      <c r="L1025">
        <v>68104</v>
      </c>
      <c r="M1025" t="s">
        <v>101</v>
      </c>
      <c r="N1025" t="s">
        <v>3840</v>
      </c>
      <c r="O1025" t="s">
        <v>42</v>
      </c>
      <c r="P1025" t="s">
        <v>71</v>
      </c>
      <c r="Q1025" t="s">
        <v>3841</v>
      </c>
      <c r="R1025">
        <v>34.5</v>
      </c>
      <c r="S1025" t="str">
        <f>TEXT(sales_data[[#This Row],[Order Date]],"mm")</f>
        <v>12</v>
      </c>
      <c r="T1025">
        <f>YEAR(sales_data[[#This Row],[Order Date]])</f>
        <v>2018</v>
      </c>
      <c r="V1025" t="s">
        <v>3840</v>
      </c>
    </row>
    <row r="1026" spans="1:22" x14ac:dyDescent="0.35">
      <c r="A1026">
        <v>1521</v>
      </c>
      <c r="B1026" t="s">
        <v>3848</v>
      </c>
      <c r="C1026" s="1">
        <v>43206</v>
      </c>
      <c r="D1026" s="1">
        <v>43211</v>
      </c>
      <c r="E1026" t="s">
        <v>46</v>
      </c>
      <c r="F1026" t="s">
        <v>3849</v>
      </c>
      <c r="G1026" t="s">
        <v>3850</v>
      </c>
      <c r="H1026" t="s">
        <v>98</v>
      </c>
      <c r="I1026" t="s">
        <v>23</v>
      </c>
      <c r="J1026" t="s">
        <v>298</v>
      </c>
      <c r="K1026" t="s">
        <v>206</v>
      </c>
      <c r="L1026">
        <v>60610</v>
      </c>
      <c r="M1026" t="s">
        <v>101</v>
      </c>
      <c r="N1026" t="s">
        <v>3851</v>
      </c>
      <c r="O1026" t="s">
        <v>42</v>
      </c>
      <c r="P1026" t="s">
        <v>64</v>
      </c>
      <c r="Q1026" t="s">
        <v>3852</v>
      </c>
      <c r="R1026">
        <v>16.52</v>
      </c>
      <c r="S1026" t="str">
        <f>TEXT(sales_data[[#This Row],[Order Date]],"mm")</f>
        <v>04</v>
      </c>
      <c r="T1026">
        <f>YEAR(sales_data[[#This Row],[Order Date]])</f>
        <v>2018</v>
      </c>
      <c r="V1026" t="s">
        <v>3851</v>
      </c>
    </row>
    <row r="1027" spans="1:22" x14ac:dyDescent="0.35">
      <c r="A1027">
        <v>1523</v>
      </c>
      <c r="B1027" t="s">
        <v>3853</v>
      </c>
      <c r="C1027" s="1">
        <v>42710</v>
      </c>
      <c r="D1027" s="1">
        <v>42715</v>
      </c>
      <c r="E1027" t="s">
        <v>46</v>
      </c>
      <c r="F1027" t="s">
        <v>3854</v>
      </c>
      <c r="G1027" t="s">
        <v>3855</v>
      </c>
      <c r="H1027" t="s">
        <v>22</v>
      </c>
      <c r="I1027" t="s">
        <v>23</v>
      </c>
      <c r="J1027" t="s">
        <v>1298</v>
      </c>
      <c r="K1027" t="s">
        <v>305</v>
      </c>
      <c r="L1027">
        <v>85705</v>
      </c>
      <c r="M1027" t="s">
        <v>40</v>
      </c>
      <c r="N1027" t="s">
        <v>3856</v>
      </c>
      <c r="O1027" t="s">
        <v>42</v>
      </c>
      <c r="P1027" t="s">
        <v>86</v>
      </c>
      <c r="Q1027" t="s">
        <v>3857</v>
      </c>
      <c r="R1027">
        <v>19.920000000000002</v>
      </c>
      <c r="S1027" t="str">
        <f>TEXT(sales_data[[#This Row],[Order Date]],"mm")</f>
        <v>12</v>
      </c>
      <c r="T1027">
        <f>YEAR(sales_data[[#This Row],[Order Date]])</f>
        <v>2016</v>
      </c>
      <c r="V1027" t="s">
        <v>3856</v>
      </c>
    </row>
    <row r="1028" spans="1:22" x14ac:dyDescent="0.35">
      <c r="A1028">
        <v>1527</v>
      </c>
      <c r="B1028" t="s">
        <v>3858</v>
      </c>
      <c r="C1028" s="1">
        <v>42938</v>
      </c>
      <c r="D1028" s="1">
        <v>42943</v>
      </c>
      <c r="E1028" t="s">
        <v>46</v>
      </c>
      <c r="F1028" t="s">
        <v>1441</v>
      </c>
      <c r="G1028" t="s">
        <v>1442</v>
      </c>
      <c r="H1028" t="s">
        <v>22</v>
      </c>
      <c r="I1028" t="s">
        <v>23</v>
      </c>
      <c r="J1028" t="s">
        <v>3859</v>
      </c>
      <c r="K1028" t="s">
        <v>143</v>
      </c>
      <c r="L1028">
        <v>18103</v>
      </c>
      <c r="M1028" t="s">
        <v>144</v>
      </c>
      <c r="N1028" t="s">
        <v>3860</v>
      </c>
      <c r="O1028" t="s">
        <v>42</v>
      </c>
      <c r="P1028" t="s">
        <v>64</v>
      </c>
      <c r="Q1028" t="s">
        <v>3861</v>
      </c>
      <c r="R1028">
        <v>4.16</v>
      </c>
      <c r="S1028" t="str">
        <f>TEXT(sales_data[[#This Row],[Order Date]],"mm")</f>
        <v>07</v>
      </c>
      <c r="T1028">
        <f>YEAR(sales_data[[#This Row],[Order Date]])</f>
        <v>2017</v>
      </c>
      <c r="V1028" t="s">
        <v>3860</v>
      </c>
    </row>
    <row r="1029" spans="1:22" x14ac:dyDescent="0.35">
      <c r="A1029">
        <v>1528</v>
      </c>
      <c r="B1029" t="s">
        <v>3858</v>
      </c>
      <c r="C1029" s="1">
        <v>42938</v>
      </c>
      <c r="D1029" s="1">
        <v>42943</v>
      </c>
      <c r="E1029" t="s">
        <v>46</v>
      </c>
      <c r="F1029" t="s">
        <v>1441</v>
      </c>
      <c r="G1029" t="s">
        <v>1442</v>
      </c>
      <c r="H1029" t="s">
        <v>22</v>
      </c>
      <c r="I1029" t="s">
        <v>23</v>
      </c>
      <c r="J1029" t="s">
        <v>3859</v>
      </c>
      <c r="K1029" t="s">
        <v>143</v>
      </c>
      <c r="L1029">
        <v>18103</v>
      </c>
      <c r="M1029" t="s">
        <v>144</v>
      </c>
      <c r="N1029" t="s">
        <v>3862</v>
      </c>
      <c r="O1029" t="s">
        <v>28</v>
      </c>
      <c r="P1029" t="s">
        <v>61</v>
      </c>
      <c r="Q1029" t="s">
        <v>3863</v>
      </c>
      <c r="R1029">
        <v>11.648</v>
      </c>
      <c r="S1029" t="str">
        <f>TEXT(sales_data[[#This Row],[Order Date]],"mm")</f>
        <v>07</v>
      </c>
      <c r="T1029">
        <f>YEAR(sales_data[[#This Row],[Order Date]])</f>
        <v>2017</v>
      </c>
      <c r="V1029" t="s">
        <v>3862</v>
      </c>
    </row>
    <row r="1030" spans="1:22" x14ac:dyDescent="0.35">
      <c r="A1030">
        <v>1529</v>
      </c>
      <c r="B1030" t="s">
        <v>3864</v>
      </c>
      <c r="C1030" s="1">
        <v>42681</v>
      </c>
      <c r="D1030" s="1">
        <v>42684</v>
      </c>
      <c r="E1030" t="s">
        <v>19</v>
      </c>
      <c r="F1030" t="s">
        <v>2470</v>
      </c>
      <c r="G1030" t="s">
        <v>2471</v>
      </c>
      <c r="H1030" t="s">
        <v>37</v>
      </c>
      <c r="I1030" t="s">
        <v>23</v>
      </c>
      <c r="J1030" t="s">
        <v>599</v>
      </c>
      <c r="K1030" t="s">
        <v>240</v>
      </c>
      <c r="L1030">
        <v>19711</v>
      </c>
      <c r="M1030" t="s">
        <v>144</v>
      </c>
      <c r="N1030" t="s">
        <v>3865</v>
      </c>
      <c r="O1030" t="s">
        <v>42</v>
      </c>
      <c r="P1030" t="s">
        <v>264</v>
      </c>
      <c r="Q1030" t="s">
        <v>3866</v>
      </c>
      <c r="R1030">
        <v>26.18</v>
      </c>
      <c r="S1030" t="str">
        <f>TEXT(sales_data[[#This Row],[Order Date]],"mm")</f>
        <v>11</v>
      </c>
      <c r="T1030">
        <f>YEAR(sales_data[[#This Row],[Order Date]])</f>
        <v>2016</v>
      </c>
      <c r="V1030" t="s">
        <v>3865</v>
      </c>
    </row>
    <row r="1031" spans="1:22" x14ac:dyDescent="0.35">
      <c r="A1031">
        <v>1530</v>
      </c>
      <c r="B1031" t="s">
        <v>3864</v>
      </c>
      <c r="C1031" s="1">
        <v>42681</v>
      </c>
      <c r="D1031" s="1">
        <v>42684</v>
      </c>
      <c r="E1031" t="s">
        <v>19</v>
      </c>
      <c r="F1031" t="s">
        <v>2470</v>
      </c>
      <c r="G1031" t="s">
        <v>2471</v>
      </c>
      <c r="H1031" t="s">
        <v>37</v>
      </c>
      <c r="I1031" t="s">
        <v>23</v>
      </c>
      <c r="J1031" t="s">
        <v>599</v>
      </c>
      <c r="K1031" t="s">
        <v>240</v>
      </c>
      <c r="L1031">
        <v>19711</v>
      </c>
      <c r="M1031" t="s">
        <v>144</v>
      </c>
      <c r="N1031" t="s">
        <v>3867</v>
      </c>
      <c r="O1031" t="s">
        <v>42</v>
      </c>
      <c r="P1031" t="s">
        <v>86</v>
      </c>
      <c r="Q1031" t="s">
        <v>3868</v>
      </c>
      <c r="R1031">
        <v>7.3</v>
      </c>
      <c r="S1031" t="str">
        <f>TEXT(sales_data[[#This Row],[Order Date]],"mm")</f>
        <v>11</v>
      </c>
      <c r="T1031">
        <f>YEAR(sales_data[[#This Row],[Order Date]])</f>
        <v>2016</v>
      </c>
      <c r="V1031" t="s">
        <v>3867</v>
      </c>
    </row>
    <row r="1032" spans="1:22" x14ac:dyDescent="0.35">
      <c r="A1032">
        <v>1531</v>
      </c>
      <c r="B1032" t="s">
        <v>3869</v>
      </c>
      <c r="C1032" s="1">
        <v>42455</v>
      </c>
      <c r="D1032" s="1">
        <v>42460</v>
      </c>
      <c r="E1032" t="s">
        <v>46</v>
      </c>
      <c r="F1032" t="s">
        <v>2397</v>
      </c>
      <c r="G1032" t="s">
        <v>2398</v>
      </c>
      <c r="H1032" t="s">
        <v>37</v>
      </c>
      <c r="I1032" t="s">
        <v>23</v>
      </c>
      <c r="J1032" t="s">
        <v>1407</v>
      </c>
      <c r="K1032" t="s">
        <v>50</v>
      </c>
      <c r="L1032">
        <v>33142</v>
      </c>
      <c r="M1032" t="s">
        <v>26</v>
      </c>
      <c r="N1032" t="s">
        <v>3870</v>
      </c>
      <c r="O1032" t="s">
        <v>42</v>
      </c>
      <c r="P1032" t="s">
        <v>86</v>
      </c>
      <c r="Q1032" t="s">
        <v>3871</v>
      </c>
      <c r="R1032">
        <v>74.352000000000004</v>
      </c>
      <c r="S1032" t="str">
        <f>TEXT(sales_data[[#This Row],[Order Date]],"mm")</f>
        <v>03</v>
      </c>
      <c r="T1032">
        <f>YEAR(sales_data[[#This Row],[Order Date]])</f>
        <v>2016</v>
      </c>
      <c r="V1032" t="s">
        <v>3870</v>
      </c>
    </row>
    <row r="1033" spans="1:22" x14ac:dyDescent="0.35">
      <c r="A1033">
        <v>1532</v>
      </c>
      <c r="B1033" t="s">
        <v>3872</v>
      </c>
      <c r="C1033" s="1">
        <v>43343</v>
      </c>
      <c r="D1033" s="1">
        <v>43348</v>
      </c>
      <c r="E1033" t="s">
        <v>46</v>
      </c>
      <c r="F1033" t="s">
        <v>1890</v>
      </c>
      <c r="G1033" t="s">
        <v>1891</v>
      </c>
      <c r="H1033" t="s">
        <v>22</v>
      </c>
      <c r="I1033" t="s">
        <v>23</v>
      </c>
      <c r="J1033" t="s">
        <v>3873</v>
      </c>
      <c r="K1033" t="s">
        <v>305</v>
      </c>
      <c r="L1033">
        <v>85281</v>
      </c>
      <c r="M1033" t="s">
        <v>40</v>
      </c>
      <c r="N1033" t="s">
        <v>3874</v>
      </c>
      <c r="O1033" t="s">
        <v>42</v>
      </c>
      <c r="P1033" t="s">
        <v>55</v>
      </c>
      <c r="Q1033" t="s">
        <v>3875</v>
      </c>
      <c r="R1033">
        <v>10.744</v>
      </c>
      <c r="S1033" t="str">
        <f>TEXT(sales_data[[#This Row],[Order Date]],"mm")</f>
        <v>08</v>
      </c>
      <c r="T1033">
        <f>YEAR(sales_data[[#This Row],[Order Date]])</f>
        <v>2018</v>
      </c>
      <c r="V1033" t="s">
        <v>3874</v>
      </c>
    </row>
    <row r="1034" spans="1:22" x14ac:dyDescent="0.35">
      <c r="A1034">
        <v>1534</v>
      </c>
      <c r="B1034" t="s">
        <v>3876</v>
      </c>
      <c r="C1034" s="1">
        <v>43073</v>
      </c>
      <c r="D1034" s="1">
        <v>43077</v>
      </c>
      <c r="E1034" t="s">
        <v>46</v>
      </c>
      <c r="F1034" t="s">
        <v>1900</v>
      </c>
      <c r="G1034" t="s">
        <v>1901</v>
      </c>
      <c r="H1034" t="s">
        <v>37</v>
      </c>
      <c r="I1034" t="s">
        <v>23</v>
      </c>
      <c r="J1034" t="s">
        <v>261</v>
      </c>
      <c r="K1034" t="s">
        <v>262</v>
      </c>
      <c r="L1034">
        <v>10035</v>
      </c>
      <c r="M1034" t="s">
        <v>144</v>
      </c>
      <c r="N1034" t="s">
        <v>3877</v>
      </c>
      <c r="O1034" t="s">
        <v>42</v>
      </c>
      <c r="P1034" t="s">
        <v>55</v>
      </c>
      <c r="Q1034" t="s">
        <v>3878</v>
      </c>
      <c r="R1034">
        <v>212.88</v>
      </c>
      <c r="S1034" t="str">
        <f>TEXT(sales_data[[#This Row],[Order Date]],"mm")</f>
        <v>12</v>
      </c>
      <c r="T1034">
        <f>YEAR(sales_data[[#This Row],[Order Date]])</f>
        <v>2017</v>
      </c>
      <c r="V1034" t="s">
        <v>3877</v>
      </c>
    </row>
    <row r="1035" spans="1:22" x14ac:dyDescent="0.35">
      <c r="A1035">
        <v>1536</v>
      </c>
      <c r="B1035" t="s">
        <v>3881</v>
      </c>
      <c r="C1035" s="1">
        <v>43037</v>
      </c>
      <c r="D1035" s="1">
        <v>43041</v>
      </c>
      <c r="E1035" t="s">
        <v>46</v>
      </c>
      <c r="F1035" t="s">
        <v>3882</v>
      </c>
      <c r="G1035" t="s">
        <v>3883</v>
      </c>
      <c r="H1035" t="s">
        <v>37</v>
      </c>
      <c r="I1035" t="s">
        <v>23</v>
      </c>
      <c r="J1035" t="s">
        <v>3884</v>
      </c>
      <c r="K1035" t="s">
        <v>780</v>
      </c>
      <c r="L1035">
        <v>8302</v>
      </c>
      <c r="M1035" t="s">
        <v>144</v>
      </c>
      <c r="N1035" t="s">
        <v>3885</v>
      </c>
      <c r="O1035" t="s">
        <v>42</v>
      </c>
      <c r="P1035" t="s">
        <v>55</v>
      </c>
      <c r="Q1035" t="s">
        <v>3886</v>
      </c>
      <c r="R1035">
        <v>40.74</v>
      </c>
      <c r="S1035" t="str">
        <f>TEXT(sales_data[[#This Row],[Order Date]],"mm")</f>
        <v>10</v>
      </c>
      <c r="T1035">
        <f>YEAR(sales_data[[#This Row],[Order Date]])</f>
        <v>2017</v>
      </c>
      <c r="V1035" t="s">
        <v>3885</v>
      </c>
    </row>
    <row r="1036" spans="1:22" x14ac:dyDescent="0.35">
      <c r="A1036">
        <v>1537</v>
      </c>
      <c r="B1036" t="s">
        <v>3881</v>
      </c>
      <c r="C1036" s="1">
        <v>43037</v>
      </c>
      <c r="D1036" s="1">
        <v>43041</v>
      </c>
      <c r="E1036" t="s">
        <v>46</v>
      </c>
      <c r="F1036" t="s">
        <v>3882</v>
      </c>
      <c r="G1036" t="s">
        <v>3883</v>
      </c>
      <c r="H1036" t="s">
        <v>37</v>
      </c>
      <c r="I1036" t="s">
        <v>23</v>
      </c>
      <c r="J1036" t="s">
        <v>3884</v>
      </c>
      <c r="K1036" t="s">
        <v>780</v>
      </c>
      <c r="L1036">
        <v>8302</v>
      </c>
      <c r="M1036" t="s">
        <v>144</v>
      </c>
      <c r="N1036" t="s">
        <v>3887</v>
      </c>
      <c r="O1036" t="s">
        <v>42</v>
      </c>
      <c r="P1036" t="s">
        <v>74</v>
      </c>
      <c r="Q1036" t="s">
        <v>3888</v>
      </c>
      <c r="R1036">
        <v>11.67</v>
      </c>
      <c r="S1036" t="str">
        <f>TEXT(sales_data[[#This Row],[Order Date]],"mm")</f>
        <v>10</v>
      </c>
      <c r="T1036">
        <f>YEAR(sales_data[[#This Row],[Order Date]])</f>
        <v>2017</v>
      </c>
      <c r="V1036" t="s">
        <v>3887</v>
      </c>
    </row>
    <row r="1037" spans="1:22" x14ac:dyDescent="0.35">
      <c r="A1037">
        <v>1542</v>
      </c>
      <c r="B1037" t="s">
        <v>3891</v>
      </c>
      <c r="C1037" s="1">
        <v>42074</v>
      </c>
      <c r="D1037" s="1">
        <v>42079</v>
      </c>
      <c r="E1037" t="s">
        <v>19</v>
      </c>
      <c r="F1037" t="s">
        <v>1979</v>
      </c>
      <c r="G1037" t="s">
        <v>1980</v>
      </c>
      <c r="H1037" t="s">
        <v>22</v>
      </c>
      <c r="I1037" t="s">
        <v>23</v>
      </c>
      <c r="J1037" t="s">
        <v>492</v>
      </c>
      <c r="K1037" t="s">
        <v>493</v>
      </c>
      <c r="L1037">
        <v>43229</v>
      </c>
      <c r="M1037" t="s">
        <v>144</v>
      </c>
      <c r="N1037" t="s">
        <v>3892</v>
      </c>
      <c r="O1037" t="s">
        <v>28</v>
      </c>
      <c r="P1037" t="s">
        <v>61</v>
      </c>
      <c r="Q1037" t="s">
        <v>1274</v>
      </c>
      <c r="R1037">
        <v>8.32</v>
      </c>
      <c r="S1037" t="str">
        <f>TEXT(sales_data[[#This Row],[Order Date]],"mm")</f>
        <v>03</v>
      </c>
      <c r="T1037">
        <f>YEAR(sales_data[[#This Row],[Order Date]])</f>
        <v>2015</v>
      </c>
      <c r="V1037" t="s">
        <v>3892</v>
      </c>
    </row>
    <row r="1038" spans="1:22" x14ac:dyDescent="0.35">
      <c r="A1038">
        <v>1549</v>
      </c>
      <c r="B1038" t="s">
        <v>3896</v>
      </c>
      <c r="C1038" s="1">
        <v>42697</v>
      </c>
      <c r="D1038" s="1">
        <v>42701</v>
      </c>
      <c r="E1038" t="s">
        <v>46</v>
      </c>
      <c r="F1038" t="s">
        <v>1259</v>
      </c>
      <c r="G1038" t="s">
        <v>1260</v>
      </c>
      <c r="H1038" t="s">
        <v>37</v>
      </c>
      <c r="I1038" t="s">
        <v>23</v>
      </c>
      <c r="J1038" t="s">
        <v>671</v>
      </c>
      <c r="K1038" t="s">
        <v>100</v>
      </c>
      <c r="L1038">
        <v>78207</v>
      </c>
      <c r="M1038" t="s">
        <v>101</v>
      </c>
      <c r="N1038" t="s">
        <v>3897</v>
      </c>
      <c r="O1038" t="s">
        <v>42</v>
      </c>
      <c r="P1038" t="s">
        <v>55</v>
      </c>
      <c r="Q1038" t="s">
        <v>3898</v>
      </c>
      <c r="R1038">
        <v>27.056000000000001</v>
      </c>
      <c r="S1038" t="str">
        <f>TEXT(sales_data[[#This Row],[Order Date]],"mm")</f>
        <v>11</v>
      </c>
      <c r="T1038">
        <f>YEAR(sales_data[[#This Row],[Order Date]])</f>
        <v>2016</v>
      </c>
      <c r="V1038" t="s">
        <v>3897</v>
      </c>
    </row>
    <row r="1039" spans="1:22" x14ac:dyDescent="0.35">
      <c r="A1039">
        <v>1551</v>
      </c>
      <c r="B1039" t="s">
        <v>3899</v>
      </c>
      <c r="C1039" s="1">
        <v>43417</v>
      </c>
      <c r="D1039" s="1">
        <v>43422</v>
      </c>
      <c r="E1039" t="s">
        <v>19</v>
      </c>
      <c r="F1039" t="s">
        <v>3744</v>
      </c>
      <c r="G1039" t="s">
        <v>3745</v>
      </c>
      <c r="H1039" t="s">
        <v>98</v>
      </c>
      <c r="I1039" t="s">
        <v>23</v>
      </c>
      <c r="J1039" t="s">
        <v>179</v>
      </c>
      <c r="K1039" t="s">
        <v>100</v>
      </c>
      <c r="L1039">
        <v>77095</v>
      </c>
      <c r="M1039" t="s">
        <v>101</v>
      </c>
      <c r="N1039" t="s">
        <v>3900</v>
      </c>
      <c r="O1039" t="s">
        <v>42</v>
      </c>
      <c r="P1039" t="s">
        <v>74</v>
      </c>
      <c r="Q1039" t="s">
        <v>3901</v>
      </c>
      <c r="R1039">
        <v>9.3239999999999998</v>
      </c>
      <c r="S1039" t="str">
        <f>TEXT(sales_data[[#This Row],[Order Date]],"mm")</f>
        <v>11</v>
      </c>
      <c r="T1039">
        <f>YEAR(sales_data[[#This Row],[Order Date]])</f>
        <v>2018</v>
      </c>
      <c r="V1039" t="s">
        <v>3900</v>
      </c>
    </row>
    <row r="1040" spans="1:22" x14ac:dyDescent="0.35">
      <c r="A1040">
        <v>1553</v>
      </c>
      <c r="B1040" t="s">
        <v>3903</v>
      </c>
      <c r="C1040" s="1">
        <v>42127</v>
      </c>
      <c r="D1040" s="1">
        <v>42129</v>
      </c>
      <c r="E1040" t="s">
        <v>183</v>
      </c>
      <c r="F1040" t="s">
        <v>1597</v>
      </c>
      <c r="G1040" t="s">
        <v>1598</v>
      </c>
      <c r="H1040" t="s">
        <v>98</v>
      </c>
      <c r="I1040" t="s">
        <v>23</v>
      </c>
      <c r="J1040" t="s">
        <v>3904</v>
      </c>
      <c r="K1040" t="s">
        <v>110</v>
      </c>
      <c r="L1040">
        <v>54915</v>
      </c>
      <c r="M1040" t="s">
        <v>101</v>
      </c>
      <c r="N1040" t="s">
        <v>3905</v>
      </c>
      <c r="O1040" t="s">
        <v>42</v>
      </c>
      <c r="P1040" t="s">
        <v>43</v>
      </c>
      <c r="Q1040" t="s">
        <v>3906</v>
      </c>
      <c r="R1040">
        <v>21.56</v>
      </c>
      <c r="S1040" t="str">
        <f>TEXT(sales_data[[#This Row],[Order Date]],"mm")</f>
        <v>05</v>
      </c>
      <c r="T1040">
        <f>YEAR(sales_data[[#This Row],[Order Date]])</f>
        <v>2015</v>
      </c>
      <c r="V1040" t="s">
        <v>3905</v>
      </c>
    </row>
    <row r="1041" spans="1:22" x14ac:dyDescent="0.35">
      <c r="A1041">
        <v>1555</v>
      </c>
      <c r="B1041" t="s">
        <v>3908</v>
      </c>
      <c r="C1041" s="1">
        <v>42406</v>
      </c>
      <c r="D1041" s="1">
        <v>42413</v>
      </c>
      <c r="E1041" t="s">
        <v>46</v>
      </c>
      <c r="F1041" t="s">
        <v>839</v>
      </c>
      <c r="G1041" t="s">
        <v>840</v>
      </c>
      <c r="H1041" t="s">
        <v>37</v>
      </c>
      <c r="I1041" t="s">
        <v>23</v>
      </c>
      <c r="J1041" t="s">
        <v>3909</v>
      </c>
      <c r="K1041" t="s">
        <v>92</v>
      </c>
      <c r="L1041">
        <v>98006</v>
      </c>
      <c r="M1041" t="s">
        <v>40</v>
      </c>
      <c r="N1041" t="s">
        <v>3910</v>
      </c>
      <c r="O1041" t="s">
        <v>42</v>
      </c>
      <c r="P1041" t="s">
        <v>64</v>
      </c>
      <c r="Q1041" t="s">
        <v>3911</v>
      </c>
      <c r="R1041">
        <v>5.28</v>
      </c>
      <c r="S1041" t="str">
        <f>TEXT(sales_data[[#This Row],[Order Date]],"mm")</f>
        <v>02</v>
      </c>
      <c r="T1041">
        <f>YEAR(sales_data[[#This Row],[Order Date]])</f>
        <v>2016</v>
      </c>
      <c r="V1041" t="s">
        <v>3910</v>
      </c>
    </row>
    <row r="1042" spans="1:22" x14ac:dyDescent="0.35">
      <c r="A1042">
        <v>1557</v>
      </c>
      <c r="B1042" t="s">
        <v>3914</v>
      </c>
      <c r="C1042" s="1">
        <v>42864</v>
      </c>
      <c r="D1042" s="1">
        <v>42870</v>
      </c>
      <c r="E1042" t="s">
        <v>46</v>
      </c>
      <c r="F1042" t="s">
        <v>3915</v>
      </c>
      <c r="G1042" t="s">
        <v>3916</v>
      </c>
      <c r="H1042" t="s">
        <v>22</v>
      </c>
      <c r="I1042" t="s">
        <v>23</v>
      </c>
      <c r="J1042" t="s">
        <v>142</v>
      </c>
      <c r="K1042" t="s">
        <v>143</v>
      </c>
      <c r="L1042">
        <v>19140</v>
      </c>
      <c r="M1042" t="s">
        <v>144</v>
      </c>
      <c r="N1042" t="s">
        <v>3917</v>
      </c>
      <c r="O1042" t="s">
        <v>42</v>
      </c>
      <c r="P1042" t="s">
        <v>168</v>
      </c>
      <c r="Q1042" t="s">
        <v>662</v>
      </c>
      <c r="R1042">
        <v>9.3439999999999994</v>
      </c>
      <c r="S1042" t="str">
        <f>TEXT(sales_data[[#This Row],[Order Date]],"mm")</f>
        <v>05</v>
      </c>
      <c r="T1042">
        <f>YEAR(sales_data[[#This Row],[Order Date]])</f>
        <v>2017</v>
      </c>
      <c r="V1042" t="s">
        <v>3917</v>
      </c>
    </row>
    <row r="1043" spans="1:22" x14ac:dyDescent="0.35">
      <c r="A1043">
        <v>1558</v>
      </c>
      <c r="B1043" t="s">
        <v>3914</v>
      </c>
      <c r="C1043" s="1">
        <v>42864</v>
      </c>
      <c r="D1043" s="1">
        <v>42870</v>
      </c>
      <c r="E1043" t="s">
        <v>46</v>
      </c>
      <c r="F1043" t="s">
        <v>3915</v>
      </c>
      <c r="G1043" t="s">
        <v>3916</v>
      </c>
      <c r="H1043" t="s">
        <v>22</v>
      </c>
      <c r="I1043" t="s">
        <v>23</v>
      </c>
      <c r="J1043" t="s">
        <v>142</v>
      </c>
      <c r="K1043" t="s">
        <v>143</v>
      </c>
      <c r="L1043">
        <v>19140</v>
      </c>
      <c r="M1043" t="s">
        <v>144</v>
      </c>
      <c r="N1043" t="s">
        <v>3918</v>
      </c>
      <c r="O1043" t="s">
        <v>42</v>
      </c>
      <c r="P1043" t="s">
        <v>64</v>
      </c>
      <c r="Q1043" t="s">
        <v>3919</v>
      </c>
      <c r="R1043">
        <v>79.36</v>
      </c>
      <c r="S1043" t="str">
        <f>TEXT(sales_data[[#This Row],[Order Date]],"mm")</f>
        <v>05</v>
      </c>
      <c r="T1043">
        <f>YEAR(sales_data[[#This Row],[Order Date]])</f>
        <v>2017</v>
      </c>
      <c r="V1043" t="s">
        <v>3918</v>
      </c>
    </row>
    <row r="1044" spans="1:22" x14ac:dyDescent="0.35">
      <c r="A1044">
        <v>1561</v>
      </c>
      <c r="B1044" t="s">
        <v>3922</v>
      </c>
      <c r="C1044" s="1">
        <v>42098</v>
      </c>
      <c r="D1044" s="1">
        <v>42103</v>
      </c>
      <c r="E1044" t="s">
        <v>46</v>
      </c>
      <c r="F1044" t="s">
        <v>2637</v>
      </c>
      <c r="G1044" t="s">
        <v>2638</v>
      </c>
      <c r="H1044" t="s">
        <v>98</v>
      </c>
      <c r="I1044" t="s">
        <v>23</v>
      </c>
      <c r="J1044" t="s">
        <v>123</v>
      </c>
      <c r="K1044" t="s">
        <v>39</v>
      </c>
      <c r="L1044">
        <v>94109</v>
      </c>
      <c r="M1044" t="s">
        <v>40</v>
      </c>
      <c r="N1044" t="s">
        <v>3923</v>
      </c>
      <c r="O1044" t="s">
        <v>42</v>
      </c>
      <c r="P1044" t="s">
        <v>43</v>
      </c>
      <c r="Q1044" t="s">
        <v>3924</v>
      </c>
      <c r="R1044">
        <v>18.899999999999999</v>
      </c>
      <c r="S1044" t="str">
        <f>TEXT(sales_data[[#This Row],[Order Date]],"mm")</f>
        <v>04</v>
      </c>
      <c r="T1044">
        <f>YEAR(sales_data[[#This Row],[Order Date]])</f>
        <v>2015</v>
      </c>
      <c r="V1044" t="s">
        <v>3923</v>
      </c>
    </row>
    <row r="1045" spans="1:22" x14ac:dyDescent="0.35">
      <c r="A1045">
        <v>1565</v>
      </c>
      <c r="B1045" t="s">
        <v>3928</v>
      </c>
      <c r="C1045" s="1">
        <v>42067</v>
      </c>
      <c r="D1045" s="1">
        <v>42067</v>
      </c>
      <c r="E1045" t="s">
        <v>1277</v>
      </c>
      <c r="F1045" t="s">
        <v>481</v>
      </c>
      <c r="G1045" t="s">
        <v>482</v>
      </c>
      <c r="H1045" t="s">
        <v>22</v>
      </c>
      <c r="I1045" t="s">
        <v>23</v>
      </c>
      <c r="J1045" t="s">
        <v>377</v>
      </c>
      <c r="K1045" t="s">
        <v>378</v>
      </c>
      <c r="L1045">
        <v>29203</v>
      </c>
      <c r="M1045" t="s">
        <v>26</v>
      </c>
      <c r="N1045" t="s">
        <v>3929</v>
      </c>
      <c r="O1045" t="s">
        <v>42</v>
      </c>
      <c r="P1045" t="s">
        <v>55</v>
      </c>
      <c r="Q1045" t="s">
        <v>3930</v>
      </c>
      <c r="R1045">
        <v>354.9</v>
      </c>
      <c r="S1045" t="str">
        <f>TEXT(sales_data[[#This Row],[Order Date]],"mm")</f>
        <v>03</v>
      </c>
      <c r="T1045">
        <f>YEAR(sales_data[[#This Row],[Order Date]])</f>
        <v>2015</v>
      </c>
      <c r="V1045" t="s">
        <v>3929</v>
      </c>
    </row>
    <row r="1046" spans="1:22" x14ac:dyDescent="0.35">
      <c r="A1046">
        <v>1567</v>
      </c>
      <c r="B1046" t="s">
        <v>3931</v>
      </c>
      <c r="C1046" s="1">
        <v>42703</v>
      </c>
      <c r="D1046" s="1">
        <v>42704</v>
      </c>
      <c r="E1046" t="s">
        <v>183</v>
      </c>
      <c r="F1046" t="s">
        <v>3932</v>
      </c>
      <c r="G1046" t="s">
        <v>3933</v>
      </c>
      <c r="H1046" t="s">
        <v>22</v>
      </c>
      <c r="I1046" t="s">
        <v>23</v>
      </c>
      <c r="J1046" t="s">
        <v>3934</v>
      </c>
      <c r="K1046" t="s">
        <v>100</v>
      </c>
      <c r="L1046">
        <v>75002</v>
      </c>
      <c r="M1046" t="s">
        <v>101</v>
      </c>
      <c r="N1046" t="s">
        <v>3935</v>
      </c>
      <c r="O1046" t="s">
        <v>67</v>
      </c>
      <c r="P1046" t="s">
        <v>156</v>
      </c>
      <c r="Q1046" t="s">
        <v>3936</v>
      </c>
      <c r="R1046">
        <v>21.48</v>
      </c>
      <c r="S1046" t="str">
        <f>TEXT(sales_data[[#This Row],[Order Date]],"mm")</f>
        <v>11</v>
      </c>
      <c r="T1046">
        <f>YEAR(sales_data[[#This Row],[Order Date]])</f>
        <v>2016</v>
      </c>
      <c r="V1046" t="s">
        <v>3935</v>
      </c>
    </row>
    <row r="1047" spans="1:22" x14ac:dyDescent="0.35">
      <c r="A1047">
        <v>1568</v>
      </c>
      <c r="B1047" t="s">
        <v>3931</v>
      </c>
      <c r="C1047" s="1">
        <v>42703</v>
      </c>
      <c r="D1047" s="1">
        <v>42704</v>
      </c>
      <c r="E1047" t="s">
        <v>183</v>
      </c>
      <c r="F1047" t="s">
        <v>3932</v>
      </c>
      <c r="G1047" t="s">
        <v>3933</v>
      </c>
      <c r="H1047" t="s">
        <v>22</v>
      </c>
      <c r="I1047" t="s">
        <v>23</v>
      </c>
      <c r="J1047" t="s">
        <v>3934</v>
      </c>
      <c r="K1047" t="s">
        <v>100</v>
      </c>
      <c r="L1047">
        <v>75002</v>
      </c>
      <c r="M1047" t="s">
        <v>101</v>
      </c>
      <c r="N1047" t="s">
        <v>3937</v>
      </c>
      <c r="O1047" t="s">
        <v>42</v>
      </c>
      <c r="P1047" t="s">
        <v>71</v>
      </c>
      <c r="Q1047" t="s">
        <v>3938</v>
      </c>
      <c r="R1047">
        <v>8.7840000000000007</v>
      </c>
      <c r="S1047" t="str">
        <f>TEXT(sales_data[[#This Row],[Order Date]],"mm")</f>
        <v>11</v>
      </c>
      <c r="T1047">
        <f>YEAR(sales_data[[#This Row],[Order Date]])</f>
        <v>2016</v>
      </c>
      <c r="V1047" t="s">
        <v>3937</v>
      </c>
    </row>
    <row r="1048" spans="1:22" x14ac:dyDescent="0.35">
      <c r="A1048">
        <v>1570</v>
      </c>
      <c r="B1048" t="s">
        <v>3939</v>
      </c>
      <c r="C1048" s="1">
        <v>43430</v>
      </c>
      <c r="D1048" s="1">
        <v>43434</v>
      </c>
      <c r="E1048" t="s">
        <v>46</v>
      </c>
      <c r="F1048" t="s">
        <v>2755</v>
      </c>
      <c r="G1048" t="s">
        <v>2756</v>
      </c>
      <c r="H1048" t="s">
        <v>37</v>
      </c>
      <c r="I1048" t="s">
        <v>23</v>
      </c>
      <c r="J1048" t="s">
        <v>1720</v>
      </c>
      <c r="K1048" t="s">
        <v>1261</v>
      </c>
      <c r="L1048">
        <v>30318</v>
      </c>
      <c r="M1048" t="s">
        <v>26</v>
      </c>
      <c r="N1048" t="s">
        <v>3940</v>
      </c>
      <c r="O1048" t="s">
        <v>42</v>
      </c>
      <c r="P1048" t="s">
        <v>64</v>
      </c>
      <c r="Q1048" t="s">
        <v>3941</v>
      </c>
      <c r="R1048">
        <v>12.84</v>
      </c>
      <c r="S1048" t="str">
        <f>TEXT(sales_data[[#This Row],[Order Date]],"mm")</f>
        <v>11</v>
      </c>
      <c r="T1048">
        <f>YEAR(sales_data[[#This Row],[Order Date]])</f>
        <v>2018</v>
      </c>
      <c r="V1048" t="s">
        <v>3940</v>
      </c>
    </row>
    <row r="1049" spans="1:22" x14ac:dyDescent="0.35">
      <c r="A1049">
        <v>1572</v>
      </c>
      <c r="B1049" t="s">
        <v>3942</v>
      </c>
      <c r="C1049" s="1">
        <v>42331</v>
      </c>
      <c r="D1049" s="1">
        <v>42333</v>
      </c>
      <c r="E1049" t="s">
        <v>183</v>
      </c>
      <c r="F1049" t="s">
        <v>1571</v>
      </c>
      <c r="G1049" t="s">
        <v>1572</v>
      </c>
      <c r="H1049" t="s">
        <v>22</v>
      </c>
      <c r="I1049" t="s">
        <v>23</v>
      </c>
      <c r="J1049" t="s">
        <v>38</v>
      </c>
      <c r="K1049" t="s">
        <v>39</v>
      </c>
      <c r="L1049">
        <v>90004</v>
      </c>
      <c r="M1049" t="s">
        <v>40</v>
      </c>
      <c r="N1049" t="s">
        <v>3943</v>
      </c>
      <c r="O1049" t="s">
        <v>42</v>
      </c>
      <c r="P1049" t="s">
        <v>168</v>
      </c>
      <c r="Q1049" t="s">
        <v>3944</v>
      </c>
      <c r="R1049">
        <v>21.84</v>
      </c>
      <c r="S1049" t="str">
        <f>TEXT(sales_data[[#This Row],[Order Date]],"mm")</f>
        <v>11</v>
      </c>
      <c r="T1049">
        <f>YEAR(sales_data[[#This Row],[Order Date]])</f>
        <v>2015</v>
      </c>
      <c r="V1049" t="s">
        <v>3943</v>
      </c>
    </row>
    <row r="1050" spans="1:22" x14ac:dyDescent="0.35">
      <c r="A1050">
        <v>1573</v>
      </c>
      <c r="B1050" t="s">
        <v>3942</v>
      </c>
      <c r="C1050" s="1">
        <v>42331</v>
      </c>
      <c r="D1050" s="1">
        <v>42333</v>
      </c>
      <c r="E1050" t="s">
        <v>183</v>
      </c>
      <c r="F1050" t="s">
        <v>1571</v>
      </c>
      <c r="G1050" t="s">
        <v>1572</v>
      </c>
      <c r="H1050" t="s">
        <v>22</v>
      </c>
      <c r="I1050" t="s">
        <v>23</v>
      </c>
      <c r="J1050" t="s">
        <v>38</v>
      </c>
      <c r="K1050" t="s">
        <v>39</v>
      </c>
      <c r="L1050">
        <v>90004</v>
      </c>
      <c r="M1050" t="s">
        <v>40</v>
      </c>
      <c r="N1050" t="s">
        <v>3945</v>
      </c>
      <c r="O1050" t="s">
        <v>67</v>
      </c>
      <c r="P1050" t="s">
        <v>156</v>
      </c>
      <c r="Q1050" t="s">
        <v>3946</v>
      </c>
      <c r="R1050">
        <v>29.99</v>
      </c>
      <c r="S1050" t="str">
        <f>TEXT(sales_data[[#This Row],[Order Date]],"mm")</f>
        <v>11</v>
      </c>
      <c r="T1050">
        <f>YEAR(sales_data[[#This Row],[Order Date]])</f>
        <v>2015</v>
      </c>
      <c r="V1050" t="s">
        <v>3945</v>
      </c>
    </row>
    <row r="1051" spans="1:22" x14ac:dyDescent="0.35">
      <c r="A1051">
        <v>1575</v>
      </c>
      <c r="B1051" t="s">
        <v>3947</v>
      </c>
      <c r="C1051" s="1">
        <v>42353</v>
      </c>
      <c r="D1051" s="1">
        <v>42356</v>
      </c>
      <c r="E1051" t="s">
        <v>183</v>
      </c>
      <c r="F1051" t="s">
        <v>3948</v>
      </c>
      <c r="G1051" t="s">
        <v>3949</v>
      </c>
      <c r="H1051" t="s">
        <v>22</v>
      </c>
      <c r="I1051" t="s">
        <v>23</v>
      </c>
      <c r="J1051" t="s">
        <v>3950</v>
      </c>
      <c r="K1051" t="s">
        <v>100</v>
      </c>
      <c r="L1051">
        <v>79907</v>
      </c>
      <c r="M1051" t="s">
        <v>101</v>
      </c>
      <c r="N1051" t="s">
        <v>3951</v>
      </c>
      <c r="O1051" t="s">
        <v>67</v>
      </c>
      <c r="P1051" t="s">
        <v>68</v>
      </c>
      <c r="Q1051" t="s">
        <v>3952</v>
      </c>
      <c r="R1051">
        <v>40.68</v>
      </c>
      <c r="S1051" t="str">
        <f>TEXT(sales_data[[#This Row],[Order Date]],"mm")</f>
        <v>12</v>
      </c>
      <c r="T1051">
        <f>YEAR(sales_data[[#This Row],[Order Date]])</f>
        <v>2015</v>
      </c>
      <c r="V1051" t="s">
        <v>3951</v>
      </c>
    </row>
    <row r="1052" spans="1:22" x14ac:dyDescent="0.35">
      <c r="A1052">
        <v>1578</v>
      </c>
      <c r="B1052" t="s">
        <v>3955</v>
      </c>
      <c r="C1052" s="1">
        <v>42878</v>
      </c>
      <c r="D1052" s="1">
        <v>42882</v>
      </c>
      <c r="E1052" t="s">
        <v>46</v>
      </c>
      <c r="F1052" t="s">
        <v>3229</v>
      </c>
      <c r="G1052" t="s">
        <v>3230</v>
      </c>
      <c r="H1052" t="s">
        <v>98</v>
      </c>
      <c r="I1052" t="s">
        <v>23</v>
      </c>
      <c r="J1052" t="s">
        <v>2533</v>
      </c>
      <c r="K1052" t="s">
        <v>353</v>
      </c>
      <c r="L1052">
        <v>35630</v>
      </c>
      <c r="M1052" t="s">
        <v>26</v>
      </c>
      <c r="N1052" t="s">
        <v>3956</v>
      </c>
      <c r="O1052" t="s">
        <v>42</v>
      </c>
      <c r="P1052" t="s">
        <v>86</v>
      </c>
      <c r="Q1052" t="s">
        <v>3957</v>
      </c>
      <c r="R1052">
        <v>4.9800000000000004</v>
      </c>
      <c r="S1052" t="str">
        <f>TEXT(sales_data[[#This Row],[Order Date]],"mm")</f>
        <v>05</v>
      </c>
      <c r="T1052">
        <f>YEAR(sales_data[[#This Row],[Order Date]])</f>
        <v>2017</v>
      </c>
      <c r="V1052" t="s">
        <v>3956</v>
      </c>
    </row>
    <row r="1053" spans="1:22" x14ac:dyDescent="0.35">
      <c r="A1053">
        <v>1579</v>
      </c>
      <c r="B1053" t="s">
        <v>3958</v>
      </c>
      <c r="C1053" s="1">
        <v>42793</v>
      </c>
      <c r="D1053" s="1">
        <v>42795</v>
      </c>
      <c r="E1053" t="s">
        <v>183</v>
      </c>
      <c r="F1053" t="s">
        <v>2408</v>
      </c>
      <c r="G1053" t="s">
        <v>2409</v>
      </c>
      <c r="H1053" t="s">
        <v>22</v>
      </c>
      <c r="I1053" t="s">
        <v>23</v>
      </c>
      <c r="J1053" t="s">
        <v>261</v>
      </c>
      <c r="K1053" t="s">
        <v>262</v>
      </c>
      <c r="L1053">
        <v>10011</v>
      </c>
      <c r="M1053" t="s">
        <v>144</v>
      </c>
      <c r="N1053" t="s">
        <v>3959</v>
      </c>
      <c r="O1053" t="s">
        <v>42</v>
      </c>
      <c r="P1053" t="s">
        <v>74</v>
      </c>
      <c r="Q1053" t="s">
        <v>3960</v>
      </c>
      <c r="R1053">
        <v>170.88</v>
      </c>
      <c r="S1053" t="str">
        <f>TEXT(sales_data[[#This Row],[Order Date]],"mm")</f>
        <v>02</v>
      </c>
      <c r="T1053">
        <f>YEAR(sales_data[[#This Row],[Order Date]])</f>
        <v>2017</v>
      </c>
      <c r="V1053" t="s">
        <v>3959</v>
      </c>
    </row>
    <row r="1054" spans="1:22" x14ac:dyDescent="0.35">
      <c r="A1054">
        <v>1587</v>
      </c>
      <c r="B1054" t="s">
        <v>3961</v>
      </c>
      <c r="C1054" s="1">
        <v>42591</v>
      </c>
      <c r="D1054" s="1">
        <v>42594</v>
      </c>
      <c r="E1054" t="s">
        <v>183</v>
      </c>
      <c r="F1054" t="s">
        <v>2205</v>
      </c>
      <c r="G1054" t="s">
        <v>2206</v>
      </c>
      <c r="H1054" t="s">
        <v>22</v>
      </c>
      <c r="I1054" t="s">
        <v>23</v>
      </c>
      <c r="J1054" t="s">
        <v>261</v>
      </c>
      <c r="K1054" t="s">
        <v>262</v>
      </c>
      <c r="L1054">
        <v>10024</v>
      </c>
      <c r="M1054" t="s">
        <v>144</v>
      </c>
      <c r="N1054" t="s">
        <v>3962</v>
      </c>
      <c r="O1054" t="s">
        <v>42</v>
      </c>
      <c r="P1054" t="s">
        <v>86</v>
      </c>
      <c r="Q1054" t="s">
        <v>3963</v>
      </c>
      <c r="R1054">
        <v>143.69999999999999</v>
      </c>
      <c r="S1054" t="str">
        <f>TEXT(sales_data[[#This Row],[Order Date]],"mm")</f>
        <v>08</v>
      </c>
      <c r="T1054">
        <f>YEAR(sales_data[[#This Row],[Order Date]])</f>
        <v>2016</v>
      </c>
      <c r="V1054" t="s">
        <v>3962</v>
      </c>
    </row>
    <row r="1055" spans="1:22" x14ac:dyDescent="0.35">
      <c r="A1055">
        <v>1588</v>
      </c>
      <c r="B1055" t="s">
        <v>3961</v>
      </c>
      <c r="C1055" s="1">
        <v>42591</v>
      </c>
      <c r="D1055" s="1">
        <v>42594</v>
      </c>
      <c r="E1055" t="s">
        <v>183</v>
      </c>
      <c r="F1055" t="s">
        <v>2205</v>
      </c>
      <c r="G1055" t="s">
        <v>2206</v>
      </c>
      <c r="H1055" t="s">
        <v>22</v>
      </c>
      <c r="I1055" t="s">
        <v>23</v>
      </c>
      <c r="J1055" t="s">
        <v>261</v>
      </c>
      <c r="K1055" t="s">
        <v>262</v>
      </c>
      <c r="L1055">
        <v>10024</v>
      </c>
      <c r="M1055" t="s">
        <v>144</v>
      </c>
      <c r="N1055" t="s">
        <v>3964</v>
      </c>
      <c r="O1055" t="s">
        <v>42</v>
      </c>
      <c r="P1055" t="s">
        <v>264</v>
      </c>
      <c r="Q1055" t="s">
        <v>3965</v>
      </c>
      <c r="R1055">
        <v>10.65</v>
      </c>
      <c r="S1055" t="str">
        <f>TEXT(sales_data[[#This Row],[Order Date]],"mm")</f>
        <v>08</v>
      </c>
      <c r="T1055">
        <f>YEAR(sales_data[[#This Row],[Order Date]])</f>
        <v>2016</v>
      </c>
      <c r="V1055" t="s">
        <v>3964</v>
      </c>
    </row>
    <row r="1056" spans="1:22" x14ac:dyDescent="0.35">
      <c r="A1056">
        <v>1591</v>
      </c>
      <c r="B1056" t="s">
        <v>3968</v>
      </c>
      <c r="C1056" s="1">
        <v>42840</v>
      </c>
      <c r="D1056" s="1">
        <v>42844</v>
      </c>
      <c r="E1056" t="s">
        <v>46</v>
      </c>
      <c r="F1056" t="s">
        <v>3969</v>
      </c>
      <c r="G1056" t="s">
        <v>3970</v>
      </c>
      <c r="H1056" t="s">
        <v>37</v>
      </c>
      <c r="I1056" t="s">
        <v>23</v>
      </c>
      <c r="J1056" t="s">
        <v>3971</v>
      </c>
      <c r="K1056" t="s">
        <v>100</v>
      </c>
      <c r="L1056">
        <v>76051</v>
      </c>
      <c r="M1056" t="s">
        <v>101</v>
      </c>
      <c r="N1056" t="s">
        <v>3972</v>
      </c>
      <c r="O1056" t="s">
        <v>42</v>
      </c>
      <c r="P1056" t="s">
        <v>64</v>
      </c>
      <c r="Q1056" t="s">
        <v>3973</v>
      </c>
      <c r="R1056">
        <v>33.488</v>
      </c>
      <c r="S1056" t="str">
        <f>TEXT(sales_data[[#This Row],[Order Date]],"mm")</f>
        <v>04</v>
      </c>
      <c r="T1056">
        <f>YEAR(sales_data[[#This Row],[Order Date]])</f>
        <v>2017</v>
      </c>
      <c r="V1056" t="s">
        <v>3972</v>
      </c>
    </row>
    <row r="1057" spans="1:22" x14ac:dyDescent="0.35">
      <c r="A1057">
        <v>1593</v>
      </c>
      <c r="B1057" t="s">
        <v>3974</v>
      </c>
      <c r="C1057" s="1">
        <v>42544</v>
      </c>
      <c r="D1057" s="1">
        <v>42546</v>
      </c>
      <c r="E1057" t="s">
        <v>19</v>
      </c>
      <c r="F1057" t="s">
        <v>3975</v>
      </c>
      <c r="G1057" t="s">
        <v>3976</v>
      </c>
      <c r="H1057" t="s">
        <v>22</v>
      </c>
      <c r="I1057" t="s">
        <v>23</v>
      </c>
      <c r="J1057" t="s">
        <v>2927</v>
      </c>
      <c r="K1057" t="s">
        <v>92</v>
      </c>
      <c r="L1057">
        <v>98502</v>
      </c>
      <c r="M1057" t="s">
        <v>40</v>
      </c>
      <c r="N1057" t="s">
        <v>3977</v>
      </c>
      <c r="O1057" t="s">
        <v>67</v>
      </c>
      <c r="P1057" t="s">
        <v>68</v>
      </c>
      <c r="Q1057" t="s">
        <v>3978</v>
      </c>
      <c r="R1057">
        <v>201.56800000000001</v>
      </c>
      <c r="S1057" t="str">
        <f>TEXT(sales_data[[#This Row],[Order Date]],"mm")</f>
        <v>06</v>
      </c>
      <c r="T1057">
        <f>YEAR(sales_data[[#This Row],[Order Date]])</f>
        <v>2016</v>
      </c>
      <c r="V1057" t="s">
        <v>3977</v>
      </c>
    </row>
    <row r="1058" spans="1:22" x14ac:dyDescent="0.35">
      <c r="A1058">
        <v>1594</v>
      </c>
      <c r="B1058" t="s">
        <v>3979</v>
      </c>
      <c r="C1058" s="1">
        <v>42296</v>
      </c>
      <c r="D1058" s="1">
        <v>42296</v>
      </c>
      <c r="E1058" t="s">
        <v>1277</v>
      </c>
      <c r="F1058" t="s">
        <v>1890</v>
      </c>
      <c r="G1058" t="s">
        <v>1891</v>
      </c>
      <c r="H1058" t="s">
        <v>22</v>
      </c>
      <c r="I1058" t="s">
        <v>23</v>
      </c>
      <c r="J1058" t="s">
        <v>38</v>
      </c>
      <c r="K1058" t="s">
        <v>39</v>
      </c>
      <c r="L1058">
        <v>90032</v>
      </c>
      <c r="M1058" t="s">
        <v>40</v>
      </c>
      <c r="N1058" t="s">
        <v>3980</v>
      </c>
      <c r="O1058" t="s">
        <v>42</v>
      </c>
      <c r="P1058" t="s">
        <v>86</v>
      </c>
      <c r="Q1058" t="s">
        <v>3981</v>
      </c>
      <c r="R1058">
        <v>13.44</v>
      </c>
      <c r="S1058" t="str">
        <f>TEXT(sales_data[[#This Row],[Order Date]],"mm")</f>
        <v>10</v>
      </c>
      <c r="T1058">
        <f>YEAR(sales_data[[#This Row],[Order Date]])</f>
        <v>2015</v>
      </c>
      <c r="V1058" t="s">
        <v>3980</v>
      </c>
    </row>
    <row r="1059" spans="1:22" x14ac:dyDescent="0.35">
      <c r="A1059">
        <v>1595</v>
      </c>
      <c r="B1059" t="s">
        <v>3982</v>
      </c>
      <c r="C1059" s="1">
        <v>42453</v>
      </c>
      <c r="D1059" s="1">
        <v>42456</v>
      </c>
      <c r="E1059" t="s">
        <v>183</v>
      </c>
      <c r="F1059" t="s">
        <v>3983</v>
      </c>
      <c r="G1059" t="s">
        <v>3984</v>
      </c>
      <c r="H1059" t="s">
        <v>98</v>
      </c>
      <c r="I1059" t="s">
        <v>23</v>
      </c>
      <c r="J1059" t="s">
        <v>1373</v>
      </c>
      <c r="K1059" t="s">
        <v>206</v>
      </c>
      <c r="L1059">
        <v>61604</v>
      </c>
      <c r="M1059" t="s">
        <v>101</v>
      </c>
      <c r="N1059" t="s">
        <v>3985</v>
      </c>
      <c r="O1059" t="s">
        <v>28</v>
      </c>
      <c r="P1059" t="s">
        <v>29</v>
      </c>
      <c r="Q1059" t="s">
        <v>3986</v>
      </c>
      <c r="R1059">
        <v>359.05799999999999</v>
      </c>
      <c r="S1059" t="str">
        <f>TEXT(sales_data[[#This Row],[Order Date]],"mm")</f>
        <v>03</v>
      </c>
      <c r="T1059">
        <f>YEAR(sales_data[[#This Row],[Order Date]])</f>
        <v>2016</v>
      </c>
      <c r="V1059" t="s">
        <v>3985</v>
      </c>
    </row>
    <row r="1060" spans="1:22" x14ac:dyDescent="0.35">
      <c r="A1060">
        <v>1598</v>
      </c>
      <c r="B1060" t="s">
        <v>3987</v>
      </c>
      <c r="C1060" s="1">
        <v>43423</v>
      </c>
      <c r="D1060" s="1">
        <v>43425</v>
      </c>
      <c r="E1060" t="s">
        <v>19</v>
      </c>
      <c r="F1060" t="s">
        <v>3912</v>
      </c>
      <c r="G1060" t="s">
        <v>3913</v>
      </c>
      <c r="H1060" t="s">
        <v>22</v>
      </c>
      <c r="I1060" t="s">
        <v>23</v>
      </c>
      <c r="J1060" t="s">
        <v>3988</v>
      </c>
      <c r="K1060" t="s">
        <v>100</v>
      </c>
      <c r="L1060">
        <v>75007</v>
      </c>
      <c r="M1060" t="s">
        <v>101</v>
      </c>
      <c r="N1060" t="s">
        <v>3989</v>
      </c>
      <c r="O1060" t="s">
        <v>42</v>
      </c>
      <c r="P1060" t="s">
        <v>86</v>
      </c>
      <c r="Q1060" t="s">
        <v>3990</v>
      </c>
      <c r="R1060">
        <v>16.896000000000001</v>
      </c>
      <c r="S1060" t="str">
        <f>TEXT(sales_data[[#This Row],[Order Date]],"mm")</f>
        <v>11</v>
      </c>
      <c r="T1060">
        <f>YEAR(sales_data[[#This Row],[Order Date]])</f>
        <v>2018</v>
      </c>
      <c r="V1060" t="s">
        <v>3989</v>
      </c>
    </row>
    <row r="1061" spans="1:22" x14ac:dyDescent="0.35">
      <c r="A1061">
        <v>1599</v>
      </c>
      <c r="B1061" t="s">
        <v>3987</v>
      </c>
      <c r="C1061" s="1">
        <v>43423</v>
      </c>
      <c r="D1061" s="1">
        <v>43425</v>
      </c>
      <c r="E1061" t="s">
        <v>19</v>
      </c>
      <c r="F1061" t="s">
        <v>3912</v>
      </c>
      <c r="G1061" t="s">
        <v>3913</v>
      </c>
      <c r="H1061" t="s">
        <v>22</v>
      </c>
      <c r="I1061" t="s">
        <v>23</v>
      </c>
      <c r="J1061" t="s">
        <v>3988</v>
      </c>
      <c r="K1061" t="s">
        <v>100</v>
      </c>
      <c r="L1061">
        <v>75007</v>
      </c>
      <c r="M1061" t="s">
        <v>101</v>
      </c>
      <c r="N1061" t="s">
        <v>3991</v>
      </c>
      <c r="O1061" t="s">
        <v>42</v>
      </c>
      <c r="P1061" t="s">
        <v>573</v>
      </c>
      <c r="Q1061" t="s">
        <v>3992</v>
      </c>
      <c r="R1061">
        <v>6.6719999999999997</v>
      </c>
      <c r="S1061" t="str">
        <f>TEXT(sales_data[[#This Row],[Order Date]],"mm")</f>
        <v>11</v>
      </c>
      <c r="T1061">
        <f>YEAR(sales_data[[#This Row],[Order Date]])</f>
        <v>2018</v>
      </c>
      <c r="V1061" t="s">
        <v>3991</v>
      </c>
    </row>
    <row r="1062" spans="1:22" x14ac:dyDescent="0.35">
      <c r="A1062">
        <v>1602</v>
      </c>
      <c r="B1062" t="s">
        <v>3993</v>
      </c>
      <c r="C1062" s="1">
        <v>42863</v>
      </c>
      <c r="D1062" s="1">
        <v>42868</v>
      </c>
      <c r="E1062" t="s">
        <v>19</v>
      </c>
      <c r="F1062" t="s">
        <v>2699</v>
      </c>
      <c r="G1062" t="s">
        <v>2700</v>
      </c>
      <c r="H1062" t="s">
        <v>37</v>
      </c>
      <c r="I1062" t="s">
        <v>23</v>
      </c>
      <c r="J1062" t="s">
        <v>239</v>
      </c>
      <c r="K1062" t="s">
        <v>240</v>
      </c>
      <c r="L1062">
        <v>19901</v>
      </c>
      <c r="M1062" t="s">
        <v>144</v>
      </c>
      <c r="N1062" t="s">
        <v>3994</v>
      </c>
      <c r="O1062" t="s">
        <v>28</v>
      </c>
      <c r="P1062" t="s">
        <v>61</v>
      </c>
      <c r="Q1062" t="s">
        <v>3995</v>
      </c>
      <c r="R1062">
        <v>211.96</v>
      </c>
      <c r="S1062" t="str">
        <f>TEXT(sales_data[[#This Row],[Order Date]],"mm")</f>
        <v>05</v>
      </c>
      <c r="T1062">
        <f>YEAR(sales_data[[#This Row],[Order Date]])</f>
        <v>2017</v>
      </c>
      <c r="V1062" t="s">
        <v>3994</v>
      </c>
    </row>
    <row r="1063" spans="1:22" x14ac:dyDescent="0.35">
      <c r="A1063">
        <v>1603</v>
      </c>
      <c r="B1063" t="s">
        <v>3996</v>
      </c>
      <c r="C1063" s="1">
        <v>43080</v>
      </c>
      <c r="D1063" s="1">
        <v>43086</v>
      </c>
      <c r="E1063" t="s">
        <v>46</v>
      </c>
      <c r="F1063" t="s">
        <v>1883</v>
      </c>
      <c r="G1063" t="s">
        <v>1884</v>
      </c>
      <c r="H1063" t="s">
        <v>22</v>
      </c>
      <c r="I1063" t="s">
        <v>23</v>
      </c>
      <c r="J1063" t="s">
        <v>3636</v>
      </c>
      <c r="K1063" t="s">
        <v>330</v>
      </c>
      <c r="L1063">
        <v>37167</v>
      </c>
      <c r="M1063" t="s">
        <v>26</v>
      </c>
      <c r="N1063" t="s">
        <v>3997</v>
      </c>
      <c r="O1063" t="s">
        <v>42</v>
      </c>
      <c r="P1063" t="s">
        <v>64</v>
      </c>
      <c r="Q1063" t="s">
        <v>3998</v>
      </c>
      <c r="R1063">
        <v>6.6719999999999997</v>
      </c>
      <c r="S1063" t="str">
        <f>TEXT(sales_data[[#This Row],[Order Date]],"mm")</f>
        <v>12</v>
      </c>
      <c r="T1063">
        <f>YEAR(sales_data[[#This Row],[Order Date]])</f>
        <v>2017</v>
      </c>
      <c r="V1063" t="s">
        <v>3997</v>
      </c>
    </row>
    <row r="1064" spans="1:22" x14ac:dyDescent="0.35">
      <c r="A1064">
        <v>1604</v>
      </c>
      <c r="B1064" t="s">
        <v>3999</v>
      </c>
      <c r="C1064" s="1">
        <v>43434</v>
      </c>
      <c r="D1064" s="1">
        <v>43438</v>
      </c>
      <c r="E1064" t="s">
        <v>46</v>
      </c>
      <c r="F1064" t="s">
        <v>2075</v>
      </c>
      <c r="G1064" t="s">
        <v>2076</v>
      </c>
      <c r="H1064" t="s">
        <v>22</v>
      </c>
      <c r="I1064" t="s">
        <v>23</v>
      </c>
      <c r="J1064" t="s">
        <v>599</v>
      </c>
      <c r="K1064" t="s">
        <v>240</v>
      </c>
      <c r="L1064">
        <v>19711</v>
      </c>
      <c r="M1064" t="s">
        <v>144</v>
      </c>
      <c r="N1064" t="s">
        <v>4000</v>
      </c>
      <c r="O1064" t="s">
        <v>42</v>
      </c>
      <c r="P1064" t="s">
        <v>64</v>
      </c>
      <c r="Q1064" t="s">
        <v>4001</v>
      </c>
      <c r="R1064">
        <v>155.94</v>
      </c>
      <c r="S1064" t="str">
        <f>TEXT(sales_data[[#This Row],[Order Date]],"mm")</f>
        <v>11</v>
      </c>
      <c r="T1064">
        <f>YEAR(sales_data[[#This Row],[Order Date]])</f>
        <v>2018</v>
      </c>
      <c r="V1064" t="s">
        <v>4000</v>
      </c>
    </row>
    <row r="1065" spans="1:22" x14ac:dyDescent="0.35">
      <c r="A1065">
        <v>1606</v>
      </c>
      <c r="B1065" t="s">
        <v>4002</v>
      </c>
      <c r="C1065" s="1">
        <v>42844</v>
      </c>
      <c r="D1065" s="1">
        <v>42849</v>
      </c>
      <c r="E1065" t="s">
        <v>19</v>
      </c>
      <c r="F1065" t="s">
        <v>1042</v>
      </c>
      <c r="G1065" t="s">
        <v>1043</v>
      </c>
      <c r="H1065" t="s">
        <v>22</v>
      </c>
      <c r="I1065" t="s">
        <v>23</v>
      </c>
      <c r="J1065" t="s">
        <v>38</v>
      </c>
      <c r="K1065" t="s">
        <v>39</v>
      </c>
      <c r="L1065">
        <v>90049</v>
      </c>
      <c r="M1065" t="s">
        <v>40</v>
      </c>
      <c r="N1065" t="s">
        <v>4003</v>
      </c>
      <c r="O1065" t="s">
        <v>42</v>
      </c>
      <c r="P1065" t="s">
        <v>64</v>
      </c>
      <c r="Q1065" t="s">
        <v>4004</v>
      </c>
      <c r="R1065">
        <v>5.46</v>
      </c>
      <c r="S1065" t="str">
        <f>TEXT(sales_data[[#This Row],[Order Date]],"mm")</f>
        <v>04</v>
      </c>
      <c r="T1065">
        <f>YEAR(sales_data[[#This Row],[Order Date]])</f>
        <v>2017</v>
      </c>
      <c r="V1065" t="s">
        <v>4003</v>
      </c>
    </row>
    <row r="1066" spans="1:22" x14ac:dyDescent="0.35">
      <c r="A1066">
        <v>1607</v>
      </c>
      <c r="B1066" t="s">
        <v>4002</v>
      </c>
      <c r="C1066" s="1">
        <v>42844</v>
      </c>
      <c r="D1066" s="1">
        <v>42849</v>
      </c>
      <c r="E1066" t="s">
        <v>19</v>
      </c>
      <c r="F1066" t="s">
        <v>1042</v>
      </c>
      <c r="G1066" t="s">
        <v>1043</v>
      </c>
      <c r="H1066" t="s">
        <v>22</v>
      </c>
      <c r="I1066" t="s">
        <v>23</v>
      </c>
      <c r="J1066" t="s">
        <v>38</v>
      </c>
      <c r="K1066" t="s">
        <v>39</v>
      </c>
      <c r="L1066">
        <v>90049</v>
      </c>
      <c r="M1066" t="s">
        <v>40</v>
      </c>
      <c r="N1066" t="s">
        <v>4005</v>
      </c>
      <c r="O1066" t="s">
        <v>42</v>
      </c>
      <c r="P1066" t="s">
        <v>64</v>
      </c>
      <c r="Q1066" t="s">
        <v>4006</v>
      </c>
      <c r="R1066">
        <v>73.2</v>
      </c>
      <c r="S1066" t="str">
        <f>TEXT(sales_data[[#This Row],[Order Date]],"mm")</f>
        <v>04</v>
      </c>
      <c r="T1066">
        <f>YEAR(sales_data[[#This Row],[Order Date]])</f>
        <v>2017</v>
      </c>
      <c r="V1066" t="s">
        <v>4005</v>
      </c>
    </row>
    <row r="1067" spans="1:22" x14ac:dyDescent="0.35">
      <c r="A1067">
        <v>1610</v>
      </c>
      <c r="B1067" t="s">
        <v>4002</v>
      </c>
      <c r="C1067" s="1">
        <v>42844</v>
      </c>
      <c r="D1067" s="1">
        <v>42849</v>
      </c>
      <c r="E1067" t="s">
        <v>19</v>
      </c>
      <c r="F1067" t="s">
        <v>1042</v>
      </c>
      <c r="G1067" t="s">
        <v>1043</v>
      </c>
      <c r="H1067" t="s">
        <v>22</v>
      </c>
      <c r="I1067" t="s">
        <v>23</v>
      </c>
      <c r="J1067" t="s">
        <v>38</v>
      </c>
      <c r="K1067" t="s">
        <v>39</v>
      </c>
      <c r="L1067">
        <v>90049</v>
      </c>
      <c r="M1067" t="s">
        <v>40</v>
      </c>
      <c r="N1067" t="s">
        <v>4007</v>
      </c>
      <c r="O1067" t="s">
        <v>42</v>
      </c>
      <c r="P1067" t="s">
        <v>71</v>
      </c>
      <c r="Q1067" t="s">
        <v>4008</v>
      </c>
      <c r="R1067">
        <v>9.3360000000000003</v>
      </c>
      <c r="S1067" t="str">
        <f>TEXT(sales_data[[#This Row],[Order Date]],"mm")</f>
        <v>04</v>
      </c>
      <c r="T1067">
        <f>YEAR(sales_data[[#This Row],[Order Date]])</f>
        <v>2017</v>
      </c>
      <c r="V1067" t="s">
        <v>4007</v>
      </c>
    </row>
    <row r="1068" spans="1:22" x14ac:dyDescent="0.35">
      <c r="A1068">
        <v>1612</v>
      </c>
      <c r="B1068" t="s">
        <v>4009</v>
      </c>
      <c r="C1068" s="1">
        <v>42150</v>
      </c>
      <c r="D1068" s="1">
        <v>42154</v>
      </c>
      <c r="E1068" t="s">
        <v>46</v>
      </c>
      <c r="F1068" t="s">
        <v>4010</v>
      </c>
      <c r="G1068" t="s">
        <v>4011</v>
      </c>
      <c r="H1068" t="s">
        <v>37</v>
      </c>
      <c r="I1068" t="s">
        <v>23</v>
      </c>
      <c r="J1068" t="s">
        <v>38</v>
      </c>
      <c r="K1068" t="s">
        <v>39</v>
      </c>
      <c r="L1068">
        <v>90008</v>
      </c>
      <c r="M1068" t="s">
        <v>40</v>
      </c>
      <c r="N1068" t="s">
        <v>4012</v>
      </c>
      <c r="O1068" t="s">
        <v>67</v>
      </c>
      <c r="P1068" t="s">
        <v>68</v>
      </c>
      <c r="Q1068" t="s">
        <v>4013</v>
      </c>
      <c r="R1068">
        <v>201.584</v>
      </c>
      <c r="S1068" t="str">
        <f>TEXT(sales_data[[#This Row],[Order Date]],"mm")</f>
        <v>05</v>
      </c>
      <c r="T1068">
        <f>YEAR(sales_data[[#This Row],[Order Date]])</f>
        <v>2015</v>
      </c>
      <c r="V1068" t="s">
        <v>4012</v>
      </c>
    </row>
    <row r="1069" spans="1:22" x14ac:dyDescent="0.35">
      <c r="A1069">
        <v>1615</v>
      </c>
      <c r="B1069" t="s">
        <v>4014</v>
      </c>
      <c r="C1069" s="1">
        <v>42809</v>
      </c>
      <c r="D1069" s="1">
        <v>42813</v>
      </c>
      <c r="E1069" t="s">
        <v>46</v>
      </c>
      <c r="F1069" t="s">
        <v>3849</v>
      </c>
      <c r="G1069" t="s">
        <v>3850</v>
      </c>
      <c r="H1069" t="s">
        <v>98</v>
      </c>
      <c r="I1069" t="s">
        <v>23</v>
      </c>
      <c r="J1069" t="s">
        <v>142</v>
      </c>
      <c r="K1069" t="s">
        <v>143</v>
      </c>
      <c r="L1069">
        <v>19143</v>
      </c>
      <c r="M1069" t="s">
        <v>144</v>
      </c>
      <c r="N1069" t="s">
        <v>4015</v>
      </c>
      <c r="O1069" t="s">
        <v>67</v>
      </c>
      <c r="P1069" t="s">
        <v>156</v>
      </c>
      <c r="Q1069" t="s">
        <v>4016</v>
      </c>
      <c r="R1069">
        <v>83.975999999999999</v>
      </c>
      <c r="S1069" t="str">
        <f>TEXT(sales_data[[#This Row],[Order Date]],"mm")</f>
        <v>03</v>
      </c>
      <c r="T1069">
        <f>YEAR(sales_data[[#This Row],[Order Date]])</f>
        <v>2017</v>
      </c>
      <c r="V1069" t="s">
        <v>4015</v>
      </c>
    </row>
    <row r="1070" spans="1:22" x14ac:dyDescent="0.35">
      <c r="A1070">
        <v>1618</v>
      </c>
      <c r="B1070" t="s">
        <v>4017</v>
      </c>
      <c r="C1070" s="1">
        <v>42592</v>
      </c>
      <c r="D1070" s="1">
        <v>42598</v>
      </c>
      <c r="E1070" t="s">
        <v>46</v>
      </c>
      <c r="F1070" t="s">
        <v>3631</v>
      </c>
      <c r="G1070" t="s">
        <v>3632</v>
      </c>
      <c r="H1070" t="s">
        <v>98</v>
      </c>
      <c r="I1070" t="s">
        <v>23</v>
      </c>
      <c r="J1070" t="s">
        <v>223</v>
      </c>
      <c r="K1070" t="s">
        <v>224</v>
      </c>
      <c r="L1070">
        <v>55122</v>
      </c>
      <c r="M1070" t="s">
        <v>101</v>
      </c>
      <c r="N1070" t="s">
        <v>4018</v>
      </c>
      <c r="O1070" t="s">
        <v>42</v>
      </c>
      <c r="P1070" t="s">
        <v>64</v>
      </c>
      <c r="Q1070" t="s">
        <v>4019</v>
      </c>
      <c r="R1070">
        <v>29.79</v>
      </c>
      <c r="S1070" t="str">
        <f>TEXT(sales_data[[#This Row],[Order Date]],"mm")</f>
        <v>08</v>
      </c>
      <c r="T1070">
        <f>YEAR(sales_data[[#This Row],[Order Date]])</f>
        <v>2016</v>
      </c>
      <c r="V1070" t="s">
        <v>4018</v>
      </c>
    </row>
    <row r="1071" spans="1:22" x14ac:dyDescent="0.35">
      <c r="A1071">
        <v>1619</v>
      </c>
      <c r="B1071" t="s">
        <v>4020</v>
      </c>
      <c r="C1071" s="1">
        <v>42988</v>
      </c>
      <c r="D1071" s="1">
        <v>42992</v>
      </c>
      <c r="E1071" t="s">
        <v>19</v>
      </c>
      <c r="F1071" t="s">
        <v>419</v>
      </c>
      <c r="G1071" t="s">
        <v>420</v>
      </c>
      <c r="H1071" t="s">
        <v>98</v>
      </c>
      <c r="I1071" t="s">
        <v>23</v>
      </c>
      <c r="J1071" t="s">
        <v>261</v>
      </c>
      <c r="K1071" t="s">
        <v>262</v>
      </c>
      <c r="L1071">
        <v>10011</v>
      </c>
      <c r="M1071" t="s">
        <v>144</v>
      </c>
      <c r="N1071" t="s">
        <v>4021</v>
      </c>
      <c r="O1071" t="s">
        <v>42</v>
      </c>
      <c r="P1071" t="s">
        <v>55</v>
      </c>
      <c r="Q1071" t="s">
        <v>4022</v>
      </c>
      <c r="R1071">
        <v>59.48</v>
      </c>
      <c r="S1071" t="str">
        <f>TEXT(sales_data[[#This Row],[Order Date]],"mm")</f>
        <v>09</v>
      </c>
      <c r="T1071">
        <f>YEAR(sales_data[[#This Row],[Order Date]])</f>
        <v>2017</v>
      </c>
      <c r="V1071" t="s">
        <v>4021</v>
      </c>
    </row>
    <row r="1072" spans="1:22" x14ac:dyDescent="0.35">
      <c r="A1072">
        <v>1620</v>
      </c>
      <c r="B1072" t="s">
        <v>4020</v>
      </c>
      <c r="C1072" s="1">
        <v>42988</v>
      </c>
      <c r="D1072" s="1">
        <v>42992</v>
      </c>
      <c r="E1072" t="s">
        <v>19</v>
      </c>
      <c r="F1072" t="s">
        <v>419</v>
      </c>
      <c r="G1072" t="s">
        <v>420</v>
      </c>
      <c r="H1072" t="s">
        <v>98</v>
      </c>
      <c r="I1072" t="s">
        <v>23</v>
      </c>
      <c r="J1072" t="s">
        <v>261</v>
      </c>
      <c r="K1072" t="s">
        <v>262</v>
      </c>
      <c r="L1072">
        <v>10011</v>
      </c>
      <c r="M1072" t="s">
        <v>144</v>
      </c>
      <c r="N1072" t="s">
        <v>4023</v>
      </c>
      <c r="O1072" t="s">
        <v>42</v>
      </c>
      <c r="P1072" t="s">
        <v>86</v>
      </c>
      <c r="Q1072" t="s">
        <v>4024</v>
      </c>
      <c r="R1072">
        <v>6.69</v>
      </c>
      <c r="S1072" t="str">
        <f>TEXT(sales_data[[#This Row],[Order Date]],"mm")</f>
        <v>09</v>
      </c>
      <c r="T1072">
        <f>YEAR(sales_data[[#This Row],[Order Date]])</f>
        <v>2017</v>
      </c>
      <c r="V1072" t="s">
        <v>4023</v>
      </c>
    </row>
    <row r="1073" spans="1:22" x14ac:dyDescent="0.35">
      <c r="A1073">
        <v>1621</v>
      </c>
      <c r="B1073" t="s">
        <v>4025</v>
      </c>
      <c r="C1073" s="1">
        <v>43289</v>
      </c>
      <c r="D1073" s="1">
        <v>43296</v>
      </c>
      <c r="E1073" t="s">
        <v>46</v>
      </c>
      <c r="F1073" t="s">
        <v>4026</v>
      </c>
      <c r="G1073" t="s">
        <v>4027</v>
      </c>
      <c r="H1073" t="s">
        <v>22</v>
      </c>
      <c r="I1073" t="s">
        <v>23</v>
      </c>
      <c r="J1073" t="s">
        <v>4028</v>
      </c>
      <c r="K1073" t="s">
        <v>92</v>
      </c>
      <c r="L1073">
        <v>98031</v>
      </c>
      <c r="M1073" t="s">
        <v>40</v>
      </c>
      <c r="N1073" t="s">
        <v>4029</v>
      </c>
      <c r="O1073" t="s">
        <v>28</v>
      </c>
      <c r="P1073" t="s">
        <v>61</v>
      </c>
      <c r="Q1073" t="s">
        <v>4030</v>
      </c>
      <c r="R1073">
        <v>198.46</v>
      </c>
      <c r="S1073" t="str">
        <f>TEXT(sales_data[[#This Row],[Order Date]],"mm")</f>
        <v>07</v>
      </c>
      <c r="T1073">
        <f>YEAR(sales_data[[#This Row],[Order Date]])</f>
        <v>2018</v>
      </c>
      <c r="V1073" t="s">
        <v>4029</v>
      </c>
    </row>
    <row r="1074" spans="1:22" x14ac:dyDescent="0.35">
      <c r="A1074">
        <v>1624</v>
      </c>
      <c r="B1074" t="s">
        <v>4025</v>
      </c>
      <c r="C1074" s="1">
        <v>43289</v>
      </c>
      <c r="D1074" s="1">
        <v>43296</v>
      </c>
      <c r="E1074" t="s">
        <v>46</v>
      </c>
      <c r="F1074" t="s">
        <v>4026</v>
      </c>
      <c r="G1074" t="s">
        <v>4027</v>
      </c>
      <c r="H1074" t="s">
        <v>22</v>
      </c>
      <c r="I1074" t="s">
        <v>23</v>
      </c>
      <c r="J1074" t="s">
        <v>4028</v>
      </c>
      <c r="K1074" t="s">
        <v>92</v>
      </c>
      <c r="L1074">
        <v>98031</v>
      </c>
      <c r="M1074" t="s">
        <v>40</v>
      </c>
      <c r="N1074" t="s">
        <v>4031</v>
      </c>
      <c r="O1074" t="s">
        <v>67</v>
      </c>
      <c r="P1074" t="s">
        <v>156</v>
      </c>
      <c r="Q1074" t="s">
        <v>4032</v>
      </c>
      <c r="R1074">
        <v>50</v>
      </c>
      <c r="S1074" t="str">
        <f>TEXT(sales_data[[#This Row],[Order Date]],"mm")</f>
        <v>07</v>
      </c>
      <c r="T1074">
        <f>YEAR(sales_data[[#This Row],[Order Date]])</f>
        <v>2018</v>
      </c>
      <c r="V1074" t="s">
        <v>4031</v>
      </c>
    </row>
    <row r="1075" spans="1:22" x14ac:dyDescent="0.35">
      <c r="A1075">
        <v>1629</v>
      </c>
      <c r="B1075" t="s">
        <v>4036</v>
      </c>
      <c r="C1075" s="1">
        <v>43272</v>
      </c>
      <c r="D1075" s="1">
        <v>43276</v>
      </c>
      <c r="E1075" t="s">
        <v>19</v>
      </c>
      <c r="F1075" t="s">
        <v>1986</v>
      </c>
      <c r="G1075" t="s">
        <v>1987</v>
      </c>
      <c r="H1075" t="s">
        <v>22</v>
      </c>
      <c r="I1075" t="s">
        <v>23</v>
      </c>
      <c r="J1075" t="s">
        <v>2151</v>
      </c>
      <c r="K1075" t="s">
        <v>493</v>
      </c>
      <c r="L1075">
        <v>44105</v>
      </c>
      <c r="M1075" t="s">
        <v>144</v>
      </c>
      <c r="N1075" t="s">
        <v>4037</v>
      </c>
      <c r="O1075" t="s">
        <v>28</v>
      </c>
      <c r="P1075" t="s">
        <v>61</v>
      </c>
      <c r="Q1075" t="s">
        <v>4038</v>
      </c>
      <c r="R1075">
        <v>17.920000000000002</v>
      </c>
      <c r="S1075" t="str">
        <f>TEXT(sales_data[[#This Row],[Order Date]],"mm")</f>
        <v>06</v>
      </c>
      <c r="T1075">
        <f>YEAR(sales_data[[#This Row],[Order Date]])</f>
        <v>2018</v>
      </c>
      <c r="V1075" t="s">
        <v>4037</v>
      </c>
    </row>
    <row r="1076" spans="1:22" x14ac:dyDescent="0.35">
      <c r="A1076">
        <v>1631</v>
      </c>
      <c r="B1076" t="s">
        <v>4039</v>
      </c>
      <c r="C1076" s="1">
        <v>42863</v>
      </c>
      <c r="D1076" s="1">
        <v>42863</v>
      </c>
      <c r="E1076" t="s">
        <v>1277</v>
      </c>
      <c r="F1076" t="s">
        <v>481</v>
      </c>
      <c r="G1076" t="s">
        <v>482</v>
      </c>
      <c r="H1076" t="s">
        <v>22</v>
      </c>
      <c r="I1076" t="s">
        <v>23</v>
      </c>
      <c r="J1076" t="s">
        <v>2151</v>
      </c>
      <c r="K1076" t="s">
        <v>493</v>
      </c>
      <c r="L1076">
        <v>44105</v>
      </c>
      <c r="M1076" t="s">
        <v>144</v>
      </c>
      <c r="N1076" t="s">
        <v>4040</v>
      </c>
      <c r="O1076" t="s">
        <v>42</v>
      </c>
      <c r="P1076" t="s">
        <v>55</v>
      </c>
      <c r="Q1076" t="s">
        <v>4041</v>
      </c>
      <c r="R1076">
        <v>1006.056</v>
      </c>
      <c r="S1076" t="str">
        <f>TEXT(sales_data[[#This Row],[Order Date]],"mm")</f>
        <v>05</v>
      </c>
      <c r="T1076">
        <f>YEAR(sales_data[[#This Row],[Order Date]])</f>
        <v>2017</v>
      </c>
      <c r="V1076" t="s">
        <v>4040</v>
      </c>
    </row>
    <row r="1077" spans="1:22" x14ac:dyDescent="0.35">
      <c r="A1077">
        <v>1638</v>
      </c>
      <c r="B1077" t="s">
        <v>4042</v>
      </c>
      <c r="C1077" s="1">
        <v>42334</v>
      </c>
      <c r="D1077" s="1">
        <v>42340</v>
      </c>
      <c r="E1077" t="s">
        <v>46</v>
      </c>
      <c r="F1077" t="s">
        <v>4043</v>
      </c>
      <c r="G1077" t="s">
        <v>4044</v>
      </c>
      <c r="H1077" t="s">
        <v>22</v>
      </c>
      <c r="I1077" t="s">
        <v>23</v>
      </c>
      <c r="J1077" t="s">
        <v>4045</v>
      </c>
      <c r="K1077" t="s">
        <v>415</v>
      </c>
      <c r="L1077">
        <v>97224</v>
      </c>
      <c r="M1077" t="s">
        <v>40</v>
      </c>
      <c r="N1077" t="s">
        <v>4046</v>
      </c>
      <c r="O1077" t="s">
        <v>67</v>
      </c>
      <c r="P1077" t="s">
        <v>68</v>
      </c>
      <c r="Q1077" t="s">
        <v>4047</v>
      </c>
      <c r="R1077">
        <v>438.33600000000001</v>
      </c>
      <c r="S1077" t="str">
        <f>TEXT(sales_data[[#This Row],[Order Date]],"mm")</f>
        <v>11</v>
      </c>
      <c r="T1077">
        <f>YEAR(sales_data[[#This Row],[Order Date]])</f>
        <v>2015</v>
      </c>
      <c r="V1077" t="s">
        <v>4046</v>
      </c>
    </row>
    <row r="1078" spans="1:22" x14ac:dyDescent="0.35">
      <c r="A1078">
        <v>1639</v>
      </c>
      <c r="B1078" t="s">
        <v>4048</v>
      </c>
      <c r="C1078" s="1">
        <v>42881</v>
      </c>
      <c r="D1078" s="1">
        <v>42887</v>
      </c>
      <c r="E1078" t="s">
        <v>46</v>
      </c>
      <c r="F1078" t="s">
        <v>4049</v>
      </c>
      <c r="G1078" t="s">
        <v>4050</v>
      </c>
      <c r="H1078" t="s">
        <v>22</v>
      </c>
      <c r="I1078" t="s">
        <v>23</v>
      </c>
      <c r="J1078" t="s">
        <v>92</v>
      </c>
      <c r="K1078" t="s">
        <v>2945</v>
      </c>
      <c r="L1078">
        <v>20016</v>
      </c>
      <c r="M1078" t="s">
        <v>144</v>
      </c>
      <c r="N1078" t="s">
        <v>4051</v>
      </c>
      <c r="O1078" t="s">
        <v>42</v>
      </c>
      <c r="P1078" t="s">
        <v>86</v>
      </c>
      <c r="Q1078" t="s">
        <v>4052</v>
      </c>
      <c r="R1078">
        <v>19.440000000000001</v>
      </c>
      <c r="S1078" t="str">
        <f>TEXT(sales_data[[#This Row],[Order Date]],"mm")</f>
        <v>05</v>
      </c>
      <c r="T1078">
        <f>YEAR(sales_data[[#This Row],[Order Date]])</f>
        <v>2017</v>
      </c>
      <c r="V1078" t="s">
        <v>4051</v>
      </c>
    </row>
    <row r="1079" spans="1:22" x14ac:dyDescent="0.35">
      <c r="A1079">
        <v>1645</v>
      </c>
      <c r="B1079" t="s">
        <v>4054</v>
      </c>
      <c r="C1079" s="1">
        <v>42448</v>
      </c>
      <c r="D1079" s="1">
        <v>42449</v>
      </c>
      <c r="E1079" t="s">
        <v>183</v>
      </c>
      <c r="F1079" t="s">
        <v>784</v>
      </c>
      <c r="G1079" t="s">
        <v>785</v>
      </c>
      <c r="H1079" t="s">
        <v>37</v>
      </c>
      <c r="I1079" t="s">
        <v>23</v>
      </c>
      <c r="J1079" t="s">
        <v>91</v>
      </c>
      <c r="K1079" t="s">
        <v>92</v>
      </c>
      <c r="L1079">
        <v>98115</v>
      </c>
      <c r="M1079" t="s">
        <v>40</v>
      </c>
      <c r="N1079" t="s">
        <v>4055</v>
      </c>
      <c r="O1079" t="s">
        <v>67</v>
      </c>
      <c r="P1079" t="s">
        <v>1209</v>
      </c>
      <c r="Q1079" t="s">
        <v>4056</v>
      </c>
      <c r="R1079">
        <v>3149.93</v>
      </c>
      <c r="S1079" t="str">
        <f>TEXT(sales_data[[#This Row],[Order Date]],"mm")</f>
        <v>03</v>
      </c>
      <c r="T1079">
        <f>YEAR(sales_data[[#This Row],[Order Date]])</f>
        <v>2016</v>
      </c>
      <c r="V1079" t="s">
        <v>4055</v>
      </c>
    </row>
    <row r="1080" spans="1:22" x14ac:dyDescent="0.35">
      <c r="A1080">
        <v>1646</v>
      </c>
      <c r="B1080" t="s">
        <v>4054</v>
      </c>
      <c r="C1080" s="1">
        <v>42448</v>
      </c>
      <c r="D1080" s="1">
        <v>42449</v>
      </c>
      <c r="E1080" t="s">
        <v>183</v>
      </c>
      <c r="F1080" t="s">
        <v>784</v>
      </c>
      <c r="G1080" t="s">
        <v>785</v>
      </c>
      <c r="H1080" t="s">
        <v>37</v>
      </c>
      <c r="I1080" t="s">
        <v>23</v>
      </c>
      <c r="J1080" t="s">
        <v>91</v>
      </c>
      <c r="K1080" t="s">
        <v>92</v>
      </c>
      <c r="L1080">
        <v>98115</v>
      </c>
      <c r="M1080" t="s">
        <v>40</v>
      </c>
      <c r="N1080" t="s">
        <v>4057</v>
      </c>
      <c r="O1080" t="s">
        <v>42</v>
      </c>
      <c r="P1080" t="s">
        <v>86</v>
      </c>
      <c r="Q1080" t="s">
        <v>4058</v>
      </c>
      <c r="R1080">
        <v>209.7</v>
      </c>
      <c r="S1080" t="str">
        <f>TEXT(sales_data[[#This Row],[Order Date]],"mm")</f>
        <v>03</v>
      </c>
      <c r="T1080">
        <f>YEAR(sales_data[[#This Row],[Order Date]])</f>
        <v>2016</v>
      </c>
      <c r="V1080" t="s">
        <v>4057</v>
      </c>
    </row>
    <row r="1081" spans="1:22" x14ac:dyDescent="0.35">
      <c r="A1081">
        <v>1648</v>
      </c>
      <c r="B1081" t="s">
        <v>4059</v>
      </c>
      <c r="C1081" s="1">
        <v>42675</v>
      </c>
      <c r="D1081" s="1">
        <v>42677</v>
      </c>
      <c r="E1081" t="s">
        <v>183</v>
      </c>
      <c r="F1081" t="s">
        <v>777</v>
      </c>
      <c r="G1081" t="s">
        <v>778</v>
      </c>
      <c r="H1081" t="s">
        <v>98</v>
      </c>
      <c r="I1081" t="s">
        <v>23</v>
      </c>
      <c r="J1081" t="s">
        <v>142</v>
      </c>
      <c r="K1081" t="s">
        <v>143</v>
      </c>
      <c r="L1081">
        <v>19140</v>
      </c>
      <c r="M1081" t="s">
        <v>144</v>
      </c>
      <c r="N1081" t="s">
        <v>4060</v>
      </c>
      <c r="O1081" t="s">
        <v>42</v>
      </c>
      <c r="P1081" t="s">
        <v>264</v>
      </c>
      <c r="Q1081" t="s">
        <v>4061</v>
      </c>
      <c r="R1081">
        <v>3.1680000000000001</v>
      </c>
      <c r="S1081" t="str">
        <f>TEXT(sales_data[[#This Row],[Order Date]],"mm")</f>
        <v>11</v>
      </c>
      <c r="T1081">
        <f>YEAR(sales_data[[#This Row],[Order Date]])</f>
        <v>2016</v>
      </c>
      <c r="V1081" t="s">
        <v>4060</v>
      </c>
    </row>
    <row r="1082" spans="1:22" x14ac:dyDescent="0.35">
      <c r="A1082">
        <v>1649</v>
      </c>
      <c r="B1082" t="s">
        <v>4062</v>
      </c>
      <c r="C1082" s="1">
        <v>42639</v>
      </c>
      <c r="D1082" s="1">
        <v>42642</v>
      </c>
      <c r="E1082" t="s">
        <v>19</v>
      </c>
      <c r="F1082" t="s">
        <v>1916</v>
      </c>
      <c r="G1082" t="s">
        <v>1917</v>
      </c>
      <c r="H1082" t="s">
        <v>22</v>
      </c>
      <c r="I1082" t="s">
        <v>23</v>
      </c>
      <c r="J1082" t="s">
        <v>142</v>
      </c>
      <c r="K1082" t="s">
        <v>143</v>
      </c>
      <c r="L1082">
        <v>19143</v>
      </c>
      <c r="M1082" t="s">
        <v>144</v>
      </c>
      <c r="N1082" t="s">
        <v>4063</v>
      </c>
      <c r="O1082" t="s">
        <v>42</v>
      </c>
      <c r="P1082" t="s">
        <v>71</v>
      </c>
      <c r="Q1082" t="s">
        <v>4064</v>
      </c>
      <c r="R1082">
        <v>121.104</v>
      </c>
      <c r="S1082" t="str">
        <f>TEXT(sales_data[[#This Row],[Order Date]],"mm")</f>
        <v>09</v>
      </c>
      <c r="T1082">
        <f>YEAR(sales_data[[#This Row],[Order Date]])</f>
        <v>2016</v>
      </c>
      <c r="V1082" t="s">
        <v>4063</v>
      </c>
    </row>
    <row r="1083" spans="1:22" x14ac:dyDescent="0.35">
      <c r="A1083">
        <v>1650</v>
      </c>
      <c r="B1083" t="s">
        <v>4062</v>
      </c>
      <c r="C1083" s="1">
        <v>42639</v>
      </c>
      <c r="D1083" s="1">
        <v>42642</v>
      </c>
      <c r="E1083" t="s">
        <v>19</v>
      </c>
      <c r="F1083" t="s">
        <v>1916</v>
      </c>
      <c r="G1083" t="s">
        <v>1917</v>
      </c>
      <c r="H1083" t="s">
        <v>22</v>
      </c>
      <c r="I1083" t="s">
        <v>23</v>
      </c>
      <c r="J1083" t="s">
        <v>142</v>
      </c>
      <c r="K1083" t="s">
        <v>143</v>
      </c>
      <c r="L1083">
        <v>19143</v>
      </c>
      <c r="M1083" t="s">
        <v>144</v>
      </c>
      <c r="N1083" t="s">
        <v>4065</v>
      </c>
      <c r="O1083" t="s">
        <v>67</v>
      </c>
      <c r="P1083" t="s">
        <v>68</v>
      </c>
      <c r="Q1083" t="s">
        <v>4066</v>
      </c>
      <c r="R1083">
        <v>45.893999999999998</v>
      </c>
      <c r="S1083" t="str">
        <f>TEXT(sales_data[[#This Row],[Order Date]],"mm")</f>
        <v>09</v>
      </c>
      <c r="T1083">
        <f>YEAR(sales_data[[#This Row],[Order Date]])</f>
        <v>2016</v>
      </c>
      <c r="V1083" t="s">
        <v>4065</v>
      </c>
    </row>
    <row r="1084" spans="1:22" x14ac:dyDescent="0.35">
      <c r="A1084">
        <v>1651</v>
      </c>
      <c r="B1084" t="s">
        <v>4067</v>
      </c>
      <c r="C1084" s="1">
        <v>42245</v>
      </c>
      <c r="D1084" s="1">
        <v>42245</v>
      </c>
      <c r="E1084" t="s">
        <v>1277</v>
      </c>
      <c r="F1084" t="s">
        <v>4068</v>
      </c>
      <c r="G1084" t="s">
        <v>4069</v>
      </c>
      <c r="H1084" t="s">
        <v>37</v>
      </c>
      <c r="I1084" t="s">
        <v>23</v>
      </c>
      <c r="J1084" t="s">
        <v>123</v>
      </c>
      <c r="K1084" t="s">
        <v>39</v>
      </c>
      <c r="L1084">
        <v>94110</v>
      </c>
      <c r="M1084" t="s">
        <v>40</v>
      </c>
      <c r="N1084" t="s">
        <v>4070</v>
      </c>
      <c r="O1084" t="s">
        <v>42</v>
      </c>
      <c r="P1084" t="s">
        <v>86</v>
      </c>
      <c r="Q1084" t="s">
        <v>4071</v>
      </c>
      <c r="R1084">
        <v>109.92</v>
      </c>
      <c r="S1084" t="str">
        <f>TEXT(sales_data[[#This Row],[Order Date]],"mm")</f>
        <v>08</v>
      </c>
      <c r="T1084">
        <f>YEAR(sales_data[[#This Row],[Order Date]])</f>
        <v>2015</v>
      </c>
      <c r="V1084" t="s">
        <v>4070</v>
      </c>
    </row>
    <row r="1085" spans="1:22" x14ac:dyDescent="0.35">
      <c r="A1085">
        <v>1652</v>
      </c>
      <c r="B1085" t="s">
        <v>4067</v>
      </c>
      <c r="C1085" s="1">
        <v>42245</v>
      </c>
      <c r="D1085" s="1">
        <v>42245</v>
      </c>
      <c r="E1085" t="s">
        <v>1277</v>
      </c>
      <c r="F1085" t="s">
        <v>4068</v>
      </c>
      <c r="G1085" t="s">
        <v>4069</v>
      </c>
      <c r="H1085" t="s">
        <v>37</v>
      </c>
      <c r="I1085" t="s">
        <v>23</v>
      </c>
      <c r="J1085" t="s">
        <v>123</v>
      </c>
      <c r="K1085" t="s">
        <v>39</v>
      </c>
      <c r="L1085">
        <v>94110</v>
      </c>
      <c r="M1085" t="s">
        <v>40</v>
      </c>
      <c r="N1085" t="s">
        <v>4072</v>
      </c>
      <c r="O1085" t="s">
        <v>42</v>
      </c>
      <c r="P1085" t="s">
        <v>86</v>
      </c>
      <c r="Q1085" t="s">
        <v>4073</v>
      </c>
      <c r="R1085">
        <v>13.36</v>
      </c>
      <c r="S1085" t="str">
        <f>TEXT(sales_data[[#This Row],[Order Date]],"mm")</f>
        <v>08</v>
      </c>
      <c r="T1085">
        <f>YEAR(sales_data[[#This Row],[Order Date]])</f>
        <v>2015</v>
      </c>
      <c r="V1085" t="s">
        <v>4072</v>
      </c>
    </row>
    <row r="1086" spans="1:22" x14ac:dyDescent="0.35">
      <c r="A1086">
        <v>1655</v>
      </c>
      <c r="B1086" t="s">
        <v>4074</v>
      </c>
      <c r="C1086" s="1">
        <v>43422</v>
      </c>
      <c r="D1086" s="1">
        <v>43425</v>
      </c>
      <c r="E1086" t="s">
        <v>183</v>
      </c>
      <c r="F1086" t="s">
        <v>4075</v>
      </c>
      <c r="G1086" t="s">
        <v>4076</v>
      </c>
      <c r="H1086" t="s">
        <v>22</v>
      </c>
      <c r="I1086" t="s">
        <v>23</v>
      </c>
      <c r="J1086" t="s">
        <v>91</v>
      </c>
      <c r="K1086" t="s">
        <v>92</v>
      </c>
      <c r="L1086">
        <v>98105</v>
      </c>
      <c r="M1086" t="s">
        <v>40</v>
      </c>
      <c r="N1086" t="s">
        <v>4077</v>
      </c>
      <c r="O1086" t="s">
        <v>42</v>
      </c>
      <c r="P1086" t="s">
        <v>264</v>
      </c>
      <c r="Q1086" t="s">
        <v>4078</v>
      </c>
      <c r="R1086">
        <v>2.96</v>
      </c>
      <c r="S1086" t="str">
        <f>TEXT(sales_data[[#This Row],[Order Date]],"mm")</f>
        <v>11</v>
      </c>
      <c r="T1086">
        <f>YEAR(sales_data[[#This Row],[Order Date]])</f>
        <v>2018</v>
      </c>
      <c r="V1086" t="s">
        <v>4077</v>
      </c>
    </row>
    <row r="1087" spans="1:22" x14ac:dyDescent="0.35">
      <c r="A1087">
        <v>1656</v>
      </c>
      <c r="B1087" t="s">
        <v>4074</v>
      </c>
      <c r="C1087" s="1">
        <v>43422</v>
      </c>
      <c r="D1087" s="1">
        <v>43425</v>
      </c>
      <c r="E1087" t="s">
        <v>183</v>
      </c>
      <c r="F1087" t="s">
        <v>4075</v>
      </c>
      <c r="G1087" t="s">
        <v>4076</v>
      </c>
      <c r="H1087" t="s">
        <v>22</v>
      </c>
      <c r="I1087" t="s">
        <v>23</v>
      </c>
      <c r="J1087" t="s">
        <v>91</v>
      </c>
      <c r="K1087" t="s">
        <v>92</v>
      </c>
      <c r="L1087">
        <v>98105</v>
      </c>
      <c r="M1087" t="s">
        <v>40</v>
      </c>
      <c r="N1087" t="s">
        <v>4079</v>
      </c>
      <c r="O1087" t="s">
        <v>42</v>
      </c>
      <c r="P1087" t="s">
        <v>71</v>
      </c>
      <c r="Q1087" t="s">
        <v>4080</v>
      </c>
      <c r="R1087">
        <v>8.4480000000000004</v>
      </c>
      <c r="S1087" t="str">
        <f>TEXT(sales_data[[#This Row],[Order Date]],"mm")</f>
        <v>11</v>
      </c>
      <c r="T1087">
        <f>YEAR(sales_data[[#This Row],[Order Date]])</f>
        <v>2018</v>
      </c>
      <c r="V1087" t="s">
        <v>4079</v>
      </c>
    </row>
    <row r="1088" spans="1:22" x14ac:dyDescent="0.35">
      <c r="A1088">
        <v>1659</v>
      </c>
      <c r="B1088" t="s">
        <v>4081</v>
      </c>
      <c r="C1088" s="1">
        <v>43120</v>
      </c>
      <c r="D1088" s="1">
        <v>43126</v>
      </c>
      <c r="E1088" t="s">
        <v>46</v>
      </c>
      <c r="F1088" t="s">
        <v>4082</v>
      </c>
      <c r="G1088" t="s">
        <v>4083</v>
      </c>
      <c r="H1088" t="s">
        <v>22</v>
      </c>
      <c r="I1088" t="s">
        <v>23</v>
      </c>
      <c r="J1088" t="s">
        <v>38</v>
      </c>
      <c r="K1088" t="s">
        <v>39</v>
      </c>
      <c r="L1088">
        <v>90045</v>
      </c>
      <c r="M1088" t="s">
        <v>40</v>
      </c>
      <c r="N1088" t="s">
        <v>4084</v>
      </c>
      <c r="O1088" t="s">
        <v>67</v>
      </c>
      <c r="P1088" t="s">
        <v>68</v>
      </c>
      <c r="Q1088" t="s">
        <v>4085</v>
      </c>
      <c r="R1088">
        <v>160.77600000000001</v>
      </c>
      <c r="S1088" t="str">
        <f>TEXT(sales_data[[#This Row],[Order Date]],"mm")</f>
        <v>01</v>
      </c>
      <c r="T1088">
        <f>YEAR(sales_data[[#This Row],[Order Date]])</f>
        <v>2018</v>
      </c>
      <c r="V1088" t="s">
        <v>4084</v>
      </c>
    </row>
    <row r="1089" spans="1:22" x14ac:dyDescent="0.35">
      <c r="A1089">
        <v>1663</v>
      </c>
      <c r="B1089" t="s">
        <v>4087</v>
      </c>
      <c r="C1089" s="1">
        <v>43220</v>
      </c>
      <c r="D1089" s="1">
        <v>43226</v>
      </c>
      <c r="E1089" t="s">
        <v>46</v>
      </c>
      <c r="F1089" t="s">
        <v>3471</v>
      </c>
      <c r="G1089" t="s">
        <v>3472</v>
      </c>
      <c r="H1089" t="s">
        <v>37</v>
      </c>
      <c r="I1089" t="s">
        <v>23</v>
      </c>
      <c r="J1089" t="s">
        <v>142</v>
      </c>
      <c r="K1089" t="s">
        <v>143</v>
      </c>
      <c r="L1089">
        <v>19143</v>
      </c>
      <c r="M1089" t="s">
        <v>144</v>
      </c>
      <c r="N1089" t="s">
        <v>4088</v>
      </c>
      <c r="O1089" t="s">
        <v>42</v>
      </c>
      <c r="P1089" t="s">
        <v>71</v>
      </c>
      <c r="Q1089" t="s">
        <v>4089</v>
      </c>
      <c r="R1089">
        <v>13.896000000000001</v>
      </c>
      <c r="S1089" t="str">
        <f>TEXT(sales_data[[#This Row],[Order Date]],"mm")</f>
        <v>04</v>
      </c>
      <c r="T1089">
        <f>YEAR(sales_data[[#This Row],[Order Date]])</f>
        <v>2018</v>
      </c>
      <c r="V1089" t="s">
        <v>4088</v>
      </c>
    </row>
    <row r="1090" spans="1:22" x14ac:dyDescent="0.35">
      <c r="A1090">
        <v>1666</v>
      </c>
      <c r="B1090" t="s">
        <v>4090</v>
      </c>
      <c r="C1090" s="1">
        <v>43063</v>
      </c>
      <c r="D1090" s="1">
        <v>43065</v>
      </c>
      <c r="E1090" t="s">
        <v>19</v>
      </c>
      <c r="F1090" t="s">
        <v>4091</v>
      </c>
      <c r="G1090" t="s">
        <v>4092</v>
      </c>
      <c r="H1090" t="s">
        <v>22</v>
      </c>
      <c r="I1090" t="s">
        <v>23</v>
      </c>
      <c r="J1090" t="s">
        <v>807</v>
      </c>
      <c r="K1090" t="s">
        <v>100</v>
      </c>
      <c r="L1090">
        <v>75217</v>
      </c>
      <c r="M1090" t="s">
        <v>101</v>
      </c>
      <c r="N1090" t="s">
        <v>4093</v>
      </c>
      <c r="O1090" t="s">
        <v>42</v>
      </c>
      <c r="P1090" t="s">
        <v>264</v>
      </c>
      <c r="Q1090" t="s">
        <v>4094</v>
      </c>
      <c r="R1090">
        <v>4.3440000000000003</v>
      </c>
      <c r="S1090" t="str">
        <f>TEXT(sales_data[[#This Row],[Order Date]],"mm")</f>
        <v>11</v>
      </c>
      <c r="T1090">
        <f>YEAR(sales_data[[#This Row],[Order Date]])</f>
        <v>2017</v>
      </c>
      <c r="V1090" t="s">
        <v>4093</v>
      </c>
    </row>
    <row r="1091" spans="1:22" x14ac:dyDescent="0.35">
      <c r="A1091">
        <v>1667</v>
      </c>
      <c r="B1091" t="s">
        <v>4090</v>
      </c>
      <c r="C1091" s="1">
        <v>43063</v>
      </c>
      <c r="D1091" s="1">
        <v>43065</v>
      </c>
      <c r="E1091" t="s">
        <v>19</v>
      </c>
      <c r="F1091" t="s">
        <v>4091</v>
      </c>
      <c r="G1091" t="s">
        <v>4092</v>
      </c>
      <c r="H1091" t="s">
        <v>22</v>
      </c>
      <c r="I1091" t="s">
        <v>23</v>
      </c>
      <c r="J1091" t="s">
        <v>807</v>
      </c>
      <c r="K1091" t="s">
        <v>100</v>
      </c>
      <c r="L1091">
        <v>75217</v>
      </c>
      <c r="M1091" t="s">
        <v>101</v>
      </c>
      <c r="N1091" t="s">
        <v>4095</v>
      </c>
      <c r="O1091" t="s">
        <v>67</v>
      </c>
      <c r="P1091" t="s">
        <v>156</v>
      </c>
      <c r="Q1091" t="s">
        <v>4096</v>
      </c>
      <c r="R1091">
        <v>94.992000000000004</v>
      </c>
      <c r="S1091" t="str">
        <f>TEXT(sales_data[[#This Row],[Order Date]],"mm")</f>
        <v>11</v>
      </c>
      <c r="T1091">
        <f>YEAR(sales_data[[#This Row],[Order Date]])</f>
        <v>2017</v>
      </c>
      <c r="V1091" t="s">
        <v>4095</v>
      </c>
    </row>
    <row r="1092" spans="1:22" x14ac:dyDescent="0.35">
      <c r="A1092">
        <v>1668</v>
      </c>
      <c r="B1092" t="s">
        <v>4090</v>
      </c>
      <c r="C1092" s="1">
        <v>43063</v>
      </c>
      <c r="D1092" s="1">
        <v>43065</v>
      </c>
      <c r="E1092" t="s">
        <v>19</v>
      </c>
      <c r="F1092" t="s">
        <v>4091</v>
      </c>
      <c r="G1092" t="s">
        <v>4092</v>
      </c>
      <c r="H1092" t="s">
        <v>22</v>
      </c>
      <c r="I1092" t="s">
        <v>23</v>
      </c>
      <c r="J1092" t="s">
        <v>807</v>
      </c>
      <c r="K1092" t="s">
        <v>100</v>
      </c>
      <c r="L1092">
        <v>75217</v>
      </c>
      <c r="M1092" t="s">
        <v>101</v>
      </c>
      <c r="N1092" t="s">
        <v>4097</v>
      </c>
      <c r="O1092" t="s">
        <v>42</v>
      </c>
      <c r="P1092" t="s">
        <v>86</v>
      </c>
      <c r="Q1092" t="s">
        <v>4098</v>
      </c>
      <c r="R1092">
        <v>74.352000000000004</v>
      </c>
      <c r="S1092" t="str">
        <f>TEXT(sales_data[[#This Row],[Order Date]],"mm")</f>
        <v>11</v>
      </c>
      <c r="T1092">
        <f>YEAR(sales_data[[#This Row],[Order Date]])</f>
        <v>2017</v>
      </c>
      <c r="V1092" t="s">
        <v>4097</v>
      </c>
    </row>
    <row r="1093" spans="1:22" x14ac:dyDescent="0.35">
      <c r="A1093">
        <v>1671</v>
      </c>
      <c r="B1093" t="s">
        <v>4099</v>
      </c>
      <c r="C1093" s="1">
        <v>43392</v>
      </c>
      <c r="D1093" s="1">
        <v>43399</v>
      </c>
      <c r="E1093" t="s">
        <v>46</v>
      </c>
      <c r="F1093" t="s">
        <v>3975</v>
      </c>
      <c r="G1093" t="s">
        <v>3976</v>
      </c>
      <c r="H1093" t="s">
        <v>22</v>
      </c>
      <c r="I1093" t="s">
        <v>23</v>
      </c>
      <c r="J1093" t="s">
        <v>179</v>
      </c>
      <c r="K1093" t="s">
        <v>100</v>
      </c>
      <c r="L1093">
        <v>77095</v>
      </c>
      <c r="M1093" t="s">
        <v>101</v>
      </c>
      <c r="N1093" t="s">
        <v>4100</v>
      </c>
      <c r="O1093" t="s">
        <v>67</v>
      </c>
      <c r="P1093" t="s">
        <v>68</v>
      </c>
      <c r="Q1093" t="s">
        <v>4101</v>
      </c>
      <c r="R1093">
        <v>16.68</v>
      </c>
      <c r="S1093" t="str">
        <f>TEXT(sales_data[[#This Row],[Order Date]],"mm")</f>
        <v>10</v>
      </c>
      <c r="T1093">
        <f>YEAR(sales_data[[#This Row],[Order Date]])</f>
        <v>2018</v>
      </c>
      <c r="V1093" t="s">
        <v>4100</v>
      </c>
    </row>
    <row r="1094" spans="1:22" x14ac:dyDescent="0.35">
      <c r="A1094">
        <v>1681</v>
      </c>
      <c r="B1094" t="s">
        <v>4110</v>
      </c>
      <c r="C1094" s="1">
        <v>42254</v>
      </c>
      <c r="D1094" s="1">
        <v>42260</v>
      </c>
      <c r="E1094" t="s">
        <v>46</v>
      </c>
      <c r="F1094" t="s">
        <v>972</v>
      </c>
      <c r="G1094" t="s">
        <v>973</v>
      </c>
      <c r="H1094" t="s">
        <v>37</v>
      </c>
      <c r="I1094" t="s">
        <v>23</v>
      </c>
      <c r="J1094" t="s">
        <v>142</v>
      </c>
      <c r="K1094" t="s">
        <v>143</v>
      </c>
      <c r="L1094">
        <v>19134</v>
      </c>
      <c r="M1094" t="s">
        <v>144</v>
      </c>
      <c r="N1094" t="s">
        <v>4111</v>
      </c>
      <c r="O1094" t="s">
        <v>28</v>
      </c>
      <c r="P1094" t="s">
        <v>61</v>
      </c>
      <c r="Q1094" t="s">
        <v>4112</v>
      </c>
      <c r="R1094">
        <v>42.368000000000002</v>
      </c>
      <c r="S1094" t="str">
        <f>TEXT(sales_data[[#This Row],[Order Date]],"mm")</f>
        <v>09</v>
      </c>
      <c r="T1094">
        <f>YEAR(sales_data[[#This Row],[Order Date]])</f>
        <v>2015</v>
      </c>
      <c r="V1094" t="s">
        <v>4111</v>
      </c>
    </row>
    <row r="1095" spans="1:22" x14ac:dyDescent="0.35">
      <c r="A1095">
        <v>1682</v>
      </c>
      <c r="B1095" t="s">
        <v>4110</v>
      </c>
      <c r="C1095" s="1">
        <v>42254</v>
      </c>
      <c r="D1095" s="1">
        <v>42260</v>
      </c>
      <c r="E1095" t="s">
        <v>46</v>
      </c>
      <c r="F1095" t="s">
        <v>972</v>
      </c>
      <c r="G1095" t="s">
        <v>973</v>
      </c>
      <c r="H1095" t="s">
        <v>37</v>
      </c>
      <c r="I1095" t="s">
        <v>23</v>
      </c>
      <c r="J1095" t="s">
        <v>142</v>
      </c>
      <c r="K1095" t="s">
        <v>143</v>
      </c>
      <c r="L1095">
        <v>19134</v>
      </c>
      <c r="M1095" t="s">
        <v>144</v>
      </c>
      <c r="N1095" t="s">
        <v>4113</v>
      </c>
      <c r="O1095" t="s">
        <v>67</v>
      </c>
      <c r="P1095" t="s">
        <v>675</v>
      </c>
      <c r="Q1095" t="s">
        <v>4114</v>
      </c>
      <c r="R1095">
        <v>399.54</v>
      </c>
      <c r="S1095" t="str">
        <f>TEXT(sales_data[[#This Row],[Order Date]],"mm")</f>
        <v>09</v>
      </c>
      <c r="T1095">
        <f>YEAR(sales_data[[#This Row],[Order Date]])</f>
        <v>2015</v>
      </c>
      <c r="V1095" t="s">
        <v>4113</v>
      </c>
    </row>
    <row r="1096" spans="1:22" x14ac:dyDescent="0.35">
      <c r="A1096">
        <v>1685</v>
      </c>
      <c r="B1096" t="s">
        <v>4117</v>
      </c>
      <c r="C1096" s="1">
        <v>43214</v>
      </c>
      <c r="D1096" s="1">
        <v>43217</v>
      </c>
      <c r="E1096" t="s">
        <v>183</v>
      </c>
      <c r="F1096" t="s">
        <v>3692</v>
      </c>
      <c r="G1096" t="s">
        <v>3693</v>
      </c>
      <c r="H1096" t="s">
        <v>37</v>
      </c>
      <c r="I1096" t="s">
        <v>23</v>
      </c>
      <c r="J1096" t="s">
        <v>142</v>
      </c>
      <c r="K1096" t="s">
        <v>143</v>
      </c>
      <c r="L1096">
        <v>19143</v>
      </c>
      <c r="M1096" t="s">
        <v>144</v>
      </c>
      <c r="N1096" t="s">
        <v>4118</v>
      </c>
      <c r="O1096" t="s">
        <v>42</v>
      </c>
      <c r="P1096" t="s">
        <v>74</v>
      </c>
      <c r="Q1096" t="s">
        <v>4119</v>
      </c>
      <c r="R1096">
        <v>99.28</v>
      </c>
      <c r="S1096" t="str">
        <f>TEXT(sales_data[[#This Row],[Order Date]],"mm")</f>
        <v>04</v>
      </c>
      <c r="T1096">
        <f>YEAR(sales_data[[#This Row],[Order Date]])</f>
        <v>2018</v>
      </c>
      <c r="V1096" t="s">
        <v>4118</v>
      </c>
    </row>
    <row r="1097" spans="1:22" x14ac:dyDescent="0.35">
      <c r="A1097">
        <v>1687</v>
      </c>
      <c r="B1097" t="s">
        <v>4117</v>
      </c>
      <c r="C1097" s="1">
        <v>43214</v>
      </c>
      <c r="D1097" s="1">
        <v>43217</v>
      </c>
      <c r="E1097" t="s">
        <v>183</v>
      </c>
      <c r="F1097" t="s">
        <v>3692</v>
      </c>
      <c r="G1097" t="s">
        <v>3693</v>
      </c>
      <c r="H1097" t="s">
        <v>37</v>
      </c>
      <c r="I1097" t="s">
        <v>23</v>
      </c>
      <c r="J1097" t="s">
        <v>142</v>
      </c>
      <c r="K1097" t="s">
        <v>143</v>
      </c>
      <c r="L1097">
        <v>19143</v>
      </c>
      <c r="M1097" t="s">
        <v>144</v>
      </c>
      <c r="N1097" t="s">
        <v>4120</v>
      </c>
      <c r="O1097" t="s">
        <v>42</v>
      </c>
      <c r="P1097" t="s">
        <v>71</v>
      </c>
      <c r="Q1097" t="s">
        <v>4121</v>
      </c>
      <c r="R1097">
        <v>7.5179999999999998</v>
      </c>
      <c r="S1097" t="str">
        <f>TEXT(sales_data[[#This Row],[Order Date]],"mm")</f>
        <v>04</v>
      </c>
      <c r="T1097">
        <f>YEAR(sales_data[[#This Row],[Order Date]])</f>
        <v>2018</v>
      </c>
      <c r="V1097" t="s">
        <v>4120</v>
      </c>
    </row>
    <row r="1098" spans="1:22" x14ac:dyDescent="0.35">
      <c r="A1098">
        <v>1694</v>
      </c>
      <c r="B1098" t="s">
        <v>4127</v>
      </c>
      <c r="C1098" s="1">
        <v>42912</v>
      </c>
      <c r="D1098" s="1">
        <v>42915</v>
      </c>
      <c r="E1098" t="s">
        <v>19</v>
      </c>
      <c r="F1098" t="s">
        <v>3533</v>
      </c>
      <c r="G1098" t="s">
        <v>3534</v>
      </c>
      <c r="H1098" t="s">
        <v>98</v>
      </c>
      <c r="I1098" t="s">
        <v>23</v>
      </c>
      <c r="J1098" t="s">
        <v>4104</v>
      </c>
      <c r="K1098" t="s">
        <v>100</v>
      </c>
      <c r="L1098">
        <v>75023</v>
      </c>
      <c r="M1098" t="s">
        <v>101</v>
      </c>
      <c r="N1098" t="s">
        <v>4128</v>
      </c>
      <c r="O1098" t="s">
        <v>67</v>
      </c>
      <c r="P1098" t="s">
        <v>156</v>
      </c>
      <c r="Q1098" t="s">
        <v>4129</v>
      </c>
      <c r="R1098">
        <v>13.616</v>
      </c>
      <c r="S1098" t="str">
        <f>TEXT(sales_data[[#This Row],[Order Date]],"mm")</f>
        <v>06</v>
      </c>
      <c r="T1098">
        <f>YEAR(sales_data[[#This Row],[Order Date]])</f>
        <v>2017</v>
      </c>
      <c r="V1098" t="s">
        <v>4128</v>
      </c>
    </row>
    <row r="1099" spans="1:22" x14ac:dyDescent="0.35">
      <c r="A1099">
        <v>1695</v>
      </c>
      <c r="B1099" t="s">
        <v>4130</v>
      </c>
      <c r="C1099" s="1">
        <v>42638</v>
      </c>
      <c r="D1099" s="1">
        <v>42641</v>
      </c>
      <c r="E1099" t="s">
        <v>19</v>
      </c>
      <c r="F1099" t="s">
        <v>2328</v>
      </c>
      <c r="G1099" t="s">
        <v>2329</v>
      </c>
      <c r="H1099" t="s">
        <v>98</v>
      </c>
      <c r="I1099" t="s">
        <v>23</v>
      </c>
      <c r="J1099" t="s">
        <v>4131</v>
      </c>
      <c r="K1099" t="s">
        <v>780</v>
      </c>
      <c r="L1099">
        <v>7002</v>
      </c>
      <c r="M1099" t="s">
        <v>144</v>
      </c>
      <c r="N1099" t="s">
        <v>4132</v>
      </c>
      <c r="O1099" t="s">
        <v>67</v>
      </c>
      <c r="P1099" t="s">
        <v>156</v>
      </c>
      <c r="Q1099" t="s">
        <v>4133</v>
      </c>
      <c r="R1099">
        <v>63.96</v>
      </c>
      <c r="S1099" t="str">
        <f>TEXT(sales_data[[#This Row],[Order Date]],"mm")</f>
        <v>09</v>
      </c>
      <c r="T1099">
        <f>YEAR(sales_data[[#This Row],[Order Date]])</f>
        <v>2016</v>
      </c>
      <c r="V1099" t="s">
        <v>4132</v>
      </c>
    </row>
    <row r="1100" spans="1:22" x14ac:dyDescent="0.35">
      <c r="A1100">
        <v>1699</v>
      </c>
      <c r="B1100" t="s">
        <v>4134</v>
      </c>
      <c r="C1100" s="1">
        <v>42731</v>
      </c>
      <c r="D1100" s="1">
        <v>42735</v>
      </c>
      <c r="E1100" t="s">
        <v>46</v>
      </c>
      <c r="F1100" t="s">
        <v>1296</v>
      </c>
      <c r="G1100" t="s">
        <v>1297</v>
      </c>
      <c r="H1100" t="s">
        <v>22</v>
      </c>
      <c r="I1100" t="s">
        <v>23</v>
      </c>
      <c r="J1100" t="s">
        <v>38</v>
      </c>
      <c r="K1100" t="s">
        <v>39</v>
      </c>
      <c r="L1100">
        <v>90008</v>
      </c>
      <c r="M1100" t="s">
        <v>40</v>
      </c>
      <c r="N1100" t="s">
        <v>4135</v>
      </c>
      <c r="O1100" t="s">
        <v>42</v>
      </c>
      <c r="P1100" t="s">
        <v>43</v>
      </c>
      <c r="Q1100" t="s">
        <v>4136</v>
      </c>
      <c r="R1100">
        <v>21.56</v>
      </c>
      <c r="S1100" t="str">
        <f>TEXT(sales_data[[#This Row],[Order Date]],"mm")</f>
        <v>12</v>
      </c>
      <c r="T1100">
        <f>YEAR(sales_data[[#This Row],[Order Date]])</f>
        <v>2016</v>
      </c>
      <c r="V1100" t="s">
        <v>4135</v>
      </c>
    </row>
    <row r="1101" spans="1:22" x14ac:dyDescent="0.35">
      <c r="A1101">
        <v>1704</v>
      </c>
      <c r="B1101" t="s">
        <v>4137</v>
      </c>
      <c r="C1101" s="1">
        <v>42037</v>
      </c>
      <c r="D1101" s="1">
        <v>42041</v>
      </c>
      <c r="E1101" t="s">
        <v>46</v>
      </c>
      <c r="F1101" t="s">
        <v>4138</v>
      </c>
      <c r="G1101" t="s">
        <v>4139</v>
      </c>
      <c r="H1101" t="s">
        <v>98</v>
      </c>
      <c r="I1101" t="s">
        <v>23</v>
      </c>
      <c r="J1101" t="s">
        <v>940</v>
      </c>
      <c r="K1101" t="s">
        <v>39</v>
      </c>
      <c r="L1101">
        <v>92037</v>
      </c>
      <c r="M1101" t="s">
        <v>40</v>
      </c>
      <c r="N1101" t="s">
        <v>4140</v>
      </c>
      <c r="O1101" t="s">
        <v>42</v>
      </c>
      <c r="P1101" t="s">
        <v>264</v>
      </c>
      <c r="Q1101" t="s">
        <v>557</v>
      </c>
      <c r="R1101">
        <v>12.35</v>
      </c>
      <c r="S1101" t="str">
        <f>TEXT(sales_data[[#This Row],[Order Date]],"mm")</f>
        <v>02</v>
      </c>
      <c r="T1101">
        <f>YEAR(sales_data[[#This Row],[Order Date]])</f>
        <v>2015</v>
      </c>
      <c r="V1101" t="s">
        <v>4140</v>
      </c>
    </row>
    <row r="1102" spans="1:22" x14ac:dyDescent="0.35">
      <c r="A1102">
        <v>1707</v>
      </c>
      <c r="B1102" t="s">
        <v>4141</v>
      </c>
      <c r="C1102" s="1">
        <v>43403</v>
      </c>
      <c r="D1102" s="1">
        <v>43409</v>
      </c>
      <c r="E1102" t="s">
        <v>46</v>
      </c>
      <c r="F1102" t="s">
        <v>4142</v>
      </c>
      <c r="G1102" t="s">
        <v>4143</v>
      </c>
      <c r="H1102" t="s">
        <v>22</v>
      </c>
      <c r="I1102" t="s">
        <v>23</v>
      </c>
      <c r="J1102" t="s">
        <v>123</v>
      </c>
      <c r="K1102" t="s">
        <v>39</v>
      </c>
      <c r="L1102">
        <v>94122</v>
      </c>
      <c r="M1102" t="s">
        <v>40</v>
      </c>
      <c r="N1102" t="s">
        <v>4144</v>
      </c>
      <c r="O1102" t="s">
        <v>42</v>
      </c>
      <c r="P1102" t="s">
        <v>43</v>
      </c>
      <c r="Q1102" t="s">
        <v>4145</v>
      </c>
      <c r="R1102">
        <v>43.86</v>
      </c>
      <c r="S1102" t="str">
        <f>TEXT(sales_data[[#This Row],[Order Date]],"mm")</f>
        <v>10</v>
      </c>
      <c r="T1102">
        <f>YEAR(sales_data[[#This Row],[Order Date]])</f>
        <v>2018</v>
      </c>
      <c r="V1102" t="s">
        <v>4144</v>
      </c>
    </row>
    <row r="1103" spans="1:22" x14ac:dyDescent="0.35">
      <c r="A1103">
        <v>1709</v>
      </c>
      <c r="B1103" t="s">
        <v>4141</v>
      </c>
      <c r="C1103" s="1">
        <v>43403</v>
      </c>
      <c r="D1103" s="1">
        <v>43409</v>
      </c>
      <c r="E1103" t="s">
        <v>46</v>
      </c>
      <c r="F1103" t="s">
        <v>4142</v>
      </c>
      <c r="G1103" t="s">
        <v>4143</v>
      </c>
      <c r="H1103" t="s">
        <v>22</v>
      </c>
      <c r="I1103" t="s">
        <v>23</v>
      </c>
      <c r="J1103" t="s">
        <v>123</v>
      </c>
      <c r="K1103" t="s">
        <v>39</v>
      </c>
      <c r="L1103">
        <v>94122</v>
      </c>
      <c r="M1103" t="s">
        <v>40</v>
      </c>
      <c r="N1103" t="s">
        <v>4146</v>
      </c>
      <c r="O1103" t="s">
        <v>42</v>
      </c>
      <c r="P1103" t="s">
        <v>86</v>
      </c>
      <c r="Q1103" t="s">
        <v>4147</v>
      </c>
      <c r="R1103">
        <v>7.42</v>
      </c>
      <c r="S1103" t="str">
        <f>TEXT(sales_data[[#This Row],[Order Date]],"mm")</f>
        <v>10</v>
      </c>
      <c r="T1103">
        <f>YEAR(sales_data[[#This Row],[Order Date]])</f>
        <v>2018</v>
      </c>
      <c r="V1103" t="s">
        <v>4146</v>
      </c>
    </row>
    <row r="1104" spans="1:22" x14ac:dyDescent="0.35">
      <c r="A1104">
        <v>1713</v>
      </c>
      <c r="B1104" t="s">
        <v>4148</v>
      </c>
      <c r="C1104" s="1">
        <v>42399</v>
      </c>
      <c r="D1104" s="1">
        <v>42404</v>
      </c>
      <c r="E1104" t="s">
        <v>46</v>
      </c>
      <c r="F1104" t="s">
        <v>1613</v>
      </c>
      <c r="G1104" t="s">
        <v>1614</v>
      </c>
      <c r="H1104" t="s">
        <v>22</v>
      </c>
      <c r="I1104" t="s">
        <v>23</v>
      </c>
      <c r="J1104" t="s">
        <v>179</v>
      </c>
      <c r="K1104" t="s">
        <v>100</v>
      </c>
      <c r="L1104">
        <v>77070</v>
      </c>
      <c r="M1104" t="s">
        <v>101</v>
      </c>
      <c r="N1104" t="s">
        <v>4149</v>
      </c>
      <c r="O1104" t="s">
        <v>42</v>
      </c>
      <c r="P1104" t="s">
        <v>86</v>
      </c>
      <c r="Q1104" t="s">
        <v>4150</v>
      </c>
      <c r="R1104">
        <v>14.304</v>
      </c>
      <c r="S1104" t="str">
        <f>TEXT(sales_data[[#This Row],[Order Date]],"mm")</f>
        <v>01</v>
      </c>
      <c r="T1104">
        <f>YEAR(sales_data[[#This Row],[Order Date]])</f>
        <v>2016</v>
      </c>
      <c r="V1104" t="s">
        <v>4149</v>
      </c>
    </row>
    <row r="1105" spans="1:22" x14ac:dyDescent="0.35">
      <c r="A1105">
        <v>1715</v>
      </c>
      <c r="B1105" t="s">
        <v>4151</v>
      </c>
      <c r="C1105" s="1">
        <v>43380</v>
      </c>
      <c r="D1105" s="1">
        <v>43386</v>
      </c>
      <c r="E1105" t="s">
        <v>46</v>
      </c>
      <c r="F1105" t="s">
        <v>2365</v>
      </c>
      <c r="G1105" t="s">
        <v>2366</v>
      </c>
      <c r="H1105" t="s">
        <v>22</v>
      </c>
      <c r="I1105" t="s">
        <v>23</v>
      </c>
      <c r="J1105" t="s">
        <v>123</v>
      </c>
      <c r="K1105" t="s">
        <v>39</v>
      </c>
      <c r="L1105">
        <v>94110</v>
      </c>
      <c r="M1105" t="s">
        <v>40</v>
      </c>
      <c r="N1105" t="s">
        <v>4152</v>
      </c>
      <c r="O1105" t="s">
        <v>28</v>
      </c>
      <c r="P1105" t="s">
        <v>29</v>
      </c>
      <c r="Q1105" t="s">
        <v>4153</v>
      </c>
      <c r="R1105">
        <v>307.666</v>
      </c>
      <c r="S1105" t="str">
        <f>TEXT(sales_data[[#This Row],[Order Date]],"mm")</f>
        <v>10</v>
      </c>
      <c r="T1105">
        <f>YEAR(sales_data[[#This Row],[Order Date]])</f>
        <v>2018</v>
      </c>
      <c r="V1105" t="s">
        <v>4152</v>
      </c>
    </row>
    <row r="1106" spans="1:22" x14ac:dyDescent="0.35">
      <c r="A1106">
        <v>1719</v>
      </c>
      <c r="B1106" t="s">
        <v>4154</v>
      </c>
      <c r="C1106" s="1">
        <v>42874</v>
      </c>
      <c r="D1106" s="1">
        <v>42879</v>
      </c>
      <c r="E1106" t="s">
        <v>46</v>
      </c>
      <c r="F1106" t="s">
        <v>1736</v>
      </c>
      <c r="G1106" t="s">
        <v>1737</v>
      </c>
      <c r="H1106" t="s">
        <v>22</v>
      </c>
      <c r="I1106" t="s">
        <v>23</v>
      </c>
      <c r="J1106" t="s">
        <v>261</v>
      </c>
      <c r="K1106" t="s">
        <v>262</v>
      </c>
      <c r="L1106">
        <v>10011</v>
      </c>
      <c r="M1106" t="s">
        <v>144</v>
      </c>
      <c r="N1106" t="s">
        <v>4155</v>
      </c>
      <c r="O1106" t="s">
        <v>28</v>
      </c>
      <c r="P1106" t="s">
        <v>61</v>
      </c>
      <c r="Q1106" t="s">
        <v>4156</v>
      </c>
      <c r="R1106">
        <v>35.92</v>
      </c>
      <c r="S1106" t="str">
        <f>TEXT(sales_data[[#This Row],[Order Date]],"mm")</f>
        <v>05</v>
      </c>
      <c r="T1106">
        <f>YEAR(sales_data[[#This Row],[Order Date]])</f>
        <v>2017</v>
      </c>
      <c r="V1106" t="s">
        <v>4155</v>
      </c>
    </row>
    <row r="1107" spans="1:22" x14ac:dyDescent="0.35">
      <c r="A1107">
        <v>1723</v>
      </c>
      <c r="B1107" t="s">
        <v>4157</v>
      </c>
      <c r="C1107" s="1">
        <v>42724</v>
      </c>
      <c r="D1107" s="1">
        <v>42729</v>
      </c>
      <c r="E1107" t="s">
        <v>46</v>
      </c>
      <c r="F1107" t="s">
        <v>424</v>
      </c>
      <c r="G1107" t="s">
        <v>425</v>
      </c>
      <c r="H1107" t="s">
        <v>22</v>
      </c>
      <c r="I1107" t="s">
        <v>23</v>
      </c>
      <c r="J1107" t="s">
        <v>298</v>
      </c>
      <c r="K1107" t="s">
        <v>206</v>
      </c>
      <c r="L1107">
        <v>60623</v>
      </c>
      <c r="M1107" t="s">
        <v>101</v>
      </c>
      <c r="N1107" t="s">
        <v>4158</v>
      </c>
      <c r="O1107" t="s">
        <v>67</v>
      </c>
      <c r="P1107" t="s">
        <v>156</v>
      </c>
      <c r="Q1107" t="s">
        <v>4159</v>
      </c>
      <c r="R1107">
        <v>255.96799999999999</v>
      </c>
      <c r="S1107" t="str">
        <f>TEXT(sales_data[[#This Row],[Order Date]],"mm")</f>
        <v>12</v>
      </c>
      <c r="T1107">
        <f>YEAR(sales_data[[#This Row],[Order Date]])</f>
        <v>2016</v>
      </c>
      <c r="V1107" t="s">
        <v>4158</v>
      </c>
    </row>
    <row r="1108" spans="1:22" x14ac:dyDescent="0.35">
      <c r="A1108">
        <v>1724</v>
      </c>
      <c r="B1108" t="s">
        <v>4157</v>
      </c>
      <c r="C1108" s="1">
        <v>42724</v>
      </c>
      <c r="D1108" s="1">
        <v>42729</v>
      </c>
      <c r="E1108" t="s">
        <v>46</v>
      </c>
      <c r="F1108" t="s">
        <v>424</v>
      </c>
      <c r="G1108" t="s">
        <v>425</v>
      </c>
      <c r="H1108" t="s">
        <v>22</v>
      </c>
      <c r="I1108" t="s">
        <v>23</v>
      </c>
      <c r="J1108" t="s">
        <v>298</v>
      </c>
      <c r="K1108" t="s">
        <v>206</v>
      </c>
      <c r="L1108">
        <v>60623</v>
      </c>
      <c r="M1108" t="s">
        <v>101</v>
      </c>
      <c r="N1108" t="s">
        <v>4160</v>
      </c>
      <c r="O1108" t="s">
        <v>28</v>
      </c>
      <c r="P1108" t="s">
        <v>29</v>
      </c>
      <c r="Q1108" t="s">
        <v>4161</v>
      </c>
      <c r="R1108">
        <v>359.05799999999999</v>
      </c>
      <c r="S1108" t="str">
        <f>TEXT(sales_data[[#This Row],[Order Date]],"mm")</f>
        <v>12</v>
      </c>
      <c r="T1108">
        <f>YEAR(sales_data[[#This Row],[Order Date]])</f>
        <v>2016</v>
      </c>
      <c r="V1108" t="s">
        <v>4160</v>
      </c>
    </row>
    <row r="1109" spans="1:22" x14ac:dyDescent="0.35">
      <c r="A1109">
        <v>1725</v>
      </c>
      <c r="B1109" t="s">
        <v>4162</v>
      </c>
      <c r="C1109" s="1">
        <v>42723</v>
      </c>
      <c r="D1109" s="1">
        <v>42724</v>
      </c>
      <c r="E1109" t="s">
        <v>183</v>
      </c>
      <c r="F1109" t="s">
        <v>2235</v>
      </c>
      <c r="G1109" t="s">
        <v>2236</v>
      </c>
      <c r="H1109" t="s">
        <v>22</v>
      </c>
      <c r="I1109" t="s">
        <v>23</v>
      </c>
      <c r="J1109" t="s">
        <v>142</v>
      </c>
      <c r="K1109" t="s">
        <v>143</v>
      </c>
      <c r="L1109">
        <v>19143</v>
      </c>
      <c r="M1109" t="s">
        <v>144</v>
      </c>
      <c r="N1109" t="s">
        <v>4163</v>
      </c>
      <c r="O1109" t="s">
        <v>42</v>
      </c>
      <c r="P1109" t="s">
        <v>74</v>
      </c>
      <c r="Q1109" t="s">
        <v>4164</v>
      </c>
      <c r="R1109">
        <v>434.35199999999998</v>
      </c>
      <c r="S1109" t="str">
        <f>TEXT(sales_data[[#This Row],[Order Date]],"mm")</f>
        <v>12</v>
      </c>
      <c r="T1109">
        <f>YEAR(sales_data[[#This Row],[Order Date]])</f>
        <v>2016</v>
      </c>
      <c r="V1109" t="s">
        <v>4163</v>
      </c>
    </row>
    <row r="1110" spans="1:22" x14ac:dyDescent="0.35">
      <c r="A1110">
        <v>1726</v>
      </c>
      <c r="B1110" t="s">
        <v>4162</v>
      </c>
      <c r="C1110" s="1">
        <v>42723</v>
      </c>
      <c r="D1110" s="1">
        <v>42724</v>
      </c>
      <c r="E1110" t="s">
        <v>183</v>
      </c>
      <c r="F1110" t="s">
        <v>2235</v>
      </c>
      <c r="G1110" t="s">
        <v>2236</v>
      </c>
      <c r="H1110" t="s">
        <v>22</v>
      </c>
      <c r="I1110" t="s">
        <v>23</v>
      </c>
      <c r="J1110" t="s">
        <v>142</v>
      </c>
      <c r="K1110" t="s">
        <v>143</v>
      </c>
      <c r="L1110">
        <v>19143</v>
      </c>
      <c r="M1110" t="s">
        <v>144</v>
      </c>
      <c r="N1110" t="s">
        <v>4165</v>
      </c>
      <c r="O1110" t="s">
        <v>42</v>
      </c>
      <c r="P1110" t="s">
        <v>74</v>
      </c>
      <c r="Q1110" t="s">
        <v>4166</v>
      </c>
      <c r="R1110">
        <v>3.552</v>
      </c>
      <c r="S1110" t="str">
        <f>TEXT(sales_data[[#This Row],[Order Date]],"mm")</f>
        <v>12</v>
      </c>
      <c r="T1110">
        <f>YEAR(sales_data[[#This Row],[Order Date]])</f>
        <v>2016</v>
      </c>
      <c r="V1110" t="s">
        <v>4165</v>
      </c>
    </row>
    <row r="1111" spans="1:22" x14ac:dyDescent="0.35">
      <c r="A1111">
        <v>1727</v>
      </c>
      <c r="B1111" t="s">
        <v>4162</v>
      </c>
      <c r="C1111" s="1">
        <v>42723</v>
      </c>
      <c r="D1111" s="1">
        <v>42724</v>
      </c>
      <c r="E1111" t="s">
        <v>183</v>
      </c>
      <c r="F1111" t="s">
        <v>2235</v>
      </c>
      <c r="G1111" t="s">
        <v>2236</v>
      </c>
      <c r="H1111" t="s">
        <v>22</v>
      </c>
      <c r="I1111" t="s">
        <v>23</v>
      </c>
      <c r="J1111" t="s">
        <v>142</v>
      </c>
      <c r="K1111" t="s">
        <v>143</v>
      </c>
      <c r="L1111">
        <v>19143</v>
      </c>
      <c r="M1111" t="s">
        <v>144</v>
      </c>
      <c r="N1111" t="s">
        <v>4167</v>
      </c>
      <c r="O1111" t="s">
        <v>42</v>
      </c>
      <c r="P1111" t="s">
        <v>74</v>
      </c>
      <c r="Q1111" t="s">
        <v>4168</v>
      </c>
      <c r="R1111">
        <v>88.831999999999994</v>
      </c>
      <c r="S1111" t="str">
        <f>TEXT(sales_data[[#This Row],[Order Date]],"mm")</f>
        <v>12</v>
      </c>
      <c r="T1111">
        <f>YEAR(sales_data[[#This Row],[Order Date]])</f>
        <v>2016</v>
      </c>
      <c r="V1111" t="s">
        <v>4167</v>
      </c>
    </row>
    <row r="1112" spans="1:22" x14ac:dyDescent="0.35">
      <c r="A1112">
        <v>1728</v>
      </c>
      <c r="B1112" t="s">
        <v>4169</v>
      </c>
      <c r="C1112" s="1">
        <v>43219</v>
      </c>
      <c r="D1112" s="1">
        <v>43224</v>
      </c>
      <c r="E1112" t="s">
        <v>19</v>
      </c>
      <c r="F1112" t="s">
        <v>4170</v>
      </c>
      <c r="G1112" t="s">
        <v>4171</v>
      </c>
      <c r="H1112" t="s">
        <v>37</v>
      </c>
      <c r="I1112" t="s">
        <v>23</v>
      </c>
      <c r="J1112" t="s">
        <v>858</v>
      </c>
      <c r="K1112" t="s">
        <v>493</v>
      </c>
      <c r="L1112">
        <v>43017</v>
      </c>
      <c r="M1112" t="s">
        <v>144</v>
      </c>
      <c r="N1112" t="s">
        <v>4172</v>
      </c>
      <c r="O1112" t="s">
        <v>28</v>
      </c>
      <c r="P1112" t="s">
        <v>52</v>
      </c>
      <c r="Q1112" t="s">
        <v>4173</v>
      </c>
      <c r="R1112">
        <v>1048.3499999999999</v>
      </c>
      <c r="S1112" t="str">
        <f>TEXT(sales_data[[#This Row],[Order Date]],"mm")</f>
        <v>04</v>
      </c>
      <c r="T1112">
        <f>YEAR(sales_data[[#This Row],[Order Date]])</f>
        <v>2018</v>
      </c>
      <c r="V1112" t="s">
        <v>4172</v>
      </c>
    </row>
    <row r="1113" spans="1:22" x14ac:dyDescent="0.35">
      <c r="A1113">
        <v>1731</v>
      </c>
      <c r="B1113" t="s">
        <v>4174</v>
      </c>
      <c r="C1113" s="1">
        <v>42275</v>
      </c>
      <c r="D1113" s="1">
        <v>42280</v>
      </c>
      <c r="E1113" t="s">
        <v>46</v>
      </c>
      <c r="F1113" t="s">
        <v>3758</v>
      </c>
      <c r="G1113" t="s">
        <v>3759</v>
      </c>
      <c r="H1113" t="s">
        <v>37</v>
      </c>
      <c r="I1113" t="s">
        <v>23</v>
      </c>
      <c r="J1113" t="s">
        <v>1691</v>
      </c>
      <c r="K1113" t="s">
        <v>84</v>
      </c>
      <c r="L1113">
        <v>28314</v>
      </c>
      <c r="M1113" t="s">
        <v>26</v>
      </c>
      <c r="N1113" t="s">
        <v>4175</v>
      </c>
      <c r="O1113" t="s">
        <v>42</v>
      </c>
      <c r="P1113" t="s">
        <v>86</v>
      </c>
      <c r="Q1113" t="s">
        <v>4176</v>
      </c>
      <c r="R1113">
        <v>96.256</v>
      </c>
      <c r="S1113" t="str">
        <f>TEXT(sales_data[[#This Row],[Order Date]],"mm")</f>
        <v>09</v>
      </c>
      <c r="T1113">
        <f>YEAR(sales_data[[#This Row],[Order Date]])</f>
        <v>2015</v>
      </c>
      <c r="V1113" t="s">
        <v>4175</v>
      </c>
    </row>
    <row r="1114" spans="1:22" x14ac:dyDescent="0.35">
      <c r="A1114">
        <v>1735</v>
      </c>
      <c r="B1114" t="s">
        <v>4177</v>
      </c>
      <c r="C1114" s="1">
        <v>43310</v>
      </c>
      <c r="D1114" s="1">
        <v>43313</v>
      </c>
      <c r="E1114" t="s">
        <v>19</v>
      </c>
      <c r="F1114" t="s">
        <v>1396</v>
      </c>
      <c r="G1114" t="s">
        <v>1397</v>
      </c>
      <c r="H1114" t="s">
        <v>22</v>
      </c>
      <c r="I1114" t="s">
        <v>23</v>
      </c>
      <c r="J1114" t="s">
        <v>1509</v>
      </c>
      <c r="K1114" t="s">
        <v>84</v>
      </c>
      <c r="L1114">
        <v>28540</v>
      </c>
      <c r="M1114" t="s">
        <v>26</v>
      </c>
      <c r="N1114" t="s">
        <v>4178</v>
      </c>
      <c r="O1114" t="s">
        <v>42</v>
      </c>
      <c r="P1114" t="s">
        <v>74</v>
      </c>
      <c r="Q1114" t="s">
        <v>4179</v>
      </c>
      <c r="R1114">
        <v>34.847999999999999</v>
      </c>
      <c r="S1114" t="str">
        <f>TEXT(sales_data[[#This Row],[Order Date]],"mm")</f>
        <v>07</v>
      </c>
      <c r="T1114">
        <f>YEAR(sales_data[[#This Row],[Order Date]])</f>
        <v>2018</v>
      </c>
      <c r="V1114" t="s">
        <v>4178</v>
      </c>
    </row>
    <row r="1115" spans="1:22" x14ac:dyDescent="0.35">
      <c r="A1115">
        <v>1740</v>
      </c>
      <c r="B1115" t="s">
        <v>4180</v>
      </c>
      <c r="C1115" s="1">
        <v>42616</v>
      </c>
      <c r="D1115" s="1">
        <v>42622</v>
      </c>
      <c r="E1115" t="s">
        <v>46</v>
      </c>
      <c r="F1115" t="s">
        <v>902</v>
      </c>
      <c r="G1115" t="s">
        <v>903</v>
      </c>
      <c r="H1115" t="s">
        <v>37</v>
      </c>
      <c r="I1115" t="s">
        <v>23</v>
      </c>
      <c r="J1115" t="s">
        <v>123</v>
      </c>
      <c r="K1115" t="s">
        <v>39</v>
      </c>
      <c r="L1115">
        <v>94122</v>
      </c>
      <c r="M1115" t="s">
        <v>40</v>
      </c>
      <c r="N1115" t="s">
        <v>4181</v>
      </c>
      <c r="O1115" t="s">
        <v>67</v>
      </c>
      <c r="P1115" t="s">
        <v>156</v>
      </c>
      <c r="Q1115" t="s">
        <v>4182</v>
      </c>
      <c r="R1115">
        <v>129.44999999999999</v>
      </c>
      <c r="S1115" t="str">
        <f>TEXT(sales_data[[#This Row],[Order Date]],"mm")</f>
        <v>09</v>
      </c>
      <c r="T1115">
        <f>YEAR(sales_data[[#This Row],[Order Date]])</f>
        <v>2016</v>
      </c>
      <c r="V1115" t="s">
        <v>4181</v>
      </c>
    </row>
    <row r="1116" spans="1:22" x14ac:dyDescent="0.35">
      <c r="A1116">
        <v>1742</v>
      </c>
      <c r="B1116" t="s">
        <v>4184</v>
      </c>
      <c r="C1116" s="1">
        <v>43403</v>
      </c>
      <c r="D1116" s="1">
        <v>43407</v>
      </c>
      <c r="E1116" t="s">
        <v>46</v>
      </c>
      <c r="F1116" t="s">
        <v>3948</v>
      </c>
      <c r="G1116" t="s">
        <v>3949</v>
      </c>
      <c r="H1116" t="s">
        <v>22</v>
      </c>
      <c r="I1116" t="s">
        <v>23</v>
      </c>
      <c r="J1116" t="s">
        <v>142</v>
      </c>
      <c r="K1116" t="s">
        <v>143</v>
      </c>
      <c r="L1116">
        <v>19140</v>
      </c>
      <c r="M1116" t="s">
        <v>144</v>
      </c>
      <c r="N1116" t="s">
        <v>4185</v>
      </c>
      <c r="O1116" t="s">
        <v>42</v>
      </c>
      <c r="P1116" t="s">
        <v>86</v>
      </c>
      <c r="Q1116" t="s">
        <v>4186</v>
      </c>
      <c r="R1116">
        <v>20.736000000000001</v>
      </c>
      <c r="S1116" t="str">
        <f>TEXT(sales_data[[#This Row],[Order Date]],"mm")</f>
        <v>10</v>
      </c>
      <c r="T1116">
        <f>YEAR(sales_data[[#This Row],[Order Date]])</f>
        <v>2018</v>
      </c>
      <c r="V1116" t="s">
        <v>4185</v>
      </c>
    </row>
    <row r="1117" spans="1:22" x14ac:dyDescent="0.35">
      <c r="A1117">
        <v>1748</v>
      </c>
      <c r="B1117" t="s">
        <v>4187</v>
      </c>
      <c r="C1117" s="1">
        <v>42960</v>
      </c>
      <c r="D1117" s="1">
        <v>42964</v>
      </c>
      <c r="E1117" t="s">
        <v>19</v>
      </c>
      <c r="F1117" t="s">
        <v>1645</v>
      </c>
      <c r="G1117" t="s">
        <v>1646</v>
      </c>
      <c r="H1117" t="s">
        <v>22</v>
      </c>
      <c r="I1117" t="s">
        <v>23</v>
      </c>
      <c r="J1117" t="s">
        <v>1509</v>
      </c>
      <c r="K1117" t="s">
        <v>84</v>
      </c>
      <c r="L1117">
        <v>28540</v>
      </c>
      <c r="M1117" t="s">
        <v>26</v>
      </c>
      <c r="N1117" t="s">
        <v>4188</v>
      </c>
      <c r="O1117" t="s">
        <v>42</v>
      </c>
      <c r="P1117" t="s">
        <v>86</v>
      </c>
      <c r="Q1117" t="s">
        <v>181</v>
      </c>
      <c r="R1117">
        <v>10.272</v>
      </c>
      <c r="S1117" t="str">
        <f>TEXT(sales_data[[#This Row],[Order Date]],"mm")</f>
        <v>08</v>
      </c>
      <c r="T1117">
        <f>YEAR(sales_data[[#This Row],[Order Date]])</f>
        <v>2017</v>
      </c>
      <c r="V1117" t="s">
        <v>4188</v>
      </c>
    </row>
    <row r="1118" spans="1:22" x14ac:dyDescent="0.35">
      <c r="A1118">
        <v>1751</v>
      </c>
      <c r="B1118" t="s">
        <v>4191</v>
      </c>
      <c r="C1118" s="1">
        <v>42696</v>
      </c>
      <c r="D1118" s="1">
        <v>42701</v>
      </c>
      <c r="E1118" t="s">
        <v>46</v>
      </c>
      <c r="F1118" t="s">
        <v>2044</v>
      </c>
      <c r="G1118" t="s">
        <v>2045</v>
      </c>
      <c r="H1118" t="s">
        <v>98</v>
      </c>
      <c r="I1118" t="s">
        <v>23</v>
      </c>
      <c r="J1118" t="s">
        <v>671</v>
      </c>
      <c r="K1118" t="s">
        <v>100</v>
      </c>
      <c r="L1118">
        <v>78207</v>
      </c>
      <c r="M1118" t="s">
        <v>101</v>
      </c>
      <c r="N1118" t="s">
        <v>4192</v>
      </c>
      <c r="O1118" t="s">
        <v>28</v>
      </c>
      <c r="P1118" t="s">
        <v>52</v>
      </c>
      <c r="Q1118" t="s">
        <v>4193</v>
      </c>
      <c r="R1118">
        <v>206.96199999999999</v>
      </c>
      <c r="S1118" t="str">
        <f>TEXT(sales_data[[#This Row],[Order Date]],"mm")</f>
        <v>11</v>
      </c>
      <c r="T1118">
        <f>YEAR(sales_data[[#This Row],[Order Date]])</f>
        <v>2016</v>
      </c>
      <c r="V1118" t="s">
        <v>4192</v>
      </c>
    </row>
    <row r="1119" spans="1:22" x14ac:dyDescent="0.35">
      <c r="A1119">
        <v>1755</v>
      </c>
      <c r="B1119" t="s">
        <v>4196</v>
      </c>
      <c r="C1119" s="1">
        <v>43436</v>
      </c>
      <c r="D1119" s="1">
        <v>43439</v>
      </c>
      <c r="E1119" t="s">
        <v>183</v>
      </c>
      <c r="F1119" t="s">
        <v>839</v>
      </c>
      <c r="G1119" t="s">
        <v>840</v>
      </c>
      <c r="H1119" t="s">
        <v>37</v>
      </c>
      <c r="I1119" t="s">
        <v>23</v>
      </c>
      <c r="J1119" t="s">
        <v>123</v>
      </c>
      <c r="K1119" t="s">
        <v>39</v>
      </c>
      <c r="L1119">
        <v>94122</v>
      </c>
      <c r="M1119" t="s">
        <v>40</v>
      </c>
      <c r="N1119" t="s">
        <v>4197</v>
      </c>
      <c r="O1119" t="s">
        <v>42</v>
      </c>
      <c r="P1119" t="s">
        <v>86</v>
      </c>
      <c r="Q1119" t="s">
        <v>4198</v>
      </c>
      <c r="R1119">
        <v>8.56</v>
      </c>
      <c r="S1119" t="str">
        <f>TEXT(sales_data[[#This Row],[Order Date]],"mm")</f>
        <v>12</v>
      </c>
      <c r="T1119">
        <f>YEAR(sales_data[[#This Row],[Order Date]])</f>
        <v>2018</v>
      </c>
      <c r="V1119" t="s">
        <v>4197</v>
      </c>
    </row>
    <row r="1120" spans="1:22" x14ac:dyDescent="0.35">
      <c r="A1120">
        <v>1757</v>
      </c>
      <c r="B1120" t="s">
        <v>4199</v>
      </c>
      <c r="C1120" s="1">
        <v>42712</v>
      </c>
      <c r="D1120" s="1">
        <v>42715</v>
      </c>
      <c r="E1120" t="s">
        <v>19</v>
      </c>
      <c r="F1120" t="s">
        <v>3953</v>
      </c>
      <c r="G1120" t="s">
        <v>3954</v>
      </c>
      <c r="H1120" t="s">
        <v>98</v>
      </c>
      <c r="I1120" t="s">
        <v>23</v>
      </c>
      <c r="J1120" t="s">
        <v>99</v>
      </c>
      <c r="K1120" t="s">
        <v>100</v>
      </c>
      <c r="L1120">
        <v>76106</v>
      </c>
      <c r="M1120" t="s">
        <v>101</v>
      </c>
      <c r="N1120" t="s">
        <v>4200</v>
      </c>
      <c r="O1120" t="s">
        <v>67</v>
      </c>
      <c r="P1120" t="s">
        <v>68</v>
      </c>
      <c r="Q1120" t="s">
        <v>4201</v>
      </c>
      <c r="R1120">
        <v>1718.4</v>
      </c>
      <c r="S1120" t="str">
        <f>TEXT(sales_data[[#This Row],[Order Date]],"mm")</f>
        <v>12</v>
      </c>
      <c r="T1120">
        <f>YEAR(sales_data[[#This Row],[Order Date]])</f>
        <v>2016</v>
      </c>
      <c r="V1120" t="s">
        <v>4200</v>
      </c>
    </row>
    <row r="1121" spans="1:22" x14ac:dyDescent="0.35">
      <c r="A1121">
        <v>1761</v>
      </c>
      <c r="B1121" t="s">
        <v>4203</v>
      </c>
      <c r="C1121" s="1">
        <v>42618</v>
      </c>
      <c r="D1121" s="1">
        <v>42622</v>
      </c>
      <c r="E1121" t="s">
        <v>46</v>
      </c>
      <c r="F1121" t="s">
        <v>1296</v>
      </c>
      <c r="G1121" t="s">
        <v>1297</v>
      </c>
      <c r="H1121" t="s">
        <v>22</v>
      </c>
      <c r="I1121" t="s">
        <v>23</v>
      </c>
      <c r="J1121" t="s">
        <v>940</v>
      </c>
      <c r="K1121" t="s">
        <v>39</v>
      </c>
      <c r="L1121">
        <v>92105</v>
      </c>
      <c r="M1121" t="s">
        <v>40</v>
      </c>
      <c r="N1121" t="s">
        <v>4204</v>
      </c>
      <c r="O1121" t="s">
        <v>28</v>
      </c>
      <c r="P1121" t="s">
        <v>29</v>
      </c>
      <c r="Q1121" t="s">
        <v>4205</v>
      </c>
      <c r="R1121">
        <v>411.33199999999999</v>
      </c>
      <c r="S1121" t="str">
        <f>TEXT(sales_data[[#This Row],[Order Date]],"mm")</f>
        <v>09</v>
      </c>
      <c r="T1121">
        <f>YEAR(sales_data[[#This Row],[Order Date]])</f>
        <v>2016</v>
      </c>
      <c r="V1121" t="s">
        <v>4204</v>
      </c>
    </row>
    <row r="1122" spans="1:22" x14ac:dyDescent="0.35">
      <c r="A1122">
        <v>1762</v>
      </c>
      <c r="B1122" t="s">
        <v>4203</v>
      </c>
      <c r="C1122" s="1">
        <v>42618</v>
      </c>
      <c r="D1122" s="1">
        <v>42622</v>
      </c>
      <c r="E1122" t="s">
        <v>46</v>
      </c>
      <c r="F1122" t="s">
        <v>1296</v>
      </c>
      <c r="G1122" t="s">
        <v>1297</v>
      </c>
      <c r="H1122" t="s">
        <v>22</v>
      </c>
      <c r="I1122" t="s">
        <v>23</v>
      </c>
      <c r="J1122" t="s">
        <v>940</v>
      </c>
      <c r="K1122" t="s">
        <v>39</v>
      </c>
      <c r="L1122">
        <v>92105</v>
      </c>
      <c r="M1122" t="s">
        <v>40</v>
      </c>
      <c r="N1122" t="s">
        <v>4206</v>
      </c>
      <c r="O1122" t="s">
        <v>42</v>
      </c>
      <c r="P1122" t="s">
        <v>71</v>
      </c>
      <c r="Q1122" t="s">
        <v>4207</v>
      </c>
      <c r="R1122">
        <v>28.751999999999999</v>
      </c>
      <c r="S1122" t="str">
        <f>TEXT(sales_data[[#This Row],[Order Date]],"mm")</f>
        <v>09</v>
      </c>
      <c r="T1122">
        <f>YEAR(sales_data[[#This Row],[Order Date]])</f>
        <v>2016</v>
      </c>
      <c r="V1122" t="s">
        <v>4206</v>
      </c>
    </row>
    <row r="1123" spans="1:22" x14ac:dyDescent="0.35">
      <c r="A1123">
        <v>1763</v>
      </c>
      <c r="B1123" t="s">
        <v>4203</v>
      </c>
      <c r="C1123" s="1">
        <v>42618</v>
      </c>
      <c r="D1123" s="1">
        <v>42622</v>
      </c>
      <c r="E1123" t="s">
        <v>46</v>
      </c>
      <c r="F1123" t="s">
        <v>1296</v>
      </c>
      <c r="G1123" t="s">
        <v>1297</v>
      </c>
      <c r="H1123" t="s">
        <v>22</v>
      </c>
      <c r="I1123" t="s">
        <v>23</v>
      </c>
      <c r="J1123" t="s">
        <v>940</v>
      </c>
      <c r="K1123" t="s">
        <v>39</v>
      </c>
      <c r="L1123">
        <v>92105</v>
      </c>
      <c r="M1123" t="s">
        <v>40</v>
      </c>
      <c r="N1123" t="s">
        <v>4208</v>
      </c>
      <c r="O1123" t="s">
        <v>28</v>
      </c>
      <c r="P1123" t="s">
        <v>29</v>
      </c>
      <c r="Q1123" t="s">
        <v>4209</v>
      </c>
      <c r="R1123">
        <v>293.19900000000001</v>
      </c>
      <c r="S1123" t="str">
        <f>TEXT(sales_data[[#This Row],[Order Date]],"mm")</f>
        <v>09</v>
      </c>
      <c r="T1123">
        <f>YEAR(sales_data[[#This Row],[Order Date]])</f>
        <v>2016</v>
      </c>
      <c r="V1123" t="s">
        <v>4208</v>
      </c>
    </row>
    <row r="1124" spans="1:22" x14ac:dyDescent="0.35">
      <c r="A1124">
        <v>1766</v>
      </c>
      <c r="B1124" t="s">
        <v>4210</v>
      </c>
      <c r="C1124" s="1">
        <v>42951</v>
      </c>
      <c r="D1124" s="1">
        <v>42955</v>
      </c>
      <c r="E1124" t="s">
        <v>46</v>
      </c>
      <c r="F1124" t="s">
        <v>4211</v>
      </c>
      <c r="G1124" t="s">
        <v>4212</v>
      </c>
      <c r="H1124" t="s">
        <v>98</v>
      </c>
      <c r="I1124" t="s">
        <v>23</v>
      </c>
      <c r="J1124" t="s">
        <v>4107</v>
      </c>
      <c r="K1124" t="s">
        <v>314</v>
      </c>
      <c r="L1124">
        <v>23434</v>
      </c>
      <c r="M1124" t="s">
        <v>26</v>
      </c>
      <c r="N1124" t="s">
        <v>4213</v>
      </c>
      <c r="O1124" t="s">
        <v>28</v>
      </c>
      <c r="P1124" t="s">
        <v>61</v>
      </c>
      <c r="Q1124" t="s">
        <v>4214</v>
      </c>
      <c r="R1124">
        <v>109.8</v>
      </c>
      <c r="S1124" t="str">
        <f>TEXT(sales_data[[#This Row],[Order Date]],"mm")</f>
        <v>08</v>
      </c>
      <c r="T1124">
        <f>YEAR(sales_data[[#This Row],[Order Date]])</f>
        <v>2017</v>
      </c>
      <c r="V1124" t="s">
        <v>4213</v>
      </c>
    </row>
    <row r="1125" spans="1:22" x14ac:dyDescent="0.35">
      <c r="A1125">
        <v>1767</v>
      </c>
      <c r="B1125" t="s">
        <v>4210</v>
      </c>
      <c r="C1125" s="1">
        <v>42951</v>
      </c>
      <c r="D1125" s="1">
        <v>42955</v>
      </c>
      <c r="E1125" t="s">
        <v>46</v>
      </c>
      <c r="F1125" t="s">
        <v>4211</v>
      </c>
      <c r="G1125" t="s">
        <v>4212</v>
      </c>
      <c r="H1125" t="s">
        <v>98</v>
      </c>
      <c r="I1125" t="s">
        <v>23</v>
      </c>
      <c r="J1125" t="s">
        <v>4107</v>
      </c>
      <c r="K1125" t="s">
        <v>314</v>
      </c>
      <c r="L1125">
        <v>23434</v>
      </c>
      <c r="M1125" t="s">
        <v>26</v>
      </c>
      <c r="N1125" t="s">
        <v>4215</v>
      </c>
      <c r="O1125" t="s">
        <v>42</v>
      </c>
      <c r="P1125" t="s">
        <v>43</v>
      </c>
      <c r="Q1125" t="s">
        <v>4216</v>
      </c>
      <c r="R1125">
        <v>9.82</v>
      </c>
      <c r="S1125" t="str">
        <f>TEXT(sales_data[[#This Row],[Order Date]],"mm")</f>
        <v>08</v>
      </c>
      <c r="T1125">
        <f>YEAR(sales_data[[#This Row],[Order Date]])</f>
        <v>2017</v>
      </c>
      <c r="V1125" t="s">
        <v>4215</v>
      </c>
    </row>
    <row r="1126" spans="1:22" x14ac:dyDescent="0.35">
      <c r="A1126">
        <v>1774</v>
      </c>
      <c r="B1126" t="s">
        <v>4219</v>
      </c>
      <c r="C1126" s="1">
        <v>42122</v>
      </c>
      <c r="D1126" s="1">
        <v>42127</v>
      </c>
      <c r="E1126" t="s">
        <v>46</v>
      </c>
      <c r="F1126" t="s">
        <v>3969</v>
      </c>
      <c r="G1126" t="s">
        <v>3970</v>
      </c>
      <c r="H1126" t="s">
        <v>37</v>
      </c>
      <c r="I1126" t="s">
        <v>23</v>
      </c>
      <c r="J1126" t="s">
        <v>4220</v>
      </c>
      <c r="K1126" t="s">
        <v>2676</v>
      </c>
      <c r="L1126">
        <v>21215</v>
      </c>
      <c r="M1126" t="s">
        <v>144</v>
      </c>
      <c r="N1126" t="s">
        <v>4221</v>
      </c>
      <c r="O1126" t="s">
        <v>42</v>
      </c>
      <c r="P1126" t="s">
        <v>71</v>
      </c>
      <c r="Q1126" t="s">
        <v>4222</v>
      </c>
      <c r="R1126">
        <v>20.86</v>
      </c>
      <c r="S1126" t="str">
        <f>TEXT(sales_data[[#This Row],[Order Date]],"mm")</f>
        <v>04</v>
      </c>
      <c r="T1126">
        <f>YEAR(sales_data[[#This Row],[Order Date]])</f>
        <v>2015</v>
      </c>
      <c r="V1126" t="s">
        <v>4221</v>
      </c>
    </row>
    <row r="1127" spans="1:22" x14ac:dyDescent="0.35">
      <c r="A1127">
        <v>1775</v>
      </c>
      <c r="B1127" t="s">
        <v>4219</v>
      </c>
      <c r="C1127" s="1">
        <v>42122</v>
      </c>
      <c r="D1127" s="1">
        <v>42127</v>
      </c>
      <c r="E1127" t="s">
        <v>46</v>
      </c>
      <c r="F1127" t="s">
        <v>3969</v>
      </c>
      <c r="G1127" t="s">
        <v>3970</v>
      </c>
      <c r="H1127" t="s">
        <v>37</v>
      </c>
      <c r="I1127" t="s">
        <v>23</v>
      </c>
      <c r="J1127" t="s">
        <v>4220</v>
      </c>
      <c r="K1127" t="s">
        <v>2676</v>
      </c>
      <c r="L1127">
        <v>21215</v>
      </c>
      <c r="M1127" t="s">
        <v>144</v>
      </c>
      <c r="N1127" t="s">
        <v>4223</v>
      </c>
      <c r="O1127" t="s">
        <v>42</v>
      </c>
      <c r="P1127" t="s">
        <v>55</v>
      </c>
      <c r="Q1127" t="s">
        <v>4224</v>
      </c>
      <c r="R1127">
        <v>497.61</v>
      </c>
      <c r="S1127" t="str">
        <f>TEXT(sales_data[[#This Row],[Order Date]],"mm")</f>
        <v>04</v>
      </c>
      <c r="T1127">
        <f>YEAR(sales_data[[#This Row],[Order Date]])</f>
        <v>2015</v>
      </c>
      <c r="V1127" t="s">
        <v>4223</v>
      </c>
    </row>
    <row r="1128" spans="1:22" x14ac:dyDescent="0.35">
      <c r="A1128">
        <v>1776</v>
      </c>
      <c r="B1128" t="s">
        <v>4219</v>
      </c>
      <c r="C1128" s="1">
        <v>42122</v>
      </c>
      <c r="D1128" s="1">
        <v>42127</v>
      </c>
      <c r="E1128" t="s">
        <v>46</v>
      </c>
      <c r="F1128" t="s">
        <v>3969</v>
      </c>
      <c r="G1128" t="s">
        <v>3970</v>
      </c>
      <c r="H1128" t="s">
        <v>37</v>
      </c>
      <c r="I1128" t="s">
        <v>23</v>
      </c>
      <c r="J1128" t="s">
        <v>4220</v>
      </c>
      <c r="K1128" t="s">
        <v>2676</v>
      </c>
      <c r="L1128">
        <v>21215</v>
      </c>
      <c r="M1128" t="s">
        <v>144</v>
      </c>
      <c r="N1128" t="s">
        <v>4225</v>
      </c>
      <c r="O1128" t="s">
        <v>42</v>
      </c>
      <c r="P1128" t="s">
        <v>64</v>
      </c>
      <c r="Q1128" t="s">
        <v>4226</v>
      </c>
      <c r="R1128">
        <v>5.34</v>
      </c>
      <c r="S1128" t="str">
        <f>TEXT(sales_data[[#This Row],[Order Date]],"mm")</f>
        <v>04</v>
      </c>
      <c r="T1128">
        <f>YEAR(sales_data[[#This Row],[Order Date]])</f>
        <v>2015</v>
      </c>
      <c r="V1128" t="s">
        <v>4225</v>
      </c>
    </row>
    <row r="1129" spans="1:22" x14ac:dyDescent="0.35">
      <c r="A1129">
        <v>1778</v>
      </c>
      <c r="B1129" t="s">
        <v>4227</v>
      </c>
      <c r="C1129" s="1">
        <v>42698</v>
      </c>
      <c r="D1129" s="1">
        <v>42702</v>
      </c>
      <c r="E1129" t="s">
        <v>46</v>
      </c>
      <c r="F1129" t="s">
        <v>246</v>
      </c>
      <c r="G1129" t="s">
        <v>247</v>
      </c>
      <c r="H1129" t="s">
        <v>22</v>
      </c>
      <c r="I1129" t="s">
        <v>23</v>
      </c>
      <c r="J1129" t="s">
        <v>38</v>
      </c>
      <c r="K1129" t="s">
        <v>39</v>
      </c>
      <c r="L1129">
        <v>90004</v>
      </c>
      <c r="M1129" t="s">
        <v>40</v>
      </c>
      <c r="N1129" t="s">
        <v>4228</v>
      </c>
      <c r="O1129" t="s">
        <v>42</v>
      </c>
      <c r="P1129" t="s">
        <v>86</v>
      </c>
      <c r="Q1129" t="s">
        <v>4229</v>
      </c>
      <c r="R1129">
        <v>368.91</v>
      </c>
      <c r="S1129" t="str">
        <f>TEXT(sales_data[[#This Row],[Order Date]],"mm")</f>
        <v>11</v>
      </c>
      <c r="T1129">
        <f>YEAR(sales_data[[#This Row],[Order Date]])</f>
        <v>2016</v>
      </c>
      <c r="V1129" t="s">
        <v>4228</v>
      </c>
    </row>
    <row r="1130" spans="1:22" x14ac:dyDescent="0.35">
      <c r="A1130">
        <v>1782</v>
      </c>
      <c r="B1130" t="s">
        <v>4230</v>
      </c>
      <c r="C1130" s="1">
        <v>42560</v>
      </c>
      <c r="D1130" s="1">
        <v>42564</v>
      </c>
      <c r="E1130" t="s">
        <v>46</v>
      </c>
      <c r="F1130" t="s">
        <v>988</v>
      </c>
      <c r="G1130" t="s">
        <v>989</v>
      </c>
      <c r="H1130" t="s">
        <v>37</v>
      </c>
      <c r="I1130" t="s">
        <v>23</v>
      </c>
      <c r="J1130" t="s">
        <v>605</v>
      </c>
      <c r="K1130" t="s">
        <v>1235</v>
      </c>
      <c r="L1130">
        <v>2038</v>
      </c>
      <c r="M1130" t="s">
        <v>144</v>
      </c>
      <c r="N1130" t="s">
        <v>4231</v>
      </c>
      <c r="O1130" t="s">
        <v>42</v>
      </c>
      <c r="P1130" t="s">
        <v>86</v>
      </c>
      <c r="Q1130" t="s">
        <v>4232</v>
      </c>
      <c r="R1130">
        <v>6.58</v>
      </c>
      <c r="S1130" t="str">
        <f>TEXT(sales_data[[#This Row],[Order Date]],"mm")</f>
        <v>07</v>
      </c>
      <c r="T1130">
        <f>YEAR(sales_data[[#This Row],[Order Date]])</f>
        <v>2016</v>
      </c>
      <c r="V1130" t="s">
        <v>4231</v>
      </c>
    </row>
    <row r="1131" spans="1:22" x14ac:dyDescent="0.35">
      <c r="A1131">
        <v>1787</v>
      </c>
      <c r="B1131" t="s">
        <v>4233</v>
      </c>
      <c r="C1131" s="1">
        <v>43365</v>
      </c>
      <c r="D1131" s="1">
        <v>43369</v>
      </c>
      <c r="E1131" t="s">
        <v>46</v>
      </c>
      <c r="F1131" t="s">
        <v>4234</v>
      </c>
      <c r="G1131" t="s">
        <v>4235</v>
      </c>
      <c r="H1131" t="s">
        <v>37</v>
      </c>
      <c r="I1131" t="s">
        <v>23</v>
      </c>
      <c r="J1131" t="s">
        <v>2502</v>
      </c>
      <c r="K1131" t="s">
        <v>110</v>
      </c>
      <c r="L1131">
        <v>53209</v>
      </c>
      <c r="M1131" t="s">
        <v>101</v>
      </c>
      <c r="N1131" t="s">
        <v>4236</v>
      </c>
      <c r="O1131" t="s">
        <v>67</v>
      </c>
      <c r="P1131" t="s">
        <v>68</v>
      </c>
      <c r="Q1131" t="s">
        <v>4237</v>
      </c>
      <c r="R1131">
        <v>86.97</v>
      </c>
      <c r="S1131" t="str">
        <f>TEXT(sales_data[[#This Row],[Order Date]],"mm")</f>
        <v>09</v>
      </c>
      <c r="T1131">
        <f>YEAR(sales_data[[#This Row],[Order Date]])</f>
        <v>2018</v>
      </c>
      <c r="V1131" t="s">
        <v>4236</v>
      </c>
    </row>
    <row r="1132" spans="1:22" x14ac:dyDescent="0.35">
      <c r="A1132">
        <v>1790</v>
      </c>
      <c r="B1132" t="s">
        <v>4238</v>
      </c>
      <c r="C1132" s="1">
        <v>42415</v>
      </c>
      <c r="D1132" s="1">
        <v>42419</v>
      </c>
      <c r="E1132" t="s">
        <v>46</v>
      </c>
      <c r="F1132" t="s">
        <v>4239</v>
      </c>
      <c r="G1132" t="s">
        <v>4240</v>
      </c>
      <c r="H1132" t="s">
        <v>37</v>
      </c>
      <c r="I1132" t="s">
        <v>23</v>
      </c>
      <c r="J1132" t="s">
        <v>4241</v>
      </c>
      <c r="K1132" t="s">
        <v>110</v>
      </c>
      <c r="L1132">
        <v>53142</v>
      </c>
      <c r="M1132" t="s">
        <v>101</v>
      </c>
      <c r="N1132" t="s">
        <v>4242</v>
      </c>
      <c r="O1132" t="s">
        <v>67</v>
      </c>
      <c r="P1132" t="s">
        <v>156</v>
      </c>
      <c r="Q1132" t="s">
        <v>4243</v>
      </c>
      <c r="R1132">
        <v>139.94999999999999</v>
      </c>
      <c r="S1132" t="str">
        <f>TEXT(sales_data[[#This Row],[Order Date]],"mm")</f>
        <v>02</v>
      </c>
      <c r="T1132">
        <f>YEAR(sales_data[[#This Row],[Order Date]])</f>
        <v>2016</v>
      </c>
      <c r="V1132" t="s">
        <v>4242</v>
      </c>
    </row>
    <row r="1133" spans="1:22" x14ac:dyDescent="0.35">
      <c r="A1133">
        <v>1792</v>
      </c>
      <c r="B1133" t="s">
        <v>4244</v>
      </c>
      <c r="C1133" s="1">
        <v>42339</v>
      </c>
      <c r="D1133" s="1">
        <v>42341</v>
      </c>
      <c r="E1133" t="s">
        <v>183</v>
      </c>
      <c r="F1133" t="s">
        <v>2149</v>
      </c>
      <c r="G1133" t="s">
        <v>2150</v>
      </c>
      <c r="H1133" t="s">
        <v>22</v>
      </c>
      <c r="I1133" t="s">
        <v>23</v>
      </c>
      <c r="J1133" t="s">
        <v>109</v>
      </c>
      <c r="K1133" t="s">
        <v>110</v>
      </c>
      <c r="L1133">
        <v>53711</v>
      </c>
      <c r="M1133" t="s">
        <v>101</v>
      </c>
      <c r="N1133" t="s">
        <v>4245</v>
      </c>
      <c r="O1133" t="s">
        <v>28</v>
      </c>
      <c r="P1133" t="s">
        <v>32</v>
      </c>
      <c r="Q1133" t="s">
        <v>4246</v>
      </c>
      <c r="R1133">
        <v>2807.84</v>
      </c>
      <c r="S1133" t="str">
        <f>TEXT(sales_data[[#This Row],[Order Date]],"mm")</f>
        <v>12</v>
      </c>
      <c r="T1133">
        <f>YEAR(sales_data[[#This Row],[Order Date]])</f>
        <v>2015</v>
      </c>
      <c r="V1133" t="s">
        <v>4245</v>
      </c>
    </row>
    <row r="1134" spans="1:22" x14ac:dyDescent="0.35">
      <c r="A1134">
        <v>1793</v>
      </c>
      <c r="B1134" t="s">
        <v>4244</v>
      </c>
      <c r="C1134" s="1">
        <v>42339</v>
      </c>
      <c r="D1134" s="1">
        <v>42341</v>
      </c>
      <c r="E1134" t="s">
        <v>183</v>
      </c>
      <c r="F1134" t="s">
        <v>2149</v>
      </c>
      <c r="G1134" t="s">
        <v>2150</v>
      </c>
      <c r="H1134" t="s">
        <v>22</v>
      </c>
      <c r="I1134" t="s">
        <v>23</v>
      </c>
      <c r="J1134" t="s">
        <v>109</v>
      </c>
      <c r="K1134" t="s">
        <v>110</v>
      </c>
      <c r="L1134">
        <v>53711</v>
      </c>
      <c r="M1134" t="s">
        <v>101</v>
      </c>
      <c r="N1134" t="s">
        <v>4247</v>
      </c>
      <c r="O1134" t="s">
        <v>42</v>
      </c>
      <c r="P1134" t="s">
        <v>64</v>
      </c>
      <c r="Q1134" t="s">
        <v>4248</v>
      </c>
      <c r="R1134">
        <v>46.64</v>
      </c>
      <c r="S1134" t="str">
        <f>TEXT(sales_data[[#This Row],[Order Date]],"mm")</f>
        <v>12</v>
      </c>
      <c r="T1134">
        <f>YEAR(sales_data[[#This Row],[Order Date]])</f>
        <v>2015</v>
      </c>
      <c r="V1134" t="s">
        <v>4247</v>
      </c>
    </row>
    <row r="1135" spans="1:22" x14ac:dyDescent="0.35">
      <c r="A1135">
        <v>1797</v>
      </c>
      <c r="B1135" t="s">
        <v>4253</v>
      </c>
      <c r="C1135" s="1">
        <v>43339</v>
      </c>
      <c r="D1135" s="1">
        <v>43342</v>
      </c>
      <c r="E1135" t="s">
        <v>183</v>
      </c>
      <c r="F1135" t="s">
        <v>2288</v>
      </c>
      <c r="G1135" t="s">
        <v>2289</v>
      </c>
      <c r="H1135" t="s">
        <v>98</v>
      </c>
      <c r="I1135" t="s">
        <v>23</v>
      </c>
      <c r="J1135" t="s">
        <v>261</v>
      </c>
      <c r="K1135" t="s">
        <v>262</v>
      </c>
      <c r="L1135">
        <v>10024</v>
      </c>
      <c r="M1135" t="s">
        <v>144</v>
      </c>
      <c r="N1135" t="s">
        <v>4254</v>
      </c>
      <c r="O1135" t="s">
        <v>67</v>
      </c>
      <c r="P1135" t="s">
        <v>68</v>
      </c>
      <c r="Q1135" t="s">
        <v>4255</v>
      </c>
      <c r="R1135">
        <v>347.97</v>
      </c>
      <c r="S1135" t="str">
        <f>TEXT(sales_data[[#This Row],[Order Date]],"mm")</f>
        <v>08</v>
      </c>
      <c r="T1135">
        <f>YEAR(sales_data[[#This Row],[Order Date]])</f>
        <v>2018</v>
      </c>
      <c r="V1135" t="s">
        <v>4254</v>
      </c>
    </row>
    <row r="1136" spans="1:22" x14ac:dyDescent="0.35">
      <c r="A1136">
        <v>1801</v>
      </c>
      <c r="B1136" t="s">
        <v>4256</v>
      </c>
      <c r="C1136" s="1">
        <v>42955</v>
      </c>
      <c r="D1136" s="1">
        <v>42957</v>
      </c>
      <c r="E1136" t="s">
        <v>19</v>
      </c>
      <c r="F1136" t="s">
        <v>4257</v>
      </c>
      <c r="G1136" t="s">
        <v>4258</v>
      </c>
      <c r="H1136" t="s">
        <v>22</v>
      </c>
      <c r="I1136" t="s">
        <v>23</v>
      </c>
      <c r="J1136" t="s">
        <v>807</v>
      </c>
      <c r="K1136" t="s">
        <v>100</v>
      </c>
      <c r="L1136">
        <v>75081</v>
      </c>
      <c r="M1136" t="s">
        <v>101</v>
      </c>
      <c r="N1136" t="s">
        <v>4259</v>
      </c>
      <c r="O1136" t="s">
        <v>42</v>
      </c>
      <c r="P1136" t="s">
        <v>86</v>
      </c>
      <c r="Q1136" t="s">
        <v>4260</v>
      </c>
      <c r="R1136">
        <v>53.951999999999998</v>
      </c>
      <c r="S1136" t="str">
        <f>TEXT(sales_data[[#This Row],[Order Date]],"mm")</f>
        <v>08</v>
      </c>
      <c r="T1136">
        <f>YEAR(sales_data[[#This Row],[Order Date]])</f>
        <v>2017</v>
      </c>
      <c r="V1136" t="s">
        <v>4259</v>
      </c>
    </row>
    <row r="1137" spans="1:22" x14ac:dyDescent="0.35">
      <c r="A1137">
        <v>1805</v>
      </c>
      <c r="B1137" t="s">
        <v>4261</v>
      </c>
      <c r="C1137" s="1">
        <v>43365</v>
      </c>
      <c r="D1137" s="1">
        <v>43369</v>
      </c>
      <c r="E1137" t="s">
        <v>19</v>
      </c>
      <c r="F1137" t="s">
        <v>2821</v>
      </c>
      <c r="G1137" t="s">
        <v>2822</v>
      </c>
      <c r="H1137" t="s">
        <v>22</v>
      </c>
      <c r="I1137" t="s">
        <v>23</v>
      </c>
      <c r="J1137" t="s">
        <v>142</v>
      </c>
      <c r="K1137" t="s">
        <v>143</v>
      </c>
      <c r="L1137">
        <v>19134</v>
      </c>
      <c r="M1137" t="s">
        <v>144</v>
      </c>
      <c r="N1137" t="s">
        <v>4262</v>
      </c>
      <c r="O1137" t="s">
        <v>67</v>
      </c>
      <c r="P1137" t="s">
        <v>156</v>
      </c>
      <c r="Q1137" t="s">
        <v>4263</v>
      </c>
      <c r="R1137">
        <v>79.983999999999995</v>
      </c>
      <c r="S1137" t="str">
        <f>TEXT(sales_data[[#This Row],[Order Date]],"mm")</f>
        <v>09</v>
      </c>
      <c r="T1137">
        <f>YEAR(sales_data[[#This Row],[Order Date]])</f>
        <v>2018</v>
      </c>
      <c r="V1137" t="s">
        <v>4262</v>
      </c>
    </row>
    <row r="1138" spans="1:22" x14ac:dyDescent="0.35">
      <c r="A1138">
        <v>1809</v>
      </c>
      <c r="B1138" t="s">
        <v>4264</v>
      </c>
      <c r="C1138" s="1">
        <v>42777</v>
      </c>
      <c r="D1138" s="1">
        <v>42779</v>
      </c>
      <c r="E1138" t="s">
        <v>183</v>
      </c>
      <c r="F1138" t="s">
        <v>4265</v>
      </c>
      <c r="G1138" t="s">
        <v>4266</v>
      </c>
      <c r="H1138" t="s">
        <v>37</v>
      </c>
      <c r="I1138" t="s">
        <v>23</v>
      </c>
      <c r="J1138" t="s">
        <v>4267</v>
      </c>
      <c r="K1138" t="s">
        <v>641</v>
      </c>
      <c r="L1138">
        <v>74133</v>
      </c>
      <c r="M1138" t="s">
        <v>101</v>
      </c>
      <c r="N1138" t="s">
        <v>4268</v>
      </c>
      <c r="O1138" t="s">
        <v>67</v>
      </c>
      <c r="P1138" t="s">
        <v>68</v>
      </c>
      <c r="Q1138" t="s">
        <v>4269</v>
      </c>
      <c r="R1138">
        <v>69.930000000000007</v>
      </c>
      <c r="S1138" t="str">
        <f>TEXT(sales_data[[#This Row],[Order Date]],"mm")</f>
        <v>02</v>
      </c>
      <c r="T1138">
        <f>YEAR(sales_data[[#This Row],[Order Date]])</f>
        <v>2017</v>
      </c>
      <c r="V1138" t="s">
        <v>4268</v>
      </c>
    </row>
    <row r="1139" spans="1:22" x14ac:dyDescent="0.35">
      <c r="A1139">
        <v>1810</v>
      </c>
      <c r="B1139" t="s">
        <v>4270</v>
      </c>
      <c r="C1139" s="1">
        <v>43031</v>
      </c>
      <c r="D1139" s="1">
        <v>43037</v>
      </c>
      <c r="E1139" t="s">
        <v>46</v>
      </c>
      <c r="F1139" t="s">
        <v>811</v>
      </c>
      <c r="G1139" t="s">
        <v>812</v>
      </c>
      <c r="H1139" t="s">
        <v>37</v>
      </c>
      <c r="I1139" t="s">
        <v>23</v>
      </c>
      <c r="J1139" t="s">
        <v>298</v>
      </c>
      <c r="K1139" t="s">
        <v>206</v>
      </c>
      <c r="L1139">
        <v>60610</v>
      </c>
      <c r="M1139" t="s">
        <v>101</v>
      </c>
      <c r="N1139" t="s">
        <v>4271</v>
      </c>
      <c r="O1139" t="s">
        <v>28</v>
      </c>
      <c r="P1139" t="s">
        <v>61</v>
      </c>
      <c r="Q1139" t="s">
        <v>4272</v>
      </c>
      <c r="R1139">
        <v>16.155999999999999</v>
      </c>
      <c r="S1139" t="str">
        <f>TEXT(sales_data[[#This Row],[Order Date]],"mm")</f>
        <v>10</v>
      </c>
      <c r="T1139">
        <f>YEAR(sales_data[[#This Row],[Order Date]])</f>
        <v>2017</v>
      </c>
      <c r="V1139" t="s">
        <v>4271</v>
      </c>
    </row>
    <row r="1140" spans="1:22" x14ac:dyDescent="0.35">
      <c r="A1140">
        <v>1811</v>
      </c>
      <c r="B1140" t="s">
        <v>4270</v>
      </c>
      <c r="C1140" s="1">
        <v>43031</v>
      </c>
      <c r="D1140" s="1">
        <v>43037</v>
      </c>
      <c r="E1140" t="s">
        <v>46</v>
      </c>
      <c r="F1140" t="s">
        <v>811</v>
      </c>
      <c r="G1140" t="s">
        <v>812</v>
      </c>
      <c r="H1140" t="s">
        <v>37</v>
      </c>
      <c r="I1140" t="s">
        <v>23</v>
      </c>
      <c r="J1140" t="s">
        <v>298</v>
      </c>
      <c r="K1140" t="s">
        <v>206</v>
      </c>
      <c r="L1140">
        <v>60610</v>
      </c>
      <c r="M1140" t="s">
        <v>101</v>
      </c>
      <c r="N1140" t="s">
        <v>4273</v>
      </c>
      <c r="O1140" t="s">
        <v>42</v>
      </c>
      <c r="P1140" t="s">
        <v>86</v>
      </c>
      <c r="Q1140" t="s">
        <v>4274</v>
      </c>
      <c r="R1140">
        <v>54.816000000000003</v>
      </c>
      <c r="S1140" t="str">
        <f>TEXT(sales_data[[#This Row],[Order Date]],"mm")</f>
        <v>10</v>
      </c>
      <c r="T1140">
        <f>YEAR(sales_data[[#This Row],[Order Date]])</f>
        <v>2017</v>
      </c>
      <c r="V1140" t="s">
        <v>4273</v>
      </c>
    </row>
    <row r="1141" spans="1:22" x14ac:dyDescent="0.35">
      <c r="A1141">
        <v>1816</v>
      </c>
      <c r="B1141" t="s">
        <v>4277</v>
      </c>
      <c r="C1141" s="1">
        <v>42525</v>
      </c>
      <c r="D1141" s="1">
        <v>42525</v>
      </c>
      <c r="E1141" t="s">
        <v>1277</v>
      </c>
      <c r="F1141" t="s">
        <v>2662</v>
      </c>
      <c r="G1141" t="s">
        <v>2663</v>
      </c>
      <c r="H1141" t="s">
        <v>22</v>
      </c>
      <c r="I1141" t="s">
        <v>23</v>
      </c>
      <c r="J1141" t="s">
        <v>91</v>
      </c>
      <c r="K1141" t="s">
        <v>92</v>
      </c>
      <c r="L1141">
        <v>98105</v>
      </c>
      <c r="M1141" t="s">
        <v>40</v>
      </c>
      <c r="N1141" t="s">
        <v>4278</v>
      </c>
      <c r="O1141" t="s">
        <v>42</v>
      </c>
      <c r="P1141" t="s">
        <v>43</v>
      </c>
      <c r="Q1141" t="s">
        <v>4279</v>
      </c>
      <c r="R1141">
        <v>7.38</v>
      </c>
      <c r="S1141" t="str">
        <f>TEXT(sales_data[[#This Row],[Order Date]],"mm")</f>
        <v>06</v>
      </c>
      <c r="T1141">
        <f>YEAR(sales_data[[#This Row],[Order Date]])</f>
        <v>2016</v>
      </c>
      <c r="V1141" t="s">
        <v>4278</v>
      </c>
    </row>
    <row r="1142" spans="1:22" x14ac:dyDescent="0.35">
      <c r="A1142">
        <v>1818</v>
      </c>
      <c r="B1142" t="s">
        <v>4280</v>
      </c>
      <c r="C1142" s="1">
        <v>42717</v>
      </c>
      <c r="D1142" s="1">
        <v>42719</v>
      </c>
      <c r="E1142" t="s">
        <v>19</v>
      </c>
      <c r="F1142" t="s">
        <v>3508</v>
      </c>
      <c r="G1142" t="s">
        <v>3509</v>
      </c>
      <c r="H1142" t="s">
        <v>22</v>
      </c>
      <c r="I1142" t="s">
        <v>23</v>
      </c>
      <c r="J1142" t="s">
        <v>38</v>
      </c>
      <c r="K1142" t="s">
        <v>39</v>
      </c>
      <c r="L1142">
        <v>90036</v>
      </c>
      <c r="M1142" t="s">
        <v>40</v>
      </c>
      <c r="N1142" t="s">
        <v>4281</v>
      </c>
      <c r="O1142" t="s">
        <v>42</v>
      </c>
      <c r="P1142" t="s">
        <v>43</v>
      </c>
      <c r="Q1142" t="s">
        <v>4282</v>
      </c>
      <c r="R1142">
        <v>9.9600000000000009</v>
      </c>
      <c r="S1142" t="str">
        <f>TEXT(sales_data[[#This Row],[Order Date]],"mm")</f>
        <v>12</v>
      </c>
      <c r="T1142">
        <f>YEAR(sales_data[[#This Row],[Order Date]])</f>
        <v>2016</v>
      </c>
      <c r="V1142" t="s">
        <v>4281</v>
      </c>
    </row>
    <row r="1143" spans="1:22" x14ac:dyDescent="0.35">
      <c r="A1143">
        <v>1819</v>
      </c>
      <c r="B1143" t="s">
        <v>4283</v>
      </c>
      <c r="C1143" s="1">
        <v>42149</v>
      </c>
      <c r="D1143" s="1">
        <v>42153</v>
      </c>
      <c r="E1143" t="s">
        <v>46</v>
      </c>
      <c r="F1143" t="s">
        <v>4284</v>
      </c>
      <c r="G1143" t="s">
        <v>4285</v>
      </c>
      <c r="H1143" t="s">
        <v>22</v>
      </c>
      <c r="I1143" t="s">
        <v>23</v>
      </c>
      <c r="J1143" t="s">
        <v>298</v>
      </c>
      <c r="K1143" t="s">
        <v>206</v>
      </c>
      <c r="L1143">
        <v>60623</v>
      </c>
      <c r="M1143" t="s">
        <v>101</v>
      </c>
      <c r="N1143" t="s">
        <v>4286</v>
      </c>
      <c r="O1143" t="s">
        <v>42</v>
      </c>
      <c r="P1143" t="s">
        <v>74</v>
      </c>
      <c r="Q1143" t="s">
        <v>4287</v>
      </c>
      <c r="R1143">
        <v>75.599999999999994</v>
      </c>
      <c r="S1143" t="str">
        <f>TEXT(sales_data[[#This Row],[Order Date]],"mm")</f>
        <v>05</v>
      </c>
      <c r="T1143">
        <f>YEAR(sales_data[[#This Row],[Order Date]])</f>
        <v>2015</v>
      </c>
      <c r="V1143" t="s">
        <v>4286</v>
      </c>
    </row>
    <row r="1144" spans="1:22" x14ac:dyDescent="0.35">
      <c r="A1144">
        <v>1820</v>
      </c>
      <c r="B1144" t="s">
        <v>4283</v>
      </c>
      <c r="C1144" s="1">
        <v>42149</v>
      </c>
      <c r="D1144" s="1">
        <v>42153</v>
      </c>
      <c r="E1144" t="s">
        <v>46</v>
      </c>
      <c r="F1144" t="s">
        <v>4284</v>
      </c>
      <c r="G1144" t="s">
        <v>4285</v>
      </c>
      <c r="H1144" t="s">
        <v>22</v>
      </c>
      <c r="I1144" t="s">
        <v>23</v>
      </c>
      <c r="J1144" t="s">
        <v>298</v>
      </c>
      <c r="K1144" t="s">
        <v>206</v>
      </c>
      <c r="L1144">
        <v>60623</v>
      </c>
      <c r="M1144" t="s">
        <v>101</v>
      </c>
      <c r="N1144" t="s">
        <v>4288</v>
      </c>
      <c r="O1144" t="s">
        <v>28</v>
      </c>
      <c r="P1144" t="s">
        <v>61</v>
      </c>
      <c r="Q1144" t="s">
        <v>4289</v>
      </c>
      <c r="R1144">
        <v>29.32</v>
      </c>
      <c r="S1144" t="str">
        <f>TEXT(sales_data[[#This Row],[Order Date]],"mm")</f>
        <v>05</v>
      </c>
      <c r="T1144">
        <f>YEAR(sales_data[[#This Row],[Order Date]])</f>
        <v>2015</v>
      </c>
      <c r="V1144" t="s">
        <v>4288</v>
      </c>
    </row>
    <row r="1145" spans="1:22" x14ac:dyDescent="0.35">
      <c r="A1145">
        <v>1821</v>
      </c>
      <c r="B1145" t="s">
        <v>4290</v>
      </c>
      <c r="C1145" s="1">
        <v>42782</v>
      </c>
      <c r="D1145" s="1">
        <v>42786</v>
      </c>
      <c r="E1145" t="s">
        <v>46</v>
      </c>
      <c r="F1145" t="s">
        <v>887</v>
      </c>
      <c r="G1145" t="s">
        <v>888</v>
      </c>
      <c r="H1145" t="s">
        <v>37</v>
      </c>
      <c r="I1145" t="s">
        <v>23</v>
      </c>
      <c r="J1145" t="s">
        <v>298</v>
      </c>
      <c r="K1145" t="s">
        <v>206</v>
      </c>
      <c r="L1145">
        <v>60623</v>
      </c>
      <c r="M1145" t="s">
        <v>101</v>
      </c>
      <c r="N1145" t="s">
        <v>4291</v>
      </c>
      <c r="O1145" t="s">
        <v>42</v>
      </c>
      <c r="P1145" t="s">
        <v>74</v>
      </c>
      <c r="Q1145" t="s">
        <v>4292</v>
      </c>
      <c r="R1145">
        <v>92.063999999999993</v>
      </c>
      <c r="S1145" t="str">
        <f>TEXT(sales_data[[#This Row],[Order Date]],"mm")</f>
        <v>02</v>
      </c>
      <c r="T1145">
        <f>YEAR(sales_data[[#This Row],[Order Date]])</f>
        <v>2017</v>
      </c>
      <c r="V1145" t="s">
        <v>4291</v>
      </c>
    </row>
    <row r="1146" spans="1:22" x14ac:dyDescent="0.35">
      <c r="A1146">
        <v>1823</v>
      </c>
      <c r="B1146" t="s">
        <v>4290</v>
      </c>
      <c r="C1146" s="1">
        <v>42782</v>
      </c>
      <c r="D1146" s="1">
        <v>42786</v>
      </c>
      <c r="E1146" t="s">
        <v>46</v>
      </c>
      <c r="F1146" t="s">
        <v>887</v>
      </c>
      <c r="G1146" t="s">
        <v>888</v>
      </c>
      <c r="H1146" t="s">
        <v>37</v>
      </c>
      <c r="I1146" t="s">
        <v>23</v>
      </c>
      <c r="J1146" t="s">
        <v>298</v>
      </c>
      <c r="K1146" t="s">
        <v>206</v>
      </c>
      <c r="L1146">
        <v>60623</v>
      </c>
      <c r="M1146" t="s">
        <v>101</v>
      </c>
      <c r="N1146" t="s">
        <v>4293</v>
      </c>
      <c r="O1146" t="s">
        <v>28</v>
      </c>
      <c r="P1146" t="s">
        <v>32</v>
      </c>
      <c r="Q1146" t="s">
        <v>4294</v>
      </c>
      <c r="R1146">
        <v>62.957999999999998</v>
      </c>
      <c r="S1146" t="str">
        <f>TEXT(sales_data[[#This Row],[Order Date]],"mm")</f>
        <v>02</v>
      </c>
      <c r="T1146">
        <f>YEAR(sales_data[[#This Row],[Order Date]])</f>
        <v>2017</v>
      </c>
      <c r="V1146" t="s">
        <v>4293</v>
      </c>
    </row>
    <row r="1147" spans="1:22" x14ac:dyDescent="0.35">
      <c r="A1147">
        <v>1824</v>
      </c>
      <c r="B1147" t="s">
        <v>4290</v>
      </c>
      <c r="C1147" s="1">
        <v>42782</v>
      </c>
      <c r="D1147" s="1">
        <v>42786</v>
      </c>
      <c r="E1147" t="s">
        <v>46</v>
      </c>
      <c r="F1147" t="s">
        <v>887</v>
      </c>
      <c r="G1147" t="s">
        <v>888</v>
      </c>
      <c r="H1147" t="s">
        <v>37</v>
      </c>
      <c r="I1147" t="s">
        <v>23</v>
      </c>
      <c r="J1147" t="s">
        <v>298</v>
      </c>
      <c r="K1147" t="s">
        <v>206</v>
      </c>
      <c r="L1147">
        <v>60623</v>
      </c>
      <c r="M1147" t="s">
        <v>101</v>
      </c>
      <c r="N1147" t="s">
        <v>4295</v>
      </c>
      <c r="O1147" t="s">
        <v>42</v>
      </c>
      <c r="P1147" t="s">
        <v>86</v>
      </c>
      <c r="Q1147" t="s">
        <v>4296</v>
      </c>
      <c r="R1147">
        <v>5.1840000000000002</v>
      </c>
      <c r="S1147" t="str">
        <f>TEXT(sales_data[[#This Row],[Order Date]],"mm")</f>
        <v>02</v>
      </c>
      <c r="T1147">
        <f>YEAR(sales_data[[#This Row],[Order Date]])</f>
        <v>2017</v>
      </c>
      <c r="V1147" t="s">
        <v>4295</v>
      </c>
    </row>
    <row r="1148" spans="1:22" x14ac:dyDescent="0.35">
      <c r="A1148">
        <v>1827</v>
      </c>
      <c r="B1148" t="s">
        <v>4297</v>
      </c>
      <c r="C1148" s="1">
        <v>43091</v>
      </c>
      <c r="D1148" s="1">
        <v>43097</v>
      </c>
      <c r="E1148" t="s">
        <v>46</v>
      </c>
      <c r="F1148" t="s">
        <v>1659</v>
      </c>
      <c r="G1148" t="s">
        <v>1660</v>
      </c>
      <c r="H1148" t="s">
        <v>22</v>
      </c>
      <c r="I1148" t="s">
        <v>23</v>
      </c>
      <c r="J1148" t="s">
        <v>4298</v>
      </c>
      <c r="K1148" t="s">
        <v>415</v>
      </c>
      <c r="L1148">
        <v>97756</v>
      </c>
      <c r="M1148" t="s">
        <v>40</v>
      </c>
      <c r="N1148" t="s">
        <v>4299</v>
      </c>
      <c r="O1148" t="s">
        <v>28</v>
      </c>
      <c r="P1148" t="s">
        <v>61</v>
      </c>
      <c r="Q1148" t="s">
        <v>4300</v>
      </c>
      <c r="R1148">
        <v>22.783999999999999</v>
      </c>
      <c r="S1148" t="str">
        <f>TEXT(sales_data[[#This Row],[Order Date]],"mm")</f>
        <v>12</v>
      </c>
      <c r="T1148">
        <f>YEAR(sales_data[[#This Row],[Order Date]])</f>
        <v>2017</v>
      </c>
      <c r="V1148" t="s">
        <v>4299</v>
      </c>
    </row>
    <row r="1149" spans="1:22" x14ac:dyDescent="0.35">
      <c r="A1149">
        <v>1828</v>
      </c>
      <c r="B1149" t="s">
        <v>4301</v>
      </c>
      <c r="C1149" s="1">
        <v>42774</v>
      </c>
      <c r="D1149" s="1">
        <v>42777</v>
      </c>
      <c r="E1149" t="s">
        <v>19</v>
      </c>
      <c r="F1149" t="s">
        <v>4302</v>
      </c>
      <c r="G1149" t="s">
        <v>4303</v>
      </c>
      <c r="H1149" t="s">
        <v>98</v>
      </c>
      <c r="I1149" t="s">
        <v>23</v>
      </c>
      <c r="J1149" t="s">
        <v>4304</v>
      </c>
      <c r="K1149" t="s">
        <v>84</v>
      </c>
      <c r="L1149">
        <v>27604</v>
      </c>
      <c r="M1149" t="s">
        <v>26</v>
      </c>
      <c r="N1149" t="s">
        <v>4305</v>
      </c>
      <c r="O1149" t="s">
        <v>67</v>
      </c>
      <c r="P1149" t="s">
        <v>68</v>
      </c>
      <c r="Q1149" t="s">
        <v>4306</v>
      </c>
      <c r="R1149">
        <v>1127.9760000000001</v>
      </c>
      <c r="S1149" t="str">
        <f>TEXT(sales_data[[#This Row],[Order Date]],"mm")</f>
        <v>02</v>
      </c>
      <c r="T1149">
        <f>YEAR(sales_data[[#This Row],[Order Date]])</f>
        <v>2017</v>
      </c>
      <c r="V1149" t="s">
        <v>4305</v>
      </c>
    </row>
    <row r="1150" spans="1:22" x14ac:dyDescent="0.35">
      <c r="A1150">
        <v>1830</v>
      </c>
      <c r="B1150" t="s">
        <v>4309</v>
      </c>
      <c r="C1150" s="1">
        <v>42142</v>
      </c>
      <c r="D1150" s="1">
        <v>42148</v>
      </c>
      <c r="E1150" t="s">
        <v>46</v>
      </c>
      <c r="F1150" t="s">
        <v>797</v>
      </c>
      <c r="G1150" t="s">
        <v>798</v>
      </c>
      <c r="H1150" t="s">
        <v>22</v>
      </c>
      <c r="I1150" t="s">
        <v>23</v>
      </c>
      <c r="J1150" t="s">
        <v>2151</v>
      </c>
      <c r="K1150" t="s">
        <v>493</v>
      </c>
      <c r="L1150">
        <v>44105</v>
      </c>
      <c r="M1150" t="s">
        <v>144</v>
      </c>
      <c r="N1150" t="s">
        <v>4310</v>
      </c>
      <c r="O1150" t="s">
        <v>67</v>
      </c>
      <c r="P1150" t="s">
        <v>68</v>
      </c>
      <c r="Q1150" t="s">
        <v>4311</v>
      </c>
      <c r="R1150">
        <v>779.79600000000005</v>
      </c>
      <c r="S1150" t="str">
        <f>TEXT(sales_data[[#This Row],[Order Date]],"mm")</f>
        <v>05</v>
      </c>
      <c r="T1150">
        <f>YEAR(sales_data[[#This Row],[Order Date]])</f>
        <v>2015</v>
      </c>
      <c r="V1150" t="s">
        <v>4310</v>
      </c>
    </row>
    <row r="1151" spans="1:22" x14ac:dyDescent="0.35">
      <c r="A1151">
        <v>1831</v>
      </c>
      <c r="B1151" t="s">
        <v>4312</v>
      </c>
      <c r="C1151" s="1">
        <v>43394</v>
      </c>
      <c r="D1151" s="1">
        <v>43394</v>
      </c>
      <c r="E1151" t="s">
        <v>1277</v>
      </c>
      <c r="F1151" t="s">
        <v>2887</v>
      </c>
      <c r="G1151" t="s">
        <v>2888</v>
      </c>
      <c r="H1151" t="s">
        <v>98</v>
      </c>
      <c r="I1151" t="s">
        <v>23</v>
      </c>
      <c r="J1151" t="s">
        <v>4313</v>
      </c>
      <c r="K1151" t="s">
        <v>641</v>
      </c>
      <c r="L1151">
        <v>74403</v>
      </c>
      <c r="M1151" t="s">
        <v>101</v>
      </c>
      <c r="N1151" t="s">
        <v>4314</v>
      </c>
      <c r="O1151" t="s">
        <v>67</v>
      </c>
      <c r="P1151" t="s">
        <v>68</v>
      </c>
      <c r="Q1151" t="s">
        <v>4315</v>
      </c>
      <c r="R1151">
        <v>1439.92</v>
      </c>
      <c r="S1151" t="str">
        <f>TEXT(sales_data[[#This Row],[Order Date]],"mm")</f>
        <v>10</v>
      </c>
      <c r="T1151">
        <f>YEAR(sales_data[[#This Row],[Order Date]])</f>
        <v>2018</v>
      </c>
      <c r="V1151" t="s">
        <v>4314</v>
      </c>
    </row>
    <row r="1152" spans="1:22" x14ac:dyDescent="0.35">
      <c r="A1152">
        <v>1834</v>
      </c>
      <c r="B1152" t="s">
        <v>4316</v>
      </c>
      <c r="C1152" s="1">
        <v>43313</v>
      </c>
      <c r="D1152" s="1">
        <v>43319</v>
      </c>
      <c r="E1152" t="s">
        <v>46</v>
      </c>
      <c r="F1152" t="s">
        <v>3557</v>
      </c>
      <c r="G1152" t="s">
        <v>3558</v>
      </c>
      <c r="H1152" t="s">
        <v>37</v>
      </c>
      <c r="I1152" t="s">
        <v>23</v>
      </c>
      <c r="J1152" t="s">
        <v>1229</v>
      </c>
      <c r="K1152" t="s">
        <v>100</v>
      </c>
      <c r="L1152">
        <v>78745</v>
      </c>
      <c r="M1152" t="s">
        <v>101</v>
      </c>
      <c r="N1152" t="s">
        <v>4317</v>
      </c>
      <c r="O1152" t="s">
        <v>67</v>
      </c>
      <c r="P1152" t="s">
        <v>675</v>
      </c>
      <c r="Q1152" t="s">
        <v>4318</v>
      </c>
      <c r="R1152">
        <v>1439.982</v>
      </c>
      <c r="S1152" t="str">
        <f>TEXT(sales_data[[#This Row],[Order Date]],"mm")</f>
        <v>08</v>
      </c>
      <c r="T1152">
        <f>YEAR(sales_data[[#This Row],[Order Date]])</f>
        <v>2018</v>
      </c>
      <c r="V1152" t="s">
        <v>4317</v>
      </c>
    </row>
    <row r="1153" spans="1:22" x14ac:dyDescent="0.35">
      <c r="A1153">
        <v>1835</v>
      </c>
      <c r="B1153" t="s">
        <v>4316</v>
      </c>
      <c r="C1153" s="1">
        <v>43313</v>
      </c>
      <c r="D1153" s="1">
        <v>43319</v>
      </c>
      <c r="E1153" t="s">
        <v>46</v>
      </c>
      <c r="F1153" t="s">
        <v>3557</v>
      </c>
      <c r="G1153" t="s">
        <v>3558</v>
      </c>
      <c r="H1153" t="s">
        <v>37</v>
      </c>
      <c r="I1153" t="s">
        <v>23</v>
      </c>
      <c r="J1153" t="s">
        <v>1229</v>
      </c>
      <c r="K1153" t="s">
        <v>100</v>
      </c>
      <c r="L1153">
        <v>78745</v>
      </c>
      <c r="M1153" t="s">
        <v>101</v>
      </c>
      <c r="N1153" t="s">
        <v>4319</v>
      </c>
      <c r="O1153" t="s">
        <v>42</v>
      </c>
      <c r="P1153" t="s">
        <v>86</v>
      </c>
      <c r="Q1153" t="s">
        <v>4320</v>
      </c>
      <c r="R1153">
        <v>36.287999999999997</v>
      </c>
      <c r="S1153" t="str">
        <f>TEXT(sales_data[[#This Row],[Order Date]],"mm")</f>
        <v>08</v>
      </c>
      <c r="T1153">
        <f>YEAR(sales_data[[#This Row],[Order Date]])</f>
        <v>2018</v>
      </c>
      <c r="V1153" t="s">
        <v>4319</v>
      </c>
    </row>
    <row r="1154" spans="1:22" x14ac:dyDescent="0.35">
      <c r="A1154">
        <v>1840</v>
      </c>
      <c r="B1154" t="s">
        <v>4321</v>
      </c>
      <c r="C1154" s="1">
        <v>42217</v>
      </c>
      <c r="D1154" s="1">
        <v>42221</v>
      </c>
      <c r="E1154" t="s">
        <v>46</v>
      </c>
      <c r="F1154" t="s">
        <v>4322</v>
      </c>
      <c r="G1154" t="s">
        <v>4323</v>
      </c>
      <c r="H1154" t="s">
        <v>37</v>
      </c>
      <c r="I1154" t="s">
        <v>23</v>
      </c>
      <c r="J1154" t="s">
        <v>462</v>
      </c>
      <c r="K1154" t="s">
        <v>84</v>
      </c>
      <c r="L1154">
        <v>28205</v>
      </c>
      <c r="M1154" t="s">
        <v>26</v>
      </c>
      <c r="N1154" t="s">
        <v>4324</v>
      </c>
      <c r="O1154" t="s">
        <v>42</v>
      </c>
      <c r="P1154" t="s">
        <v>74</v>
      </c>
      <c r="Q1154" t="s">
        <v>4325</v>
      </c>
      <c r="R1154">
        <v>62.92</v>
      </c>
      <c r="S1154" t="str">
        <f>TEXT(sales_data[[#This Row],[Order Date]],"mm")</f>
        <v>08</v>
      </c>
      <c r="T1154">
        <f>YEAR(sales_data[[#This Row],[Order Date]])</f>
        <v>2015</v>
      </c>
      <c r="V1154" t="s">
        <v>4324</v>
      </c>
    </row>
    <row r="1155" spans="1:22" x14ac:dyDescent="0.35">
      <c r="A1155">
        <v>1842</v>
      </c>
      <c r="B1155" t="s">
        <v>4326</v>
      </c>
      <c r="C1155" s="1">
        <v>42934</v>
      </c>
      <c r="D1155" s="1">
        <v>42939</v>
      </c>
      <c r="E1155" t="s">
        <v>46</v>
      </c>
      <c r="F1155" t="s">
        <v>4327</v>
      </c>
      <c r="G1155" t="s">
        <v>4328</v>
      </c>
      <c r="H1155" t="s">
        <v>37</v>
      </c>
      <c r="I1155" t="s">
        <v>23</v>
      </c>
      <c r="J1155" t="s">
        <v>4329</v>
      </c>
      <c r="K1155" t="s">
        <v>25</v>
      </c>
      <c r="L1155">
        <v>42104</v>
      </c>
      <c r="M1155" t="s">
        <v>26</v>
      </c>
      <c r="N1155" t="s">
        <v>4330</v>
      </c>
      <c r="O1155" t="s">
        <v>28</v>
      </c>
      <c r="P1155" t="s">
        <v>32</v>
      </c>
      <c r="Q1155" t="s">
        <v>4331</v>
      </c>
      <c r="R1155">
        <v>140.81</v>
      </c>
      <c r="S1155" t="str">
        <f>TEXT(sales_data[[#This Row],[Order Date]],"mm")</f>
        <v>07</v>
      </c>
      <c r="T1155">
        <f>YEAR(sales_data[[#This Row],[Order Date]])</f>
        <v>2017</v>
      </c>
      <c r="V1155" t="s">
        <v>4330</v>
      </c>
    </row>
    <row r="1156" spans="1:22" x14ac:dyDescent="0.35">
      <c r="A1156">
        <v>1844</v>
      </c>
      <c r="B1156" t="s">
        <v>4332</v>
      </c>
      <c r="C1156" s="1">
        <v>42409</v>
      </c>
      <c r="D1156" s="1">
        <v>42411</v>
      </c>
      <c r="E1156" t="s">
        <v>19</v>
      </c>
      <c r="F1156" t="s">
        <v>1164</v>
      </c>
      <c r="G1156" t="s">
        <v>1165</v>
      </c>
      <c r="H1156" t="s">
        <v>37</v>
      </c>
      <c r="I1156" t="s">
        <v>23</v>
      </c>
      <c r="J1156" t="s">
        <v>671</v>
      </c>
      <c r="K1156" t="s">
        <v>100</v>
      </c>
      <c r="L1156">
        <v>78207</v>
      </c>
      <c r="M1156" t="s">
        <v>101</v>
      </c>
      <c r="N1156" t="s">
        <v>4333</v>
      </c>
      <c r="O1156" t="s">
        <v>28</v>
      </c>
      <c r="P1156" t="s">
        <v>61</v>
      </c>
      <c r="Q1156" t="s">
        <v>4334</v>
      </c>
      <c r="R1156">
        <v>40.783999999999999</v>
      </c>
      <c r="S1156" t="str">
        <f>TEXT(sales_data[[#This Row],[Order Date]],"mm")</f>
        <v>02</v>
      </c>
      <c r="T1156">
        <f>YEAR(sales_data[[#This Row],[Order Date]])</f>
        <v>2016</v>
      </c>
      <c r="V1156" t="s">
        <v>4333</v>
      </c>
    </row>
    <row r="1157" spans="1:22" x14ac:dyDescent="0.35">
      <c r="A1157">
        <v>1847</v>
      </c>
      <c r="B1157" t="s">
        <v>4336</v>
      </c>
      <c r="C1157" s="1">
        <v>43112</v>
      </c>
      <c r="D1157" s="1">
        <v>43117</v>
      </c>
      <c r="E1157" t="s">
        <v>19</v>
      </c>
      <c r="F1157" t="s">
        <v>4189</v>
      </c>
      <c r="G1157" t="s">
        <v>4190</v>
      </c>
      <c r="H1157" t="s">
        <v>98</v>
      </c>
      <c r="I1157" t="s">
        <v>23</v>
      </c>
      <c r="J1157" t="s">
        <v>92</v>
      </c>
      <c r="K1157" t="s">
        <v>2945</v>
      </c>
      <c r="L1157">
        <v>20016</v>
      </c>
      <c r="M1157" t="s">
        <v>144</v>
      </c>
      <c r="N1157" t="s">
        <v>4337</v>
      </c>
      <c r="O1157" t="s">
        <v>28</v>
      </c>
      <c r="P1157" t="s">
        <v>61</v>
      </c>
      <c r="Q1157" t="s">
        <v>4338</v>
      </c>
      <c r="R1157">
        <v>37.68</v>
      </c>
      <c r="S1157" t="str">
        <f>TEXT(sales_data[[#This Row],[Order Date]],"mm")</f>
        <v>01</v>
      </c>
      <c r="T1157">
        <f>YEAR(sales_data[[#This Row],[Order Date]])</f>
        <v>2018</v>
      </c>
      <c r="V1157" t="s">
        <v>4337</v>
      </c>
    </row>
    <row r="1158" spans="1:22" x14ac:dyDescent="0.35">
      <c r="A1158">
        <v>1850</v>
      </c>
      <c r="B1158" t="s">
        <v>4339</v>
      </c>
      <c r="C1158" s="1">
        <v>42571</v>
      </c>
      <c r="D1158" s="1">
        <v>42576</v>
      </c>
      <c r="E1158" t="s">
        <v>19</v>
      </c>
      <c r="F1158" t="s">
        <v>2770</v>
      </c>
      <c r="G1158" t="s">
        <v>2771</v>
      </c>
      <c r="H1158" t="s">
        <v>22</v>
      </c>
      <c r="I1158" t="s">
        <v>23</v>
      </c>
      <c r="J1158" t="s">
        <v>4340</v>
      </c>
      <c r="K1158" t="s">
        <v>249</v>
      </c>
      <c r="L1158">
        <v>46614</v>
      </c>
      <c r="M1158" t="s">
        <v>101</v>
      </c>
      <c r="N1158" t="s">
        <v>4341</v>
      </c>
      <c r="O1158" t="s">
        <v>42</v>
      </c>
      <c r="P1158" t="s">
        <v>55</v>
      </c>
      <c r="Q1158" t="s">
        <v>4342</v>
      </c>
      <c r="R1158">
        <v>34.76</v>
      </c>
      <c r="S1158" t="str">
        <f>TEXT(sales_data[[#This Row],[Order Date]],"mm")</f>
        <v>07</v>
      </c>
      <c r="T1158">
        <f>YEAR(sales_data[[#This Row],[Order Date]])</f>
        <v>2016</v>
      </c>
      <c r="V1158" t="s">
        <v>4341</v>
      </c>
    </row>
    <row r="1159" spans="1:22" x14ac:dyDescent="0.35">
      <c r="A1159">
        <v>1852</v>
      </c>
      <c r="B1159" t="s">
        <v>4339</v>
      </c>
      <c r="C1159" s="1">
        <v>42571</v>
      </c>
      <c r="D1159" s="1">
        <v>42576</v>
      </c>
      <c r="E1159" t="s">
        <v>19</v>
      </c>
      <c r="F1159" t="s">
        <v>2770</v>
      </c>
      <c r="G1159" t="s">
        <v>2771</v>
      </c>
      <c r="H1159" t="s">
        <v>22</v>
      </c>
      <c r="I1159" t="s">
        <v>23</v>
      </c>
      <c r="J1159" t="s">
        <v>4340</v>
      </c>
      <c r="K1159" t="s">
        <v>249</v>
      </c>
      <c r="L1159">
        <v>46614</v>
      </c>
      <c r="M1159" t="s">
        <v>101</v>
      </c>
      <c r="N1159" t="s">
        <v>4343</v>
      </c>
      <c r="O1159" t="s">
        <v>42</v>
      </c>
      <c r="P1159" t="s">
        <v>86</v>
      </c>
      <c r="Q1159" t="s">
        <v>4344</v>
      </c>
      <c r="R1159">
        <v>26.4</v>
      </c>
      <c r="S1159" t="str">
        <f>TEXT(sales_data[[#This Row],[Order Date]],"mm")</f>
        <v>07</v>
      </c>
      <c r="T1159">
        <f>YEAR(sales_data[[#This Row],[Order Date]])</f>
        <v>2016</v>
      </c>
      <c r="V1159" t="s">
        <v>4343</v>
      </c>
    </row>
    <row r="1160" spans="1:22" x14ac:dyDescent="0.35">
      <c r="A1160">
        <v>1854</v>
      </c>
      <c r="B1160" t="s">
        <v>4339</v>
      </c>
      <c r="C1160" s="1">
        <v>42571</v>
      </c>
      <c r="D1160" s="1">
        <v>42576</v>
      </c>
      <c r="E1160" t="s">
        <v>19</v>
      </c>
      <c r="F1160" t="s">
        <v>2770</v>
      </c>
      <c r="G1160" t="s">
        <v>2771</v>
      </c>
      <c r="H1160" t="s">
        <v>22</v>
      </c>
      <c r="I1160" t="s">
        <v>23</v>
      </c>
      <c r="J1160" t="s">
        <v>4340</v>
      </c>
      <c r="K1160" t="s">
        <v>249</v>
      </c>
      <c r="L1160">
        <v>46614</v>
      </c>
      <c r="M1160" t="s">
        <v>101</v>
      </c>
      <c r="N1160" t="s">
        <v>4345</v>
      </c>
      <c r="O1160" t="s">
        <v>42</v>
      </c>
      <c r="P1160" t="s">
        <v>86</v>
      </c>
      <c r="Q1160" t="s">
        <v>4346</v>
      </c>
      <c r="R1160">
        <v>97.82</v>
      </c>
      <c r="S1160" t="str">
        <f>TEXT(sales_data[[#This Row],[Order Date]],"mm")</f>
        <v>07</v>
      </c>
      <c r="T1160">
        <f>YEAR(sales_data[[#This Row],[Order Date]])</f>
        <v>2016</v>
      </c>
      <c r="V1160" t="s">
        <v>4345</v>
      </c>
    </row>
    <row r="1161" spans="1:22" x14ac:dyDescent="0.35">
      <c r="A1161">
        <v>1856</v>
      </c>
      <c r="B1161" t="s">
        <v>4347</v>
      </c>
      <c r="C1161" s="1">
        <v>42168</v>
      </c>
      <c r="D1161" s="1">
        <v>42172</v>
      </c>
      <c r="E1161" t="s">
        <v>46</v>
      </c>
      <c r="F1161" t="s">
        <v>4170</v>
      </c>
      <c r="G1161" t="s">
        <v>4171</v>
      </c>
      <c r="H1161" t="s">
        <v>37</v>
      </c>
      <c r="I1161" t="s">
        <v>23</v>
      </c>
      <c r="J1161" t="s">
        <v>38</v>
      </c>
      <c r="K1161" t="s">
        <v>39</v>
      </c>
      <c r="L1161">
        <v>90032</v>
      </c>
      <c r="M1161" t="s">
        <v>40</v>
      </c>
      <c r="N1161" t="s">
        <v>4348</v>
      </c>
      <c r="O1161" t="s">
        <v>42</v>
      </c>
      <c r="P1161" t="s">
        <v>64</v>
      </c>
      <c r="Q1161" t="s">
        <v>2947</v>
      </c>
      <c r="R1161">
        <v>14.52</v>
      </c>
      <c r="S1161" t="str">
        <f>TEXT(sales_data[[#This Row],[Order Date]],"mm")</f>
        <v>06</v>
      </c>
      <c r="T1161">
        <f>YEAR(sales_data[[#This Row],[Order Date]])</f>
        <v>2015</v>
      </c>
      <c r="V1161" t="s">
        <v>4348</v>
      </c>
    </row>
    <row r="1162" spans="1:22" x14ac:dyDescent="0.35">
      <c r="A1162">
        <v>1858</v>
      </c>
      <c r="B1162" t="s">
        <v>4349</v>
      </c>
      <c r="C1162" s="1">
        <v>43232</v>
      </c>
      <c r="D1162" s="1">
        <v>43235</v>
      </c>
      <c r="E1162" t="s">
        <v>19</v>
      </c>
      <c r="F1162" t="s">
        <v>1214</v>
      </c>
      <c r="G1162" t="s">
        <v>1215</v>
      </c>
      <c r="H1162" t="s">
        <v>37</v>
      </c>
      <c r="I1162" t="s">
        <v>23</v>
      </c>
      <c r="J1162" t="s">
        <v>179</v>
      </c>
      <c r="K1162" t="s">
        <v>100</v>
      </c>
      <c r="L1162">
        <v>77041</v>
      </c>
      <c r="M1162" t="s">
        <v>101</v>
      </c>
      <c r="N1162" t="s">
        <v>4350</v>
      </c>
      <c r="O1162" t="s">
        <v>42</v>
      </c>
      <c r="P1162" t="s">
        <v>71</v>
      </c>
      <c r="Q1162" t="s">
        <v>4351</v>
      </c>
      <c r="R1162">
        <v>34.24</v>
      </c>
      <c r="S1162" t="str">
        <f>TEXT(sales_data[[#This Row],[Order Date]],"mm")</f>
        <v>05</v>
      </c>
      <c r="T1162">
        <f>YEAR(sales_data[[#This Row],[Order Date]])</f>
        <v>2018</v>
      </c>
      <c r="V1162" t="s">
        <v>4350</v>
      </c>
    </row>
    <row r="1163" spans="1:22" x14ac:dyDescent="0.35">
      <c r="A1163">
        <v>1860</v>
      </c>
      <c r="B1163" t="s">
        <v>4352</v>
      </c>
      <c r="C1163" s="1">
        <v>42616</v>
      </c>
      <c r="D1163" s="1">
        <v>42618</v>
      </c>
      <c r="E1163" t="s">
        <v>183</v>
      </c>
      <c r="F1163" t="s">
        <v>697</v>
      </c>
      <c r="G1163" t="s">
        <v>698</v>
      </c>
      <c r="H1163" t="s">
        <v>37</v>
      </c>
      <c r="I1163" t="s">
        <v>23</v>
      </c>
      <c r="J1163" t="s">
        <v>510</v>
      </c>
      <c r="K1163" t="s">
        <v>740</v>
      </c>
      <c r="L1163">
        <v>6010</v>
      </c>
      <c r="M1163" t="s">
        <v>144</v>
      </c>
      <c r="N1163" t="s">
        <v>4353</v>
      </c>
      <c r="O1163" t="s">
        <v>67</v>
      </c>
      <c r="P1163" t="s">
        <v>68</v>
      </c>
      <c r="Q1163" t="s">
        <v>4354</v>
      </c>
      <c r="R1163">
        <v>100.49</v>
      </c>
      <c r="S1163" t="str">
        <f>TEXT(sales_data[[#This Row],[Order Date]],"mm")</f>
        <v>09</v>
      </c>
      <c r="T1163">
        <f>YEAR(sales_data[[#This Row],[Order Date]])</f>
        <v>2016</v>
      </c>
      <c r="V1163" t="s">
        <v>4353</v>
      </c>
    </row>
    <row r="1164" spans="1:22" x14ac:dyDescent="0.35">
      <c r="A1164">
        <v>1861</v>
      </c>
      <c r="B1164" t="s">
        <v>4355</v>
      </c>
      <c r="C1164" s="1">
        <v>43185</v>
      </c>
      <c r="D1164" s="1">
        <v>43186</v>
      </c>
      <c r="E1164" t="s">
        <v>183</v>
      </c>
      <c r="F1164" t="s">
        <v>2475</v>
      </c>
      <c r="G1164" t="s">
        <v>2476</v>
      </c>
      <c r="H1164" t="s">
        <v>22</v>
      </c>
      <c r="I1164" t="s">
        <v>23</v>
      </c>
      <c r="J1164" t="s">
        <v>261</v>
      </c>
      <c r="K1164" t="s">
        <v>262</v>
      </c>
      <c r="L1164">
        <v>10009</v>
      </c>
      <c r="M1164" t="s">
        <v>144</v>
      </c>
      <c r="N1164" t="s">
        <v>4356</v>
      </c>
      <c r="O1164" t="s">
        <v>28</v>
      </c>
      <c r="P1164" t="s">
        <v>29</v>
      </c>
      <c r="Q1164" t="s">
        <v>4357</v>
      </c>
      <c r="R1164">
        <v>257.56799999999998</v>
      </c>
      <c r="S1164" t="str">
        <f>TEXT(sales_data[[#This Row],[Order Date]],"mm")</f>
        <v>03</v>
      </c>
      <c r="T1164">
        <f>YEAR(sales_data[[#This Row],[Order Date]])</f>
        <v>2018</v>
      </c>
      <c r="V1164" t="s">
        <v>4356</v>
      </c>
    </row>
    <row r="1165" spans="1:22" x14ac:dyDescent="0.35">
      <c r="A1165">
        <v>1865</v>
      </c>
      <c r="B1165" t="s">
        <v>4358</v>
      </c>
      <c r="C1165" s="1">
        <v>43021</v>
      </c>
      <c r="D1165" s="1">
        <v>43025</v>
      </c>
      <c r="E1165" t="s">
        <v>46</v>
      </c>
      <c r="F1165" t="s">
        <v>4359</v>
      </c>
      <c r="G1165" t="s">
        <v>4360</v>
      </c>
      <c r="H1165" t="s">
        <v>37</v>
      </c>
      <c r="I1165" t="s">
        <v>23</v>
      </c>
      <c r="J1165" t="s">
        <v>451</v>
      </c>
      <c r="K1165" t="s">
        <v>452</v>
      </c>
      <c r="L1165">
        <v>80013</v>
      </c>
      <c r="M1165" t="s">
        <v>40</v>
      </c>
      <c r="N1165" t="s">
        <v>4361</v>
      </c>
      <c r="O1165" t="s">
        <v>28</v>
      </c>
      <c r="P1165" t="s">
        <v>61</v>
      </c>
      <c r="Q1165" t="s">
        <v>4362</v>
      </c>
      <c r="R1165">
        <v>24.96</v>
      </c>
      <c r="S1165" t="str">
        <f>TEXT(sales_data[[#This Row],[Order Date]],"mm")</f>
        <v>10</v>
      </c>
      <c r="T1165">
        <f>YEAR(sales_data[[#This Row],[Order Date]])</f>
        <v>2017</v>
      </c>
      <c r="V1165" t="s">
        <v>4361</v>
      </c>
    </row>
    <row r="1166" spans="1:22" x14ac:dyDescent="0.35">
      <c r="A1166">
        <v>1866</v>
      </c>
      <c r="B1166" t="s">
        <v>4363</v>
      </c>
      <c r="C1166" s="1">
        <v>43416</v>
      </c>
      <c r="D1166" s="1">
        <v>43416</v>
      </c>
      <c r="E1166" t="s">
        <v>1277</v>
      </c>
      <c r="F1166" t="s">
        <v>2018</v>
      </c>
      <c r="G1166" t="s">
        <v>2019</v>
      </c>
      <c r="H1166" t="s">
        <v>37</v>
      </c>
      <c r="I1166" t="s">
        <v>23</v>
      </c>
      <c r="J1166" t="s">
        <v>599</v>
      </c>
      <c r="K1166" t="s">
        <v>493</v>
      </c>
      <c r="L1166">
        <v>43055</v>
      </c>
      <c r="M1166" t="s">
        <v>144</v>
      </c>
      <c r="N1166" t="s">
        <v>4364</v>
      </c>
      <c r="O1166" t="s">
        <v>67</v>
      </c>
      <c r="P1166" t="s">
        <v>68</v>
      </c>
      <c r="Q1166" t="s">
        <v>4365</v>
      </c>
      <c r="R1166">
        <v>370.78199999999998</v>
      </c>
      <c r="S1166" t="str">
        <f>TEXT(sales_data[[#This Row],[Order Date]],"mm")</f>
        <v>11</v>
      </c>
      <c r="T1166">
        <f>YEAR(sales_data[[#This Row],[Order Date]])</f>
        <v>2018</v>
      </c>
      <c r="V1166" t="s">
        <v>4364</v>
      </c>
    </row>
    <row r="1167" spans="1:22" x14ac:dyDescent="0.35">
      <c r="A1167">
        <v>1868</v>
      </c>
      <c r="B1167" t="s">
        <v>4366</v>
      </c>
      <c r="C1167" s="1">
        <v>42546</v>
      </c>
      <c r="D1167" s="1">
        <v>42552</v>
      </c>
      <c r="E1167" t="s">
        <v>46</v>
      </c>
      <c r="F1167" t="s">
        <v>4302</v>
      </c>
      <c r="G1167" t="s">
        <v>4303</v>
      </c>
      <c r="H1167" t="s">
        <v>98</v>
      </c>
      <c r="I1167" t="s">
        <v>23</v>
      </c>
      <c r="J1167" t="s">
        <v>142</v>
      </c>
      <c r="K1167" t="s">
        <v>143</v>
      </c>
      <c r="L1167">
        <v>19143</v>
      </c>
      <c r="M1167" t="s">
        <v>144</v>
      </c>
      <c r="N1167" t="s">
        <v>4367</v>
      </c>
      <c r="O1167" t="s">
        <v>42</v>
      </c>
      <c r="P1167" t="s">
        <v>86</v>
      </c>
      <c r="Q1167" t="s">
        <v>4368</v>
      </c>
      <c r="R1167">
        <v>31.103999999999999</v>
      </c>
      <c r="S1167" t="str">
        <f>TEXT(sales_data[[#This Row],[Order Date]],"mm")</f>
        <v>06</v>
      </c>
      <c r="T1167">
        <f>YEAR(sales_data[[#This Row],[Order Date]])</f>
        <v>2016</v>
      </c>
      <c r="V1167" t="s">
        <v>4367</v>
      </c>
    </row>
    <row r="1168" spans="1:22" x14ac:dyDescent="0.35">
      <c r="A1168">
        <v>1869</v>
      </c>
      <c r="B1168" t="s">
        <v>4366</v>
      </c>
      <c r="C1168" s="1">
        <v>42546</v>
      </c>
      <c r="D1168" s="1">
        <v>42552</v>
      </c>
      <c r="E1168" t="s">
        <v>46</v>
      </c>
      <c r="F1168" t="s">
        <v>4302</v>
      </c>
      <c r="G1168" t="s">
        <v>4303</v>
      </c>
      <c r="H1168" t="s">
        <v>98</v>
      </c>
      <c r="I1168" t="s">
        <v>23</v>
      </c>
      <c r="J1168" t="s">
        <v>142</v>
      </c>
      <c r="K1168" t="s">
        <v>143</v>
      </c>
      <c r="L1168">
        <v>19143</v>
      </c>
      <c r="M1168" t="s">
        <v>144</v>
      </c>
      <c r="N1168" t="s">
        <v>4369</v>
      </c>
      <c r="O1168" t="s">
        <v>42</v>
      </c>
      <c r="P1168" t="s">
        <v>55</v>
      </c>
      <c r="Q1168" t="s">
        <v>4370</v>
      </c>
      <c r="R1168">
        <v>78.256</v>
      </c>
      <c r="S1168" t="str">
        <f>TEXT(sales_data[[#This Row],[Order Date]],"mm")</f>
        <v>06</v>
      </c>
      <c r="T1168">
        <f>YEAR(sales_data[[#This Row],[Order Date]])</f>
        <v>2016</v>
      </c>
      <c r="V1168" t="s">
        <v>4369</v>
      </c>
    </row>
    <row r="1169" spans="1:22" x14ac:dyDescent="0.35">
      <c r="A1169">
        <v>1871</v>
      </c>
      <c r="B1169" t="s">
        <v>4371</v>
      </c>
      <c r="C1169" s="1">
        <v>42206</v>
      </c>
      <c r="D1169" s="1">
        <v>42210</v>
      </c>
      <c r="E1169" t="s">
        <v>46</v>
      </c>
      <c r="F1169" t="s">
        <v>4372</v>
      </c>
      <c r="G1169" t="s">
        <v>4373</v>
      </c>
      <c r="H1169" t="s">
        <v>37</v>
      </c>
      <c r="I1169" t="s">
        <v>23</v>
      </c>
      <c r="J1169" t="s">
        <v>123</v>
      </c>
      <c r="K1169" t="s">
        <v>39</v>
      </c>
      <c r="L1169">
        <v>94122</v>
      </c>
      <c r="M1169" t="s">
        <v>40</v>
      </c>
      <c r="N1169" t="s">
        <v>4374</v>
      </c>
      <c r="O1169" t="s">
        <v>42</v>
      </c>
      <c r="P1169" t="s">
        <v>64</v>
      </c>
      <c r="Q1169" t="s">
        <v>4375</v>
      </c>
      <c r="R1169">
        <v>99.2</v>
      </c>
      <c r="S1169" t="str">
        <f>TEXT(sales_data[[#This Row],[Order Date]],"mm")</f>
        <v>07</v>
      </c>
      <c r="T1169">
        <f>YEAR(sales_data[[#This Row],[Order Date]])</f>
        <v>2015</v>
      </c>
      <c r="V1169" t="s">
        <v>4374</v>
      </c>
    </row>
    <row r="1170" spans="1:22" x14ac:dyDescent="0.35">
      <c r="A1170">
        <v>1873</v>
      </c>
      <c r="B1170" t="s">
        <v>4371</v>
      </c>
      <c r="C1170" s="1">
        <v>42206</v>
      </c>
      <c r="D1170" s="1">
        <v>42210</v>
      </c>
      <c r="E1170" t="s">
        <v>46</v>
      </c>
      <c r="F1170" t="s">
        <v>4372</v>
      </c>
      <c r="G1170" t="s">
        <v>4373</v>
      </c>
      <c r="H1170" t="s">
        <v>37</v>
      </c>
      <c r="I1170" t="s">
        <v>23</v>
      </c>
      <c r="J1170" t="s">
        <v>123</v>
      </c>
      <c r="K1170" t="s">
        <v>39</v>
      </c>
      <c r="L1170">
        <v>94122</v>
      </c>
      <c r="M1170" t="s">
        <v>40</v>
      </c>
      <c r="N1170" t="s">
        <v>4376</v>
      </c>
      <c r="O1170" t="s">
        <v>28</v>
      </c>
      <c r="P1170" t="s">
        <v>52</v>
      </c>
      <c r="Q1170" t="s">
        <v>4377</v>
      </c>
      <c r="R1170">
        <v>272.84800000000001</v>
      </c>
      <c r="S1170" t="str">
        <f>TEXT(sales_data[[#This Row],[Order Date]],"mm")</f>
        <v>07</v>
      </c>
      <c r="T1170">
        <f>YEAR(sales_data[[#This Row],[Order Date]])</f>
        <v>2015</v>
      </c>
      <c r="V1170" t="s">
        <v>4376</v>
      </c>
    </row>
    <row r="1171" spans="1:22" x14ac:dyDescent="0.35">
      <c r="A1171">
        <v>1874</v>
      </c>
      <c r="B1171" t="s">
        <v>4378</v>
      </c>
      <c r="C1171" s="1">
        <v>43425</v>
      </c>
      <c r="D1171" s="1">
        <v>43429</v>
      </c>
      <c r="E1171" t="s">
        <v>46</v>
      </c>
      <c r="F1171" t="s">
        <v>4379</v>
      </c>
      <c r="G1171" t="s">
        <v>4380</v>
      </c>
      <c r="H1171" t="s">
        <v>22</v>
      </c>
      <c r="I1171" t="s">
        <v>23</v>
      </c>
      <c r="J1171" t="s">
        <v>4381</v>
      </c>
      <c r="K1171" t="s">
        <v>92</v>
      </c>
      <c r="L1171">
        <v>99207</v>
      </c>
      <c r="M1171" t="s">
        <v>40</v>
      </c>
      <c r="N1171" t="s">
        <v>4382</v>
      </c>
      <c r="O1171" t="s">
        <v>28</v>
      </c>
      <c r="P1171" t="s">
        <v>52</v>
      </c>
      <c r="Q1171" t="s">
        <v>4383</v>
      </c>
      <c r="R1171">
        <v>70.98</v>
      </c>
      <c r="S1171" t="str">
        <f>TEXT(sales_data[[#This Row],[Order Date]],"mm")</f>
        <v>11</v>
      </c>
      <c r="T1171">
        <f>YEAR(sales_data[[#This Row],[Order Date]])</f>
        <v>2018</v>
      </c>
      <c r="V1171" t="s">
        <v>4382</v>
      </c>
    </row>
    <row r="1172" spans="1:22" x14ac:dyDescent="0.35">
      <c r="A1172">
        <v>1881</v>
      </c>
      <c r="B1172" t="s">
        <v>4386</v>
      </c>
      <c r="C1172" s="1">
        <v>42434</v>
      </c>
      <c r="D1172" s="1">
        <v>42434</v>
      </c>
      <c r="E1172" t="s">
        <v>1277</v>
      </c>
      <c r="F1172" t="s">
        <v>1405</v>
      </c>
      <c r="G1172" t="s">
        <v>1406</v>
      </c>
      <c r="H1172" t="s">
        <v>22</v>
      </c>
      <c r="I1172" t="s">
        <v>23</v>
      </c>
      <c r="J1172" t="s">
        <v>261</v>
      </c>
      <c r="K1172" t="s">
        <v>262</v>
      </c>
      <c r="L1172">
        <v>10011</v>
      </c>
      <c r="M1172" t="s">
        <v>144</v>
      </c>
      <c r="N1172" t="s">
        <v>4387</v>
      </c>
      <c r="O1172" t="s">
        <v>42</v>
      </c>
      <c r="P1172" t="s">
        <v>168</v>
      </c>
      <c r="Q1172" t="s">
        <v>662</v>
      </c>
      <c r="R1172">
        <v>29.34</v>
      </c>
      <c r="S1172" t="str">
        <f>TEXT(sales_data[[#This Row],[Order Date]],"mm")</f>
        <v>03</v>
      </c>
      <c r="T1172">
        <f>YEAR(sales_data[[#This Row],[Order Date]])</f>
        <v>2016</v>
      </c>
      <c r="V1172" t="s">
        <v>4387</v>
      </c>
    </row>
    <row r="1173" spans="1:22" x14ac:dyDescent="0.35">
      <c r="A1173">
        <v>1885</v>
      </c>
      <c r="B1173" t="s">
        <v>4388</v>
      </c>
      <c r="C1173" s="1">
        <v>43119</v>
      </c>
      <c r="D1173" s="1">
        <v>43123</v>
      </c>
      <c r="E1173" t="s">
        <v>19</v>
      </c>
      <c r="F1173" t="s">
        <v>2408</v>
      </c>
      <c r="G1173" t="s">
        <v>2409</v>
      </c>
      <c r="H1173" t="s">
        <v>22</v>
      </c>
      <c r="I1173" t="s">
        <v>23</v>
      </c>
      <c r="J1173" t="s">
        <v>4389</v>
      </c>
      <c r="K1173" t="s">
        <v>100</v>
      </c>
      <c r="L1173">
        <v>76248</v>
      </c>
      <c r="M1173" t="s">
        <v>101</v>
      </c>
      <c r="N1173" t="s">
        <v>4390</v>
      </c>
      <c r="O1173" t="s">
        <v>42</v>
      </c>
      <c r="P1173" t="s">
        <v>43</v>
      </c>
      <c r="Q1173" t="s">
        <v>4391</v>
      </c>
      <c r="R1173">
        <v>6</v>
      </c>
      <c r="S1173" t="str">
        <f>TEXT(sales_data[[#This Row],[Order Date]],"mm")</f>
        <v>01</v>
      </c>
      <c r="T1173">
        <f>YEAR(sales_data[[#This Row],[Order Date]])</f>
        <v>2018</v>
      </c>
      <c r="V1173" t="s">
        <v>4390</v>
      </c>
    </row>
    <row r="1174" spans="1:22" x14ac:dyDescent="0.35">
      <c r="A1174">
        <v>1886</v>
      </c>
      <c r="B1174" t="s">
        <v>4392</v>
      </c>
      <c r="C1174" s="1">
        <v>42847</v>
      </c>
      <c r="D1174" s="1">
        <v>42851</v>
      </c>
      <c r="E1174" t="s">
        <v>19</v>
      </c>
      <c r="F1174" t="s">
        <v>382</v>
      </c>
      <c r="G1174" t="s">
        <v>383</v>
      </c>
      <c r="H1174" t="s">
        <v>22</v>
      </c>
      <c r="I1174" t="s">
        <v>23</v>
      </c>
      <c r="J1174" t="s">
        <v>123</v>
      </c>
      <c r="K1174" t="s">
        <v>39</v>
      </c>
      <c r="L1174">
        <v>94122</v>
      </c>
      <c r="M1174" t="s">
        <v>40</v>
      </c>
      <c r="N1174" t="s">
        <v>4393</v>
      </c>
      <c r="O1174" t="s">
        <v>28</v>
      </c>
      <c r="P1174" t="s">
        <v>61</v>
      </c>
      <c r="Q1174" t="s">
        <v>4394</v>
      </c>
      <c r="R1174">
        <v>31.56</v>
      </c>
      <c r="S1174" t="str">
        <f>TEXT(sales_data[[#This Row],[Order Date]],"mm")</f>
        <v>04</v>
      </c>
      <c r="T1174">
        <f>YEAR(sales_data[[#This Row],[Order Date]])</f>
        <v>2017</v>
      </c>
      <c r="V1174" t="s">
        <v>4393</v>
      </c>
    </row>
    <row r="1175" spans="1:22" x14ac:dyDescent="0.35">
      <c r="A1175">
        <v>1892</v>
      </c>
      <c r="B1175" t="s">
        <v>4395</v>
      </c>
      <c r="C1175" s="1">
        <v>42077</v>
      </c>
      <c r="D1175" s="1">
        <v>42081</v>
      </c>
      <c r="E1175" t="s">
        <v>46</v>
      </c>
      <c r="F1175" t="s">
        <v>1346</v>
      </c>
      <c r="G1175" t="s">
        <v>1347</v>
      </c>
      <c r="H1175" t="s">
        <v>37</v>
      </c>
      <c r="I1175" t="s">
        <v>23</v>
      </c>
      <c r="J1175" t="s">
        <v>1443</v>
      </c>
      <c r="K1175" t="s">
        <v>39</v>
      </c>
      <c r="L1175">
        <v>92646</v>
      </c>
      <c r="M1175" t="s">
        <v>40</v>
      </c>
      <c r="N1175" t="s">
        <v>4396</v>
      </c>
      <c r="O1175" t="s">
        <v>42</v>
      </c>
      <c r="P1175" t="s">
        <v>64</v>
      </c>
      <c r="Q1175" t="s">
        <v>4397</v>
      </c>
      <c r="R1175">
        <v>3.38</v>
      </c>
      <c r="S1175" t="str">
        <f>TEXT(sales_data[[#This Row],[Order Date]],"mm")</f>
        <v>03</v>
      </c>
      <c r="T1175">
        <f>YEAR(sales_data[[#This Row],[Order Date]])</f>
        <v>2015</v>
      </c>
      <c r="V1175" t="s">
        <v>4396</v>
      </c>
    </row>
    <row r="1176" spans="1:22" x14ac:dyDescent="0.35">
      <c r="A1176">
        <v>1894</v>
      </c>
      <c r="B1176" t="s">
        <v>4398</v>
      </c>
      <c r="C1176" s="1">
        <v>43063</v>
      </c>
      <c r="D1176" s="1">
        <v>43068</v>
      </c>
      <c r="E1176" t="s">
        <v>46</v>
      </c>
      <c r="F1176" t="s">
        <v>2170</v>
      </c>
      <c r="G1176" t="s">
        <v>2171</v>
      </c>
      <c r="H1176" t="s">
        <v>22</v>
      </c>
      <c r="I1176" t="s">
        <v>23</v>
      </c>
      <c r="J1176" t="s">
        <v>4399</v>
      </c>
      <c r="K1176" t="s">
        <v>415</v>
      </c>
      <c r="L1176">
        <v>97504</v>
      </c>
      <c r="M1176" t="s">
        <v>40</v>
      </c>
      <c r="N1176" t="s">
        <v>4400</v>
      </c>
      <c r="O1176" t="s">
        <v>42</v>
      </c>
      <c r="P1176" t="s">
        <v>86</v>
      </c>
      <c r="Q1176" t="s">
        <v>4401</v>
      </c>
      <c r="R1176">
        <v>24.783999999999999</v>
      </c>
      <c r="S1176" t="str">
        <f>TEXT(sales_data[[#This Row],[Order Date]],"mm")</f>
        <v>11</v>
      </c>
      <c r="T1176">
        <f>YEAR(sales_data[[#This Row],[Order Date]])</f>
        <v>2017</v>
      </c>
      <c r="V1176" t="s">
        <v>4400</v>
      </c>
    </row>
    <row r="1177" spans="1:22" x14ac:dyDescent="0.35">
      <c r="A1177">
        <v>1895</v>
      </c>
      <c r="B1177" t="s">
        <v>4402</v>
      </c>
      <c r="C1177" s="1">
        <v>43436</v>
      </c>
      <c r="D1177" s="1">
        <v>43439</v>
      </c>
      <c r="E1177" t="s">
        <v>183</v>
      </c>
      <c r="F1177" t="s">
        <v>4403</v>
      </c>
      <c r="G1177" t="s">
        <v>4404</v>
      </c>
      <c r="H1177" t="s">
        <v>22</v>
      </c>
      <c r="I1177" t="s">
        <v>23</v>
      </c>
      <c r="J1177" t="s">
        <v>4405</v>
      </c>
      <c r="K1177" t="s">
        <v>314</v>
      </c>
      <c r="L1177">
        <v>22901</v>
      </c>
      <c r="M1177" t="s">
        <v>26</v>
      </c>
      <c r="N1177" t="s">
        <v>4406</v>
      </c>
      <c r="O1177" t="s">
        <v>42</v>
      </c>
      <c r="P1177" t="s">
        <v>64</v>
      </c>
      <c r="Q1177" t="s">
        <v>4407</v>
      </c>
      <c r="R1177">
        <v>34.65</v>
      </c>
      <c r="S1177" t="str">
        <f>TEXT(sales_data[[#This Row],[Order Date]],"mm")</f>
        <v>12</v>
      </c>
      <c r="T1177">
        <f>YEAR(sales_data[[#This Row],[Order Date]])</f>
        <v>2018</v>
      </c>
      <c r="V1177" t="s">
        <v>4406</v>
      </c>
    </row>
    <row r="1178" spans="1:22" x14ac:dyDescent="0.35">
      <c r="A1178">
        <v>1897</v>
      </c>
      <c r="B1178" t="s">
        <v>4408</v>
      </c>
      <c r="C1178" s="1">
        <v>43376</v>
      </c>
      <c r="D1178" s="1">
        <v>43379</v>
      </c>
      <c r="E1178" t="s">
        <v>183</v>
      </c>
      <c r="F1178" t="s">
        <v>4409</v>
      </c>
      <c r="G1178" t="s">
        <v>4410</v>
      </c>
      <c r="H1178" t="s">
        <v>22</v>
      </c>
      <c r="I1178" t="s">
        <v>23</v>
      </c>
      <c r="J1178" t="s">
        <v>404</v>
      </c>
      <c r="K1178" t="s">
        <v>224</v>
      </c>
      <c r="L1178">
        <v>55407</v>
      </c>
      <c r="M1178" t="s">
        <v>101</v>
      </c>
      <c r="N1178" t="s">
        <v>4411</v>
      </c>
      <c r="O1178" t="s">
        <v>42</v>
      </c>
      <c r="P1178" t="s">
        <v>71</v>
      </c>
      <c r="Q1178" t="s">
        <v>4412</v>
      </c>
      <c r="R1178">
        <v>1793.98</v>
      </c>
      <c r="S1178" t="str">
        <f>TEXT(sales_data[[#This Row],[Order Date]],"mm")</f>
        <v>10</v>
      </c>
      <c r="T1178">
        <f>YEAR(sales_data[[#This Row],[Order Date]])</f>
        <v>2018</v>
      </c>
      <c r="V1178" t="s">
        <v>4411</v>
      </c>
    </row>
    <row r="1179" spans="1:22" x14ac:dyDescent="0.35">
      <c r="A1179">
        <v>1898</v>
      </c>
      <c r="B1179" t="s">
        <v>4413</v>
      </c>
      <c r="C1179" s="1">
        <v>42245</v>
      </c>
      <c r="D1179" s="1">
        <v>42249</v>
      </c>
      <c r="E1179" t="s">
        <v>19</v>
      </c>
      <c r="F1179" t="s">
        <v>2911</v>
      </c>
      <c r="G1179" t="s">
        <v>2912</v>
      </c>
      <c r="H1179" t="s">
        <v>22</v>
      </c>
      <c r="I1179" t="s">
        <v>23</v>
      </c>
      <c r="J1179" t="s">
        <v>1407</v>
      </c>
      <c r="K1179" t="s">
        <v>50</v>
      </c>
      <c r="L1179">
        <v>33178</v>
      </c>
      <c r="M1179" t="s">
        <v>26</v>
      </c>
      <c r="N1179" t="s">
        <v>4414</v>
      </c>
      <c r="O1179" t="s">
        <v>42</v>
      </c>
      <c r="P1179" t="s">
        <v>168</v>
      </c>
      <c r="Q1179" t="s">
        <v>4415</v>
      </c>
      <c r="R1179">
        <v>29.808</v>
      </c>
      <c r="S1179" t="str">
        <f>TEXT(sales_data[[#This Row],[Order Date]],"mm")</f>
        <v>08</v>
      </c>
      <c r="T1179">
        <f>YEAR(sales_data[[#This Row],[Order Date]])</f>
        <v>2015</v>
      </c>
      <c r="V1179" t="s">
        <v>4414</v>
      </c>
    </row>
    <row r="1180" spans="1:22" x14ac:dyDescent="0.35">
      <c r="A1180">
        <v>1899</v>
      </c>
      <c r="B1180" t="s">
        <v>4413</v>
      </c>
      <c r="C1180" s="1">
        <v>42245</v>
      </c>
      <c r="D1180" s="1">
        <v>42249</v>
      </c>
      <c r="E1180" t="s">
        <v>19</v>
      </c>
      <c r="F1180" t="s">
        <v>2911</v>
      </c>
      <c r="G1180" t="s">
        <v>2912</v>
      </c>
      <c r="H1180" t="s">
        <v>22</v>
      </c>
      <c r="I1180" t="s">
        <v>23</v>
      </c>
      <c r="J1180" t="s">
        <v>1407</v>
      </c>
      <c r="K1180" t="s">
        <v>50</v>
      </c>
      <c r="L1180">
        <v>33178</v>
      </c>
      <c r="M1180" t="s">
        <v>26</v>
      </c>
      <c r="N1180" t="s">
        <v>4416</v>
      </c>
      <c r="O1180" t="s">
        <v>42</v>
      </c>
      <c r="P1180" t="s">
        <v>71</v>
      </c>
      <c r="Q1180" t="s">
        <v>4417</v>
      </c>
      <c r="R1180">
        <v>505.17599999999999</v>
      </c>
      <c r="S1180" t="str">
        <f>TEXT(sales_data[[#This Row],[Order Date]],"mm")</f>
        <v>08</v>
      </c>
      <c r="T1180">
        <f>YEAR(sales_data[[#This Row],[Order Date]])</f>
        <v>2015</v>
      </c>
      <c r="V1180" t="s">
        <v>4416</v>
      </c>
    </row>
    <row r="1181" spans="1:22" x14ac:dyDescent="0.35">
      <c r="A1181">
        <v>1902</v>
      </c>
      <c r="B1181" t="s">
        <v>4418</v>
      </c>
      <c r="C1181" s="1">
        <v>42967</v>
      </c>
      <c r="D1181" s="1">
        <v>42970</v>
      </c>
      <c r="E1181" t="s">
        <v>183</v>
      </c>
      <c r="F1181" t="s">
        <v>923</v>
      </c>
      <c r="G1181" t="s">
        <v>924</v>
      </c>
      <c r="H1181" t="s">
        <v>98</v>
      </c>
      <c r="I1181" t="s">
        <v>23</v>
      </c>
      <c r="J1181" t="s">
        <v>872</v>
      </c>
      <c r="K1181" t="s">
        <v>233</v>
      </c>
      <c r="L1181">
        <v>48205</v>
      </c>
      <c r="M1181" t="s">
        <v>101</v>
      </c>
      <c r="N1181" t="s">
        <v>4419</v>
      </c>
      <c r="O1181" t="s">
        <v>67</v>
      </c>
      <c r="P1181" t="s">
        <v>68</v>
      </c>
      <c r="Q1181" t="s">
        <v>4420</v>
      </c>
      <c r="R1181">
        <v>14.78</v>
      </c>
      <c r="S1181" t="str">
        <f>TEXT(sales_data[[#This Row],[Order Date]],"mm")</f>
        <v>08</v>
      </c>
      <c r="T1181">
        <f>YEAR(sales_data[[#This Row],[Order Date]])</f>
        <v>2017</v>
      </c>
      <c r="V1181" t="s">
        <v>4419</v>
      </c>
    </row>
    <row r="1182" spans="1:22" x14ac:dyDescent="0.35">
      <c r="A1182">
        <v>1904</v>
      </c>
      <c r="B1182" t="s">
        <v>4421</v>
      </c>
      <c r="C1182" s="1">
        <v>43394</v>
      </c>
      <c r="D1182" s="1">
        <v>43395</v>
      </c>
      <c r="E1182" t="s">
        <v>183</v>
      </c>
      <c r="F1182" t="s">
        <v>3692</v>
      </c>
      <c r="G1182" t="s">
        <v>3693</v>
      </c>
      <c r="H1182" t="s">
        <v>37</v>
      </c>
      <c r="I1182" t="s">
        <v>23</v>
      </c>
      <c r="J1182" t="s">
        <v>313</v>
      </c>
      <c r="K1182" t="s">
        <v>415</v>
      </c>
      <c r="L1182">
        <v>97477</v>
      </c>
      <c r="M1182" t="s">
        <v>40</v>
      </c>
      <c r="N1182" t="s">
        <v>4422</v>
      </c>
      <c r="O1182" t="s">
        <v>28</v>
      </c>
      <c r="P1182" t="s">
        <v>32</v>
      </c>
      <c r="Q1182" t="s">
        <v>4423</v>
      </c>
      <c r="R1182">
        <v>478.48</v>
      </c>
      <c r="S1182" t="str">
        <f>TEXT(sales_data[[#This Row],[Order Date]],"mm")</f>
        <v>10</v>
      </c>
      <c r="T1182">
        <f>YEAR(sales_data[[#This Row],[Order Date]])</f>
        <v>2018</v>
      </c>
      <c r="V1182" t="s">
        <v>4422</v>
      </c>
    </row>
    <row r="1183" spans="1:22" x14ac:dyDescent="0.35">
      <c r="A1183">
        <v>1907</v>
      </c>
      <c r="B1183" t="s">
        <v>4426</v>
      </c>
      <c r="C1183" s="1">
        <v>42872</v>
      </c>
      <c r="D1183" s="1">
        <v>42876</v>
      </c>
      <c r="E1183" t="s">
        <v>46</v>
      </c>
      <c r="F1183" t="s">
        <v>4239</v>
      </c>
      <c r="G1183" t="s">
        <v>4240</v>
      </c>
      <c r="H1183" t="s">
        <v>37</v>
      </c>
      <c r="I1183" t="s">
        <v>23</v>
      </c>
      <c r="J1183" t="s">
        <v>4427</v>
      </c>
      <c r="K1183" t="s">
        <v>50</v>
      </c>
      <c r="L1183">
        <v>32712</v>
      </c>
      <c r="M1183" t="s">
        <v>26</v>
      </c>
      <c r="N1183" t="s">
        <v>4428</v>
      </c>
      <c r="O1183" t="s">
        <v>42</v>
      </c>
      <c r="P1183" t="s">
        <v>71</v>
      </c>
      <c r="Q1183" t="s">
        <v>4429</v>
      </c>
      <c r="R1183">
        <v>2.952</v>
      </c>
      <c r="S1183" t="str">
        <f>TEXT(sales_data[[#This Row],[Order Date]],"mm")</f>
        <v>05</v>
      </c>
      <c r="T1183">
        <f>YEAR(sales_data[[#This Row],[Order Date]])</f>
        <v>2017</v>
      </c>
      <c r="V1183" t="s">
        <v>4428</v>
      </c>
    </row>
    <row r="1184" spans="1:22" x14ac:dyDescent="0.35">
      <c r="A1184">
        <v>1909</v>
      </c>
      <c r="B1184" t="s">
        <v>4430</v>
      </c>
      <c r="C1184" s="1">
        <v>42403</v>
      </c>
      <c r="D1184" s="1">
        <v>42404</v>
      </c>
      <c r="E1184" t="s">
        <v>183</v>
      </c>
      <c r="F1184" t="s">
        <v>3683</v>
      </c>
      <c r="G1184" t="s">
        <v>3684</v>
      </c>
      <c r="H1184" t="s">
        <v>37</v>
      </c>
      <c r="I1184" t="s">
        <v>23</v>
      </c>
      <c r="J1184" t="s">
        <v>38</v>
      </c>
      <c r="K1184" t="s">
        <v>39</v>
      </c>
      <c r="L1184">
        <v>90008</v>
      </c>
      <c r="M1184" t="s">
        <v>40</v>
      </c>
      <c r="N1184" t="s">
        <v>4431</v>
      </c>
      <c r="O1184" t="s">
        <v>28</v>
      </c>
      <c r="P1184" t="s">
        <v>61</v>
      </c>
      <c r="Q1184" t="s">
        <v>4432</v>
      </c>
      <c r="R1184">
        <v>136.91999999999999</v>
      </c>
      <c r="S1184" t="str">
        <f>TEXT(sales_data[[#This Row],[Order Date]],"mm")</f>
        <v>02</v>
      </c>
      <c r="T1184">
        <f>YEAR(sales_data[[#This Row],[Order Date]])</f>
        <v>2016</v>
      </c>
      <c r="V1184" t="s">
        <v>4431</v>
      </c>
    </row>
    <row r="1185" spans="1:22" x14ac:dyDescent="0.35">
      <c r="A1185">
        <v>1910</v>
      </c>
      <c r="B1185" t="s">
        <v>4433</v>
      </c>
      <c r="C1185" s="1">
        <v>43452</v>
      </c>
      <c r="D1185" s="1">
        <v>43457</v>
      </c>
      <c r="E1185" t="s">
        <v>46</v>
      </c>
      <c r="F1185" t="s">
        <v>4434</v>
      </c>
      <c r="G1185" t="s">
        <v>4435</v>
      </c>
      <c r="H1185" t="s">
        <v>22</v>
      </c>
      <c r="I1185" t="s">
        <v>23</v>
      </c>
      <c r="J1185" t="s">
        <v>2308</v>
      </c>
      <c r="K1185" t="s">
        <v>262</v>
      </c>
      <c r="L1185">
        <v>11572</v>
      </c>
      <c r="M1185" t="s">
        <v>144</v>
      </c>
      <c r="N1185" t="s">
        <v>4436</v>
      </c>
      <c r="O1185" t="s">
        <v>28</v>
      </c>
      <c r="P1185" t="s">
        <v>61</v>
      </c>
      <c r="Q1185" t="s">
        <v>4437</v>
      </c>
      <c r="R1185">
        <v>18.96</v>
      </c>
      <c r="S1185" t="str">
        <f>TEXT(sales_data[[#This Row],[Order Date]],"mm")</f>
        <v>12</v>
      </c>
      <c r="T1185">
        <f>YEAR(sales_data[[#This Row],[Order Date]])</f>
        <v>2018</v>
      </c>
      <c r="V1185" t="s">
        <v>4436</v>
      </c>
    </row>
    <row r="1186" spans="1:22" x14ac:dyDescent="0.35">
      <c r="A1186">
        <v>1912</v>
      </c>
      <c r="B1186" t="s">
        <v>4438</v>
      </c>
      <c r="C1186" s="1">
        <v>43284</v>
      </c>
      <c r="D1186" s="1">
        <v>43287</v>
      </c>
      <c r="E1186" t="s">
        <v>19</v>
      </c>
      <c r="F1186" t="s">
        <v>3181</v>
      </c>
      <c r="G1186" t="s">
        <v>3182</v>
      </c>
      <c r="H1186" t="s">
        <v>37</v>
      </c>
      <c r="I1186" t="s">
        <v>23</v>
      </c>
      <c r="J1186" t="s">
        <v>179</v>
      </c>
      <c r="K1186" t="s">
        <v>100</v>
      </c>
      <c r="L1186">
        <v>77041</v>
      </c>
      <c r="M1186" t="s">
        <v>101</v>
      </c>
      <c r="N1186" t="s">
        <v>4439</v>
      </c>
      <c r="O1186" t="s">
        <v>42</v>
      </c>
      <c r="P1186" t="s">
        <v>86</v>
      </c>
      <c r="Q1186" t="s">
        <v>4440</v>
      </c>
      <c r="R1186">
        <v>273.89600000000002</v>
      </c>
      <c r="S1186" t="str">
        <f>TEXT(sales_data[[#This Row],[Order Date]],"mm")</f>
        <v>07</v>
      </c>
      <c r="T1186">
        <f>YEAR(sales_data[[#This Row],[Order Date]])</f>
        <v>2018</v>
      </c>
      <c r="V1186" t="s">
        <v>4439</v>
      </c>
    </row>
    <row r="1187" spans="1:22" x14ac:dyDescent="0.35">
      <c r="A1187">
        <v>1913</v>
      </c>
      <c r="B1187" t="s">
        <v>4438</v>
      </c>
      <c r="C1187" s="1">
        <v>43284</v>
      </c>
      <c r="D1187" s="1">
        <v>43287</v>
      </c>
      <c r="E1187" t="s">
        <v>19</v>
      </c>
      <c r="F1187" t="s">
        <v>3181</v>
      </c>
      <c r="G1187" t="s">
        <v>3182</v>
      </c>
      <c r="H1187" t="s">
        <v>37</v>
      </c>
      <c r="I1187" t="s">
        <v>23</v>
      </c>
      <c r="J1187" t="s">
        <v>179</v>
      </c>
      <c r="K1187" t="s">
        <v>100</v>
      </c>
      <c r="L1187">
        <v>77041</v>
      </c>
      <c r="M1187" t="s">
        <v>101</v>
      </c>
      <c r="N1187" t="s">
        <v>4441</v>
      </c>
      <c r="O1187" t="s">
        <v>67</v>
      </c>
      <c r="P1187" t="s">
        <v>675</v>
      </c>
      <c r="Q1187" t="s">
        <v>4442</v>
      </c>
      <c r="R1187">
        <v>597.13199999999995</v>
      </c>
      <c r="S1187" t="str">
        <f>TEXT(sales_data[[#This Row],[Order Date]],"mm")</f>
        <v>07</v>
      </c>
      <c r="T1187">
        <f>YEAR(sales_data[[#This Row],[Order Date]])</f>
        <v>2018</v>
      </c>
      <c r="V1187" t="s">
        <v>4441</v>
      </c>
    </row>
    <row r="1188" spans="1:22" x14ac:dyDescent="0.35">
      <c r="A1188">
        <v>1915</v>
      </c>
      <c r="B1188" t="s">
        <v>4445</v>
      </c>
      <c r="C1188" s="1">
        <v>43220</v>
      </c>
      <c r="D1188" s="1">
        <v>43225</v>
      </c>
      <c r="E1188" t="s">
        <v>46</v>
      </c>
      <c r="F1188" t="s">
        <v>2873</v>
      </c>
      <c r="G1188" t="s">
        <v>2874</v>
      </c>
      <c r="H1188" t="s">
        <v>98</v>
      </c>
      <c r="I1188" t="s">
        <v>23</v>
      </c>
      <c r="J1188" t="s">
        <v>3342</v>
      </c>
      <c r="K1188" t="s">
        <v>50</v>
      </c>
      <c r="L1188">
        <v>33437</v>
      </c>
      <c r="M1188" t="s">
        <v>26</v>
      </c>
      <c r="N1188" t="s">
        <v>4446</v>
      </c>
      <c r="O1188" t="s">
        <v>42</v>
      </c>
      <c r="P1188" t="s">
        <v>43</v>
      </c>
      <c r="Q1188" t="s">
        <v>4447</v>
      </c>
      <c r="R1188">
        <v>4.6079999999999997</v>
      </c>
      <c r="S1188" t="str">
        <f>TEXT(sales_data[[#This Row],[Order Date]],"mm")</f>
        <v>04</v>
      </c>
      <c r="T1188">
        <f>YEAR(sales_data[[#This Row],[Order Date]])</f>
        <v>2018</v>
      </c>
      <c r="V1188" t="s">
        <v>4446</v>
      </c>
    </row>
    <row r="1189" spans="1:22" x14ac:dyDescent="0.35">
      <c r="A1189">
        <v>1919</v>
      </c>
      <c r="B1189" t="s">
        <v>4448</v>
      </c>
      <c r="C1189" s="1">
        <v>42673</v>
      </c>
      <c r="D1189" s="1">
        <v>42675</v>
      </c>
      <c r="E1189" t="s">
        <v>19</v>
      </c>
      <c r="F1189" t="s">
        <v>4302</v>
      </c>
      <c r="G1189" t="s">
        <v>4303</v>
      </c>
      <c r="H1189" t="s">
        <v>98</v>
      </c>
      <c r="I1189" t="s">
        <v>23</v>
      </c>
      <c r="J1189" t="s">
        <v>872</v>
      </c>
      <c r="K1189" t="s">
        <v>233</v>
      </c>
      <c r="L1189">
        <v>48227</v>
      </c>
      <c r="M1189" t="s">
        <v>101</v>
      </c>
      <c r="N1189" t="s">
        <v>4449</v>
      </c>
      <c r="O1189" t="s">
        <v>67</v>
      </c>
      <c r="P1189" t="s">
        <v>68</v>
      </c>
      <c r="Q1189" t="s">
        <v>4450</v>
      </c>
      <c r="R1189">
        <v>299.89999999999998</v>
      </c>
      <c r="S1189" t="str">
        <f>TEXT(sales_data[[#This Row],[Order Date]],"mm")</f>
        <v>10</v>
      </c>
      <c r="T1189">
        <f>YEAR(sales_data[[#This Row],[Order Date]])</f>
        <v>2016</v>
      </c>
      <c r="V1189" t="s">
        <v>4449</v>
      </c>
    </row>
    <row r="1190" spans="1:22" x14ac:dyDescent="0.35">
      <c r="A1190">
        <v>1920</v>
      </c>
      <c r="B1190" t="s">
        <v>4451</v>
      </c>
      <c r="C1190" s="1">
        <v>43329</v>
      </c>
      <c r="D1190" s="1">
        <v>43331</v>
      </c>
      <c r="E1190" t="s">
        <v>183</v>
      </c>
      <c r="F1190" t="s">
        <v>4452</v>
      </c>
      <c r="G1190" t="s">
        <v>4453</v>
      </c>
      <c r="H1190" t="s">
        <v>37</v>
      </c>
      <c r="I1190" t="s">
        <v>23</v>
      </c>
      <c r="J1190" t="s">
        <v>3895</v>
      </c>
      <c r="K1190" t="s">
        <v>262</v>
      </c>
      <c r="L1190">
        <v>13601</v>
      </c>
      <c r="M1190" t="s">
        <v>144</v>
      </c>
      <c r="N1190" t="s">
        <v>4454</v>
      </c>
      <c r="O1190" t="s">
        <v>42</v>
      </c>
      <c r="P1190" t="s">
        <v>71</v>
      </c>
      <c r="Q1190" t="s">
        <v>4455</v>
      </c>
      <c r="R1190">
        <v>895.92</v>
      </c>
      <c r="S1190" t="str">
        <f>TEXT(sales_data[[#This Row],[Order Date]],"mm")</f>
        <v>08</v>
      </c>
      <c r="T1190">
        <f>YEAR(sales_data[[#This Row],[Order Date]])</f>
        <v>2018</v>
      </c>
      <c r="V1190" t="s">
        <v>4454</v>
      </c>
    </row>
    <row r="1191" spans="1:22" x14ac:dyDescent="0.35">
      <c r="A1191">
        <v>1921</v>
      </c>
      <c r="B1191" t="s">
        <v>4451</v>
      </c>
      <c r="C1191" s="1">
        <v>43329</v>
      </c>
      <c r="D1191" s="1">
        <v>43331</v>
      </c>
      <c r="E1191" t="s">
        <v>183</v>
      </c>
      <c r="F1191" t="s">
        <v>4452</v>
      </c>
      <c r="G1191" t="s">
        <v>4453</v>
      </c>
      <c r="H1191" t="s">
        <v>37</v>
      </c>
      <c r="I1191" t="s">
        <v>23</v>
      </c>
      <c r="J1191" t="s">
        <v>3895</v>
      </c>
      <c r="K1191" t="s">
        <v>262</v>
      </c>
      <c r="L1191">
        <v>13601</v>
      </c>
      <c r="M1191" t="s">
        <v>144</v>
      </c>
      <c r="N1191" t="s">
        <v>4456</v>
      </c>
      <c r="O1191" t="s">
        <v>28</v>
      </c>
      <c r="P1191" t="s">
        <v>32</v>
      </c>
      <c r="Q1191" t="s">
        <v>4457</v>
      </c>
      <c r="R1191">
        <v>462.56400000000002</v>
      </c>
      <c r="S1191" t="str">
        <f>TEXT(sales_data[[#This Row],[Order Date]],"mm")</f>
        <v>08</v>
      </c>
      <c r="T1191">
        <f>YEAR(sales_data[[#This Row],[Order Date]])</f>
        <v>2018</v>
      </c>
      <c r="V1191" t="s">
        <v>4456</v>
      </c>
    </row>
    <row r="1192" spans="1:22" x14ac:dyDescent="0.35">
      <c r="A1192">
        <v>1922</v>
      </c>
      <c r="B1192" t="s">
        <v>4458</v>
      </c>
      <c r="C1192" s="1">
        <v>42646</v>
      </c>
      <c r="D1192" s="1">
        <v>42652</v>
      </c>
      <c r="E1192" t="s">
        <v>46</v>
      </c>
      <c r="F1192" t="s">
        <v>765</v>
      </c>
      <c r="G1192" t="s">
        <v>766</v>
      </c>
      <c r="H1192" t="s">
        <v>37</v>
      </c>
      <c r="I1192" t="s">
        <v>23</v>
      </c>
      <c r="J1192" t="s">
        <v>4459</v>
      </c>
      <c r="K1192" t="s">
        <v>143</v>
      </c>
      <c r="L1192">
        <v>19601</v>
      </c>
      <c r="M1192" t="s">
        <v>144</v>
      </c>
      <c r="N1192" t="s">
        <v>4460</v>
      </c>
      <c r="O1192" t="s">
        <v>42</v>
      </c>
      <c r="P1192" t="s">
        <v>55</v>
      </c>
      <c r="Q1192" t="s">
        <v>2604</v>
      </c>
      <c r="R1192">
        <v>15.007999999999999</v>
      </c>
      <c r="S1192" t="str">
        <f>TEXT(sales_data[[#This Row],[Order Date]],"mm")</f>
        <v>10</v>
      </c>
      <c r="T1192">
        <f>YEAR(sales_data[[#This Row],[Order Date]])</f>
        <v>2016</v>
      </c>
      <c r="V1192" t="s">
        <v>4460</v>
      </c>
    </row>
    <row r="1193" spans="1:22" x14ac:dyDescent="0.35">
      <c r="A1193">
        <v>1923</v>
      </c>
      <c r="B1193" t="s">
        <v>4461</v>
      </c>
      <c r="C1193" s="1">
        <v>42924</v>
      </c>
      <c r="D1193" s="1">
        <v>42926</v>
      </c>
      <c r="E1193" t="s">
        <v>19</v>
      </c>
      <c r="F1193" t="s">
        <v>4462</v>
      </c>
      <c r="G1193" t="s">
        <v>4463</v>
      </c>
      <c r="H1193" t="s">
        <v>37</v>
      </c>
      <c r="I1193" t="s">
        <v>23</v>
      </c>
      <c r="J1193" t="s">
        <v>1120</v>
      </c>
      <c r="K1193" t="s">
        <v>100</v>
      </c>
      <c r="L1193">
        <v>76017</v>
      </c>
      <c r="M1193" t="s">
        <v>101</v>
      </c>
      <c r="N1193" t="s">
        <v>4464</v>
      </c>
      <c r="O1193" t="s">
        <v>67</v>
      </c>
      <c r="P1193" t="s">
        <v>68</v>
      </c>
      <c r="Q1193" t="s">
        <v>4465</v>
      </c>
      <c r="R1193">
        <v>863.64</v>
      </c>
      <c r="S1193" t="str">
        <f>TEXT(sales_data[[#This Row],[Order Date]],"mm")</f>
        <v>07</v>
      </c>
      <c r="T1193">
        <f>YEAR(sales_data[[#This Row],[Order Date]])</f>
        <v>2017</v>
      </c>
      <c r="V1193" t="s">
        <v>4464</v>
      </c>
    </row>
    <row r="1194" spans="1:22" x14ac:dyDescent="0.35">
      <c r="A1194">
        <v>1927</v>
      </c>
      <c r="B1194" t="s">
        <v>4466</v>
      </c>
      <c r="C1194" s="1">
        <v>42895</v>
      </c>
      <c r="D1194" s="1">
        <v>42901</v>
      </c>
      <c r="E1194" t="s">
        <v>46</v>
      </c>
      <c r="F1194" t="s">
        <v>3348</v>
      </c>
      <c r="G1194" t="s">
        <v>3349</v>
      </c>
      <c r="H1194" t="s">
        <v>22</v>
      </c>
      <c r="I1194" t="s">
        <v>23</v>
      </c>
      <c r="J1194" t="s">
        <v>38</v>
      </c>
      <c r="K1194" t="s">
        <v>39</v>
      </c>
      <c r="L1194">
        <v>90045</v>
      </c>
      <c r="M1194" t="s">
        <v>40</v>
      </c>
      <c r="N1194" t="s">
        <v>4467</v>
      </c>
      <c r="O1194" t="s">
        <v>67</v>
      </c>
      <c r="P1194" t="s">
        <v>68</v>
      </c>
      <c r="Q1194" t="s">
        <v>4468</v>
      </c>
      <c r="R1194">
        <v>177.48</v>
      </c>
      <c r="S1194" t="str">
        <f>TEXT(sales_data[[#This Row],[Order Date]],"mm")</f>
        <v>06</v>
      </c>
      <c r="T1194">
        <f>YEAR(sales_data[[#This Row],[Order Date]])</f>
        <v>2017</v>
      </c>
      <c r="V1194" t="s">
        <v>4467</v>
      </c>
    </row>
    <row r="1195" spans="1:22" x14ac:dyDescent="0.35">
      <c r="A1195">
        <v>1929</v>
      </c>
      <c r="B1195" t="s">
        <v>4469</v>
      </c>
      <c r="C1195" s="1">
        <v>43175</v>
      </c>
      <c r="D1195" s="1">
        <v>43177</v>
      </c>
      <c r="E1195" t="s">
        <v>19</v>
      </c>
      <c r="F1195" t="s">
        <v>777</v>
      </c>
      <c r="G1195" t="s">
        <v>778</v>
      </c>
      <c r="H1195" t="s">
        <v>98</v>
      </c>
      <c r="I1195" t="s">
        <v>23</v>
      </c>
      <c r="J1195" t="s">
        <v>91</v>
      </c>
      <c r="K1195" t="s">
        <v>92</v>
      </c>
      <c r="L1195">
        <v>98105</v>
      </c>
      <c r="M1195" t="s">
        <v>40</v>
      </c>
      <c r="N1195" t="s">
        <v>4470</v>
      </c>
      <c r="O1195" t="s">
        <v>42</v>
      </c>
      <c r="P1195" t="s">
        <v>86</v>
      </c>
      <c r="Q1195" t="s">
        <v>4471</v>
      </c>
      <c r="R1195">
        <v>6.48</v>
      </c>
      <c r="S1195" t="str">
        <f>TEXT(sales_data[[#This Row],[Order Date]],"mm")</f>
        <v>03</v>
      </c>
      <c r="T1195">
        <f>YEAR(sales_data[[#This Row],[Order Date]])</f>
        <v>2018</v>
      </c>
      <c r="V1195" t="s">
        <v>4470</v>
      </c>
    </row>
    <row r="1196" spans="1:22" x14ac:dyDescent="0.35">
      <c r="A1196">
        <v>1932</v>
      </c>
      <c r="B1196" t="s">
        <v>4472</v>
      </c>
      <c r="C1196" s="1">
        <v>43066</v>
      </c>
      <c r="D1196" s="1">
        <v>43068</v>
      </c>
      <c r="E1196" t="s">
        <v>19</v>
      </c>
      <c r="F1196" t="s">
        <v>958</v>
      </c>
      <c r="G1196" t="s">
        <v>959</v>
      </c>
      <c r="H1196" t="s">
        <v>22</v>
      </c>
      <c r="I1196" t="s">
        <v>23</v>
      </c>
      <c r="J1196" t="s">
        <v>615</v>
      </c>
      <c r="K1196" t="s">
        <v>305</v>
      </c>
      <c r="L1196">
        <v>85254</v>
      </c>
      <c r="M1196" t="s">
        <v>40</v>
      </c>
      <c r="N1196" t="s">
        <v>4473</v>
      </c>
      <c r="O1196" t="s">
        <v>67</v>
      </c>
      <c r="P1196" t="s">
        <v>68</v>
      </c>
      <c r="Q1196" t="s">
        <v>4474</v>
      </c>
      <c r="R1196">
        <v>271.99200000000002</v>
      </c>
      <c r="S1196" t="str">
        <f>TEXT(sales_data[[#This Row],[Order Date]],"mm")</f>
        <v>11</v>
      </c>
      <c r="T1196">
        <f>YEAR(sales_data[[#This Row],[Order Date]])</f>
        <v>2017</v>
      </c>
      <c r="V1196" t="s">
        <v>4473</v>
      </c>
    </row>
    <row r="1197" spans="1:22" x14ac:dyDescent="0.35">
      <c r="A1197">
        <v>1933</v>
      </c>
      <c r="B1197" t="s">
        <v>4475</v>
      </c>
      <c r="C1197" s="1">
        <v>43318</v>
      </c>
      <c r="D1197" s="1">
        <v>43322</v>
      </c>
      <c r="E1197" t="s">
        <v>19</v>
      </c>
      <c r="F1197" t="s">
        <v>2271</v>
      </c>
      <c r="G1197" t="s">
        <v>2272</v>
      </c>
      <c r="H1197" t="s">
        <v>22</v>
      </c>
      <c r="I1197" t="s">
        <v>23</v>
      </c>
      <c r="J1197" t="s">
        <v>4035</v>
      </c>
      <c r="K1197" t="s">
        <v>729</v>
      </c>
      <c r="L1197">
        <v>70506</v>
      </c>
      <c r="M1197" t="s">
        <v>26</v>
      </c>
      <c r="N1197" t="s">
        <v>4476</v>
      </c>
      <c r="O1197" t="s">
        <v>28</v>
      </c>
      <c r="P1197" t="s">
        <v>29</v>
      </c>
      <c r="Q1197" t="s">
        <v>4477</v>
      </c>
      <c r="R1197">
        <v>145.74</v>
      </c>
      <c r="S1197" t="str">
        <f>TEXT(sales_data[[#This Row],[Order Date]],"mm")</f>
        <v>08</v>
      </c>
      <c r="T1197">
        <f>YEAR(sales_data[[#This Row],[Order Date]])</f>
        <v>2018</v>
      </c>
      <c r="V1197" t="s">
        <v>4476</v>
      </c>
    </row>
    <row r="1198" spans="1:22" x14ac:dyDescent="0.35">
      <c r="A1198">
        <v>1936</v>
      </c>
      <c r="B1198" t="s">
        <v>4478</v>
      </c>
      <c r="C1198" s="1">
        <v>43431</v>
      </c>
      <c r="D1198" s="1">
        <v>43437</v>
      </c>
      <c r="E1198" t="s">
        <v>46</v>
      </c>
      <c r="F1198" t="s">
        <v>2832</v>
      </c>
      <c r="G1198" t="s">
        <v>2833</v>
      </c>
      <c r="H1198" t="s">
        <v>37</v>
      </c>
      <c r="I1198" t="s">
        <v>23</v>
      </c>
      <c r="J1198" t="s">
        <v>123</v>
      </c>
      <c r="K1198" t="s">
        <v>39</v>
      </c>
      <c r="L1198">
        <v>94109</v>
      </c>
      <c r="M1198" t="s">
        <v>40</v>
      </c>
      <c r="N1198" t="s">
        <v>4479</v>
      </c>
      <c r="O1198" t="s">
        <v>67</v>
      </c>
      <c r="P1198" t="s">
        <v>156</v>
      </c>
      <c r="Q1198" t="s">
        <v>4480</v>
      </c>
      <c r="R1198">
        <v>166.16</v>
      </c>
      <c r="S1198" t="str">
        <f>TEXT(sales_data[[#This Row],[Order Date]],"mm")</f>
        <v>11</v>
      </c>
      <c r="T1198">
        <f>YEAR(sales_data[[#This Row],[Order Date]])</f>
        <v>2018</v>
      </c>
      <c r="V1198" t="s">
        <v>4479</v>
      </c>
    </row>
    <row r="1199" spans="1:22" x14ac:dyDescent="0.35">
      <c r="A1199">
        <v>1938</v>
      </c>
      <c r="B1199" t="s">
        <v>4481</v>
      </c>
      <c r="C1199" s="1">
        <v>42924</v>
      </c>
      <c r="D1199" s="1">
        <v>42928</v>
      </c>
      <c r="E1199" t="s">
        <v>46</v>
      </c>
      <c r="F1199" t="s">
        <v>4482</v>
      </c>
      <c r="G1199" t="s">
        <v>4483</v>
      </c>
      <c r="H1199" t="s">
        <v>22</v>
      </c>
      <c r="I1199" t="s">
        <v>23</v>
      </c>
      <c r="J1199" t="s">
        <v>4484</v>
      </c>
      <c r="K1199" t="s">
        <v>452</v>
      </c>
      <c r="L1199">
        <v>80020</v>
      </c>
      <c r="M1199" t="s">
        <v>40</v>
      </c>
      <c r="N1199" t="s">
        <v>4485</v>
      </c>
      <c r="O1199" t="s">
        <v>42</v>
      </c>
      <c r="P1199" t="s">
        <v>71</v>
      </c>
      <c r="Q1199" t="s">
        <v>4486</v>
      </c>
      <c r="R1199">
        <v>19.968</v>
      </c>
      <c r="S1199" t="str">
        <f>TEXT(sales_data[[#This Row],[Order Date]],"mm")</f>
        <v>07</v>
      </c>
      <c r="T1199">
        <f>YEAR(sales_data[[#This Row],[Order Date]])</f>
        <v>2017</v>
      </c>
      <c r="V1199" t="s">
        <v>4485</v>
      </c>
    </row>
    <row r="1200" spans="1:22" x14ac:dyDescent="0.35">
      <c r="A1200">
        <v>1939</v>
      </c>
      <c r="B1200" t="s">
        <v>4481</v>
      </c>
      <c r="C1200" s="1">
        <v>42924</v>
      </c>
      <c r="D1200" s="1">
        <v>42928</v>
      </c>
      <c r="E1200" t="s">
        <v>46</v>
      </c>
      <c r="F1200" t="s">
        <v>4482</v>
      </c>
      <c r="G1200" t="s">
        <v>4483</v>
      </c>
      <c r="H1200" t="s">
        <v>22</v>
      </c>
      <c r="I1200" t="s">
        <v>23</v>
      </c>
      <c r="J1200" t="s">
        <v>4484</v>
      </c>
      <c r="K1200" t="s">
        <v>452</v>
      </c>
      <c r="L1200">
        <v>80020</v>
      </c>
      <c r="M1200" t="s">
        <v>40</v>
      </c>
      <c r="N1200" t="s">
        <v>4487</v>
      </c>
      <c r="O1200" t="s">
        <v>42</v>
      </c>
      <c r="P1200" t="s">
        <v>55</v>
      </c>
      <c r="Q1200" t="s">
        <v>4488</v>
      </c>
      <c r="R1200">
        <v>33.488</v>
      </c>
      <c r="S1200" t="str">
        <f>TEXT(sales_data[[#This Row],[Order Date]],"mm")</f>
        <v>07</v>
      </c>
      <c r="T1200">
        <f>YEAR(sales_data[[#This Row],[Order Date]])</f>
        <v>2017</v>
      </c>
      <c r="V1200" t="s">
        <v>4487</v>
      </c>
    </row>
    <row r="1201" spans="1:22" x14ac:dyDescent="0.35">
      <c r="A1201">
        <v>1955</v>
      </c>
      <c r="B1201" t="s">
        <v>4489</v>
      </c>
      <c r="C1201" s="1">
        <v>43345</v>
      </c>
      <c r="D1201" s="1">
        <v>43349</v>
      </c>
      <c r="E1201" t="s">
        <v>46</v>
      </c>
      <c r="F1201" t="s">
        <v>4490</v>
      </c>
      <c r="G1201" t="s">
        <v>4491</v>
      </c>
      <c r="H1201" t="s">
        <v>37</v>
      </c>
      <c r="I1201" t="s">
        <v>23</v>
      </c>
      <c r="J1201" t="s">
        <v>261</v>
      </c>
      <c r="K1201" t="s">
        <v>262</v>
      </c>
      <c r="L1201">
        <v>10009</v>
      </c>
      <c r="M1201" t="s">
        <v>144</v>
      </c>
      <c r="N1201" t="s">
        <v>4492</v>
      </c>
      <c r="O1201" t="s">
        <v>42</v>
      </c>
      <c r="P1201" t="s">
        <v>64</v>
      </c>
      <c r="Q1201" t="s">
        <v>4493</v>
      </c>
      <c r="R1201">
        <v>4.92</v>
      </c>
      <c r="S1201" t="str">
        <f>TEXT(sales_data[[#This Row],[Order Date]],"mm")</f>
        <v>09</v>
      </c>
      <c r="T1201">
        <f>YEAR(sales_data[[#This Row],[Order Date]])</f>
        <v>2018</v>
      </c>
      <c r="V1201" t="s">
        <v>4492</v>
      </c>
    </row>
    <row r="1202" spans="1:22" x14ac:dyDescent="0.35">
      <c r="A1202">
        <v>1956</v>
      </c>
      <c r="B1202" t="s">
        <v>4489</v>
      </c>
      <c r="C1202" s="1">
        <v>43345</v>
      </c>
      <c r="D1202" s="1">
        <v>43349</v>
      </c>
      <c r="E1202" t="s">
        <v>46</v>
      </c>
      <c r="F1202" t="s">
        <v>4490</v>
      </c>
      <c r="G1202" t="s">
        <v>4491</v>
      </c>
      <c r="H1202" t="s">
        <v>37</v>
      </c>
      <c r="I1202" t="s">
        <v>23</v>
      </c>
      <c r="J1202" t="s">
        <v>261</v>
      </c>
      <c r="K1202" t="s">
        <v>262</v>
      </c>
      <c r="L1202">
        <v>10009</v>
      </c>
      <c r="M1202" t="s">
        <v>144</v>
      </c>
      <c r="N1202" t="s">
        <v>4494</v>
      </c>
      <c r="O1202" t="s">
        <v>67</v>
      </c>
      <c r="P1202" t="s">
        <v>156</v>
      </c>
      <c r="Q1202" t="s">
        <v>4495</v>
      </c>
      <c r="R1202">
        <v>238</v>
      </c>
      <c r="S1202" t="str">
        <f>TEXT(sales_data[[#This Row],[Order Date]],"mm")</f>
        <v>09</v>
      </c>
      <c r="T1202">
        <f>YEAR(sales_data[[#This Row],[Order Date]])</f>
        <v>2018</v>
      </c>
      <c r="V1202" t="s">
        <v>4494</v>
      </c>
    </row>
    <row r="1203" spans="1:22" x14ac:dyDescent="0.35">
      <c r="A1203">
        <v>1960</v>
      </c>
      <c r="B1203" t="s">
        <v>4496</v>
      </c>
      <c r="C1203" s="1">
        <v>43353</v>
      </c>
      <c r="D1203" s="1">
        <v>43358</v>
      </c>
      <c r="E1203" t="s">
        <v>19</v>
      </c>
      <c r="F1203" t="s">
        <v>2860</v>
      </c>
      <c r="G1203" t="s">
        <v>2861</v>
      </c>
      <c r="H1203" t="s">
        <v>22</v>
      </c>
      <c r="I1203" t="s">
        <v>23</v>
      </c>
      <c r="J1203" t="s">
        <v>313</v>
      </c>
      <c r="K1203" t="s">
        <v>590</v>
      </c>
      <c r="L1203">
        <v>65807</v>
      </c>
      <c r="M1203" t="s">
        <v>101</v>
      </c>
      <c r="N1203" t="s">
        <v>4497</v>
      </c>
      <c r="O1203" t="s">
        <v>42</v>
      </c>
      <c r="P1203" t="s">
        <v>74</v>
      </c>
      <c r="Q1203" t="s">
        <v>4498</v>
      </c>
      <c r="R1203">
        <v>33.99</v>
      </c>
      <c r="S1203" t="str">
        <f>TEXT(sales_data[[#This Row],[Order Date]],"mm")</f>
        <v>09</v>
      </c>
      <c r="T1203">
        <f>YEAR(sales_data[[#This Row],[Order Date]])</f>
        <v>2018</v>
      </c>
      <c r="V1203" t="s">
        <v>4497</v>
      </c>
    </row>
    <row r="1204" spans="1:22" x14ac:dyDescent="0.35">
      <c r="A1204">
        <v>1962</v>
      </c>
      <c r="B1204" t="s">
        <v>4496</v>
      </c>
      <c r="C1204" s="1">
        <v>43353</v>
      </c>
      <c r="D1204" s="1">
        <v>43358</v>
      </c>
      <c r="E1204" t="s">
        <v>19</v>
      </c>
      <c r="F1204" t="s">
        <v>2860</v>
      </c>
      <c r="G1204" t="s">
        <v>2861</v>
      </c>
      <c r="H1204" t="s">
        <v>22</v>
      </c>
      <c r="I1204" t="s">
        <v>23</v>
      </c>
      <c r="J1204" t="s">
        <v>313</v>
      </c>
      <c r="K1204" t="s">
        <v>590</v>
      </c>
      <c r="L1204">
        <v>65807</v>
      </c>
      <c r="M1204" t="s">
        <v>101</v>
      </c>
      <c r="N1204" t="s">
        <v>4499</v>
      </c>
      <c r="O1204" t="s">
        <v>67</v>
      </c>
      <c r="P1204" t="s">
        <v>156</v>
      </c>
      <c r="Q1204" t="s">
        <v>4500</v>
      </c>
      <c r="R1204">
        <v>112.8</v>
      </c>
      <c r="S1204" t="str">
        <f>TEXT(sales_data[[#This Row],[Order Date]],"mm")</f>
        <v>09</v>
      </c>
      <c r="T1204">
        <f>YEAR(sales_data[[#This Row],[Order Date]])</f>
        <v>2018</v>
      </c>
      <c r="V1204" t="s">
        <v>4499</v>
      </c>
    </row>
    <row r="1205" spans="1:22" x14ac:dyDescent="0.35">
      <c r="A1205">
        <v>1963</v>
      </c>
      <c r="B1205" t="s">
        <v>4496</v>
      </c>
      <c r="C1205" s="1">
        <v>43353</v>
      </c>
      <c r="D1205" s="1">
        <v>43358</v>
      </c>
      <c r="E1205" t="s">
        <v>19</v>
      </c>
      <c r="F1205" t="s">
        <v>2860</v>
      </c>
      <c r="G1205" t="s">
        <v>2861</v>
      </c>
      <c r="H1205" t="s">
        <v>22</v>
      </c>
      <c r="I1205" t="s">
        <v>23</v>
      </c>
      <c r="J1205" t="s">
        <v>313</v>
      </c>
      <c r="K1205" t="s">
        <v>590</v>
      </c>
      <c r="L1205">
        <v>65807</v>
      </c>
      <c r="M1205" t="s">
        <v>101</v>
      </c>
      <c r="N1205" t="s">
        <v>4501</v>
      </c>
      <c r="O1205" t="s">
        <v>42</v>
      </c>
      <c r="P1205" t="s">
        <v>71</v>
      </c>
      <c r="Q1205" t="s">
        <v>4502</v>
      </c>
      <c r="R1205">
        <v>13.71</v>
      </c>
      <c r="S1205" t="str">
        <f>TEXT(sales_data[[#This Row],[Order Date]],"mm")</f>
        <v>09</v>
      </c>
      <c r="T1205">
        <f>YEAR(sales_data[[#This Row],[Order Date]])</f>
        <v>2018</v>
      </c>
      <c r="V1205" t="s">
        <v>4501</v>
      </c>
    </row>
    <row r="1206" spans="1:22" x14ac:dyDescent="0.35">
      <c r="A1206">
        <v>1966</v>
      </c>
      <c r="B1206" t="s">
        <v>4496</v>
      </c>
      <c r="C1206" s="1">
        <v>43353</v>
      </c>
      <c r="D1206" s="1">
        <v>43358</v>
      </c>
      <c r="E1206" t="s">
        <v>19</v>
      </c>
      <c r="F1206" t="s">
        <v>2860</v>
      </c>
      <c r="G1206" t="s">
        <v>2861</v>
      </c>
      <c r="H1206" t="s">
        <v>22</v>
      </c>
      <c r="I1206" t="s">
        <v>23</v>
      </c>
      <c r="J1206" t="s">
        <v>313</v>
      </c>
      <c r="K1206" t="s">
        <v>590</v>
      </c>
      <c r="L1206">
        <v>65807</v>
      </c>
      <c r="M1206" t="s">
        <v>101</v>
      </c>
      <c r="N1206" t="s">
        <v>4503</v>
      </c>
      <c r="O1206" t="s">
        <v>42</v>
      </c>
      <c r="P1206" t="s">
        <v>74</v>
      </c>
      <c r="Q1206" t="s">
        <v>4504</v>
      </c>
      <c r="R1206">
        <v>24.18</v>
      </c>
      <c r="S1206" t="str">
        <f>TEXT(sales_data[[#This Row],[Order Date]],"mm")</f>
        <v>09</v>
      </c>
      <c r="T1206">
        <f>YEAR(sales_data[[#This Row],[Order Date]])</f>
        <v>2018</v>
      </c>
      <c r="V1206" t="s">
        <v>4503</v>
      </c>
    </row>
    <row r="1207" spans="1:22" x14ac:dyDescent="0.35">
      <c r="A1207">
        <v>1968</v>
      </c>
      <c r="B1207" t="s">
        <v>4505</v>
      </c>
      <c r="C1207" s="1">
        <v>43455</v>
      </c>
      <c r="D1207" s="1">
        <v>43462</v>
      </c>
      <c r="E1207" t="s">
        <v>46</v>
      </c>
      <c r="F1207" t="s">
        <v>1754</v>
      </c>
      <c r="G1207" t="s">
        <v>1755</v>
      </c>
      <c r="H1207" t="s">
        <v>22</v>
      </c>
      <c r="I1207" t="s">
        <v>23</v>
      </c>
      <c r="J1207" t="s">
        <v>4506</v>
      </c>
      <c r="K1207" t="s">
        <v>780</v>
      </c>
      <c r="L1207">
        <v>7501</v>
      </c>
      <c r="M1207" t="s">
        <v>144</v>
      </c>
      <c r="N1207" t="s">
        <v>4507</v>
      </c>
      <c r="O1207" t="s">
        <v>42</v>
      </c>
      <c r="P1207" t="s">
        <v>573</v>
      </c>
      <c r="Q1207" t="s">
        <v>4508</v>
      </c>
      <c r="R1207">
        <v>69.5</v>
      </c>
      <c r="S1207" t="str">
        <f>TEXT(sales_data[[#This Row],[Order Date]],"mm")</f>
        <v>12</v>
      </c>
      <c r="T1207">
        <f>YEAR(sales_data[[#This Row],[Order Date]])</f>
        <v>2018</v>
      </c>
      <c r="V1207" t="s">
        <v>4507</v>
      </c>
    </row>
    <row r="1208" spans="1:22" x14ac:dyDescent="0.35">
      <c r="A1208">
        <v>1973</v>
      </c>
      <c r="B1208" t="s">
        <v>4509</v>
      </c>
      <c r="C1208" s="1">
        <v>42352</v>
      </c>
      <c r="D1208" s="1">
        <v>42357</v>
      </c>
      <c r="E1208" t="s">
        <v>46</v>
      </c>
      <c r="F1208" t="s">
        <v>4510</v>
      </c>
      <c r="G1208" t="s">
        <v>4511</v>
      </c>
      <c r="H1208" t="s">
        <v>22</v>
      </c>
      <c r="I1208" t="s">
        <v>23</v>
      </c>
      <c r="J1208" t="s">
        <v>298</v>
      </c>
      <c r="K1208" t="s">
        <v>206</v>
      </c>
      <c r="L1208">
        <v>60610</v>
      </c>
      <c r="M1208" t="s">
        <v>101</v>
      </c>
      <c r="N1208" t="s">
        <v>4512</v>
      </c>
      <c r="O1208" t="s">
        <v>42</v>
      </c>
      <c r="P1208" t="s">
        <v>71</v>
      </c>
      <c r="Q1208" t="s">
        <v>4513</v>
      </c>
      <c r="R1208">
        <v>5.1040000000000001</v>
      </c>
      <c r="S1208" t="str">
        <f>TEXT(sales_data[[#This Row],[Order Date]],"mm")</f>
        <v>12</v>
      </c>
      <c r="T1208">
        <f>YEAR(sales_data[[#This Row],[Order Date]])</f>
        <v>2015</v>
      </c>
      <c r="V1208" t="s">
        <v>4512</v>
      </c>
    </row>
    <row r="1209" spans="1:22" x14ac:dyDescent="0.35">
      <c r="A1209">
        <v>1975</v>
      </c>
      <c r="B1209" t="s">
        <v>4509</v>
      </c>
      <c r="C1209" s="1">
        <v>42352</v>
      </c>
      <c r="D1209" s="1">
        <v>42357</v>
      </c>
      <c r="E1209" t="s">
        <v>46</v>
      </c>
      <c r="F1209" t="s">
        <v>4510</v>
      </c>
      <c r="G1209" t="s">
        <v>4511</v>
      </c>
      <c r="H1209" t="s">
        <v>22</v>
      </c>
      <c r="I1209" t="s">
        <v>23</v>
      </c>
      <c r="J1209" t="s">
        <v>298</v>
      </c>
      <c r="K1209" t="s">
        <v>206</v>
      </c>
      <c r="L1209">
        <v>60610</v>
      </c>
      <c r="M1209" t="s">
        <v>101</v>
      </c>
      <c r="N1209" t="s">
        <v>4514</v>
      </c>
      <c r="O1209" t="s">
        <v>67</v>
      </c>
      <c r="P1209" t="s">
        <v>156</v>
      </c>
      <c r="Q1209" t="s">
        <v>4515</v>
      </c>
      <c r="R1209">
        <v>35.015999999999998</v>
      </c>
      <c r="S1209" t="str">
        <f>TEXT(sales_data[[#This Row],[Order Date]],"mm")</f>
        <v>12</v>
      </c>
      <c r="T1209">
        <f>YEAR(sales_data[[#This Row],[Order Date]])</f>
        <v>2015</v>
      </c>
      <c r="V1209" t="s">
        <v>4514</v>
      </c>
    </row>
    <row r="1210" spans="1:22" x14ac:dyDescent="0.35">
      <c r="A1210">
        <v>1977</v>
      </c>
      <c r="B1210" t="s">
        <v>4516</v>
      </c>
      <c r="C1210" s="1">
        <v>42295</v>
      </c>
      <c r="D1210" s="1">
        <v>42297</v>
      </c>
      <c r="E1210" t="s">
        <v>19</v>
      </c>
      <c r="F1210" t="s">
        <v>1101</v>
      </c>
      <c r="G1210" t="s">
        <v>1102</v>
      </c>
      <c r="H1210" t="s">
        <v>37</v>
      </c>
      <c r="I1210" t="s">
        <v>23</v>
      </c>
      <c r="J1210" t="s">
        <v>1796</v>
      </c>
      <c r="K1210" t="s">
        <v>353</v>
      </c>
      <c r="L1210">
        <v>36116</v>
      </c>
      <c r="M1210" t="s">
        <v>26</v>
      </c>
      <c r="N1210" t="s">
        <v>4517</v>
      </c>
      <c r="O1210" t="s">
        <v>67</v>
      </c>
      <c r="P1210" t="s">
        <v>68</v>
      </c>
      <c r="Q1210" t="s">
        <v>4518</v>
      </c>
      <c r="R1210">
        <v>1394.95</v>
      </c>
      <c r="S1210" t="str">
        <f>TEXT(sales_data[[#This Row],[Order Date]],"mm")</f>
        <v>10</v>
      </c>
      <c r="T1210">
        <f>YEAR(sales_data[[#This Row],[Order Date]])</f>
        <v>2015</v>
      </c>
      <c r="V1210" t="s">
        <v>4517</v>
      </c>
    </row>
    <row r="1211" spans="1:22" x14ac:dyDescent="0.35">
      <c r="A1211">
        <v>1978</v>
      </c>
      <c r="B1211" t="s">
        <v>4516</v>
      </c>
      <c r="C1211" s="1">
        <v>42295</v>
      </c>
      <c r="D1211" s="1">
        <v>42297</v>
      </c>
      <c r="E1211" t="s">
        <v>19</v>
      </c>
      <c r="F1211" t="s">
        <v>1101</v>
      </c>
      <c r="G1211" t="s">
        <v>1102</v>
      </c>
      <c r="H1211" t="s">
        <v>37</v>
      </c>
      <c r="I1211" t="s">
        <v>23</v>
      </c>
      <c r="J1211" t="s">
        <v>1796</v>
      </c>
      <c r="K1211" t="s">
        <v>353</v>
      </c>
      <c r="L1211">
        <v>36116</v>
      </c>
      <c r="M1211" t="s">
        <v>26</v>
      </c>
      <c r="N1211" t="s">
        <v>4519</v>
      </c>
      <c r="O1211" t="s">
        <v>28</v>
      </c>
      <c r="P1211" t="s">
        <v>32</v>
      </c>
      <c r="Q1211" t="s">
        <v>4520</v>
      </c>
      <c r="R1211">
        <v>545.88</v>
      </c>
      <c r="S1211" t="str">
        <f>TEXT(sales_data[[#This Row],[Order Date]],"mm")</f>
        <v>10</v>
      </c>
      <c r="T1211">
        <f>YEAR(sales_data[[#This Row],[Order Date]])</f>
        <v>2015</v>
      </c>
      <c r="V1211" t="s">
        <v>4519</v>
      </c>
    </row>
    <row r="1212" spans="1:22" x14ac:dyDescent="0.35">
      <c r="A1212">
        <v>1979</v>
      </c>
      <c r="B1212" t="s">
        <v>4521</v>
      </c>
      <c r="C1212" s="1">
        <v>42498</v>
      </c>
      <c r="D1212" s="1">
        <v>42502</v>
      </c>
      <c r="E1212" t="s">
        <v>46</v>
      </c>
      <c r="F1212" t="s">
        <v>1800</v>
      </c>
      <c r="G1212" t="s">
        <v>1801</v>
      </c>
      <c r="H1212" t="s">
        <v>22</v>
      </c>
      <c r="I1212" t="s">
        <v>23</v>
      </c>
      <c r="J1212" t="s">
        <v>1953</v>
      </c>
      <c r="K1212" t="s">
        <v>415</v>
      </c>
      <c r="L1212">
        <v>97301</v>
      </c>
      <c r="M1212" t="s">
        <v>40</v>
      </c>
      <c r="N1212" t="s">
        <v>4522</v>
      </c>
      <c r="O1212" t="s">
        <v>42</v>
      </c>
      <c r="P1212" t="s">
        <v>64</v>
      </c>
      <c r="Q1212" t="s">
        <v>4523</v>
      </c>
      <c r="R1212">
        <v>5.2480000000000002</v>
      </c>
      <c r="S1212" t="str">
        <f>TEXT(sales_data[[#This Row],[Order Date]],"mm")</f>
        <v>05</v>
      </c>
      <c r="T1212">
        <f>YEAR(sales_data[[#This Row],[Order Date]])</f>
        <v>2016</v>
      </c>
      <c r="V1212" t="s">
        <v>4522</v>
      </c>
    </row>
    <row r="1213" spans="1:22" x14ac:dyDescent="0.35">
      <c r="A1213">
        <v>1983</v>
      </c>
      <c r="B1213" t="s">
        <v>4524</v>
      </c>
      <c r="C1213" s="1">
        <v>42341</v>
      </c>
      <c r="D1213" s="1">
        <v>42347</v>
      </c>
      <c r="E1213" t="s">
        <v>46</v>
      </c>
      <c r="F1213" t="s">
        <v>1353</v>
      </c>
      <c r="G1213" t="s">
        <v>1354</v>
      </c>
      <c r="H1213" t="s">
        <v>22</v>
      </c>
      <c r="I1213" t="s">
        <v>23</v>
      </c>
      <c r="J1213" t="s">
        <v>4525</v>
      </c>
      <c r="K1213" t="s">
        <v>641</v>
      </c>
      <c r="L1213">
        <v>73120</v>
      </c>
      <c r="M1213" t="s">
        <v>101</v>
      </c>
      <c r="N1213" t="s">
        <v>4526</v>
      </c>
      <c r="O1213" t="s">
        <v>67</v>
      </c>
      <c r="P1213" t="s">
        <v>68</v>
      </c>
      <c r="Q1213" t="s">
        <v>4527</v>
      </c>
      <c r="R1213">
        <v>479.96</v>
      </c>
      <c r="S1213" t="str">
        <f>TEXT(sales_data[[#This Row],[Order Date]],"mm")</f>
        <v>12</v>
      </c>
      <c r="T1213">
        <f>YEAR(sales_data[[#This Row],[Order Date]])</f>
        <v>2015</v>
      </c>
      <c r="V1213" t="s">
        <v>4526</v>
      </c>
    </row>
    <row r="1214" spans="1:22" x14ac:dyDescent="0.35">
      <c r="A1214">
        <v>1988</v>
      </c>
      <c r="B1214" t="s">
        <v>4530</v>
      </c>
      <c r="C1214" s="1">
        <v>42683</v>
      </c>
      <c r="D1214" s="1">
        <v>42687</v>
      </c>
      <c r="E1214" t="s">
        <v>46</v>
      </c>
      <c r="F1214" t="s">
        <v>4403</v>
      </c>
      <c r="G1214" t="s">
        <v>4404</v>
      </c>
      <c r="H1214" t="s">
        <v>22</v>
      </c>
      <c r="I1214" t="s">
        <v>23</v>
      </c>
      <c r="J1214" t="s">
        <v>313</v>
      </c>
      <c r="K1214" t="s">
        <v>590</v>
      </c>
      <c r="L1214">
        <v>65807</v>
      </c>
      <c r="M1214" t="s">
        <v>101</v>
      </c>
      <c r="N1214" t="s">
        <v>4531</v>
      </c>
      <c r="O1214" t="s">
        <v>42</v>
      </c>
      <c r="P1214" t="s">
        <v>71</v>
      </c>
      <c r="Q1214" t="s">
        <v>4532</v>
      </c>
      <c r="R1214">
        <v>17.22</v>
      </c>
      <c r="S1214" t="str">
        <f>TEXT(sales_data[[#This Row],[Order Date]],"mm")</f>
        <v>11</v>
      </c>
      <c r="T1214">
        <f>YEAR(sales_data[[#This Row],[Order Date]])</f>
        <v>2016</v>
      </c>
      <c r="V1214" t="s">
        <v>4531</v>
      </c>
    </row>
    <row r="1215" spans="1:22" x14ac:dyDescent="0.35">
      <c r="A1215">
        <v>1989</v>
      </c>
      <c r="B1215" t="s">
        <v>4530</v>
      </c>
      <c r="C1215" s="1">
        <v>42683</v>
      </c>
      <c r="D1215" s="1">
        <v>42687</v>
      </c>
      <c r="E1215" t="s">
        <v>46</v>
      </c>
      <c r="F1215" t="s">
        <v>4403</v>
      </c>
      <c r="G1215" t="s">
        <v>4404</v>
      </c>
      <c r="H1215" t="s">
        <v>22</v>
      </c>
      <c r="I1215" t="s">
        <v>23</v>
      </c>
      <c r="J1215" t="s">
        <v>313</v>
      </c>
      <c r="K1215" t="s">
        <v>590</v>
      </c>
      <c r="L1215">
        <v>65807</v>
      </c>
      <c r="M1215" t="s">
        <v>101</v>
      </c>
      <c r="N1215" t="s">
        <v>4533</v>
      </c>
      <c r="O1215" t="s">
        <v>28</v>
      </c>
      <c r="P1215" t="s">
        <v>52</v>
      </c>
      <c r="Q1215" t="s">
        <v>4534</v>
      </c>
      <c r="R1215">
        <v>1024.3800000000001</v>
      </c>
      <c r="S1215" t="str">
        <f>TEXT(sales_data[[#This Row],[Order Date]],"mm")</f>
        <v>11</v>
      </c>
      <c r="T1215">
        <f>YEAR(sales_data[[#This Row],[Order Date]])</f>
        <v>2016</v>
      </c>
      <c r="V1215" t="s">
        <v>4533</v>
      </c>
    </row>
    <row r="1216" spans="1:22" x14ac:dyDescent="0.35">
      <c r="A1216">
        <v>1990</v>
      </c>
      <c r="B1216" t="s">
        <v>4530</v>
      </c>
      <c r="C1216" s="1">
        <v>42683</v>
      </c>
      <c r="D1216" s="1">
        <v>42687</v>
      </c>
      <c r="E1216" t="s">
        <v>46</v>
      </c>
      <c r="F1216" t="s">
        <v>4403</v>
      </c>
      <c r="G1216" t="s">
        <v>4404</v>
      </c>
      <c r="H1216" t="s">
        <v>22</v>
      </c>
      <c r="I1216" t="s">
        <v>23</v>
      </c>
      <c r="J1216" t="s">
        <v>313</v>
      </c>
      <c r="K1216" t="s">
        <v>590</v>
      </c>
      <c r="L1216">
        <v>65807</v>
      </c>
      <c r="M1216" t="s">
        <v>101</v>
      </c>
      <c r="N1216" t="s">
        <v>4535</v>
      </c>
      <c r="O1216" t="s">
        <v>42</v>
      </c>
      <c r="P1216" t="s">
        <v>168</v>
      </c>
      <c r="Q1216" t="s">
        <v>2876</v>
      </c>
      <c r="R1216">
        <v>26.22</v>
      </c>
      <c r="S1216" t="str">
        <f>TEXT(sales_data[[#This Row],[Order Date]],"mm")</f>
        <v>11</v>
      </c>
      <c r="T1216">
        <f>YEAR(sales_data[[#This Row],[Order Date]])</f>
        <v>2016</v>
      </c>
      <c r="V1216" t="s">
        <v>4535</v>
      </c>
    </row>
    <row r="1217" spans="1:22" x14ac:dyDescent="0.35">
      <c r="A1217">
        <v>1991</v>
      </c>
      <c r="B1217" t="s">
        <v>4530</v>
      </c>
      <c r="C1217" s="1">
        <v>42683</v>
      </c>
      <c r="D1217" s="1">
        <v>42687</v>
      </c>
      <c r="E1217" t="s">
        <v>46</v>
      </c>
      <c r="F1217" t="s">
        <v>4403</v>
      </c>
      <c r="G1217" t="s">
        <v>4404</v>
      </c>
      <c r="H1217" t="s">
        <v>22</v>
      </c>
      <c r="I1217" t="s">
        <v>23</v>
      </c>
      <c r="J1217" t="s">
        <v>313</v>
      </c>
      <c r="K1217" t="s">
        <v>590</v>
      </c>
      <c r="L1217">
        <v>65807</v>
      </c>
      <c r="M1217" t="s">
        <v>101</v>
      </c>
      <c r="N1217" t="s">
        <v>4536</v>
      </c>
      <c r="O1217" t="s">
        <v>42</v>
      </c>
      <c r="P1217" t="s">
        <v>86</v>
      </c>
      <c r="Q1217" t="s">
        <v>4537</v>
      </c>
      <c r="R1217">
        <v>17.34</v>
      </c>
      <c r="S1217" t="str">
        <f>TEXT(sales_data[[#This Row],[Order Date]],"mm")</f>
        <v>11</v>
      </c>
      <c r="T1217">
        <f>YEAR(sales_data[[#This Row],[Order Date]])</f>
        <v>2016</v>
      </c>
      <c r="V1217" t="s">
        <v>4536</v>
      </c>
    </row>
    <row r="1218" spans="1:22" x14ac:dyDescent="0.35">
      <c r="A1218">
        <v>1994</v>
      </c>
      <c r="B1218" t="s">
        <v>4538</v>
      </c>
      <c r="C1218" s="1">
        <v>43276</v>
      </c>
      <c r="D1218" s="1">
        <v>43283</v>
      </c>
      <c r="E1218" t="s">
        <v>46</v>
      </c>
      <c r="F1218" t="s">
        <v>4211</v>
      </c>
      <c r="G1218" t="s">
        <v>4212</v>
      </c>
      <c r="H1218" t="s">
        <v>98</v>
      </c>
      <c r="I1218" t="s">
        <v>23</v>
      </c>
      <c r="J1218" t="s">
        <v>313</v>
      </c>
      <c r="K1218" t="s">
        <v>415</v>
      </c>
      <c r="L1218">
        <v>97477</v>
      </c>
      <c r="M1218" t="s">
        <v>40</v>
      </c>
      <c r="N1218" t="s">
        <v>4539</v>
      </c>
      <c r="O1218" t="s">
        <v>42</v>
      </c>
      <c r="P1218" t="s">
        <v>64</v>
      </c>
      <c r="Q1218" t="s">
        <v>4540</v>
      </c>
      <c r="R1218">
        <v>5.3440000000000003</v>
      </c>
      <c r="S1218" t="str">
        <f>TEXT(sales_data[[#This Row],[Order Date]],"mm")</f>
        <v>06</v>
      </c>
      <c r="T1218">
        <f>YEAR(sales_data[[#This Row],[Order Date]])</f>
        <v>2018</v>
      </c>
      <c r="V1218" t="s">
        <v>4539</v>
      </c>
    </row>
    <row r="1219" spans="1:22" x14ac:dyDescent="0.35">
      <c r="A1219">
        <v>1995</v>
      </c>
      <c r="B1219" t="s">
        <v>4538</v>
      </c>
      <c r="C1219" s="1">
        <v>43276</v>
      </c>
      <c r="D1219" s="1">
        <v>43283</v>
      </c>
      <c r="E1219" t="s">
        <v>46</v>
      </c>
      <c r="F1219" t="s">
        <v>4211</v>
      </c>
      <c r="G1219" t="s">
        <v>4212</v>
      </c>
      <c r="H1219" t="s">
        <v>98</v>
      </c>
      <c r="I1219" t="s">
        <v>23</v>
      </c>
      <c r="J1219" t="s">
        <v>313</v>
      </c>
      <c r="K1219" t="s">
        <v>415</v>
      </c>
      <c r="L1219">
        <v>97477</v>
      </c>
      <c r="M1219" t="s">
        <v>40</v>
      </c>
      <c r="N1219" t="s">
        <v>4541</v>
      </c>
      <c r="O1219" t="s">
        <v>42</v>
      </c>
      <c r="P1219" t="s">
        <v>264</v>
      </c>
      <c r="Q1219" t="s">
        <v>4542</v>
      </c>
      <c r="R1219">
        <v>11.304</v>
      </c>
      <c r="S1219" t="str">
        <f>TEXT(sales_data[[#This Row],[Order Date]],"mm")</f>
        <v>06</v>
      </c>
      <c r="T1219">
        <f>YEAR(sales_data[[#This Row],[Order Date]])</f>
        <v>2018</v>
      </c>
      <c r="V1219" t="s">
        <v>4541</v>
      </c>
    </row>
    <row r="1220" spans="1:22" x14ac:dyDescent="0.35">
      <c r="A1220">
        <v>1996</v>
      </c>
      <c r="B1220" t="s">
        <v>4543</v>
      </c>
      <c r="C1220" s="1">
        <v>43436</v>
      </c>
      <c r="D1220" s="1">
        <v>43438</v>
      </c>
      <c r="E1220" t="s">
        <v>19</v>
      </c>
      <c r="F1220" t="s">
        <v>4544</v>
      </c>
      <c r="G1220" t="s">
        <v>4545</v>
      </c>
      <c r="H1220" t="s">
        <v>22</v>
      </c>
      <c r="I1220" t="s">
        <v>23</v>
      </c>
      <c r="J1220" t="s">
        <v>179</v>
      </c>
      <c r="K1220" t="s">
        <v>100</v>
      </c>
      <c r="L1220">
        <v>77036</v>
      </c>
      <c r="M1220" t="s">
        <v>101</v>
      </c>
      <c r="N1220" t="s">
        <v>4546</v>
      </c>
      <c r="O1220" t="s">
        <v>42</v>
      </c>
      <c r="P1220" t="s">
        <v>74</v>
      </c>
      <c r="Q1220" t="s">
        <v>4547</v>
      </c>
      <c r="R1220">
        <v>294.62</v>
      </c>
      <c r="S1220" t="str">
        <f>TEXT(sales_data[[#This Row],[Order Date]],"mm")</f>
        <v>12</v>
      </c>
      <c r="T1220">
        <f>YEAR(sales_data[[#This Row],[Order Date]])</f>
        <v>2018</v>
      </c>
      <c r="V1220" t="s">
        <v>4546</v>
      </c>
    </row>
    <row r="1221" spans="1:22" x14ac:dyDescent="0.35">
      <c r="A1221">
        <v>2008</v>
      </c>
      <c r="B1221" t="s">
        <v>4550</v>
      </c>
      <c r="C1221" s="1">
        <v>43315</v>
      </c>
      <c r="D1221" s="1">
        <v>43316</v>
      </c>
      <c r="E1221" t="s">
        <v>183</v>
      </c>
      <c r="F1221" t="s">
        <v>3926</v>
      </c>
      <c r="G1221" t="s">
        <v>3927</v>
      </c>
      <c r="H1221" t="s">
        <v>22</v>
      </c>
      <c r="I1221" t="s">
        <v>23</v>
      </c>
      <c r="J1221" t="s">
        <v>298</v>
      </c>
      <c r="K1221" t="s">
        <v>206</v>
      </c>
      <c r="L1221">
        <v>60623</v>
      </c>
      <c r="M1221" t="s">
        <v>101</v>
      </c>
      <c r="N1221" t="s">
        <v>4551</v>
      </c>
      <c r="O1221" t="s">
        <v>28</v>
      </c>
      <c r="P1221" t="s">
        <v>29</v>
      </c>
      <c r="Q1221" t="s">
        <v>4552</v>
      </c>
      <c r="R1221">
        <v>183.37200000000001</v>
      </c>
      <c r="S1221" t="str">
        <f>TEXT(sales_data[[#This Row],[Order Date]],"mm")</f>
        <v>08</v>
      </c>
      <c r="T1221">
        <f>YEAR(sales_data[[#This Row],[Order Date]])</f>
        <v>2018</v>
      </c>
      <c r="V1221" t="s">
        <v>4551</v>
      </c>
    </row>
    <row r="1222" spans="1:22" x14ac:dyDescent="0.35">
      <c r="A1222">
        <v>2013</v>
      </c>
      <c r="B1222" t="s">
        <v>4553</v>
      </c>
      <c r="C1222" s="1">
        <v>42715</v>
      </c>
      <c r="D1222" s="1">
        <v>42715</v>
      </c>
      <c r="E1222" t="s">
        <v>1277</v>
      </c>
      <c r="F1222" t="s">
        <v>4554</v>
      </c>
      <c r="G1222" t="s">
        <v>4555</v>
      </c>
      <c r="H1222" t="s">
        <v>22</v>
      </c>
      <c r="I1222" t="s">
        <v>23</v>
      </c>
      <c r="J1222" t="s">
        <v>179</v>
      </c>
      <c r="K1222" t="s">
        <v>100</v>
      </c>
      <c r="L1222">
        <v>77041</v>
      </c>
      <c r="M1222" t="s">
        <v>101</v>
      </c>
      <c r="N1222" t="s">
        <v>4556</v>
      </c>
      <c r="O1222" t="s">
        <v>42</v>
      </c>
      <c r="P1222" t="s">
        <v>55</v>
      </c>
      <c r="Q1222" t="s">
        <v>4557</v>
      </c>
      <c r="R1222">
        <v>46.344000000000001</v>
      </c>
      <c r="S1222" t="str">
        <f>TEXT(sales_data[[#This Row],[Order Date]],"mm")</f>
        <v>12</v>
      </c>
      <c r="T1222">
        <f>YEAR(sales_data[[#This Row],[Order Date]])</f>
        <v>2016</v>
      </c>
      <c r="V1222" t="s">
        <v>4556</v>
      </c>
    </row>
    <row r="1223" spans="1:22" x14ac:dyDescent="0.35">
      <c r="A1223">
        <v>2015</v>
      </c>
      <c r="B1223" t="s">
        <v>4558</v>
      </c>
      <c r="C1223" s="1">
        <v>42996</v>
      </c>
      <c r="D1223" s="1">
        <v>43001</v>
      </c>
      <c r="E1223" t="s">
        <v>46</v>
      </c>
      <c r="F1223" t="s">
        <v>4559</v>
      </c>
      <c r="G1223" t="s">
        <v>4560</v>
      </c>
      <c r="H1223" t="s">
        <v>22</v>
      </c>
      <c r="I1223" t="s">
        <v>23</v>
      </c>
      <c r="J1223" t="s">
        <v>1548</v>
      </c>
      <c r="K1223" t="s">
        <v>353</v>
      </c>
      <c r="L1223">
        <v>36830</v>
      </c>
      <c r="M1223" t="s">
        <v>26</v>
      </c>
      <c r="N1223" t="s">
        <v>4561</v>
      </c>
      <c r="O1223" t="s">
        <v>42</v>
      </c>
      <c r="P1223" t="s">
        <v>86</v>
      </c>
      <c r="Q1223" t="s">
        <v>4562</v>
      </c>
      <c r="R1223">
        <v>13.08</v>
      </c>
      <c r="S1223" t="str">
        <f>TEXT(sales_data[[#This Row],[Order Date]],"mm")</f>
        <v>09</v>
      </c>
      <c r="T1223">
        <f>YEAR(sales_data[[#This Row],[Order Date]])</f>
        <v>2017</v>
      </c>
      <c r="V1223" t="s">
        <v>4561</v>
      </c>
    </row>
    <row r="1224" spans="1:22" x14ac:dyDescent="0.35">
      <c r="A1224">
        <v>2030</v>
      </c>
      <c r="B1224" t="s">
        <v>4565</v>
      </c>
      <c r="C1224" s="1">
        <v>42700</v>
      </c>
      <c r="D1224" s="1">
        <v>42704</v>
      </c>
      <c r="E1224" t="s">
        <v>46</v>
      </c>
      <c r="F1224" t="s">
        <v>2632</v>
      </c>
      <c r="G1224" t="s">
        <v>2633</v>
      </c>
      <c r="H1224" t="s">
        <v>37</v>
      </c>
      <c r="I1224" t="s">
        <v>23</v>
      </c>
      <c r="J1224" t="s">
        <v>4566</v>
      </c>
      <c r="K1224" t="s">
        <v>1235</v>
      </c>
      <c r="L1224">
        <v>1453</v>
      </c>
      <c r="M1224" t="s">
        <v>144</v>
      </c>
      <c r="N1224" t="s">
        <v>4567</v>
      </c>
      <c r="O1224" t="s">
        <v>42</v>
      </c>
      <c r="P1224" t="s">
        <v>55</v>
      </c>
      <c r="Q1224" t="s">
        <v>4568</v>
      </c>
      <c r="R1224">
        <v>104.9</v>
      </c>
      <c r="S1224" t="str">
        <f>TEXT(sales_data[[#This Row],[Order Date]],"mm")</f>
        <v>11</v>
      </c>
      <c r="T1224">
        <f>YEAR(sales_data[[#This Row],[Order Date]])</f>
        <v>2016</v>
      </c>
      <c r="V1224" t="s">
        <v>4567</v>
      </c>
    </row>
    <row r="1225" spans="1:22" x14ac:dyDescent="0.35">
      <c r="A1225">
        <v>2039</v>
      </c>
      <c r="B1225" t="s">
        <v>4571</v>
      </c>
      <c r="C1225" s="1">
        <v>42539</v>
      </c>
      <c r="D1225" s="1">
        <v>42544</v>
      </c>
      <c r="E1225" t="s">
        <v>46</v>
      </c>
      <c r="F1225" t="s">
        <v>3055</v>
      </c>
      <c r="G1225" t="s">
        <v>3056</v>
      </c>
      <c r="H1225" t="s">
        <v>98</v>
      </c>
      <c r="I1225" t="s">
        <v>23</v>
      </c>
      <c r="J1225" t="s">
        <v>1373</v>
      </c>
      <c r="K1225" t="s">
        <v>305</v>
      </c>
      <c r="L1225">
        <v>85345</v>
      </c>
      <c r="M1225" t="s">
        <v>40</v>
      </c>
      <c r="N1225" t="s">
        <v>4572</v>
      </c>
      <c r="O1225" t="s">
        <v>42</v>
      </c>
      <c r="P1225" t="s">
        <v>86</v>
      </c>
      <c r="Q1225" t="s">
        <v>4573</v>
      </c>
      <c r="R1225">
        <v>11.952</v>
      </c>
      <c r="S1225" t="str">
        <f>TEXT(sales_data[[#This Row],[Order Date]],"mm")</f>
        <v>06</v>
      </c>
      <c r="T1225">
        <f>YEAR(sales_data[[#This Row],[Order Date]])</f>
        <v>2016</v>
      </c>
      <c r="V1225" t="s">
        <v>4572</v>
      </c>
    </row>
    <row r="1226" spans="1:22" x14ac:dyDescent="0.35">
      <c r="A1226">
        <v>2043</v>
      </c>
      <c r="B1226" t="s">
        <v>4574</v>
      </c>
      <c r="C1226" s="1">
        <v>42645</v>
      </c>
      <c r="D1226" s="1">
        <v>42651</v>
      </c>
      <c r="E1226" t="s">
        <v>46</v>
      </c>
      <c r="F1226" t="s">
        <v>1562</v>
      </c>
      <c r="G1226" t="s">
        <v>1563</v>
      </c>
      <c r="H1226" t="s">
        <v>37</v>
      </c>
      <c r="I1226" t="s">
        <v>23</v>
      </c>
      <c r="J1226" t="s">
        <v>940</v>
      </c>
      <c r="K1226" t="s">
        <v>39</v>
      </c>
      <c r="L1226">
        <v>92105</v>
      </c>
      <c r="M1226" t="s">
        <v>40</v>
      </c>
      <c r="N1226" t="s">
        <v>4575</v>
      </c>
      <c r="O1226" t="s">
        <v>42</v>
      </c>
      <c r="P1226" t="s">
        <v>71</v>
      </c>
      <c r="Q1226" t="s">
        <v>4576</v>
      </c>
      <c r="R1226">
        <v>57.503999999999998</v>
      </c>
      <c r="S1226" t="str">
        <f>TEXT(sales_data[[#This Row],[Order Date]],"mm")</f>
        <v>10</v>
      </c>
      <c r="T1226">
        <f>YEAR(sales_data[[#This Row],[Order Date]])</f>
        <v>2016</v>
      </c>
      <c r="V1226" t="s">
        <v>4575</v>
      </c>
    </row>
    <row r="1227" spans="1:22" x14ac:dyDescent="0.35">
      <c r="A1227">
        <v>2052</v>
      </c>
      <c r="B1227" t="s">
        <v>4579</v>
      </c>
      <c r="C1227" s="1">
        <v>42562</v>
      </c>
      <c r="D1227" s="1">
        <v>42564</v>
      </c>
      <c r="E1227" t="s">
        <v>183</v>
      </c>
      <c r="F1227" t="s">
        <v>2012</v>
      </c>
      <c r="G1227" t="s">
        <v>2013</v>
      </c>
      <c r="H1227" t="s">
        <v>22</v>
      </c>
      <c r="I1227" t="s">
        <v>23</v>
      </c>
      <c r="J1227" t="s">
        <v>142</v>
      </c>
      <c r="K1227" t="s">
        <v>143</v>
      </c>
      <c r="L1227">
        <v>19134</v>
      </c>
      <c r="M1227" t="s">
        <v>144</v>
      </c>
      <c r="N1227" t="s">
        <v>4580</v>
      </c>
      <c r="O1227" t="s">
        <v>28</v>
      </c>
      <c r="P1227" t="s">
        <v>32</v>
      </c>
      <c r="Q1227" t="s">
        <v>4581</v>
      </c>
      <c r="R1227">
        <v>341.488</v>
      </c>
      <c r="S1227" t="str">
        <f>TEXT(sales_data[[#This Row],[Order Date]],"mm")</f>
        <v>07</v>
      </c>
      <c r="T1227">
        <f>YEAR(sales_data[[#This Row],[Order Date]])</f>
        <v>2016</v>
      </c>
      <c r="V1227" t="s">
        <v>4580</v>
      </c>
    </row>
    <row r="1228" spans="1:22" x14ac:dyDescent="0.35">
      <c r="A1228">
        <v>2054</v>
      </c>
      <c r="B1228" t="s">
        <v>4579</v>
      </c>
      <c r="C1228" s="1">
        <v>42562</v>
      </c>
      <c r="D1228" s="1">
        <v>42564</v>
      </c>
      <c r="E1228" t="s">
        <v>183</v>
      </c>
      <c r="F1228" t="s">
        <v>2012</v>
      </c>
      <c r="G1228" t="s">
        <v>2013</v>
      </c>
      <c r="H1228" t="s">
        <v>22</v>
      </c>
      <c r="I1228" t="s">
        <v>23</v>
      </c>
      <c r="J1228" t="s">
        <v>142</v>
      </c>
      <c r="K1228" t="s">
        <v>143</v>
      </c>
      <c r="L1228">
        <v>19134</v>
      </c>
      <c r="M1228" t="s">
        <v>144</v>
      </c>
      <c r="N1228" t="s">
        <v>4582</v>
      </c>
      <c r="O1228" t="s">
        <v>28</v>
      </c>
      <c r="P1228" t="s">
        <v>61</v>
      </c>
      <c r="Q1228" t="s">
        <v>4583</v>
      </c>
      <c r="R1228">
        <v>25.344000000000001</v>
      </c>
      <c r="S1228" t="str">
        <f>TEXT(sales_data[[#This Row],[Order Date]],"mm")</f>
        <v>07</v>
      </c>
      <c r="T1228">
        <f>YEAR(sales_data[[#This Row],[Order Date]])</f>
        <v>2016</v>
      </c>
      <c r="V1228" t="s">
        <v>4582</v>
      </c>
    </row>
    <row r="1229" spans="1:22" x14ac:dyDescent="0.35">
      <c r="A1229">
        <v>2056</v>
      </c>
      <c r="B1229" t="s">
        <v>4584</v>
      </c>
      <c r="C1229" s="1">
        <v>43456</v>
      </c>
      <c r="D1229" s="1">
        <v>43459</v>
      </c>
      <c r="E1229" t="s">
        <v>183</v>
      </c>
      <c r="F1229" t="s">
        <v>1974</v>
      </c>
      <c r="G1229" t="s">
        <v>1975</v>
      </c>
      <c r="H1229" t="s">
        <v>22</v>
      </c>
      <c r="I1229" t="s">
        <v>23</v>
      </c>
      <c r="J1229" t="s">
        <v>872</v>
      </c>
      <c r="K1229" t="s">
        <v>233</v>
      </c>
      <c r="L1229">
        <v>48227</v>
      </c>
      <c r="M1229" t="s">
        <v>101</v>
      </c>
      <c r="N1229" t="s">
        <v>4585</v>
      </c>
      <c r="O1229" t="s">
        <v>67</v>
      </c>
      <c r="P1229" t="s">
        <v>156</v>
      </c>
      <c r="Q1229" t="s">
        <v>4586</v>
      </c>
      <c r="R1229">
        <v>199.95</v>
      </c>
      <c r="S1229" t="str">
        <f>TEXT(sales_data[[#This Row],[Order Date]],"mm")</f>
        <v>12</v>
      </c>
      <c r="T1229">
        <f>YEAR(sales_data[[#This Row],[Order Date]])</f>
        <v>2018</v>
      </c>
      <c r="V1229" t="s">
        <v>4585</v>
      </c>
    </row>
    <row r="1230" spans="1:22" x14ac:dyDescent="0.35">
      <c r="A1230">
        <v>2060</v>
      </c>
      <c r="B1230" t="s">
        <v>4587</v>
      </c>
      <c r="C1230" s="1">
        <v>42308</v>
      </c>
      <c r="D1230" s="1">
        <v>42312</v>
      </c>
      <c r="E1230" t="s">
        <v>46</v>
      </c>
      <c r="F1230" t="s">
        <v>508</v>
      </c>
      <c r="G1230" t="s">
        <v>509</v>
      </c>
      <c r="H1230" t="s">
        <v>37</v>
      </c>
      <c r="I1230" t="s">
        <v>23</v>
      </c>
      <c r="J1230" t="s">
        <v>38</v>
      </c>
      <c r="K1230" t="s">
        <v>39</v>
      </c>
      <c r="L1230">
        <v>90049</v>
      </c>
      <c r="M1230" t="s">
        <v>40</v>
      </c>
      <c r="N1230" t="s">
        <v>4588</v>
      </c>
      <c r="O1230" t="s">
        <v>42</v>
      </c>
      <c r="P1230" t="s">
        <v>264</v>
      </c>
      <c r="Q1230" t="s">
        <v>557</v>
      </c>
      <c r="R1230">
        <v>11.34</v>
      </c>
      <c r="S1230" t="str">
        <f>TEXT(sales_data[[#This Row],[Order Date]],"mm")</f>
        <v>10</v>
      </c>
      <c r="T1230">
        <f>YEAR(sales_data[[#This Row],[Order Date]])</f>
        <v>2015</v>
      </c>
      <c r="V1230" t="s">
        <v>4588</v>
      </c>
    </row>
    <row r="1231" spans="1:22" x14ac:dyDescent="0.35">
      <c r="A1231">
        <v>2061</v>
      </c>
      <c r="B1231" t="s">
        <v>4587</v>
      </c>
      <c r="C1231" s="1">
        <v>42308</v>
      </c>
      <c r="D1231" s="1">
        <v>42312</v>
      </c>
      <c r="E1231" t="s">
        <v>46</v>
      </c>
      <c r="F1231" t="s">
        <v>508</v>
      </c>
      <c r="G1231" t="s">
        <v>509</v>
      </c>
      <c r="H1231" t="s">
        <v>37</v>
      </c>
      <c r="I1231" t="s">
        <v>23</v>
      </c>
      <c r="J1231" t="s">
        <v>38</v>
      </c>
      <c r="K1231" t="s">
        <v>39</v>
      </c>
      <c r="L1231">
        <v>90049</v>
      </c>
      <c r="M1231" t="s">
        <v>40</v>
      </c>
      <c r="N1231" t="s">
        <v>4589</v>
      </c>
      <c r="O1231" t="s">
        <v>42</v>
      </c>
      <c r="P1231" t="s">
        <v>55</v>
      </c>
      <c r="Q1231" t="s">
        <v>4590</v>
      </c>
      <c r="R1231">
        <v>80.3</v>
      </c>
      <c r="S1231" t="str">
        <f>TEXT(sales_data[[#This Row],[Order Date]],"mm")</f>
        <v>10</v>
      </c>
      <c r="T1231">
        <f>YEAR(sales_data[[#This Row],[Order Date]])</f>
        <v>2015</v>
      </c>
      <c r="V1231" t="s">
        <v>4589</v>
      </c>
    </row>
    <row r="1232" spans="1:22" x14ac:dyDescent="0.35">
      <c r="A1232">
        <v>2062</v>
      </c>
      <c r="B1232" t="s">
        <v>4587</v>
      </c>
      <c r="C1232" s="1">
        <v>42308</v>
      </c>
      <c r="D1232" s="1">
        <v>42312</v>
      </c>
      <c r="E1232" t="s">
        <v>46</v>
      </c>
      <c r="F1232" t="s">
        <v>508</v>
      </c>
      <c r="G1232" t="s">
        <v>509</v>
      </c>
      <c r="H1232" t="s">
        <v>37</v>
      </c>
      <c r="I1232" t="s">
        <v>23</v>
      </c>
      <c r="J1232" t="s">
        <v>38</v>
      </c>
      <c r="K1232" t="s">
        <v>39</v>
      </c>
      <c r="L1232">
        <v>90049</v>
      </c>
      <c r="M1232" t="s">
        <v>40</v>
      </c>
      <c r="N1232" t="s">
        <v>4591</v>
      </c>
      <c r="O1232" t="s">
        <v>42</v>
      </c>
      <c r="P1232" t="s">
        <v>71</v>
      </c>
      <c r="Q1232" t="s">
        <v>4592</v>
      </c>
      <c r="R1232">
        <v>15.968</v>
      </c>
      <c r="S1232" t="str">
        <f>TEXT(sales_data[[#This Row],[Order Date]],"mm")</f>
        <v>10</v>
      </c>
      <c r="T1232">
        <f>YEAR(sales_data[[#This Row],[Order Date]])</f>
        <v>2015</v>
      </c>
      <c r="V1232" t="s">
        <v>4591</v>
      </c>
    </row>
    <row r="1233" spans="1:22" x14ac:dyDescent="0.35">
      <c r="A1233">
        <v>2063</v>
      </c>
      <c r="B1233" t="s">
        <v>4587</v>
      </c>
      <c r="C1233" s="1">
        <v>42308</v>
      </c>
      <c r="D1233" s="1">
        <v>42312</v>
      </c>
      <c r="E1233" t="s">
        <v>46</v>
      </c>
      <c r="F1233" t="s">
        <v>508</v>
      </c>
      <c r="G1233" t="s">
        <v>509</v>
      </c>
      <c r="H1233" t="s">
        <v>37</v>
      </c>
      <c r="I1233" t="s">
        <v>23</v>
      </c>
      <c r="J1233" t="s">
        <v>38</v>
      </c>
      <c r="K1233" t="s">
        <v>39</v>
      </c>
      <c r="L1233">
        <v>90049</v>
      </c>
      <c r="M1233" t="s">
        <v>40</v>
      </c>
      <c r="N1233" t="s">
        <v>4593</v>
      </c>
      <c r="O1233" t="s">
        <v>42</v>
      </c>
      <c r="P1233" t="s">
        <v>86</v>
      </c>
      <c r="Q1233" t="s">
        <v>4594</v>
      </c>
      <c r="R1233">
        <v>64.739999999999995</v>
      </c>
      <c r="S1233" t="str">
        <f>TEXT(sales_data[[#This Row],[Order Date]],"mm")</f>
        <v>10</v>
      </c>
      <c r="T1233">
        <f>YEAR(sales_data[[#This Row],[Order Date]])</f>
        <v>2015</v>
      </c>
      <c r="V1233" t="s">
        <v>4593</v>
      </c>
    </row>
    <row r="1234" spans="1:22" x14ac:dyDescent="0.35">
      <c r="A1234">
        <v>2064</v>
      </c>
      <c r="B1234" t="s">
        <v>4587</v>
      </c>
      <c r="C1234" s="1">
        <v>42308</v>
      </c>
      <c r="D1234" s="1">
        <v>42312</v>
      </c>
      <c r="E1234" t="s">
        <v>46</v>
      </c>
      <c r="F1234" t="s">
        <v>508</v>
      </c>
      <c r="G1234" t="s">
        <v>509</v>
      </c>
      <c r="H1234" t="s">
        <v>37</v>
      </c>
      <c r="I1234" t="s">
        <v>23</v>
      </c>
      <c r="J1234" t="s">
        <v>38</v>
      </c>
      <c r="K1234" t="s">
        <v>39</v>
      </c>
      <c r="L1234">
        <v>90049</v>
      </c>
      <c r="M1234" t="s">
        <v>40</v>
      </c>
      <c r="N1234" t="s">
        <v>4595</v>
      </c>
      <c r="O1234" t="s">
        <v>42</v>
      </c>
      <c r="P1234" t="s">
        <v>71</v>
      </c>
      <c r="Q1234" t="s">
        <v>4596</v>
      </c>
      <c r="R1234">
        <v>19.295999999999999</v>
      </c>
      <c r="S1234" t="str">
        <f>TEXT(sales_data[[#This Row],[Order Date]],"mm")</f>
        <v>10</v>
      </c>
      <c r="T1234">
        <f>YEAR(sales_data[[#This Row],[Order Date]])</f>
        <v>2015</v>
      </c>
      <c r="V1234" t="s">
        <v>4595</v>
      </c>
    </row>
    <row r="1235" spans="1:22" x14ac:dyDescent="0.35">
      <c r="A1235">
        <v>2069</v>
      </c>
      <c r="B1235" t="s">
        <v>4597</v>
      </c>
      <c r="C1235" s="1">
        <v>42473</v>
      </c>
      <c r="D1235" s="1">
        <v>42479</v>
      </c>
      <c r="E1235" t="s">
        <v>46</v>
      </c>
      <c r="F1235" t="s">
        <v>1951</v>
      </c>
      <c r="G1235" t="s">
        <v>1952</v>
      </c>
      <c r="H1235" t="s">
        <v>22</v>
      </c>
      <c r="I1235" t="s">
        <v>23</v>
      </c>
      <c r="J1235" t="s">
        <v>3842</v>
      </c>
      <c r="K1235" t="s">
        <v>39</v>
      </c>
      <c r="L1235">
        <v>91767</v>
      </c>
      <c r="M1235" t="s">
        <v>40</v>
      </c>
      <c r="N1235" t="s">
        <v>4598</v>
      </c>
      <c r="O1235" t="s">
        <v>67</v>
      </c>
      <c r="P1235" t="s">
        <v>156</v>
      </c>
      <c r="Q1235" t="s">
        <v>4599</v>
      </c>
      <c r="R1235">
        <v>199.96</v>
      </c>
      <c r="S1235" t="str">
        <f>TEXT(sales_data[[#This Row],[Order Date]],"mm")</f>
        <v>04</v>
      </c>
      <c r="T1235">
        <f>YEAR(sales_data[[#This Row],[Order Date]])</f>
        <v>2016</v>
      </c>
      <c r="V1235" t="s">
        <v>4598</v>
      </c>
    </row>
    <row r="1236" spans="1:22" x14ac:dyDescent="0.35">
      <c r="A1236">
        <v>2070</v>
      </c>
      <c r="B1236" t="s">
        <v>4597</v>
      </c>
      <c r="C1236" s="1">
        <v>42473</v>
      </c>
      <c r="D1236" s="1">
        <v>42479</v>
      </c>
      <c r="E1236" t="s">
        <v>46</v>
      </c>
      <c r="F1236" t="s">
        <v>1951</v>
      </c>
      <c r="G1236" t="s">
        <v>1952</v>
      </c>
      <c r="H1236" t="s">
        <v>22</v>
      </c>
      <c r="I1236" t="s">
        <v>23</v>
      </c>
      <c r="J1236" t="s">
        <v>3842</v>
      </c>
      <c r="K1236" t="s">
        <v>39</v>
      </c>
      <c r="L1236">
        <v>91767</v>
      </c>
      <c r="M1236" t="s">
        <v>40</v>
      </c>
      <c r="N1236" t="s">
        <v>4600</v>
      </c>
      <c r="O1236" t="s">
        <v>28</v>
      </c>
      <c r="P1236" t="s">
        <v>52</v>
      </c>
      <c r="Q1236" t="s">
        <v>4601</v>
      </c>
      <c r="R1236">
        <v>710.83199999999999</v>
      </c>
      <c r="S1236" t="str">
        <f>TEXT(sales_data[[#This Row],[Order Date]],"mm")</f>
        <v>04</v>
      </c>
      <c r="T1236">
        <f>YEAR(sales_data[[#This Row],[Order Date]])</f>
        <v>2016</v>
      </c>
      <c r="V1236" t="s">
        <v>4600</v>
      </c>
    </row>
    <row r="1237" spans="1:22" x14ac:dyDescent="0.35">
      <c r="A1237">
        <v>2074</v>
      </c>
      <c r="B1237" t="s">
        <v>4607</v>
      </c>
      <c r="C1237" s="1">
        <v>43411</v>
      </c>
      <c r="D1237" s="1">
        <v>43416</v>
      </c>
      <c r="E1237" t="s">
        <v>19</v>
      </c>
      <c r="F1237" t="s">
        <v>3893</v>
      </c>
      <c r="G1237" t="s">
        <v>3894</v>
      </c>
      <c r="H1237" t="s">
        <v>98</v>
      </c>
      <c r="I1237" t="s">
        <v>23</v>
      </c>
      <c r="J1237" t="s">
        <v>984</v>
      </c>
      <c r="K1237" t="s">
        <v>39</v>
      </c>
      <c r="L1237">
        <v>94513</v>
      </c>
      <c r="M1237" t="s">
        <v>40</v>
      </c>
      <c r="N1237" t="s">
        <v>4608</v>
      </c>
      <c r="O1237" t="s">
        <v>67</v>
      </c>
      <c r="P1237" t="s">
        <v>156</v>
      </c>
      <c r="Q1237" t="s">
        <v>4609</v>
      </c>
      <c r="R1237">
        <v>59.97</v>
      </c>
      <c r="S1237" t="str">
        <f>TEXT(sales_data[[#This Row],[Order Date]],"mm")</f>
        <v>11</v>
      </c>
      <c r="T1237">
        <f>YEAR(sales_data[[#This Row],[Order Date]])</f>
        <v>2018</v>
      </c>
      <c r="V1237" t="s">
        <v>4608</v>
      </c>
    </row>
    <row r="1238" spans="1:22" x14ac:dyDescent="0.35">
      <c r="A1238">
        <v>2075</v>
      </c>
      <c r="B1238" t="s">
        <v>4607</v>
      </c>
      <c r="C1238" s="1">
        <v>43411</v>
      </c>
      <c r="D1238" s="1">
        <v>43416</v>
      </c>
      <c r="E1238" t="s">
        <v>19</v>
      </c>
      <c r="F1238" t="s">
        <v>3893</v>
      </c>
      <c r="G1238" t="s">
        <v>3894</v>
      </c>
      <c r="H1238" t="s">
        <v>98</v>
      </c>
      <c r="I1238" t="s">
        <v>23</v>
      </c>
      <c r="J1238" t="s">
        <v>984</v>
      </c>
      <c r="K1238" t="s">
        <v>39</v>
      </c>
      <c r="L1238">
        <v>94513</v>
      </c>
      <c r="M1238" t="s">
        <v>40</v>
      </c>
      <c r="N1238" t="s">
        <v>4610</v>
      </c>
      <c r="O1238" t="s">
        <v>67</v>
      </c>
      <c r="P1238" t="s">
        <v>68</v>
      </c>
      <c r="Q1238" t="s">
        <v>4611</v>
      </c>
      <c r="R1238">
        <v>761.54399999999998</v>
      </c>
      <c r="S1238" t="str">
        <f>TEXT(sales_data[[#This Row],[Order Date]],"mm")</f>
        <v>11</v>
      </c>
      <c r="T1238">
        <f>YEAR(sales_data[[#This Row],[Order Date]])</f>
        <v>2018</v>
      </c>
      <c r="V1238" t="s">
        <v>4610</v>
      </c>
    </row>
    <row r="1239" spans="1:22" x14ac:dyDescent="0.35">
      <c r="A1239">
        <v>2080</v>
      </c>
      <c r="B1239" t="s">
        <v>4613</v>
      </c>
      <c r="C1239" s="1">
        <v>42728</v>
      </c>
      <c r="D1239" s="1">
        <v>42733</v>
      </c>
      <c r="E1239" t="s">
        <v>46</v>
      </c>
      <c r="F1239" t="s">
        <v>2696</v>
      </c>
      <c r="G1239" t="s">
        <v>2697</v>
      </c>
      <c r="H1239" t="s">
        <v>22</v>
      </c>
      <c r="I1239" t="s">
        <v>23</v>
      </c>
      <c r="J1239" t="s">
        <v>539</v>
      </c>
      <c r="K1239" t="s">
        <v>305</v>
      </c>
      <c r="L1239">
        <v>85023</v>
      </c>
      <c r="M1239" t="s">
        <v>40</v>
      </c>
      <c r="N1239" t="s">
        <v>4614</v>
      </c>
      <c r="O1239" t="s">
        <v>42</v>
      </c>
      <c r="P1239" t="s">
        <v>86</v>
      </c>
      <c r="Q1239" t="s">
        <v>4615</v>
      </c>
      <c r="R1239">
        <v>106.232</v>
      </c>
      <c r="S1239" t="str">
        <f>TEXT(sales_data[[#This Row],[Order Date]],"mm")</f>
        <v>12</v>
      </c>
      <c r="T1239">
        <f>YEAR(sales_data[[#This Row],[Order Date]])</f>
        <v>2016</v>
      </c>
      <c r="V1239" t="s">
        <v>4614</v>
      </c>
    </row>
    <row r="1240" spans="1:22" x14ac:dyDescent="0.35">
      <c r="A1240">
        <v>2086</v>
      </c>
      <c r="B1240" t="s">
        <v>4616</v>
      </c>
      <c r="C1240" s="1">
        <v>42909</v>
      </c>
      <c r="D1240" s="1">
        <v>42914</v>
      </c>
      <c r="E1240" t="s">
        <v>46</v>
      </c>
      <c r="F1240" t="s">
        <v>89</v>
      </c>
      <c r="G1240" t="s">
        <v>90</v>
      </c>
      <c r="H1240" t="s">
        <v>22</v>
      </c>
      <c r="I1240" t="s">
        <v>23</v>
      </c>
      <c r="J1240" t="s">
        <v>261</v>
      </c>
      <c r="K1240" t="s">
        <v>262</v>
      </c>
      <c r="L1240">
        <v>10009</v>
      </c>
      <c r="M1240" t="s">
        <v>144</v>
      </c>
      <c r="N1240" t="s">
        <v>4617</v>
      </c>
      <c r="O1240" t="s">
        <v>42</v>
      </c>
      <c r="P1240" t="s">
        <v>43</v>
      </c>
      <c r="Q1240" t="s">
        <v>4618</v>
      </c>
      <c r="R1240">
        <v>18.45</v>
      </c>
      <c r="S1240" t="str">
        <f>TEXT(sales_data[[#This Row],[Order Date]],"mm")</f>
        <v>06</v>
      </c>
      <c r="T1240">
        <f>YEAR(sales_data[[#This Row],[Order Date]])</f>
        <v>2017</v>
      </c>
      <c r="V1240" t="s">
        <v>4617</v>
      </c>
    </row>
    <row r="1241" spans="1:22" x14ac:dyDescent="0.35">
      <c r="A1241">
        <v>2089</v>
      </c>
      <c r="B1241" t="s">
        <v>4616</v>
      </c>
      <c r="C1241" s="1">
        <v>42909</v>
      </c>
      <c r="D1241" s="1">
        <v>42914</v>
      </c>
      <c r="E1241" t="s">
        <v>46</v>
      </c>
      <c r="F1241" t="s">
        <v>89</v>
      </c>
      <c r="G1241" t="s">
        <v>90</v>
      </c>
      <c r="H1241" t="s">
        <v>22</v>
      </c>
      <c r="I1241" t="s">
        <v>23</v>
      </c>
      <c r="J1241" t="s">
        <v>261</v>
      </c>
      <c r="K1241" t="s">
        <v>262</v>
      </c>
      <c r="L1241">
        <v>10009</v>
      </c>
      <c r="M1241" t="s">
        <v>144</v>
      </c>
      <c r="N1241" t="s">
        <v>4619</v>
      </c>
      <c r="O1241" t="s">
        <v>42</v>
      </c>
      <c r="P1241" t="s">
        <v>264</v>
      </c>
      <c r="Q1241" t="s">
        <v>4620</v>
      </c>
      <c r="R1241">
        <v>3.96</v>
      </c>
      <c r="S1241" t="str">
        <f>TEXT(sales_data[[#This Row],[Order Date]],"mm")</f>
        <v>06</v>
      </c>
      <c r="T1241">
        <f>YEAR(sales_data[[#This Row],[Order Date]])</f>
        <v>2017</v>
      </c>
      <c r="V1241" t="s">
        <v>4619</v>
      </c>
    </row>
    <row r="1242" spans="1:22" x14ac:dyDescent="0.35">
      <c r="A1242">
        <v>2090</v>
      </c>
      <c r="B1242" t="s">
        <v>4621</v>
      </c>
      <c r="C1242" s="1">
        <v>42669</v>
      </c>
      <c r="D1242" s="1">
        <v>42673</v>
      </c>
      <c r="E1242" t="s">
        <v>46</v>
      </c>
      <c r="F1242" t="s">
        <v>1704</v>
      </c>
      <c r="G1242" t="s">
        <v>1705</v>
      </c>
      <c r="H1242" t="s">
        <v>37</v>
      </c>
      <c r="I1242" t="s">
        <v>23</v>
      </c>
      <c r="J1242" t="s">
        <v>4622</v>
      </c>
      <c r="K1242" t="s">
        <v>39</v>
      </c>
      <c r="L1242">
        <v>91730</v>
      </c>
      <c r="M1242" t="s">
        <v>40</v>
      </c>
      <c r="N1242" t="s">
        <v>4623</v>
      </c>
      <c r="O1242" t="s">
        <v>42</v>
      </c>
      <c r="P1242" t="s">
        <v>43</v>
      </c>
      <c r="Q1242" t="s">
        <v>4624</v>
      </c>
      <c r="R1242">
        <v>5.76</v>
      </c>
      <c r="S1242" t="str">
        <f>TEXT(sales_data[[#This Row],[Order Date]],"mm")</f>
        <v>10</v>
      </c>
      <c r="T1242">
        <f>YEAR(sales_data[[#This Row],[Order Date]])</f>
        <v>2016</v>
      </c>
      <c r="V1242" t="s">
        <v>4623</v>
      </c>
    </row>
    <row r="1243" spans="1:22" x14ac:dyDescent="0.35">
      <c r="A1243">
        <v>2095</v>
      </c>
      <c r="B1243" t="s">
        <v>4627</v>
      </c>
      <c r="C1243" s="1">
        <v>42699</v>
      </c>
      <c r="D1243" s="1">
        <v>42703</v>
      </c>
      <c r="E1243" t="s">
        <v>46</v>
      </c>
      <c r="F1243" t="s">
        <v>140</v>
      </c>
      <c r="G1243" t="s">
        <v>141</v>
      </c>
      <c r="H1243" t="s">
        <v>22</v>
      </c>
      <c r="I1243" t="s">
        <v>23</v>
      </c>
      <c r="J1243" t="s">
        <v>516</v>
      </c>
      <c r="K1243" t="s">
        <v>84</v>
      </c>
      <c r="L1243">
        <v>28403</v>
      </c>
      <c r="M1243" t="s">
        <v>26</v>
      </c>
      <c r="N1243" t="s">
        <v>4628</v>
      </c>
      <c r="O1243" t="s">
        <v>42</v>
      </c>
      <c r="P1243" t="s">
        <v>64</v>
      </c>
      <c r="Q1243" t="s">
        <v>4629</v>
      </c>
      <c r="R1243">
        <v>13.12</v>
      </c>
      <c r="S1243" t="str">
        <f>TEXT(sales_data[[#This Row],[Order Date]],"mm")</f>
        <v>11</v>
      </c>
      <c r="T1243">
        <f>YEAR(sales_data[[#This Row],[Order Date]])</f>
        <v>2016</v>
      </c>
      <c r="V1243" t="s">
        <v>4628</v>
      </c>
    </row>
    <row r="1244" spans="1:22" x14ac:dyDescent="0.35">
      <c r="A1244">
        <v>2096</v>
      </c>
      <c r="B1244" t="s">
        <v>4630</v>
      </c>
      <c r="C1244" s="1">
        <v>42870</v>
      </c>
      <c r="D1244" s="1">
        <v>42875</v>
      </c>
      <c r="E1244" t="s">
        <v>46</v>
      </c>
      <c r="F1244" t="s">
        <v>192</v>
      </c>
      <c r="G1244" t="s">
        <v>193</v>
      </c>
      <c r="H1244" t="s">
        <v>98</v>
      </c>
      <c r="I1244" t="s">
        <v>23</v>
      </c>
      <c r="J1244" t="s">
        <v>323</v>
      </c>
      <c r="K1244" t="s">
        <v>1475</v>
      </c>
      <c r="L1244">
        <v>39212</v>
      </c>
      <c r="M1244" t="s">
        <v>26</v>
      </c>
      <c r="N1244" t="s">
        <v>4631</v>
      </c>
      <c r="O1244" t="s">
        <v>42</v>
      </c>
      <c r="P1244" t="s">
        <v>71</v>
      </c>
      <c r="Q1244" t="s">
        <v>4632</v>
      </c>
      <c r="R1244">
        <v>511.84</v>
      </c>
      <c r="S1244" t="str">
        <f>TEXT(sales_data[[#This Row],[Order Date]],"mm")</f>
        <v>05</v>
      </c>
      <c r="T1244">
        <f>YEAR(sales_data[[#This Row],[Order Date]])</f>
        <v>2017</v>
      </c>
      <c r="V1244" t="s">
        <v>4631</v>
      </c>
    </row>
    <row r="1245" spans="1:22" x14ac:dyDescent="0.35">
      <c r="A1245">
        <v>2097</v>
      </c>
      <c r="B1245" t="s">
        <v>4630</v>
      </c>
      <c r="C1245" s="1">
        <v>42870</v>
      </c>
      <c r="D1245" s="1">
        <v>42875</v>
      </c>
      <c r="E1245" t="s">
        <v>46</v>
      </c>
      <c r="F1245" t="s">
        <v>192</v>
      </c>
      <c r="G1245" t="s">
        <v>193</v>
      </c>
      <c r="H1245" t="s">
        <v>98</v>
      </c>
      <c r="I1245" t="s">
        <v>23</v>
      </c>
      <c r="J1245" t="s">
        <v>323</v>
      </c>
      <c r="K1245" t="s">
        <v>1475</v>
      </c>
      <c r="L1245">
        <v>39212</v>
      </c>
      <c r="M1245" t="s">
        <v>26</v>
      </c>
      <c r="N1245" t="s">
        <v>4633</v>
      </c>
      <c r="O1245" t="s">
        <v>42</v>
      </c>
      <c r="P1245" t="s">
        <v>64</v>
      </c>
      <c r="Q1245" t="s">
        <v>4634</v>
      </c>
      <c r="R1245">
        <v>91.96</v>
      </c>
      <c r="S1245" t="str">
        <f>TEXT(sales_data[[#This Row],[Order Date]],"mm")</f>
        <v>05</v>
      </c>
      <c r="T1245">
        <f>YEAR(sales_data[[#This Row],[Order Date]])</f>
        <v>2017</v>
      </c>
      <c r="V1245" t="s">
        <v>4633</v>
      </c>
    </row>
    <row r="1246" spans="1:22" x14ac:dyDescent="0.35">
      <c r="A1246">
        <v>2101</v>
      </c>
      <c r="B1246" t="s">
        <v>4635</v>
      </c>
      <c r="C1246" s="1">
        <v>42073</v>
      </c>
      <c r="D1246" s="1">
        <v>42080</v>
      </c>
      <c r="E1246" t="s">
        <v>46</v>
      </c>
      <c r="F1246" t="s">
        <v>3331</v>
      </c>
      <c r="G1246" t="s">
        <v>3332</v>
      </c>
      <c r="H1246" t="s">
        <v>22</v>
      </c>
      <c r="I1246" t="s">
        <v>23</v>
      </c>
      <c r="J1246" t="s">
        <v>799</v>
      </c>
      <c r="K1246" t="s">
        <v>452</v>
      </c>
      <c r="L1246">
        <v>80219</v>
      </c>
      <c r="M1246" t="s">
        <v>40</v>
      </c>
      <c r="N1246" t="s">
        <v>4636</v>
      </c>
      <c r="O1246" t="s">
        <v>42</v>
      </c>
      <c r="P1246" t="s">
        <v>55</v>
      </c>
      <c r="Q1246" t="s">
        <v>4637</v>
      </c>
      <c r="R1246">
        <v>636.40800000000002</v>
      </c>
      <c r="S1246" t="str">
        <f>TEXT(sales_data[[#This Row],[Order Date]],"mm")</f>
        <v>03</v>
      </c>
      <c r="T1246">
        <f>YEAR(sales_data[[#This Row],[Order Date]])</f>
        <v>2015</v>
      </c>
      <c r="V1246" t="s">
        <v>4636</v>
      </c>
    </row>
    <row r="1247" spans="1:22" x14ac:dyDescent="0.35">
      <c r="A1247">
        <v>2110</v>
      </c>
      <c r="B1247" t="s">
        <v>4640</v>
      </c>
      <c r="C1247" s="1">
        <v>42674</v>
      </c>
      <c r="D1247" s="1">
        <v>42674</v>
      </c>
      <c r="E1247" t="s">
        <v>1277</v>
      </c>
      <c r="F1247" t="s">
        <v>587</v>
      </c>
      <c r="G1247" t="s">
        <v>588</v>
      </c>
      <c r="H1247" t="s">
        <v>22</v>
      </c>
      <c r="I1247" t="s">
        <v>23</v>
      </c>
      <c r="J1247" t="s">
        <v>767</v>
      </c>
      <c r="K1247" t="s">
        <v>39</v>
      </c>
      <c r="L1247">
        <v>92374</v>
      </c>
      <c r="M1247" t="s">
        <v>40</v>
      </c>
      <c r="N1247" t="s">
        <v>4641</v>
      </c>
      <c r="O1247" t="s">
        <v>42</v>
      </c>
      <c r="P1247" t="s">
        <v>64</v>
      </c>
      <c r="Q1247" t="s">
        <v>4642</v>
      </c>
      <c r="R1247">
        <v>5.04</v>
      </c>
      <c r="S1247" t="str">
        <f>TEXT(sales_data[[#This Row],[Order Date]],"mm")</f>
        <v>10</v>
      </c>
      <c r="T1247">
        <f>YEAR(sales_data[[#This Row],[Order Date]])</f>
        <v>2016</v>
      </c>
      <c r="V1247" t="s">
        <v>4641</v>
      </c>
    </row>
    <row r="1248" spans="1:22" x14ac:dyDescent="0.35">
      <c r="A1248">
        <v>2114</v>
      </c>
      <c r="B1248" t="s">
        <v>4640</v>
      </c>
      <c r="C1248" s="1">
        <v>42674</v>
      </c>
      <c r="D1248" s="1">
        <v>42674</v>
      </c>
      <c r="E1248" t="s">
        <v>1277</v>
      </c>
      <c r="F1248" t="s">
        <v>587</v>
      </c>
      <c r="G1248" t="s">
        <v>588</v>
      </c>
      <c r="H1248" t="s">
        <v>22</v>
      </c>
      <c r="I1248" t="s">
        <v>23</v>
      </c>
      <c r="J1248" t="s">
        <v>767</v>
      </c>
      <c r="K1248" t="s">
        <v>39</v>
      </c>
      <c r="L1248">
        <v>92374</v>
      </c>
      <c r="M1248" t="s">
        <v>40</v>
      </c>
      <c r="N1248" t="s">
        <v>4643</v>
      </c>
      <c r="O1248" t="s">
        <v>67</v>
      </c>
      <c r="P1248" t="s">
        <v>68</v>
      </c>
      <c r="Q1248" t="s">
        <v>4644</v>
      </c>
      <c r="R1248">
        <v>1295.8399999999999</v>
      </c>
      <c r="S1248" t="str">
        <f>TEXT(sales_data[[#This Row],[Order Date]],"mm")</f>
        <v>10</v>
      </c>
      <c r="T1248">
        <f>YEAR(sales_data[[#This Row],[Order Date]])</f>
        <v>2016</v>
      </c>
      <c r="V1248" t="s">
        <v>4643</v>
      </c>
    </row>
    <row r="1249" spans="1:22" x14ac:dyDescent="0.35">
      <c r="A1249">
        <v>2115</v>
      </c>
      <c r="B1249" t="s">
        <v>4640</v>
      </c>
      <c r="C1249" s="1">
        <v>42674</v>
      </c>
      <c r="D1249" s="1">
        <v>42674</v>
      </c>
      <c r="E1249" t="s">
        <v>1277</v>
      </c>
      <c r="F1249" t="s">
        <v>587</v>
      </c>
      <c r="G1249" t="s">
        <v>588</v>
      </c>
      <c r="H1249" t="s">
        <v>22</v>
      </c>
      <c r="I1249" t="s">
        <v>23</v>
      </c>
      <c r="J1249" t="s">
        <v>767</v>
      </c>
      <c r="K1249" t="s">
        <v>39</v>
      </c>
      <c r="L1249">
        <v>92374</v>
      </c>
      <c r="M1249" t="s">
        <v>40</v>
      </c>
      <c r="N1249" t="s">
        <v>4645</v>
      </c>
      <c r="O1249" t="s">
        <v>42</v>
      </c>
      <c r="P1249" t="s">
        <v>55</v>
      </c>
      <c r="Q1249" t="s">
        <v>4646</v>
      </c>
      <c r="R1249">
        <v>46.84</v>
      </c>
      <c r="S1249" t="str">
        <f>TEXT(sales_data[[#This Row],[Order Date]],"mm")</f>
        <v>10</v>
      </c>
      <c r="T1249">
        <f>YEAR(sales_data[[#This Row],[Order Date]])</f>
        <v>2016</v>
      </c>
      <c r="V1249" t="s">
        <v>4645</v>
      </c>
    </row>
    <row r="1250" spans="1:22" x14ac:dyDescent="0.35">
      <c r="A1250">
        <v>2116</v>
      </c>
      <c r="B1250" t="s">
        <v>4640</v>
      </c>
      <c r="C1250" s="1">
        <v>42674</v>
      </c>
      <c r="D1250" s="1">
        <v>42674</v>
      </c>
      <c r="E1250" t="s">
        <v>1277</v>
      </c>
      <c r="F1250" t="s">
        <v>587</v>
      </c>
      <c r="G1250" t="s">
        <v>588</v>
      </c>
      <c r="H1250" t="s">
        <v>22</v>
      </c>
      <c r="I1250" t="s">
        <v>23</v>
      </c>
      <c r="J1250" t="s">
        <v>767</v>
      </c>
      <c r="K1250" t="s">
        <v>39</v>
      </c>
      <c r="L1250">
        <v>92374</v>
      </c>
      <c r="M1250" t="s">
        <v>40</v>
      </c>
      <c r="N1250" t="s">
        <v>4647</v>
      </c>
      <c r="O1250" t="s">
        <v>28</v>
      </c>
      <c r="P1250" t="s">
        <v>29</v>
      </c>
      <c r="Q1250" t="s">
        <v>4648</v>
      </c>
      <c r="R1250">
        <v>425.83300000000003</v>
      </c>
      <c r="S1250" t="str">
        <f>TEXT(sales_data[[#This Row],[Order Date]],"mm")</f>
        <v>10</v>
      </c>
      <c r="T1250">
        <f>YEAR(sales_data[[#This Row],[Order Date]])</f>
        <v>2016</v>
      </c>
      <c r="V1250" t="s">
        <v>4647</v>
      </c>
    </row>
    <row r="1251" spans="1:22" x14ac:dyDescent="0.35">
      <c r="A1251">
        <v>2125</v>
      </c>
      <c r="B1251" t="s">
        <v>4650</v>
      </c>
      <c r="C1251" s="1">
        <v>43435</v>
      </c>
      <c r="D1251" s="1">
        <v>43439</v>
      </c>
      <c r="E1251" t="s">
        <v>46</v>
      </c>
      <c r="F1251" t="s">
        <v>3057</v>
      </c>
      <c r="G1251" t="s">
        <v>3058</v>
      </c>
      <c r="H1251" t="s">
        <v>98</v>
      </c>
      <c r="I1251" t="s">
        <v>23</v>
      </c>
      <c r="J1251" t="s">
        <v>142</v>
      </c>
      <c r="K1251" t="s">
        <v>143</v>
      </c>
      <c r="L1251">
        <v>19143</v>
      </c>
      <c r="M1251" t="s">
        <v>144</v>
      </c>
      <c r="N1251" t="s">
        <v>4651</v>
      </c>
      <c r="O1251" t="s">
        <v>42</v>
      </c>
      <c r="P1251" t="s">
        <v>168</v>
      </c>
      <c r="Q1251" t="s">
        <v>4652</v>
      </c>
      <c r="R1251">
        <v>104.68</v>
      </c>
      <c r="S1251" t="str">
        <f>TEXT(sales_data[[#This Row],[Order Date]],"mm")</f>
        <v>12</v>
      </c>
      <c r="T1251">
        <f>YEAR(sales_data[[#This Row],[Order Date]])</f>
        <v>2018</v>
      </c>
      <c r="V1251" t="s">
        <v>4651</v>
      </c>
    </row>
    <row r="1252" spans="1:22" x14ac:dyDescent="0.35">
      <c r="A1252">
        <v>2126</v>
      </c>
      <c r="B1252" t="s">
        <v>4650</v>
      </c>
      <c r="C1252" s="1">
        <v>43435</v>
      </c>
      <c r="D1252" s="1">
        <v>43439</v>
      </c>
      <c r="E1252" t="s">
        <v>46</v>
      </c>
      <c r="F1252" t="s">
        <v>3057</v>
      </c>
      <c r="G1252" t="s">
        <v>3058</v>
      </c>
      <c r="H1252" t="s">
        <v>98</v>
      </c>
      <c r="I1252" t="s">
        <v>23</v>
      </c>
      <c r="J1252" t="s">
        <v>142</v>
      </c>
      <c r="K1252" t="s">
        <v>143</v>
      </c>
      <c r="L1252">
        <v>19143</v>
      </c>
      <c r="M1252" t="s">
        <v>144</v>
      </c>
      <c r="N1252" t="s">
        <v>4653</v>
      </c>
      <c r="O1252" t="s">
        <v>67</v>
      </c>
      <c r="P1252" t="s">
        <v>68</v>
      </c>
      <c r="Q1252" t="s">
        <v>4654</v>
      </c>
      <c r="R1252">
        <v>62.957999999999998</v>
      </c>
      <c r="S1252" t="str">
        <f>TEXT(sales_data[[#This Row],[Order Date]],"mm")</f>
        <v>12</v>
      </c>
      <c r="T1252">
        <f>YEAR(sales_data[[#This Row],[Order Date]])</f>
        <v>2018</v>
      </c>
      <c r="V1252" t="s">
        <v>4653</v>
      </c>
    </row>
    <row r="1253" spans="1:22" x14ac:dyDescent="0.35">
      <c r="A1253">
        <v>2128</v>
      </c>
      <c r="B1253" t="s">
        <v>4657</v>
      </c>
      <c r="C1253" s="1">
        <v>42647</v>
      </c>
      <c r="D1253" s="1">
        <v>42652</v>
      </c>
      <c r="E1253" t="s">
        <v>46</v>
      </c>
      <c r="F1253" t="s">
        <v>3631</v>
      </c>
      <c r="G1253" t="s">
        <v>3632</v>
      </c>
      <c r="H1253" t="s">
        <v>98</v>
      </c>
      <c r="I1253" t="s">
        <v>23</v>
      </c>
      <c r="J1253" t="s">
        <v>142</v>
      </c>
      <c r="K1253" t="s">
        <v>143</v>
      </c>
      <c r="L1253">
        <v>19134</v>
      </c>
      <c r="M1253" t="s">
        <v>144</v>
      </c>
      <c r="N1253" t="s">
        <v>4658</v>
      </c>
      <c r="O1253" t="s">
        <v>28</v>
      </c>
      <c r="P1253" t="s">
        <v>61</v>
      </c>
      <c r="Q1253" t="s">
        <v>4659</v>
      </c>
      <c r="R1253">
        <v>64.944000000000003</v>
      </c>
      <c r="S1253" t="str">
        <f>TEXT(sales_data[[#This Row],[Order Date]],"mm")</f>
        <v>10</v>
      </c>
      <c r="T1253">
        <f>YEAR(sales_data[[#This Row],[Order Date]])</f>
        <v>2016</v>
      </c>
      <c r="V1253" t="s">
        <v>4658</v>
      </c>
    </row>
    <row r="1254" spans="1:22" x14ac:dyDescent="0.35">
      <c r="A1254">
        <v>2130</v>
      </c>
      <c r="B1254" t="s">
        <v>4660</v>
      </c>
      <c r="C1254" s="1">
        <v>42144</v>
      </c>
      <c r="D1254" s="1">
        <v>42146</v>
      </c>
      <c r="E1254" t="s">
        <v>19</v>
      </c>
      <c r="F1254" t="s">
        <v>4661</v>
      </c>
      <c r="G1254" t="s">
        <v>4662</v>
      </c>
      <c r="H1254" t="s">
        <v>37</v>
      </c>
      <c r="I1254" t="s">
        <v>23</v>
      </c>
      <c r="J1254" t="s">
        <v>239</v>
      </c>
      <c r="K1254" t="s">
        <v>2642</v>
      </c>
      <c r="L1254">
        <v>3820</v>
      </c>
      <c r="M1254" t="s">
        <v>144</v>
      </c>
      <c r="N1254" t="s">
        <v>4663</v>
      </c>
      <c r="O1254" t="s">
        <v>42</v>
      </c>
      <c r="P1254" t="s">
        <v>74</v>
      </c>
      <c r="Q1254" t="s">
        <v>4664</v>
      </c>
      <c r="R1254">
        <v>33.28</v>
      </c>
      <c r="S1254" t="str">
        <f>TEXT(sales_data[[#This Row],[Order Date]],"mm")</f>
        <v>05</v>
      </c>
      <c r="T1254">
        <f>YEAR(sales_data[[#This Row],[Order Date]])</f>
        <v>2015</v>
      </c>
      <c r="V1254" t="s">
        <v>4663</v>
      </c>
    </row>
    <row r="1255" spans="1:22" x14ac:dyDescent="0.35">
      <c r="A1255">
        <v>2131</v>
      </c>
      <c r="B1255" t="s">
        <v>4660</v>
      </c>
      <c r="C1255" s="1">
        <v>42144</v>
      </c>
      <c r="D1255" s="1">
        <v>42146</v>
      </c>
      <c r="E1255" t="s">
        <v>19</v>
      </c>
      <c r="F1255" t="s">
        <v>4661</v>
      </c>
      <c r="G1255" t="s">
        <v>4662</v>
      </c>
      <c r="H1255" t="s">
        <v>37</v>
      </c>
      <c r="I1255" t="s">
        <v>23</v>
      </c>
      <c r="J1255" t="s">
        <v>239</v>
      </c>
      <c r="K1255" t="s">
        <v>2642</v>
      </c>
      <c r="L1255">
        <v>3820</v>
      </c>
      <c r="M1255" t="s">
        <v>144</v>
      </c>
      <c r="N1255" t="s">
        <v>4665</v>
      </c>
      <c r="O1255" t="s">
        <v>42</v>
      </c>
      <c r="P1255" t="s">
        <v>64</v>
      </c>
      <c r="Q1255" t="s">
        <v>4666</v>
      </c>
      <c r="R1255">
        <v>38.520000000000003</v>
      </c>
      <c r="S1255" t="str">
        <f>TEXT(sales_data[[#This Row],[Order Date]],"mm")</f>
        <v>05</v>
      </c>
      <c r="T1255">
        <f>YEAR(sales_data[[#This Row],[Order Date]])</f>
        <v>2015</v>
      </c>
      <c r="V1255" t="s">
        <v>4665</v>
      </c>
    </row>
    <row r="1256" spans="1:22" x14ac:dyDescent="0.35">
      <c r="A1256">
        <v>2133</v>
      </c>
      <c r="B1256" t="s">
        <v>4667</v>
      </c>
      <c r="C1256" s="1">
        <v>42694</v>
      </c>
      <c r="D1256" s="1">
        <v>42700</v>
      </c>
      <c r="E1256" t="s">
        <v>46</v>
      </c>
      <c r="F1256" t="s">
        <v>2408</v>
      </c>
      <c r="G1256" t="s">
        <v>2409</v>
      </c>
      <c r="H1256" t="s">
        <v>22</v>
      </c>
      <c r="I1256" t="s">
        <v>23</v>
      </c>
      <c r="J1256" t="s">
        <v>261</v>
      </c>
      <c r="K1256" t="s">
        <v>262</v>
      </c>
      <c r="L1256">
        <v>10011</v>
      </c>
      <c r="M1256" t="s">
        <v>144</v>
      </c>
      <c r="N1256" t="s">
        <v>4668</v>
      </c>
      <c r="O1256" t="s">
        <v>42</v>
      </c>
      <c r="P1256" t="s">
        <v>86</v>
      </c>
      <c r="Q1256" t="s">
        <v>4669</v>
      </c>
      <c r="R1256">
        <v>19.649999999999999</v>
      </c>
      <c r="S1256" t="str">
        <f>TEXT(sales_data[[#This Row],[Order Date]],"mm")</f>
        <v>11</v>
      </c>
      <c r="T1256">
        <f>YEAR(sales_data[[#This Row],[Order Date]])</f>
        <v>2016</v>
      </c>
      <c r="V1256" t="s">
        <v>4668</v>
      </c>
    </row>
    <row r="1257" spans="1:22" x14ac:dyDescent="0.35">
      <c r="A1257">
        <v>2136</v>
      </c>
      <c r="B1257" t="s">
        <v>4670</v>
      </c>
      <c r="C1257" s="1">
        <v>42704</v>
      </c>
      <c r="D1257" s="1">
        <v>42708</v>
      </c>
      <c r="E1257" t="s">
        <v>46</v>
      </c>
      <c r="F1257" t="s">
        <v>4671</v>
      </c>
      <c r="G1257" t="s">
        <v>4672</v>
      </c>
      <c r="H1257" t="s">
        <v>22</v>
      </c>
      <c r="I1257" t="s">
        <v>23</v>
      </c>
      <c r="J1257" t="s">
        <v>142</v>
      </c>
      <c r="K1257" t="s">
        <v>143</v>
      </c>
      <c r="L1257">
        <v>19134</v>
      </c>
      <c r="M1257" t="s">
        <v>144</v>
      </c>
      <c r="N1257" t="s">
        <v>4673</v>
      </c>
      <c r="O1257" t="s">
        <v>67</v>
      </c>
      <c r="P1257" t="s">
        <v>68</v>
      </c>
      <c r="Q1257" t="s">
        <v>4674</v>
      </c>
      <c r="R1257">
        <v>94.92</v>
      </c>
      <c r="S1257" t="str">
        <f>TEXT(sales_data[[#This Row],[Order Date]],"mm")</f>
        <v>11</v>
      </c>
      <c r="T1257">
        <f>YEAR(sales_data[[#This Row],[Order Date]])</f>
        <v>2016</v>
      </c>
      <c r="V1257" t="s">
        <v>4673</v>
      </c>
    </row>
    <row r="1258" spans="1:22" x14ac:dyDescent="0.35">
      <c r="A1258">
        <v>2137</v>
      </c>
      <c r="B1258" t="s">
        <v>4675</v>
      </c>
      <c r="C1258" s="1">
        <v>42735</v>
      </c>
      <c r="D1258" s="1">
        <v>42740</v>
      </c>
      <c r="E1258" t="s">
        <v>46</v>
      </c>
      <c r="F1258" t="s">
        <v>4676</v>
      </c>
      <c r="G1258" t="s">
        <v>4677</v>
      </c>
      <c r="H1258" t="s">
        <v>22</v>
      </c>
      <c r="I1258" t="s">
        <v>23</v>
      </c>
      <c r="J1258" t="s">
        <v>751</v>
      </c>
      <c r="K1258" t="s">
        <v>100</v>
      </c>
      <c r="L1258">
        <v>75051</v>
      </c>
      <c r="M1258" t="s">
        <v>101</v>
      </c>
      <c r="N1258" t="s">
        <v>4678</v>
      </c>
      <c r="O1258" t="s">
        <v>28</v>
      </c>
      <c r="P1258" t="s">
        <v>61</v>
      </c>
      <c r="Q1258" t="s">
        <v>4679</v>
      </c>
      <c r="R1258">
        <v>14.76</v>
      </c>
      <c r="S1258" t="str">
        <f>TEXT(sales_data[[#This Row],[Order Date]],"mm")</f>
        <v>12</v>
      </c>
      <c r="T1258">
        <f>YEAR(sales_data[[#This Row],[Order Date]])</f>
        <v>2016</v>
      </c>
      <c r="V1258" t="s">
        <v>4678</v>
      </c>
    </row>
    <row r="1259" spans="1:22" x14ac:dyDescent="0.35">
      <c r="A1259">
        <v>2141</v>
      </c>
      <c r="B1259" t="s">
        <v>4680</v>
      </c>
      <c r="C1259" s="1">
        <v>42161</v>
      </c>
      <c r="D1259" s="1">
        <v>42166</v>
      </c>
      <c r="E1259" t="s">
        <v>46</v>
      </c>
      <c r="F1259" t="s">
        <v>2189</v>
      </c>
      <c r="G1259" t="s">
        <v>2190</v>
      </c>
      <c r="H1259" t="s">
        <v>37</v>
      </c>
      <c r="I1259" t="s">
        <v>23</v>
      </c>
      <c r="J1259" t="s">
        <v>1166</v>
      </c>
      <c r="K1259" t="s">
        <v>262</v>
      </c>
      <c r="L1259">
        <v>11561</v>
      </c>
      <c r="M1259" t="s">
        <v>144</v>
      </c>
      <c r="N1259" t="s">
        <v>4681</v>
      </c>
      <c r="O1259" t="s">
        <v>42</v>
      </c>
      <c r="P1259" t="s">
        <v>573</v>
      </c>
      <c r="Q1259" t="s">
        <v>4682</v>
      </c>
      <c r="R1259">
        <v>17.14</v>
      </c>
      <c r="S1259" t="str">
        <f>TEXT(sales_data[[#This Row],[Order Date]],"mm")</f>
        <v>06</v>
      </c>
      <c r="T1259">
        <f>YEAR(sales_data[[#This Row],[Order Date]])</f>
        <v>2015</v>
      </c>
      <c r="V1259" t="s">
        <v>4681</v>
      </c>
    </row>
    <row r="1260" spans="1:22" x14ac:dyDescent="0.35">
      <c r="A1260">
        <v>2142</v>
      </c>
      <c r="B1260" t="s">
        <v>4680</v>
      </c>
      <c r="C1260" s="1">
        <v>42161</v>
      </c>
      <c r="D1260" s="1">
        <v>42166</v>
      </c>
      <c r="E1260" t="s">
        <v>46</v>
      </c>
      <c r="F1260" t="s">
        <v>2189</v>
      </c>
      <c r="G1260" t="s">
        <v>2190</v>
      </c>
      <c r="H1260" t="s">
        <v>37</v>
      </c>
      <c r="I1260" t="s">
        <v>23</v>
      </c>
      <c r="J1260" t="s">
        <v>1166</v>
      </c>
      <c r="K1260" t="s">
        <v>262</v>
      </c>
      <c r="L1260">
        <v>11561</v>
      </c>
      <c r="M1260" t="s">
        <v>144</v>
      </c>
      <c r="N1260" t="s">
        <v>4683</v>
      </c>
      <c r="O1260" t="s">
        <v>28</v>
      </c>
      <c r="P1260" t="s">
        <v>52</v>
      </c>
      <c r="Q1260" t="s">
        <v>4684</v>
      </c>
      <c r="R1260">
        <v>991.76400000000001</v>
      </c>
      <c r="S1260" t="str">
        <f>TEXT(sales_data[[#This Row],[Order Date]],"mm")</f>
        <v>06</v>
      </c>
      <c r="T1260">
        <f>YEAR(sales_data[[#This Row],[Order Date]])</f>
        <v>2015</v>
      </c>
      <c r="V1260" t="s">
        <v>4683</v>
      </c>
    </row>
    <row r="1261" spans="1:22" x14ac:dyDescent="0.35">
      <c r="A1261">
        <v>2150</v>
      </c>
      <c r="B1261" t="s">
        <v>4685</v>
      </c>
      <c r="C1261" s="1">
        <v>43190</v>
      </c>
      <c r="D1261" s="1">
        <v>43195</v>
      </c>
      <c r="E1261" t="s">
        <v>46</v>
      </c>
      <c r="F1261" t="s">
        <v>1338</v>
      </c>
      <c r="G1261" t="s">
        <v>1339</v>
      </c>
      <c r="H1261" t="s">
        <v>22</v>
      </c>
      <c r="I1261" t="s">
        <v>23</v>
      </c>
      <c r="J1261" t="s">
        <v>261</v>
      </c>
      <c r="K1261" t="s">
        <v>262</v>
      </c>
      <c r="L1261">
        <v>10035</v>
      </c>
      <c r="M1261" t="s">
        <v>144</v>
      </c>
      <c r="N1261" t="s">
        <v>4686</v>
      </c>
      <c r="O1261" t="s">
        <v>67</v>
      </c>
      <c r="P1261" t="s">
        <v>68</v>
      </c>
      <c r="Q1261" t="s">
        <v>4687</v>
      </c>
      <c r="R1261">
        <v>84.95</v>
      </c>
      <c r="S1261" t="str">
        <f>TEXT(sales_data[[#This Row],[Order Date]],"mm")</f>
        <v>03</v>
      </c>
      <c r="T1261">
        <f>YEAR(sales_data[[#This Row],[Order Date]])</f>
        <v>2018</v>
      </c>
      <c r="V1261" t="s">
        <v>4686</v>
      </c>
    </row>
    <row r="1262" spans="1:22" x14ac:dyDescent="0.35">
      <c r="A1262">
        <v>2159</v>
      </c>
      <c r="B1262" t="s">
        <v>4693</v>
      </c>
      <c r="C1262" s="1">
        <v>43394</v>
      </c>
      <c r="D1262" s="1">
        <v>43399</v>
      </c>
      <c r="E1262" t="s">
        <v>46</v>
      </c>
      <c r="F1262" t="s">
        <v>631</v>
      </c>
      <c r="G1262" t="s">
        <v>632</v>
      </c>
      <c r="H1262" t="s">
        <v>98</v>
      </c>
      <c r="I1262" t="s">
        <v>23</v>
      </c>
      <c r="J1262" t="s">
        <v>3507</v>
      </c>
      <c r="K1262" t="s">
        <v>50</v>
      </c>
      <c r="L1262">
        <v>32725</v>
      </c>
      <c r="M1262" t="s">
        <v>26</v>
      </c>
      <c r="N1262" t="s">
        <v>4694</v>
      </c>
      <c r="O1262" t="s">
        <v>42</v>
      </c>
      <c r="P1262" t="s">
        <v>64</v>
      </c>
      <c r="Q1262" t="s">
        <v>4695</v>
      </c>
      <c r="R1262">
        <v>17.856000000000002</v>
      </c>
      <c r="S1262" t="str">
        <f>TEXT(sales_data[[#This Row],[Order Date]],"mm")</f>
        <v>10</v>
      </c>
      <c r="T1262">
        <f>YEAR(sales_data[[#This Row],[Order Date]])</f>
        <v>2018</v>
      </c>
      <c r="V1262" t="s">
        <v>4694</v>
      </c>
    </row>
    <row r="1263" spans="1:22" x14ac:dyDescent="0.35">
      <c r="A1263">
        <v>2162</v>
      </c>
      <c r="B1263" t="s">
        <v>4696</v>
      </c>
      <c r="C1263" s="1">
        <v>42742</v>
      </c>
      <c r="D1263" s="1">
        <v>42747</v>
      </c>
      <c r="E1263" t="s">
        <v>46</v>
      </c>
      <c r="F1263" t="s">
        <v>923</v>
      </c>
      <c r="G1263" t="s">
        <v>924</v>
      </c>
      <c r="H1263" t="s">
        <v>98</v>
      </c>
      <c r="I1263" t="s">
        <v>23</v>
      </c>
      <c r="J1263" t="s">
        <v>3098</v>
      </c>
      <c r="K1263" t="s">
        <v>39</v>
      </c>
      <c r="L1263">
        <v>94601</v>
      </c>
      <c r="M1263" t="s">
        <v>40</v>
      </c>
      <c r="N1263" t="s">
        <v>4697</v>
      </c>
      <c r="O1263" t="s">
        <v>42</v>
      </c>
      <c r="P1263" t="s">
        <v>64</v>
      </c>
      <c r="Q1263" t="s">
        <v>4698</v>
      </c>
      <c r="R1263">
        <v>34.58</v>
      </c>
      <c r="S1263" t="str">
        <f>TEXT(sales_data[[#This Row],[Order Date]],"mm")</f>
        <v>01</v>
      </c>
      <c r="T1263">
        <f>YEAR(sales_data[[#This Row],[Order Date]])</f>
        <v>2017</v>
      </c>
      <c r="V1263" t="s">
        <v>4697</v>
      </c>
    </row>
    <row r="1264" spans="1:22" x14ac:dyDescent="0.35">
      <c r="A1264">
        <v>2165</v>
      </c>
      <c r="B1264" t="s">
        <v>4701</v>
      </c>
      <c r="C1264" s="1">
        <v>43021</v>
      </c>
      <c r="D1264" s="1">
        <v>43027</v>
      </c>
      <c r="E1264" t="s">
        <v>46</v>
      </c>
      <c r="F1264" t="s">
        <v>593</v>
      </c>
      <c r="G1264" t="s">
        <v>594</v>
      </c>
      <c r="H1264" t="s">
        <v>22</v>
      </c>
      <c r="I1264" t="s">
        <v>23</v>
      </c>
      <c r="J1264" t="s">
        <v>1963</v>
      </c>
      <c r="K1264" t="s">
        <v>100</v>
      </c>
      <c r="L1264">
        <v>78041</v>
      </c>
      <c r="M1264" t="s">
        <v>101</v>
      </c>
      <c r="N1264" t="s">
        <v>4702</v>
      </c>
      <c r="O1264" t="s">
        <v>42</v>
      </c>
      <c r="P1264" t="s">
        <v>86</v>
      </c>
      <c r="Q1264" t="s">
        <v>4703</v>
      </c>
      <c r="R1264">
        <v>8.2880000000000003</v>
      </c>
      <c r="S1264" t="str">
        <f>TEXT(sales_data[[#This Row],[Order Date]],"mm")</f>
        <v>10</v>
      </c>
      <c r="T1264">
        <f>YEAR(sales_data[[#This Row],[Order Date]])</f>
        <v>2017</v>
      </c>
      <c r="V1264" t="s">
        <v>4702</v>
      </c>
    </row>
    <row r="1265" spans="1:22" x14ac:dyDescent="0.35">
      <c r="A1265">
        <v>2173</v>
      </c>
      <c r="B1265" t="s">
        <v>4706</v>
      </c>
      <c r="C1265" s="1">
        <v>42217</v>
      </c>
      <c r="D1265" s="1">
        <v>42219</v>
      </c>
      <c r="E1265" t="s">
        <v>183</v>
      </c>
      <c r="F1265" t="s">
        <v>4707</v>
      </c>
      <c r="G1265" t="s">
        <v>4708</v>
      </c>
      <c r="H1265" t="s">
        <v>22</v>
      </c>
      <c r="I1265" t="s">
        <v>23</v>
      </c>
      <c r="J1265" t="s">
        <v>123</v>
      </c>
      <c r="K1265" t="s">
        <v>39</v>
      </c>
      <c r="L1265">
        <v>94122</v>
      </c>
      <c r="M1265" t="s">
        <v>40</v>
      </c>
      <c r="N1265" t="s">
        <v>4709</v>
      </c>
      <c r="O1265" t="s">
        <v>42</v>
      </c>
      <c r="P1265" t="s">
        <v>71</v>
      </c>
      <c r="Q1265" t="s">
        <v>4710</v>
      </c>
      <c r="R1265">
        <v>19.751999999999999</v>
      </c>
      <c r="S1265" t="str">
        <f>TEXT(sales_data[[#This Row],[Order Date]],"mm")</f>
        <v>08</v>
      </c>
      <c r="T1265">
        <f>YEAR(sales_data[[#This Row],[Order Date]])</f>
        <v>2015</v>
      </c>
      <c r="V1265" t="s">
        <v>4709</v>
      </c>
    </row>
    <row r="1266" spans="1:22" x14ac:dyDescent="0.35">
      <c r="A1266">
        <v>2176</v>
      </c>
      <c r="B1266" t="s">
        <v>4711</v>
      </c>
      <c r="C1266" s="1">
        <v>43023</v>
      </c>
      <c r="D1266" s="1">
        <v>43029</v>
      </c>
      <c r="E1266" t="s">
        <v>46</v>
      </c>
      <c r="F1266" t="s">
        <v>4712</v>
      </c>
      <c r="G1266" t="s">
        <v>4713</v>
      </c>
      <c r="H1266" t="s">
        <v>98</v>
      </c>
      <c r="I1266" t="s">
        <v>23</v>
      </c>
      <c r="J1266" t="s">
        <v>4714</v>
      </c>
      <c r="K1266" t="s">
        <v>117</v>
      </c>
      <c r="L1266">
        <v>84106</v>
      </c>
      <c r="M1266" t="s">
        <v>40</v>
      </c>
      <c r="N1266" t="s">
        <v>4715</v>
      </c>
      <c r="O1266" t="s">
        <v>42</v>
      </c>
      <c r="P1266" t="s">
        <v>86</v>
      </c>
      <c r="Q1266" t="s">
        <v>4716</v>
      </c>
      <c r="R1266">
        <v>45.68</v>
      </c>
      <c r="S1266" t="str">
        <f>TEXT(sales_data[[#This Row],[Order Date]],"mm")</f>
        <v>10</v>
      </c>
      <c r="T1266">
        <f>YEAR(sales_data[[#This Row],[Order Date]])</f>
        <v>2017</v>
      </c>
      <c r="V1266" t="s">
        <v>4715</v>
      </c>
    </row>
    <row r="1267" spans="1:22" x14ac:dyDescent="0.35">
      <c r="A1267">
        <v>2182</v>
      </c>
      <c r="B1267" t="s">
        <v>4717</v>
      </c>
      <c r="C1267" s="1">
        <v>42862</v>
      </c>
      <c r="D1267" s="1">
        <v>42866</v>
      </c>
      <c r="E1267" t="s">
        <v>46</v>
      </c>
      <c r="F1267" t="s">
        <v>1441</v>
      </c>
      <c r="G1267" t="s">
        <v>1442</v>
      </c>
      <c r="H1267" t="s">
        <v>22</v>
      </c>
      <c r="I1267" t="s">
        <v>23</v>
      </c>
      <c r="J1267" t="s">
        <v>261</v>
      </c>
      <c r="K1267" t="s">
        <v>262</v>
      </c>
      <c r="L1267">
        <v>10009</v>
      </c>
      <c r="M1267" t="s">
        <v>144</v>
      </c>
      <c r="N1267" t="s">
        <v>4718</v>
      </c>
      <c r="O1267" t="s">
        <v>28</v>
      </c>
      <c r="P1267" t="s">
        <v>32</v>
      </c>
      <c r="Q1267" t="s">
        <v>4719</v>
      </c>
      <c r="R1267">
        <v>442.76400000000001</v>
      </c>
      <c r="S1267" t="str">
        <f>TEXT(sales_data[[#This Row],[Order Date]],"mm")</f>
        <v>05</v>
      </c>
      <c r="T1267">
        <f>YEAR(sales_data[[#This Row],[Order Date]])</f>
        <v>2017</v>
      </c>
      <c r="V1267" t="s">
        <v>4718</v>
      </c>
    </row>
    <row r="1268" spans="1:22" x14ac:dyDescent="0.35">
      <c r="A1268">
        <v>2191</v>
      </c>
      <c r="B1268" t="s">
        <v>4721</v>
      </c>
      <c r="C1268" s="1">
        <v>42911</v>
      </c>
      <c r="D1268" s="1">
        <v>42915</v>
      </c>
      <c r="E1268" t="s">
        <v>46</v>
      </c>
      <c r="F1268" t="s">
        <v>1986</v>
      </c>
      <c r="G1268" t="s">
        <v>1987</v>
      </c>
      <c r="H1268" t="s">
        <v>22</v>
      </c>
      <c r="I1268" t="s">
        <v>23</v>
      </c>
      <c r="J1268" t="s">
        <v>38</v>
      </c>
      <c r="K1268" t="s">
        <v>39</v>
      </c>
      <c r="L1268">
        <v>90049</v>
      </c>
      <c r="M1268" t="s">
        <v>40</v>
      </c>
      <c r="N1268" t="s">
        <v>4722</v>
      </c>
      <c r="O1268" t="s">
        <v>42</v>
      </c>
      <c r="P1268" t="s">
        <v>74</v>
      </c>
      <c r="Q1268" t="s">
        <v>4723</v>
      </c>
      <c r="R1268">
        <v>60.81</v>
      </c>
      <c r="S1268" t="str">
        <f>TEXT(sales_data[[#This Row],[Order Date]],"mm")</f>
        <v>06</v>
      </c>
      <c r="T1268">
        <f>YEAR(sales_data[[#This Row],[Order Date]])</f>
        <v>2017</v>
      </c>
      <c r="V1268" t="s">
        <v>4722</v>
      </c>
    </row>
    <row r="1269" spans="1:22" x14ac:dyDescent="0.35">
      <c r="A1269">
        <v>2195</v>
      </c>
      <c r="B1269" t="s">
        <v>4724</v>
      </c>
      <c r="C1269" s="1">
        <v>43079</v>
      </c>
      <c r="D1269" s="1">
        <v>43086</v>
      </c>
      <c r="E1269" t="s">
        <v>46</v>
      </c>
      <c r="F1269" t="s">
        <v>2255</v>
      </c>
      <c r="G1269" t="s">
        <v>2256</v>
      </c>
      <c r="H1269" t="s">
        <v>22</v>
      </c>
      <c r="I1269" t="s">
        <v>23</v>
      </c>
      <c r="J1269" t="s">
        <v>91</v>
      </c>
      <c r="K1269" t="s">
        <v>92</v>
      </c>
      <c r="L1269">
        <v>98105</v>
      </c>
      <c r="M1269" t="s">
        <v>40</v>
      </c>
      <c r="N1269" t="s">
        <v>4725</v>
      </c>
      <c r="O1269" t="s">
        <v>42</v>
      </c>
      <c r="P1269" t="s">
        <v>74</v>
      </c>
      <c r="Q1269" t="s">
        <v>4726</v>
      </c>
      <c r="R1269">
        <v>35.1</v>
      </c>
      <c r="S1269" t="str">
        <f>TEXT(sales_data[[#This Row],[Order Date]],"mm")</f>
        <v>12</v>
      </c>
      <c r="T1269">
        <f>YEAR(sales_data[[#This Row],[Order Date]])</f>
        <v>2017</v>
      </c>
      <c r="V1269" t="s">
        <v>4725</v>
      </c>
    </row>
    <row r="1270" spans="1:22" x14ac:dyDescent="0.35">
      <c r="A1270">
        <v>2204</v>
      </c>
      <c r="B1270" t="s">
        <v>4728</v>
      </c>
      <c r="C1270" s="1">
        <v>42619</v>
      </c>
      <c r="D1270" s="1">
        <v>42625</v>
      </c>
      <c r="E1270" t="s">
        <v>46</v>
      </c>
      <c r="F1270" t="s">
        <v>3673</v>
      </c>
      <c r="G1270" t="s">
        <v>3674</v>
      </c>
      <c r="H1270" t="s">
        <v>98</v>
      </c>
      <c r="I1270" t="s">
        <v>23</v>
      </c>
      <c r="J1270" t="s">
        <v>91</v>
      </c>
      <c r="K1270" t="s">
        <v>92</v>
      </c>
      <c r="L1270">
        <v>98103</v>
      </c>
      <c r="M1270" t="s">
        <v>40</v>
      </c>
      <c r="N1270" t="s">
        <v>4729</v>
      </c>
      <c r="O1270" t="s">
        <v>28</v>
      </c>
      <c r="P1270" t="s">
        <v>61</v>
      </c>
      <c r="Q1270" t="s">
        <v>4730</v>
      </c>
      <c r="R1270">
        <v>191.82</v>
      </c>
      <c r="S1270" t="str">
        <f>TEXT(sales_data[[#This Row],[Order Date]],"mm")</f>
        <v>09</v>
      </c>
      <c r="T1270">
        <f>YEAR(sales_data[[#This Row],[Order Date]])</f>
        <v>2016</v>
      </c>
      <c r="V1270" t="s">
        <v>4729</v>
      </c>
    </row>
    <row r="1271" spans="1:22" x14ac:dyDescent="0.35">
      <c r="A1271">
        <v>2206</v>
      </c>
      <c r="B1271" t="s">
        <v>4731</v>
      </c>
      <c r="C1271" s="1">
        <v>42988</v>
      </c>
      <c r="D1271" s="1">
        <v>42990</v>
      </c>
      <c r="E1271" t="s">
        <v>19</v>
      </c>
      <c r="F1271" t="s">
        <v>2775</v>
      </c>
      <c r="G1271" t="s">
        <v>2776</v>
      </c>
      <c r="H1271" t="s">
        <v>98</v>
      </c>
      <c r="I1271" t="s">
        <v>23</v>
      </c>
      <c r="J1271" t="s">
        <v>510</v>
      </c>
      <c r="K1271" t="s">
        <v>330</v>
      </c>
      <c r="L1271">
        <v>37620</v>
      </c>
      <c r="M1271" t="s">
        <v>26</v>
      </c>
      <c r="N1271" t="s">
        <v>4732</v>
      </c>
      <c r="O1271" t="s">
        <v>42</v>
      </c>
      <c r="P1271" t="s">
        <v>64</v>
      </c>
      <c r="Q1271" t="s">
        <v>4733</v>
      </c>
      <c r="R1271">
        <v>67.56</v>
      </c>
      <c r="S1271" t="str">
        <f>TEXT(sales_data[[#This Row],[Order Date]],"mm")</f>
        <v>09</v>
      </c>
      <c r="T1271">
        <f>YEAR(sales_data[[#This Row],[Order Date]])</f>
        <v>2017</v>
      </c>
      <c r="V1271" t="s">
        <v>4732</v>
      </c>
    </row>
    <row r="1272" spans="1:22" x14ac:dyDescent="0.35">
      <c r="A1272">
        <v>2210</v>
      </c>
      <c r="B1272" t="s">
        <v>4736</v>
      </c>
      <c r="C1272" s="1">
        <v>42322</v>
      </c>
      <c r="D1272" s="1">
        <v>42324</v>
      </c>
      <c r="E1272" t="s">
        <v>19</v>
      </c>
      <c r="F1272" t="s">
        <v>4737</v>
      </c>
      <c r="G1272" t="s">
        <v>4738</v>
      </c>
      <c r="H1272" t="s">
        <v>22</v>
      </c>
      <c r="I1272" t="s">
        <v>23</v>
      </c>
      <c r="J1272" t="s">
        <v>739</v>
      </c>
      <c r="K1272" t="s">
        <v>740</v>
      </c>
      <c r="L1272">
        <v>6824</v>
      </c>
      <c r="M1272" t="s">
        <v>144</v>
      </c>
      <c r="N1272" t="s">
        <v>4739</v>
      </c>
      <c r="O1272" t="s">
        <v>67</v>
      </c>
      <c r="P1272" t="s">
        <v>68</v>
      </c>
      <c r="Q1272" t="s">
        <v>4740</v>
      </c>
      <c r="R1272">
        <v>832.93</v>
      </c>
      <c r="S1272" t="str">
        <f>TEXT(sales_data[[#This Row],[Order Date]],"mm")</f>
        <v>11</v>
      </c>
      <c r="T1272">
        <f>YEAR(sales_data[[#This Row],[Order Date]])</f>
        <v>2015</v>
      </c>
      <c r="V1272" t="s">
        <v>4739</v>
      </c>
    </row>
    <row r="1273" spans="1:22" x14ac:dyDescent="0.35">
      <c r="A1273">
        <v>2212</v>
      </c>
      <c r="B1273" t="s">
        <v>4741</v>
      </c>
      <c r="C1273" s="1">
        <v>43066</v>
      </c>
      <c r="D1273" s="1">
        <v>43069</v>
      </c>
      <c r="E1273" t="s">
        <v>183</v>
      </c>
      <c r="F1273" t="s">
        <v>1259</v>
      </c>
      <c r="G1273" t="s">
        <v>1260</v>
      </c>
      <c r="H1273" t="s">
        <v>37</v>
      </c>
      <c r="I1273" t="s">
        <v>23</v>
      </c>
      <c r="J1273" t="s">
        <v>4742</v>
      </c>
      <c r="K1273" t="s">
        <v>233</v>
      </c>
      <c r="L1273">
        <v>48146</v>
      </c>
      <c r="M1273" t="s">
        <v>101</v>
      </c>
      <c r="N1273" t="s">
        <v>4743</v>
      </c>
      <c r="O1273" t="s">
        <v>42</v>
      </c>
      <c r="P1273" t="s">
        <v>74</v>
      </c>
      <c r="Q1273" t="s">
        <v>4744</v>
      </c>
      <c r="R1273">
        <v>167.292</v>
      </c>
      <c r="S1273" t="str">
        <f>TEXT(sales_data[[#This Row],[Order Date]],"mm")</f>
        <v>11</v>
      </c>
      <c r="T1273">
        <f>YEAR(sales_data[[#This Row],[Order Date]])</f>
        <v>2017</v>
      </c>
      <c r="V1273" t="s">
        <v>4743</v>
      </c>
    </row>
    <row r="1274" spans="1:22" x14ac:dyDescent="0.35">
      <c r="A1274">
        <v>2217</v>
      </c>
      <c r="B1274" t="s">
        <v>4745</v>
      </c>
      <c r="C1274" s="1">
        <v>43374</v>
      </c>
      <c r="D1274" s="1">
        <v>43375</v>
      </c>
      <c r="E1274" t="s">
        <v>183</v>
      </c>
      <c r="F1274" t="s">
        <v>4091</v>
      </c>
      <c r="G1274" t="s">
        <v>4092</v>
      </c>
      <c r="H1274" t="s">
        <v>22</v>
      </c>
      <c r="I1274" t="s">
        <v>23</v>
      </c>
      <c r="J1274" t="s">
        <v>623</v>
      </c>
      <c r="K1274" t="s">
        <v>39</v>
      </c>
      <c r="L1274">
        <v>95123</v>
      </c>
      <c r="M1274" t="s">
        <v>40</v>
      </c>
      <c r="N1274" t="s">
        <v>4746</v>
      </c>
      <c r="O1274" t="s">
        <v>28</v>
      </c>
      <c r="P1274" t="s">
        <v>32</v>
      </c>
      <c r="Q1274" t="s">
        <v>4747</v>
      </c>
      <c r="R1274">
        <v>108.608</v>
      </c>
      <c r="S1274" t="str">
        <f>TEXT(sales_data[[#This Row],[Order Date]],"mm")</f>
        <v>10</v>
      </c>
      <c r="T1274">
        <f>YEAR(sales_data[[#This Row],[Order Date]])</f>
        <v>2018</v>
      </c>
      <c r="V1274" t="s">
        <v>4746</v>
      </c>
    </row>
    <row r="1275" spans="1:22" x14ac:dyDescent="0.35">
      <c r="A1275">
        <v>2218</v>
      </c>
      <c r="B1275" t="s">
        <v>4748</v>
      </c>
      <c r="C1275" s="1">
        <v>42267</v>
      </c>
      <c r="D1275" s="1">
        <v>42272</v>
      </c>
      <c r="E1275" t="s">
        <v>46</v>
      </c>
      <c r="F1275" t="s">
        <v>4749</v>
      </c>
      <c r="G1275" t="s">
        <v>4750</v>
      </c>
      <c r="H1275" t="s">
        <v>37</v>
      </c>
      <c r="I1275" t="s">
        <v>23</v>
      </c>
      <c r="J1275" t="s">
        <v>1509</v>
      </c>
      <c r="K1275" t="s">
        <v>50</v>
      </c>
      <c r="L1275">
        <v>32216</v>
      </c>
      <c r="M1275" t="s">
        <v>26</v>
      </c>
      <c r="N1275" t="s">
        <v>4751</v>
      </c>
      <c r="O1275" t="s">
        <v>42</v>
      </c>
      <c r="P1275" t="s">
        <v>64</v>
      </c>
      <c r="Q1275" t="s">
        <v>4752</v>
      </c>
      <c r="R1275">
        <v>2.8159999999999998</v>
      </c>
      <c r="S1275" t="str">
        <f>TEXT(sales_data[[#This Row],[Order Date]],"mm")</f>
        <v>09</v>
      </c>
      <c r="T1275">
        <f>YEAR(sales_data[[#This Row],[Order Date]])</f>
        <v>2015</v>
      </c>
      <c r="V1275" t="s">
        <v>4751</v>
      </c>
    </row>
    <row r="1276" spans="1:22" x14ac:dyDescent="0.35">
      <c r="A1276">
        <v>2225</v>
      </c>
      <c r="B1276" t="s">
        <v>4757</v>
      </c>
      <c r="C1276" s="1">
        <v>43312</v>
      </c>
      <c r="D1276" s="1">
        <v>43317</v>
      </c>
      <c r="E1276" t="s">
        <v>46</v>
      </c>
      <c r="F1276" t="s">
        <v>887</v>
      </c>
      <c r="G1276" t="s">
        <v>888</v>
      </c>
      <c r="H1276" t="s">
        <v>37</v>
      </c>
      <c r="I1276" t="s">
        <v>23</v>
      </c>
      <c r="J1276" t="s">
        <v>142</v>
      </c>
      <c r="K1276" t="s">
        <v>143</v>
      </c>
      <c r="L1276">
        <v>19134</v>
      </c>
      <c r="M1276" t="s">
        <v>144</v>
      </c>
      <c r="N1276" t="s">
        <v>4758</v>
      </c>
      <c r="O1276" t="s">
        <v>42</v>
      </c>
      <c r="P1276" t="s">
        <v>86</v>
      </c>
      <c r="Q1276" t="s">
        <v>4759</v>
      </c>
      <c r="R1276">
        <v>54.816000000000003</v>
      </c>
      <c r="S1276" t="str">
        <f>TEXT(sales_data[[#This Row],[Order Date]],"mm")</f>
        <v>07</v>
      </c>
      <c r="T1276">
        <f>YEAR(sales_data[[#This Row],[Order Date]])</f>
        <v>2018</v>
      </c>
      <c r="V1276" t="s">
        <v>4758</v>
      </c>
    </row>
    <row r="1277" spans="1:22" x14ac:dyDescent="0.35">
      <c r="A1277">
        <v>2226</v>
      </c>
      <c r="B1277" t="s">
        <v>4760</v>
      </c>
      <c r="C1277" s="1">
        <v>42813</v>
      </c>
      <c r="D1277" s="1">
        <v>42815</v>
      </c>
      <c r="E1277" t="s">
        <v>19</v>
      </c>
      <c r="F1277" t="s">
        <v>4761</v>
      </c>
      <c r="G1277" t="s">
        <v>4762</v>
      </c>
      <c r="H1277" t="s">
        <v>22</v>
      </c>
      <c r="I1277" t="s">
        <v>23</v>
      </c>
      <c r="J1277" t="s">
        <v>4763</v>
      </c>
      <c r="K1277" t="s">
        <v>452</v>
      </c>
      <c r="L1277">
        <v>80122</v>
      </c>
      <c r="M1277" t="s">
        <v>40</v>
      </c>
      <c r="N1277" t="s">
        <v>4764</v>
      </c>
      <c r="O1277" t="s">
        <v>28</v>
      </c>
      <c r="P1277" t="s">
        <v>29</v>
      </c>
      <c r="Q1277" t="s">
        <v>4765</v>
      </c>
      <c r="R1277">
        <v>72.293999999999997</v>
      </c>
      <c r="S1277" t="str">
        <f>TEXT(sales_data[[#This Row],[Order Date]],"mm")</f>
        <v>03</v>
      </c>
      <c r="T1277">
        <f>YEAR(sales_data[[#This Row],[Order Date]])</f>
        <v>2017</v>
      </c>
      <c r="V1277" t="s">
        <v>4764</v>
      </c>
    </row>
    <row r="1278" spans="1:22" x14ac:dyDescent="0.35">
      <c r="A1278">
        <v>2231</v>
      </c>
      <c r="B1278" t="s">
        <v>4766</v>
      </c>
      <c r="C1278" s="1">
        <v>42094</v>
      </c>
      <c r="D1278" s="1">
        <v>42099</v>
      </c>
      <c r="E1278" t="s">
        <v>46</v>
      </c>
      <c r="F1278" t="s">
        <v>3225</v>
      </c>
      <c r="G1278" t="s">
        <v>3226</v>
      </c>
      <c r="H1278" t="s">
        <v>22</v>
      </c>
      <c r="I1278" t="s">
        <v>23</v>
      </c>
      <c r="J1278" t="s">
        <v>123</v>
      </c>
      <c r="K1278" t="s">
        <v>39</v>
      </c>
      <c r="L1278">
        <v>94122</v>
      </c>
      <c r="M1278" t="s">
        <v>40</v>
      </c>
      <c r="N1278" t="s">
        <v>4767</v>
      </c>
      <c r="O1278" t="s">
        <v>42</v>
      </c>
      <c r="P1278" t="s">
        <v>74</v>
      </c>
      <c r="Q1278" t="s">
        <v>4768</v>
      </c>
      <c r="R1278">
        <v>52.98</v>
      </c>
      <c r="S1278" t="str">
        <f>TEXT(sales_data[[#This Row],[Order Date]],"mm")</f>
        <v>03</v>
      </c>
      <c r="T1278">
        <f>YEAR(sales_data[[#This Row],[Order Date]])</f>
        <v>2015</v>
      </c>
      <c r="V1278" t="s">
        <v>4767</v>
      </c>
    </row>
    <row r="1279" spans="1:22" x14ac:dyDescent="0.35">
      <c r="A1279">
        <v>2233</v>
      </c>
      <c r="B1279" t="s">
        <v>4771</v>
      </c>
      <c r="C1279" s="1">
        <v>43290</v>
      </c>
      <c r="D1279" s="1">
        <v>43295</v>
      </c>
      <c r="E1279" t="s">
        <v>46</v>
      </c>
      <c r="F1279" t="s">
        <v>4704</v>
      </c>
      <c r="G1279" t="s">
        <v>4705</v>
      </c>
      <c r="H1279" t="s">
        <v>22</v>
      </c>
      <c r="I1279" t="s">
        <v>23</v>
      </c>
      <c r="J1279" t="s">
        <v>298</v>
      </c>
      <c r="K1279" t="s">
        <v>206</v>
      </c>
      <c r="L1279">
        <v>60610</v>
      </c>
      <c r="M1279" t="s">
        <v>101</v>
      </c>
      <c r="N1279" t="s">
        <v>4772</v>
      </c>
      <c r="O1279" t="s">
        <v>42</v>
      </c>
      <c r="P1279" t="s">
        <v>55</v>
      </c>
      <c r="Q1279" t="s">
        <v>4773</v>
      </c>
      <c r="R1279">
        <v>228.92</v>
      </c>
      <c r="S1279" t="str">
        <f>TEXT(sales_data[[#This Row],[Order Date]],"mm")</f>
        <v>07</v>
      </c>
      <c r="T1279">
        <f>YEAR(sales_data[[#This Row],[Order Date]])</f>
        <v>2018</v>
      </c>
      <c r="V1279" t="s">
        <v>4772</v>
      </c>
    </row>
    <row r="1280" spans="1:22" x14ac:dyDescent="0.35">
      <c r="A1280">
        <v>2234</v>
      </c>
      <c r="B1280" t="s">
        <v>4774</v>
      </c>
      <c r="C1280" s="1">
        <v>42718</v>
      </c>
      <c r="D1280" s="1">
        <v>42720</v>
      </c>
      <c r="E1280" t="s">
        <v>19</v>
      </c>
      <c r="F1280" t="s">
        <v>2182</v>
      </c>
      <c r="G1280" t="s">
        <v>2183</v>
      </c>
      <c r="H1280" t="s">
        <v>22</v>
      </c>
      <c r="I1280" t="s">
        <v>23</v>
      </c>
      <c r="J1280" t="s">
        <v>414</v>
      </c>
      <c r="K1280" t="s">
        <v>415</v>
      </c>
      <c r="L1280">
        <v>97206</v>
      </c>
      <c r="M1280" t="s">
        <v>40</v>
      </c>
      <c r="N1280" t="s">
        <v>4775</v>
      </c>
      <c r="O1280" t="s">
        <v>67</v>
      </c>
      <c r="P1280" t="s">
        <v>68</v>
      </c>
      <c r="Q1280" t="s">
        <v>4776</v>
      </c>
      <c r="R1280">
        <v>319.96800000000002</v>
      </c>
      <c r="S1280" t="str">
        <f>TEXT(sales_data[[#This Row],[Order Date]],"mm")</f>
        <v>12</v>
      </c>
      <c r="T1280">
        <f>YEAR(sales_data[[#This Row],[Order Date]])</f>
        <v>2016</v>
      </c>
      <c r="V1280" t="s">
        <v>4775</v>
      </c>
    </row>
    <row r="1281" spans="1:22" x14ac:dyDescent="0.35">
      <c r="A1281">
        <v>2237</v>
      </c>
      <c r="B1281" t="s">
        <v>4778</v>
      </c>
      <c r="C1281" s="1">
        <v>42628</v>
      </c>
      <c r="D1281" s="1">
        <v>42630</v>
      </c>
      <c r="E1281" t="s">
        <v>19</v>
      </c>
      <c r="F1281" t="s">
        <v>4569</v>
      </c>
      <c r="G1281" t="s">
        <v>4570</v>
      </c>
      <c r="H1281" t="s">
        <v>22</v>
      </c>
      <c r="I1281" t="s">
        <v>23</v>
      </c>
      <c r="J1281" t="s">
        <v>4124</v>
      </c>
      <c r="K1281" t="s">
        <v>249</v>
      </c>
      <c r="L1281">
        <v>46203</v>
      </c>
      <c r="M1281" t="s">
        <v>101</v>
      </c>
      <c r="N1281" t="s">
        <v>4779</v>
      </c>
      <c r="O1281" t="s">
        <v>42</v>
      </c>
      <c r="P1281" t="s">
        <v>64</v>
      </c>
      <c r="Q1281" t="s">
        <v>4780</v>
      </c>
      <c r="R1281">
        <v>24.32</v>
      </c>
      <c r="S1281" t="str">
        <f>TEXT(sales_data[[#This Row],[Order Date]],"mm")</f>
        <v>09</v>
      </c>
      <c r="T1281">
        <f>YEAR(sales_data[[#This Row],[Order Date]])</f>
        <v>2016</v>
      </c>
      <c r="V1281" t="s">
        <v>4779</v>
      </c>
    </row>
    <row r="1282" spans="1:22" x14ac:dyDescent="0.35">
      <c r="A1282">
        <v>2238</v>
      </c>
      <c r="B1282" t="s">
        <v>4781</v>
      </c>
      <c r="C1282" s="1">
        <v>42931</v>
      </c>
      <c r="D1282" s="1">
        <v>42937</v>
      </c>
      <c r="E1282" t="s">
        <v>46</v>
      </c>
      <c r="F1282" t="s">
        <v>4563</v>
      </c>
      <c r="G1282" t="s">
        <v>4564</v>
      </c>
      <c r="H1282" t="s">
        <v>98</v>
      </c>
      <c r="I1282" t="s">
        <v>23</v>
      </c>
      <c r="J1282" t="s">
        <v>3616</v>
      </c>
      <c r="K1282" t="s">
        <v>117</v>
      </c>
      <c r="L1282">
        <v>84604</v>
      </c>
      <c r="M1282" t="s">
        <v>40</v>
      </c>
      <c r="N1282" t="s">
        <v>4782</v>
      </c>
      <c r="O1282" t="s">
        <v>42</v>
      </c>
      <c r="P1282" t="s">
        <v>573</v>
      </c>
      <c r="Q1282" t="s">
        <v>4783</v>
      </c>
      <c r="R1282">
        <v>44.4</v>
      </c>
      <c r="S1282" t="str">
        <f>TEXT(sales_data[[#This Row],[Order Date]],"mm")</f>
        <v>07</v>
      </c>
      <c r="T1282">
        <f>YEAR(sales_data[[#This Row],[Order Date]])</f>
        <v>2017</v>
      </c>
      <c r="V1282" t="s">
        <v>4782</v>
      </c>
    </row>
    <row r="1283" spans="1:22" x14ac:dyDescent="0.35">
      <c r="A1283">
        <v>2239</v>
      </c>
      <c r="B1283" t="s">
        <v>4784</v>
      </c>
      <c r="C1283" s="1">
        <v>43210</v>
      </c>
      <c r="D1283" s="1">
        <v>43216</v>
      </c>
      <c r="E1283" t="s">
        <v>46</v>
      </c>
      <c r="F1283" t="s">
        <v>2605</v>
      </c>
      <c r="G1283" t="s">
        <v>2606</v>
      </c>
      <c r="H1283" t="s">
        <v>98</v>
      </c>
      <c r="I1283" t="s">
        <v>23</v>
      </c>
      <c r="J1283" t="s">
        <v>298</v>
      </c>
      <c r="K1283" t="s">
        <v>206</v>
      </c>
      <c r="L1283">
        <v>60610</v>
      </c>
      <c r="M1283" t="s">
        <v>101</v>
      </c>
      <c r="N1283" t="s">
        <v>4785</v>
      </c>
      <c r="O1283" t="s">
        <v>28</v>
      </c>
      <c r="P1283" t="s">
        <v>61</v>
      </c>
      <c r="Q1283" t="s">
        <v>4786</v>
      </c>
      <c r="R1283">
        <v>44.4</v>
      </c>
      <c r="S1283" t="str">
        <f>TEXT(sales_data[[#This Row],[Order Date]],"mm")</f>
        <v>04</v>
      </c>
      <c r="T1283">
        <f>YEAR(sales_data[[#This Row],[Order Date]])</f>
        <v>2018</v>
      </c>
      <c r="V1283" t="s">
        <v>4785</v>
      </c>
    </row>
    <row r="1284" spans="1:22" x14ac:dyDescent="0.35">
      <c r="A1284">
        <v>2241</v>
      </c>
      <c r="B1284" t="s">
        <v>4787</v>
      </c>
      <c r="C1284" s="1">
        <v>43054</v>
      </c>
      <c r="D1284" s="1">
        <v>43056</v>
      </c>
      <c r="E1284" t="s">
        <v>19</v>
      </c>
      <c r="F1284" t="s">
        <v>4788</v>
      </c>
      <c r="G1284" t="s">
        <v>4789</v>
      </c>
      <c r="H1284" t="s">
        <v>22</v>
      </c>
      <c r="I1284" t="s">
        <v>23</v>
      </c>
      <c r="J1284" t="s">
        <v>38</v>
      </c>
      <c r="K1284" t="s">
        <v>39</v>
      </c>
      <c r="L1284">
        <v>90049</v>
      </c>
      <c r="M1284" t="s">
        <v>40</v>
      </c>
      <c r="N1284" t="s">
        <v>4790</v>
      </c>
      <c r="O1284" t="s">
        <v>42</v>
      </c>
      <c r="P1284" t="s">
        <v>71</v>
      </c>
      <c r="Q1284" t="s">
        <v>4791</v>
      </c>
      <c r="R1284">
        <v>38.136000000000003</v>
      </c>
      <c r="S1284" t="str">
        <f>TEXT(sales_data[[#This Row],[Order Date]],"mm")</f>
        <v>11</v>
      </c>
      <c r="T1284">
        <f>YEAR(sales_data[[#This Row],[Order Date]])</f>
        <v>2017</v>
      </c>
      <c r="V1284" t="s">
        <v>4790</v>
      </c>
    </row>
    <row r="1285" spans="1:22" x14ac:dyDescent="0.35">
      <c r="A1285">
        <v>2248</v>
      </c>
      <c r="B1285" t="s">
        <v>4793</v>
      </c>
      <c r="C1285" s="1">
        <v>42415</v>
      </c>
      <c r="D1285" s="1">
        <v>42418</v>
      </c>
      <c r="E1285" t="s">
        <v>19</v>
      </c>
      <c r="F1285" t="s">
        <v>4794</v>
      </c>
      <c r="G1285" t="s">
        <v>4795</v>
      </c>
      <c r="H1285" t="s">
        <v>22</v>
      </c>
      <c r="I1285" t="s">
        <v>23</v>
      </c>
      <c r="J1285" t="s">
        <v>38</v>
      </c>
      <c r="K1285" t="s">
        <v>39</v>
      </c>
      <c r="L1285">
        <v>90004</v>
      </c>
      <c r="M1285" t="s">
        <v>40</v>
      </c>
      <c r="N1285" t="s">
        <v>4796</v>
      </c>
      <c r="O1285" t="s">
        <v>42</v>
      </c>
      <c r="P1285" t="s">
        <v>86</v>
      </c>
      <c r="Q1285" t="s">
        <v>4797</v>
      </c>
      <c r="R1285">
        <v>13.36</v>
      </c>
      <c r="S1285" t="str">
        <f>TEXT(sales_data[[#This Row],[Order Date]],"mm")</f>
        <v>02</v>
      </c>
      <c r="T1285">
        <f>YEAR(sales_data[[#This Row],[Order Date]])</f>
        <v>2016</v>
      </c>
      <c r="V1285" t="s">
        <v>4796</v>
      </c>
    </row>
    <row r="1286" spans="1:22" x14ac:dyDescent="0.35">
      <c r="A1286">
        <v>2251</v>
      </c>
      <c r="B1286" t="s">
        <v>4793</v>
      </c>
      <c r="C1286" s="1">
        <v>42415</v>
      </c>
      <c r="D1286" s="1">
        <v>42418</v>
      </c>
      <c r="E1286" t="s">
        <v>19</v>
      </c>
      <c r="F1286" t="s">
        <v>4794</v>
      </c>
      <c r="G1286" t="s">
        <v>4795</v>
      </c>
      <c r="H1286" t="s">
        <v>22</v>
      </c>
      <c r="I1286" t="s">
        <v>23</v>
      </c>
      <c r="J1286" t="s">
        <v>38</v>
      </c>
      <c r="K1286" t="s">
        <v>39</v>
      </c>
      <c r="L1286">
        <v>90004</v>
      </c>
      <c r="M1286" t="s">
        <v>40</v>
      </c>
      <c r="N1286" t="s">
        <v>4798</v>
      </c>
      <c r="O1286" t="s">
        <v>42</v>
      </c>
      <c r="P1286" t="s">
        <v>74</v>
      </c>
      <c r="Q1286" t="s">
        <v>4799</v>
      </c>
      <c r="R1286">
        <v>541.44000000000005</v>
      </c>
      <c r="S1286" t="str">
        <f>TEXT(sales_data[[#This Row],[Order Date]],"mm")</f>
        <v>02</v>
      </c>
      <c r="T1286">
        <f>YEAR(sales_data[[#This Row],[Order Date]])</f>
        <v>2016</v>
      </c>
      <c r="V1286" t="s">
        <v>4798</v>
      </c>
    </row>
    <row r="1287" spans="1:22" x14ac:dyDescent="0.35">
      <c r="A1287">
        <v>2256</v>
      </c>
      <c r="B1287" t="s">
        <v>4800</v>
      </c>
      <c r="C1287" s="1">
        <v>42995</v>
      </c>
      <c r="D1287" s="1">
        <v>43000</v>
      </c>
      <c r="E1287" t="s">
        <v>46</v>
      </c>
      <c r="F1287" t="s">
        <v>1333</v>
      </c>
      <c r="G1287" t="s">
        <v>1334</v>
      </c>
      <c r="H1287" t="s">
        <v>37</v>
      </c>
      <c r="I1287" t="s">
        <v>23</v>
      </c>
      <c r="J1287" t="s">
        <v>4801</v>
      </c>
      <c r="K1287" t="s">
        <v>4802</v>
      </c>
      <c r="L1287">
        <v>4401</v>
      </c>
      <c r="M1287" t="s">
        <v>144</v>
      </c>
      <c r="N1287" t="s">
        <v>4803</v>
      </c>
      <c r="O1287" t="s">
        <v>67</v>
      </c>
      <c r="P1287" t="s">
        <v>68</v>
      </c>
      <c r="Q1287" t="s">
        <v>4804</v>
      </c>
      <c r="R1287">
        <v>437.85</v>
      </c>
      <c r="S1287" t="str">
        <f>TEXT(sales_data[[#This Row],[Order Date]],"mm")</f>
        <v>09</v>
      </c>
      <c r="T1287">
        <f>YEAR(sales_data[[#This Row],[Order Date]])</f>
        <v>2017</v>
      </c>
      <c r="V1287" t="s">
        <v>4803</v>
      </c>
    </row>
    <row r="1288" spans="1:22" x14ac:dyDescent="0.35">
      <c r="A1288">
        <v>2259</v>
      </c>
      <c r="B1288" t="s">
        <v>4805</v>
      </c>
      <c r="C1288" s="1">
        <v>43267</v>
      </c>
      <c r="D1288" s="1">
        <v>43270</v>
      </c>
      <c r="E1288" t="s">
        <v>183</v>
      </c>
      <c r="F1288" t="s">
        <v>537</v>
      </c>
      <c r="G1288" t="s">
        <v>538</v>
      </c>
      <c r="H1288" t="s">
        <v>22</v>
      </c>
      <c r="I1288" t="s">
        <v>23</v>
      </c>
      <c r="J1288" t="s">
        <v>123</v>
      </c>
      <c r="K1288" t="s">
        <v>39</v>
      </c>
      <c r="L1288">
        <v>94122</v>
      </c>
      <c r="M1288" t="s">
        <v>40</v>
      </c>
      <c r="N1288" t="s">
        <v>4806</v>
      </c>
      <c r="O1288" t="s">
        <v>42</v>
      </c>
      <c r="P1288" t="s">
        <v>86</v>
      </c>
      <c r="Q1288" t="s">
        <v>4807</v>
      </c>
      <c r="R1288">
        <v>18.54</v>
      </c>
      <c r="S1288" t="str">
        <f>TEXT(sales_data[[#This Row],[Order Date]],"mm")</f>
        <v>06</v>
      </c>
      <c r="T1288">
        <f>YEAR(sales_data[[#This Row],[Order Date]])</f>
        <v>2018</v>
      </c>
      <c r="V1288" t="s">
        <v>4806</v>
      </c>
    </row>
    <row r="1289" spans="1:22" x14ac:dyDescent="0.35">
      <c r="A1289">
        <v>2264</v>
      </c>
      <c r="B1289" t="s">
        <v>4813</v>
      </c>
      <c r="C1289" s="1">
        <v>43053</v>
      </c>
      <c r="D1289" s="1">
        <v>43055</v>
      </c>
      <c r="E1289" t="s">
        <v>19</v>
      </c>
      <c r="F1289" t="s">
        <v>1800</v>
      </c>
      <c r="G1289" t="s">
        <v>1801</v>
      </c>
      <c r="H1289" t="s">
        <v>22</v>
      </c>
      <c r="I1289" t="s">
        <v>23</v>
      </c>
      <c r="J1289" t="s">
        <v>1720</v>
      </c>
      <c r="K1289" t="s">
        <v>1261</v>
      </c>
      <c r="L1289">
        <v>30318</v>
      </c>
      <c r="M1289" t="s">
        <v>26</v>
      </c>
      <c r="N1289" t="s">
        <v>4814</v>
      </c>
      <c r="O1289" t="s">
        <v>67</v>
      </c>
      <c r="P1289" t="s">
        <v>156</v>
      </c>
      <c r="Q1289" t="s">
        <v>4815</v>
      </c>
      <c r="R1289">
        <v>499.98</v>
      </c>
      <c r="S1289" t="str">
        <f>TEXT(sales_data[[#This Row],[Order Date]],"mm")</f>
        <v>11</v>
      </c>
      <c r="T1289">
        <f>YEAR(sales_data[[#This Row],[Order Date]])</f>
        <v>2017</v>
      </c>
      <c r="V1289" t="s">
        <v>4814</v>
      </c>
    </row>
    <row r="1290" spans="1:22" x14ac:dyDescent="0.35">
      <c r="A1290">
        <v>2267</v>
      </c>
      <c r="B1290" t="s">
        <v>4816</v>
      </c>
      <c r="C1290" s="1">
        <v>43385</v>
      </c>
      <c r="D1290" s="1">
        <v>43385</v>
      </c>
      <c r="E1290" t="s">
        <v>1277</v>
      </c>
      <c r="F1290" t="s">
        <v>4817</v>
      </c>
      <c r="G1290" t="s">
        <v>4818</v>
      </c>
      <c r="H1290" t="s">
        <v>98</v>
      </c>
      <c r="I1290" t="s">
        <v>23</v>
      </c>
      <c r="J1290" t="s">
        <v>728</v>
      </c>
      <c r="K1290" t="s">
        <v>84</v>
      </c>
      <c r="L1290">
        <v>28110</v>
      </c>
      <c r="M1290" t="s">
        <v>26</v>
      </c>
      <c r="N1290" t="s">
        <v>4819</v>
      </c>
      <c r="O1290" t="s">
        <v>42</v>
      </c>
      <c r="P1290" t="s">
        <v>86</v>
      </c>
      <c r="Q1290" t="s">
        <v>4820</v>
      </c>
      <c r="R1290">
        <v>7.968</v>
      </c>
      <c r="S1290" t="str">
        <f>TEXT(sales_data[[#This Row],[Order Date]],"mm")</f>
        <v>10</v>
      </c>
      <c r="T1290">
        <f>YEAR(sales_data[[#This Row],[Order Date]])</f>
        <v>2018</v>
      </c>
      <c r="V1290" t="s">
        <v>4819</v>
      </c>
    </row>
    <row r="1291" spans="1:22" x14ac:dyDescent="0.35">
      <c r="A1291">
        <v>2268</v>
      </c>
      <c r="B1291" t="s">
        <v>4821</v>
      </c>
      <c r="C1291" s="1">
        <v>43360</v>
      </c>
      <c r="D1291" s="1">
        <v>43360</v>
      </c>
      <c r="E1291" t="s">
        <v>1277</v>
      </c>
      <c r="F1291" t="s">
        <v>4822</v>
      </c>
      <c r="G1291" t="s">
        <v>4823</v>
      </c>
      <c r="H1291" t="s">
        <v>22</v>
      </c>
      <c r="I1291" t="s">
        <v>23</v>
      </c>
      <c r="J1291" t="s">
        <v>91</v>
      </c>
      <c r="K1291" t="s">
        <v>92</v>
      </c>
      <c r="L1291">
        <v>98115</v>
      </c>
      <c r="M1291" t="s">
        <v>40</v>
      </c>
      <c r="N1291" t="s">
        <v>4824</v>
      </c>
      <c r="O1291" t="s">
        <v>42</v>
      </c>
      <c r="P1291" t="s">
        <v>86</v>
      </c>
      <c r="Q1291" t="s">
        <v>4825</v>
      </c>
      <c r="R1291">
        <v>12.96</v>
      </c>
      <c r="S1291" t="str">
        <f>TEXT(sales_data[[#This Row],[Order Date]],"mm")</f>
        <v>09</v>
      </c>
      <c r="T1291">
        <f>YEAR(sales_data[[#This Row],[Order Date]])</f>
        <v>2018</v>
      </c>
      <c r="V1291" t="s">
        <v>4824</v>
      </c>
    </row>
    <row r="1292" spans="1:22" x14ac:dyDescent="0.35">
      <c r="A1292">
        <v>2269</v>
      </c>
      <c r="B1292" t="s">
        <v>4826</v>
      </c>
      <c r="C1292" s="1">
        <v>43454</v>
      </c>
      <c r="D1292" s="1">
        <v>43460</v>
      </c>
      <c r="E1292" t="s">
        <v>46</v>
      </c>
      <c r="F1292" t="s">
        <v>1346</v>
      </c>
      <c r="G1292" t="s">
        <v>1347</v>
      </c>
      <c r="H1292" t="s">
        <v>37</v>
      </c>
      <c r="I1292" t="s">
        <v>23</v>
      </c>
      <c r="J1292" t="s">
        <v>384</v>
      </c>
      <c r="K1292" t="s">
        <v>262</v>
      </c>
      <c r="L1292">
        <v>14609</v>
      </c>
      <c r="M1292" t="s">
        <v>144</v>
      </c>
      <c r="N1292" t="s">
        <v>4827</v>
      </c>
      <c r="O1292" t="s">
        <v>42</v>
      </c>
      <c r="P1292" t="s">
        <v>86</v>
      </c>
      <c r="Q1292" t="s">
        <v>4828</v>
      </c>
      <c r="R1292">
        <v>6.48</v>
      </c>
      <c r="S1292" t="str">
        <f>TEXT(sales_data[[#This Row],[Order Date]],"mm")</f>
        <v>12</v>
      </c>
      <c r="T1292">
        <f>YEAR(sales_data[[#This Row],[Order Date]])</f>
        <v>2018</v>
      </c>
      <c r="V1292" t="s">
        <v>4827</v>
      </c>
    </row>
    <row r="1293" spans="1:22" x14ac:dyDescent="0.35">
      <c r="A1293">
        <v>2272</v>
      </c>
      <c r="B1293" t="s">
        <v>4829</v>
      </c>
      <c r="C1293" s="1">
        <v>42634</v>
      </c>
      <c r="D1293" s="1">
        <v>42640</v>
      </c>
      <c r="E1293" t="s">
        <v>46</v>
      </c>
      <c r="F1293" t="s">
        <v>688</v>
      </c>
      <c r="G1293" t="s">
        <v>689</v>
      </c>
      <c r="H1293" t="s">
        <v>22</v>
      </c>
      <c r="I1293" t="s">
        <v>23</v>
      </c>
      <c r="J1293" t="s">
        <v>91</v>
      </c>
      <c r="K1293" t="s">
        <v>92</v>
      </c>
      <c r="L1293">
        <v>98105</v>
      </c>
      <c r="M1293" t="s">
        <v>40</v>
      </c>
      <c r="N1293" t="s">
        <v>4830</v>
      </c>
      <c r="O1293" t="s">
        <v>42</v>
      </c>
      <c r="P1293" t="s">
        <v>55</v>
      </c>
      <c r="Q1293" t="s">
        <v>4831</v>
      </c>
      <c r="R1293">
        <v>199.74</v>
      </c>
      <c r="S1293" t="str">
        <f>TEXT(sales_data[[#This Row],[Order Date]],"mm")</f>
        <v>09</v>
      </c>
      <c r="T1293">
        <f>YEAR(sales_data[[#This Row],[Order Date]])</f>
        <v>2016</v>
      </c>
      <c r="V1293" t="s">
        <v>4830</v>
      </c>
    </row>
    <row r="1294" spans="1:22" x14ac:dyDescent="0.35">
      <c r="A1294">
        <v>2273</v>
      </c>
      <c r="B1294" t="s">
        <v>4832</v>
      </c>
      <c r="C1294" s="1">
        <v>42435</v>
      </c>
      <c r="D1294" s="1">
        <v>42440</v>
      </c>
      <c r="E1294" t="s">
        <v>46</v>
      </c>
      <c r="F1294" t="s">
        <v>1195</v>
      </c>
      <c r="G1294" t="s">
        <v>1196</v>
      </c>
      <c r="H1294" t="s">
        <v>22</v>
      </c>
      <c r="I1294" t="s">
        <v>23</v>
      </c>
      <c r="J1294" t="s">
        <v>123</v>
      </c>
      <c r="K1294" t="s">
        <v>39</v>
      </c>
      <c r="L1294">
        <v>94122</v>
      </c>
      <c r="M1294" t="s">
        <v>40</v>
      </c>
      <c r="N1294" t="s">
        <v>4833</v>
      </c>
      <c r="O1294" t="s">
        <v>28</v>
      </c>
      <c r="P1294" t="s">
        <v>61</v>
      </c>
      <c r="Q1294" t="s">
        <v>4834</v>
      </c>
      <c r="R1294">
        <v>435.26</v>
      </c>
      <c r="S1294" t="str">
        <f>TEXT(sales_data[[#This Row],[Order Date]],"mm")</f>
        <v>03</v>
      </c>
      <c r="T1294">
        <f>YEAR(sales_data[[#This Row],[Order Date]])</f>
        <v>2016</v>
      </c>
      <c r="V1294" t="s">
        <v>4833</v>
      </c>
    </row>
    <row r="1295" spans="1:22" x14ac:dyDescent="0.35">
      <c r="A1295">
        <v>2274</v>
      </c>
      <c r="B1295" t="s">
        <v>4832</v>
      </c>
      <c r="C1295" s="1">
        <v>42435</v>
      </c>
      <c r="D1295" s="1">
        <v>42440</v>
      </c>
      <c r="E1295" t="s">
        <v>46</v>
      </c>
      <c r="F1295" t="s">
        <v>1195</v>
      </c>
      <c r="G1295" t="s">
        <v>1196</v>
      </c>
      <c r="H1295" t="s">
        <v>22</v>
      </c>
      <c r="I1295" t="s">
        <v>23</v>
      </c>
      <c r="J1295" t="s">
        <v>123</v>
      </c>
      <c r="K1295" t="s">
        <v>39</v>
      </c>
      <c r="L1295">
        <v>94122</v>
      </c>
      <c r="M1295" t="s">
        <v>40</v>
      </c>
      <c r="N1295" t="s">
        <v>4835</v>
      </c>
      <c r="O1295" t="s">
        <v>67</v>
      </c>
      <c r="P1295" t="s">
        <v>1209</v>
      </c>
      <c r="Q1295" t="s">
        <v>4836</v>
      </c>
      <c r="R1295">
        <v>1119.9839999999999</v>
      </c>
      <c r="S1295" t="str">
        <f>TEXT(sales_data[[#This Row],[Order Date]],"mm")</f>
        <v>03</v>
      </c>
      <c r="T1295">
        <f>YEAR(sales_data[[#This Row],[Order Date]])</f>
        <v>2016</v>
      </c>
      <c r="V1295" t="s">
        <v>4835</v>
      </c>
    </row>
    <row r="1296" spans="1:22" x14ac:dyDescent="0.35">
      <c r="A1296">
        <v>2275</v>
      </c>
      <c r="B1296" t="s">
        <v>4837</v>
      </c>
      <c r="C1296" s="1">
        <v>42280</v>
      </c>
      <c r="D1296" s="1">
        <v>42285</v>
      </c>
      <c r="E1296" t="s">
        <v>19</v>
      </c>
      <c r="F1296" t="s">
        <v>1312</v>
      </c>
      <c r="G1296" t="s">
        <v>1313</v>
      </c>
      <c r="H1296" t="s">
        <v>37</v>
      </c>
      <c r="I1296" t="s">
        <v>23</v>
      </c>
      <c r="J1296" t="s">
        <v>38</v>
      </c>
      <c r="K1296" t="s">
        <v>39</v>
      </c>
      <c r="L1296">
        <v>90036</v>
      </c>
      <c r="M1296" t="s">
        <v>40</v>
      </c>
      <c r="N1296" t="s">
        <v>4838</v>
      </c>
      <c r="O1296" t="s">
        <v>28</v>
      </c>
      <c r="P1296" t="s">
        <v>52</v>
      </c>
      <c r="Q1296" t="s">
        <v>4839</v>
      </c>
      <c r="R1296">
        <v>143.43199999999999</v>
      </c>
      <c r="S1296" t="str">
        <f>TEXT(sales_data[[#This Row],[Order Date]],"mm")</f>
        <v>10</v>
      </c>
      <c r="T1296">
        <f>YEAR(sales_data[[#This Row],[Order Date]])</f>
        <v>2015</v>
      </c>
      <c r="V1296" t="s">
        <v>4838</v>
      </c>
    </row>
    <row r="1297" spans="1:22" x14ac:dyDescent="0.35">
      <c r="A1297">
        <v>2285</v>
      </c>
      <c r="B1297" t="s">
        <v>4841</v>
      </c>
      <c r="C1297" s="1">
        <v>42434</v>
      </c>
      <c r="D1297" s="1">
        <v>42438</v>
      </c>
      <c r="E1297" t="s">
        <v>46</v>
      </c>
      <c r="F1297" t="s">
        <v>1916</v>
      </c>
      <c r="G1297" t="s">
        <v>1917</v>
      </c>
      <c r="H1297" t="s">
        <v>22</v>
      </c>
      <c r="I1297" t="s">
        <v>23</v>
      </c>
      <c r="J1297" t="s">
        <v>4842</v>
      </c>
      <c r="K1297" t="s">
        <v>249</v>
      </c>
      <c r="L1297">
        <v>47362</v>
      </c>
      <c r="M1297" t="s">
        <v>101</v>
      </c>
      <c r="N1297" t="s">
        <v>4843</v>
      </c>
      <c r="O1297" t="s">
        <v>42</v>
      </c>
      <c r="P1297" t="s">
        <v>74</v>
      </c>
      <c r="Q1297" t="s">
        <v>1417</v>
      </c>
      <c r="R1297">
        <v>60.69</v>
      </c>
      <c r="S1297" t="str">
        <f>TEXT(sales_data[[#This Row],[Order Date]],"mm")</f>
        <v>03</v>
      </c>
      <c r="T1297">
        <f>YEAR(sales_data[[#This Row],[Order Date]])</f>
        <v>2016</v>
      </c>
      <c r="V1297" t="s">
        <v>4843</v>
      </c>
    </row>
    <row r="1298" spans="1:22" x14ac:dyDescent="0.35">
      <c r="A1298">
        <v>2286</v>
      </c>
      <c r="B1298" t="s">
        <v>4844</v>
      </c>
      <c r="C1298" s="1">
        <v>42860</v>
      </c>
      <c r="D1298" s="1">
        <v>42863</v>
      </c>
      <c r="E1298" t="s">
        <v>183</v>
      </c>
      <c r="F1298" t="s">
        <v>4845</v>
      </c>
      <c r="G1298" t="s">
        <v>4846</v>
      </c>
      <c r="H1298" t="s">
        <v>37</v>
      </c>
      <c r="I1298" t="s">
        <v>23</v>
      </c>
      <c r="J1298" t="s">
        <v>1178</v>
      </c>
      <c r="K1298" t="s">
        <v>330</v>
      </c>
      <c r="L1298">
        <v>37130</v>
      </c>
      <c r="M1298" t="s">
        <v>26</v>
      </c>
      <c r="N1298" t="s">
        <v>4847</v>
      </c>
      <c r="O1298" t="s">
        <v>42</v>
      </c>
      <c r="P1298" t="s">
        <v>86</v>
      </c>
      <c r="Q1298" t="s">
        <v>4848</v>
      </c>
      <c r="R1298">
        <v>14.352</v>
      </c>
      <c r="S1298" t="str">
        <f>TEXT(sales_data[[#This Row],[Order Date]],"mm")</f>
        <v>05</v>
      </c>
      <c r="T1298">
        <f>YEAR(sales_data[[#This Row],[Order Date]])</f>
        <v>2017</v>
      </c>
      <c r="V1298" t="s">
        <v>4847</v>
      </c>
    </row>
    <row r="1299" spans="1:22" x14ac:dyDescent="0.35">
      <c r="A1299">
        <v>2287</v>
      </c>
      <c r="B1299" t="s">
        <v>4849</v>
      </c>
      <c r="C1299" s="1">
        <v>43421</v>
      </c>
      <c r="D1299" s="1">
        <v>43427</v>
      </c>
      <c r="E1299" t="s">
        <v>46</v>
      </c>
      <c r="F1299" t="s">
        <v>3156</v>
      </c>
      <c r="G1299" t="s">
        <v>3157</v>
      </c>
      <c r="H1299" t="s">
        <v>22</v>
      </c>
      <c r="I1299" t="s">
        <v>23</v>
      </c>
      <c r="J1299" t="s">
        <v>1953</v>
      </c>
      <c r="K1299" t="s">
        <v>314</v>
      </c>
      <c r="L1299">
        <v>24153</v>
      </c>
      <c r="M1299" t="s">
        <v>26</v>
      </c>
      <c r="N1299" t="s">
        <v>4850</v>
      </c>
      <c r="O1299" t="s">
        <v>42</v>
      </c>
      <c r="P1299" t="s">
        <v>74</v>
      </c>
      <c r="Q1299" t="s">
        <v>4851</v>
      </c>
      <c r="R1299">
        <v>35.04</v>
      </c>
      <c r="S1299" t="str">
        <f>TEXT(sales_data[[#This Row],[Order Date]],"mm")</f>
        <v>11</v>
      </c>
      <c r="T1299">
        <f>YEAR(sales_data[[#This Row],[Order Date]])</f>
        <v>2018</v>
      </c>
      <c r="V1299" t="s">
        <v>4850</v>
      </c>
    </row>
    <row r="1300" spans="1:22" x14ac:dyDescent="0.35">
      <c r="A1300">
        <v>2288</v>
      </c>
      <c r="B1300" t="s">
        <v>4852</v>
      </c>
      <c r="C1300" s="1">
        <v>43252</v>
      </c>
      <c r="D1300" s="1">
        <v>43256</v>
      </c>
      <c r="E1300" t="s">
        <v>19</v>
      </c>
      <c r="F1300" t="s">
        <v>1018</v>
      </c>
      <c r="G1300" t="s">
        <v>1019</v>
      </c>
      <c r="H1300" t="s">
        <v>37</v>
      </c>
      <c r="I1300" t="s">
        <v>23</v>
      </c>
      <c r="J1300" t="s">
        <v>2766</v>
      </c>
      <c r="K1300" t="s">
        <v>493</v>
      </c>
      <c r="L1300">
        <v>43615</v>
      </c>
      <c r="M1300" t="s">
        <v>144</v>
      </c>
      <c r="N1300" t="s">
        <v>4853</v>
      </c>
      <c r="O1300" t="s">
        <v>42</v>
      </c>
      <c r="P1300" t="s">
        <v>74</v>
      </c>
      <c r="Q1300" t="s">
        <v>4854</v>
      </c>
      <c r="R1300">
        <v>17.48</v>
      </c>
      <c r="S1300" t="str">
        <f>TEXT(sales_data[[#This Row],[Order Date]],"mm")</f>
        <v>06</v>
      </c>
      <c r="T1300">
        <f>YEAR(sales_data[[#This Row],[Order Date]])</f>
        <v>2018</v>
      </c>
      <c r="V1300" t="s">
        <v>4853</v>
      </c>
    </row>
    <row r="1301" spans="1:22" x14ac:dyDescent="0.35">
      <c r="A1301">
        <v>2290</v>
      </c>
      <c r="B1301" t="s">
        <v>4855</v>
      </c>
      <c r="C1301" s="1">
        <v>43108</v>
      </c>
      <c r="D1301" s="1">
        <v>43111</v>
      </c>
      <c r="E1301" t="s">
        <v>183</v>
      </c>
      <c r="F1301" t="s">
        <v>4856</v>
      </c>
      <c r="G1301" t="s">
        <v>4857</v>
      </c>
      <c r="H1301" t="s">
        <v>37</v>
      </c>
      <c r="I1301" t="s">
        <v>23</v>
      </c>
      <c r="J1301" t="s">
        <v>91</v>
      </c>
      <c r="K1301" t="s">
        <v>92</v>
      </c>
      <c r="L1301">
        <v>98115</v>
      </c>
      <c r="M1301" t="s">
        <v>40</v>
      </c>
      <c r="N1301" t="s">
        <v>4858</v>
      </c>
      <c r="O1301" t="s">
        <v>28</v>
      </c>
      <c r="P1301" t="s">
        <v>52</v>
      </c>
      <c r="Q1301" t="s">
        <v>4859</v>
      </c>
      <c r="R1301">
        <v>892.98</v>
      </c>
      <c r="S1301" t="str">
        <f>TEXT(sales_data[[#This Row],[Order Date]],"mm")</f>
        <v>01</v>
      </c>
      <c r="T1301">
        <f>YEAR(sales_data[[#This Row],[Order Date]])</f>
        <v>2018</v>
      </c>
      <c r="V1301" t="s">
        <v>4858</v>
      </c>
    </row>
    <row r="1302" spans="1:22" x14ac:dyDescent="0.35">
      <c r="A1302">
        <v>2298</v>
      </c>
      <c r="B1302" t="s">
        <v>4860</v>
      </c>
      <c r="C1302" s="1">
        <v>42675</v>
      </c>
      <c r="D1302" s="1">
        <v>42679</v>
      </c>
      <c r="E1302" t="s">
        <v>46</v>
      </c>
      <c r="F1302" t="s">
        <v>880</v>
      </c>
      <c r="G1302" t="s">
        <v>881</v>
      </c>
      <c r="H1302" t="s">
        <v>22</v>
      </c>
      <c r="I1302" t="s">
        <v>23</v>
      </c>
      <c r="J1302" t="s">
        <v>261</v>
      </c>
      <c r="K1302" t="s">
        <v>262</v>
      </c>
      <c r="L1302">
        <v>10011</v>
      </c>
      <c r="M1302" t="s">
        <v>144</v>
      </c>
      <c r="N1302" t="s">
        <v>4861</v>
      </c>
      <c r="O1302" t="s">
        <v>67</v>
      </c>
      <c r="P1302" t="s">
        <v>68</v>
      </c>
      <c r="Q1302" t="s">
        <v>4862</v>
      </c>
      <c r="R1302">
        <v>42.95</v>
      </c>
      <c r="S1302" t="str">
        <f>TEXT(sales_data[[#This Row],[Order Date]],"mm")</f>
        <v>11</v>
      </c>
      <c r="T1302">
        <f>YEAR(sales_data[[#This Row],[Order Date]])</f>
        <v>2016</v>
      </c>
      <c r="V1302" t="s">
        <v>4861</v>
      </c>
    </row>
    <row r="1303" spans="1:22" x14ac:dyDescent="0.35">
      <c r="A1303">
        <v>2319</v>
      </c>
      <c r="B1303" t="s">
        <v>4866</v>
      </c>
      <c r="C1303" s="1">
        <v>43301</v>
      </c>
      <c r="D1303" s="1">
        <v>43306</v>
      </c>
      <c r="E1303" t="s">
        <v>46</v>
      </c>
      <c r="F1303" t="s">
        <v>4867</v>
      </c>
      <c r="G1303" t="s">
        <v>4868</v>
      </c>
      <c r="H1303" t="s">
        <v>37</v>
      </c>
      <c r="I1303" t="s">
        <v>23</v>
      </c>
      <c r="J1303" t="s">
        <v>4869</v>
      </c>
      <c r="K1303" t="s">
        <v>4870</v>
      </c>
      <c r="L1303">
        <v>57103</v>
      </c>
      <c r="M1303" t="s">
        <v>101</v>
      </c>
      <c r="N1303" t="s">
        <v>4871</v>
      </c>
      <c r="O1303" t="s">
        <v>67</v>
      </c>
      <c r="P1303" t="s">
        <v>156</v>
      </c>
      <c r="Q1303" t="s">
        <v>4872</v>
      </c>
      <c r="R1303">
        <v>389.97</v>
      </c>
      <c r="S1303" t="str">
        <f>TEXT(sales_data[[#This Row],[Order Date]],"mm")</f>
        <v>07</v>
      </c>
      <c r="T1303">
        <f>YEAR(sales_data[[#This Row],[Order Date]])</f>
        <v>2018</v>
      </c>
      <c r="V1303" t="s">
        <v>4871</v>
      </c>
    </row>
    <row r="1304" spans="1:22" x14ac:dyDescent="0.35">
      <c r="A1304">
        <v>2321</v>
      </c>
      <c r="B1304" t="s">
        <v>4873</v>
      </c>
      <c r="C1304" s="1">
        <v>43179</v>
      </c>
      <c r="D1304" s="1">
        <v>43183</v>
      </c>
      <c r="E1304" t="s">
        <v>46</v>
      </c>
      <c r="F1304" t="s">
        <v>2462</v>
      </c>
      <c r="G1304" t="s">
        <v>2463</v>
      </c>
      <c r="H1304" t="s">
        <v>37</v>
      </c>
      <c r="I1304" t="s">
        <v>23</v>
      </c>
      <c r="J1304" t="s">
        <v>91</v>
      </c>
      <c r="K1304" t="s">
        <v>92</v>
      </c>
      <c r="L1304">
        <v>98115</v>
      </c>
      <c r="M1304" t="s">
        <v>40</v>
      </c>
      <c r="N1304" t="s">
        <v>4874</v>
      </c>
      <c r="O1304" t="s">
        <v>67</v>
      </c>
      <c r="P1304" t="s">
        <v>156</v>
      </c>
      <c r="Q1304" t="s">
        <v>4875</v>
      </c>
      <c r="R1304">
        <v>265.93</v>
      </c>
      <c r="S1304" t="str">
        <f>TEXT(sales_data[[#This Row],[Order Date]],"mm")</f>
        <v>03</v>
      </c>
      <c r="T1304">
        <f>YEAR(sales_data[[#This Row],[Order Date]])</f>
        <v>2018</v>
      </c>
      <c r="V1304" t="s">
        <v>4874</v>
      </c>
    </row>
    <row r="1305" spans="1:22" x14ac:dyDescent="0.35">
      <c r="A1305">
        <v>2329</v>
      </c>
      <c r="B1305" t="s">
        <v>4877</v>
      </c>
      <c r="C1305" s="1">
        <v>43366</v>
      </c>
      <c r="D1305" s="1">
        <v>43369</v>
      </c>
      <c r="E1305" t="s">
        <v>183</v>
      </c>
      <c r="F1305" t="s">
        <v>4878</v>
      </c>
      <c r="G1305" t="s">
        <v>4879</v>
      </c>
      <c r="H1305" t="s">
        <v>98</v>
      </c>
      <c r="I1305" t="s">
        <v>23</v>
      </c>
      <c r="J1305" t="s">
        <v>4880</v>
      </c>
      <c r="K1305" t="s">
        <v>452</v>
      </c>
      <c r="L1305">
        <v>80525</v>
      </c>
      <c r="M1305" t="s">
        <v>40</v>
      </c>
      <c r="N1305" t="s">
        <v>4881</v>
      </c>
      <c r="O1305" t="s">
        <v>42</v>
      </c>
      <c r="P1305" t="s">
        <v>168</v>
      </c>
      <c r="Q1305" t="s">
        <v>4882</v>
      </c>
      <c r="R1305">
        <v>14.352</v>
      </c>
      <c r="S1305" t="str">
        <f>TEXT(sales_data[[#This Row],[Order Date]],"mm")</f>
        <v>09</v>
      </c>
      <c r="T1305">
        <f>YEAR(sales_data[[#This Row],[Order Date]])</f>
        <v>2018</v>
      </c>
      <c r="V1305" t="s">
        <v>4881</v>
      </c>
    </row>
    <row r="1306" spans="1:22" x14ac:dyDescent="0.35">
      <c r="A1306">
        <v>2330</v>
      </c>
      <c r="B1306" t="s">
        <v>4883</v>
      </c>
      <c r="C1306" s="1">
        <v>42729</v>
      </c>
      <c r="D1306" s="1">
        <v>42733</v>
      </c>
      <c r="E1306" t="s">
        <v>46</v>
      </c>
      <c r="F1306" t="s">
        <v>2086</v>
      </c>
      <c r="G1306" t="s">
        <v>2087</v>
      </c>
      <c r="H1306" t="s">
        <v>37</v>
      </c>
      <c r="I1306" t="s">
        <v>23</v>
      </c>
      <c r="J1306" t="s">
        <v>142</v>
      </c>
      <c r="K1306" t="s">
        <v>143</v>
      </c>
      <c r="L1306">
        <v>19140</v>
      </c>
      <c r="M1306" t="s">
        <v>144</v>
      </c>
      <c r="N1306" t="s">
        <v>4884</v>
      </c>
      <c r="O1306" t="s">
        <v>28</v>
      </c>
      <c r="P1306" t="s">
        <v>61</v>
      </c>
      <c r="Q1306" t="s">
        <v>4885</v>
      </c>
      <c r="R1306">
        <v>547.13599999999997</v>
      </c>
      <c r="S1306" t="str">
        <f>TEXT(sales_data[[#This Row],[Order Date]],"mm")</f>
        <v>12</v>
      </c>
      <c r="T1306">
        <f>YEAR(sales_data[[#This Row],[Order Date]])</f>
        <v>2016</v>
      </c>
      <c r="V1306" t="s">
        <v>4884</v>
      </c>
    </row>
    <row r="1307" spans="1:22" x14ac:dyDescent="0.35">
      <c r="A1307">
        <v>2332</v>
      </c>
      <c r="B1307" t="s">
        <v>4886</v>
      </c>
      <c r="C1307" s="1">
        <v>43002</v>
      </c>
      <c r="D1307" s="1">
        <v>43004</v>
      </c>
      <c r="E1307" t="s">
        <v>19</v>
      </c>
      <c r="F1307" t="s">
        <v>1333</v>
      </c>
      <c r="G1307" t="s">
        <v>1334</v>
      </c>
      <c r="H1307" t="s">
        <v>37</v>
      </c>
      <c r="I1307" t="s">
        <v>23</v>
      </c>
      <c r="J1307" t="s">
        <v>38</v>
      </c>
      <c r="K1307" t="s">
        <v>39</v>
      </c>
      <c r="L1307">
        <v>90004</v>
      </c>
      <c r="M1307" t="s">
        <v>40</v>
      </c>
      <c r="N1307" t="s">
        <v>4887</v>
      </c>
      <c r="O1307" t="s">
        <v>42</v>
      </c>
      <c r="P1307" t="s">
        <v>86</v>
      </c>
      <c r="Q1307" t="s">
        <v>4888</v>
      </c>
      <c r="R1307">
        <v>41.7</v>
      </c>
      <c r="S1307" t="str">
        <f>TEXT(sales_data[[#This Row],[Order Date]],"mm")</f>
        <v>09</v>
      </c>
      <c r="T1307">
        <f>YEAR(sales_data[[#This Row],[Order Date]])</f>
        <v>2017</v>
      </c>
      <c r="V1307" t="s">
        <v>4887</v>
      </c>
    </row>
    <row r="1308" spans="1:22" x14ac:dyDescent="0.35">
      <c r="A1308">
        <v>2337</v>
      </c>
      <c r="B1308" t="s">
        <v>4890</v>
      </c>
      <c r="C1308" s="1">
        <v>43444</v>
      </c>
      <c r="D1308" s="1">
        <v>43444</v>
      </c>
      <c r="E1308" t="s">
        <v>1277</v>
      </c>
      <c r="F1308" t="s">
        <v>3404</v>
      </c>
      <c r="G1308" t="s">
        <v>3405</v>
      </c>
      <c r="H1308" t="s">
        <v>22</v>
      </c>
      <c r="I1308" t="s">
        <v>23</v>
      </c>
      <c r="J1308" t="s">
        <v>739</v>
      </c>
      <c r="K1308" t="s">
        <v>740</v>
      </c>
      <c r="L1308">
        <v>6824</v>
      </c>
      <c r="M1308" t="s">
        <v>144</v>
      </c>
      <c r="N1308" t="s">
        <v>4891</v>
      </c>
      <c r="O1308" t="s">
        <v>42</v>
      </c>
      <c r="P1308" t="s">
        <v>74</v>
      </c>
      <c r="Q1308" t="s">
        <v>4892</v>
      </c>
      <c r="R1308">
        <v>426.79</v>
      </c>
      <c r="S1308" t="str">
        <f>TEXT(sales_data[[#This Row],[Order Date]],"mm")</f>
        <v>12</v>
      </c>
      <c r="T1308">
        <f>YEAR(sales_data[[#This Row],[Order Date]])</f>
        <v>2018</v>
      </c>
      <c r="V1308" t="s">
        <v>4891</v>
      </c>
    </row>
    <row r="1309" spans="1:22" x14ac:dyDescent="0.35">
      <c r="A1309">
        <v>2338</v>
      </c>
      <c r="B1309" t="s">
        <v>4893</v>
      </c>
      <c r="C1309" s="1">
        <v>42239</v>
      </c>
      <c r="D1309" s="1">
        <v>42239</v>
      </c>
      <c r="E1309" t="s">
        <v>1277</v>
      </c>
      <c r="F1309" t="s">
        <v>2452</v>
      </c>
      <c r="G1309" t="s">
        <v>2453</v>
      </c>
      <c r="H1309" t="s">
        <v>22</v>
      </c>
      <c r="I1309" t="s">
        <v>23</v>
      </c>
      <c r="J1309" t="s">
        <v>261</v>
      </c>
      <c r="K1309" t="s">
        <v>262</v>
      </c>
      <c r="L1309">
        <v>10009</v>
      </c>
      <c r="M1309" t="s">
        <v>144</v>
      </c>
      <c r="N1309" t="s">
        <v>4894</v>
      </c>
      <c r="O1309" t="s">
        <v>42</v>
      </c>
      <c r="P1309" t="s">
        <v>86</v>
      </c>
      <c r="Q1309" t="s">
        <v>4895</v>
      </c>
      <c r="R1309">
        <v>25.92</v>
      </c>
      <c r="S1309" t="str">
        <f>TEXT(sales_data[[#This Row],[Order Date]],"mm")</f>
        <v>08</v>
      </c>
      <c r="T1309">
        <f>YEAR(sales_data[[#This Row],[Order Date]])</f>
        <v>2015</v>
      </c>
      <c r="V1309" t="s">
        <v>4894</v>
      </c>
    </row>
    <row r="1310" spans="1:22" x14ac:dyDescent="0.35">
      <c r="A1310">
        <v>2342</v>
      </c>
      <c r="B1310" t="s">
        <v>4896</v>
      </c>
      <c r="C1310" s="1">
        <v>42369</v>
      </c>
      <c r="D1310" s="1">
        <v>42372</v>
      </c>
      <c r="E1310" t="s">
        <v>183</v>
      </c>
      <c r="F1310" t="s">
        <v>390</v>
      </c>
      <c r="G1310" t="s">
        <v>391</v>
      </c>
      <c r="H1310" t="s">
        <v>98</v>
      </c>
      <c r="I1310" t="s">
        <v>23</v>
      </c>
      <c r="J1310" t="s">
        <v>605</v>
      </c>
      <c r="K1310" t="s">
        <v>1235</v>
      </c>
      <c r="L1310">
        <v>2038</v>
      </c>
      <c r="M1310" t="s">
        <v>144</v>
      </c>
      <c r="N1310" t="s">
        <v>4897</v>
      </c>
      <c r="O1310" t="s">
        <v>28</v>
      </c>
      <c r="P1310" t="s">
        <v>61</v>
      </c>
      <c r="Q1310" t="s">
        <v>4898</v>
      </c>
      <c r="R1310">
        <v>63.2</v>
      </c>
      <c r="S1310" t="str">
        <f>TEXT(sales_data[[#This Row],[Order Date]],"mm")</f>
        <v>12</v>
      </c>
      <c r="T1310">
        <f>YEAR(sales_data[[#This Row],[Order Date]])</f>
        <v>2015</v>
      </c>
      <c r="V1310" t="s">
        <v>4897</v>
      </c>
    </row>
    <row r="1311" spans="1:22" x14ac:dyDescent="0.35">
      <c r="A1311">
        <v>2345</v>
      </c>
      <c r="B1311" t="s">
        <v>4899</v>
      </c>
      <c r="C1311" s="1">
        <v>42788</v>
      </c>
      <c r="D1311" s="1">
        <v>42794</v>
      </c>
      <c r="E1311" t="s">
        <v>46</v>
      </c>
      <c r="F1311" t="s">
        <v>3126</v>
      </c>
      <c r="G1311" t="s">
        <v>3127</v>
      </c>
      <c r="H1311" t="s">
        <v>98</v>
      </c>
      <c r="I1311" t="s">
        <v>23</v>
      </c>
      <c r="J1311" t="s">
        <v>2502</v>
      </c>
      <c r="K1311" t="s">
        <v>110</v>
      </c>
      <c r="L1311">
        <v>53209</v>
      </c>
      <c r="M1311" t="s">
        <v>101</v>
      </c>
      <c r="N1311" t="s">
        <v>4900</v>
      </c>
      <c r="O1311" t="s">
        <v>42</v>
      </c>
      <c r="P1311" t="s">
        <v>74</v>
      </c>
      <c r="Q1311" t="s">
        <v>4901</v>
      </c>
      <c r="R1311">
        <v>490.32</v>
      </c>
      <c r="S1311" t="str">
        <f>TEXT(sales_data[[#This Row],[Order Date]],"mm")</f>
        <v>02</v>
      </c>
      <c r="T1311">
        <f>YEAR(sales_data[[#This Row],[Order Date]])</f>
        <v>2017</v>
      </c>
      <c r="V1311" t="s">
        <v>4900</v>
      </c>
    </row>
    <row r="1312" spans="1:22" x14ac:dyDescent="0.35">
      <c r="A1312">
        <v>2347</v>
      </c>
      <c r="B1312" t="s">
        <v>4902</v>
      </c>
      <c r="C1312" s="1">
        <v>42807</v>
      </c>
      <c r="D1312" s="1">
        <v>42812</v>
      </c>
      <c r="E1312" t="s">
        <v>46</v>
      </c>
      <c r="F1312" t="s">
        <v>2432</v>
      </c>
      <c r="G1312" t="s">
        <v>2433</v>
      </c>
      <c r="H1312" t="s">
        <v>22</v>
      </c>
      <c r="I1312" t="s">
        <v>23</v>
      </c>
      <c r="J1312" t="s">
        <v>671</v>
      </c>
      <c r="K1312" t="s">
        <v>100</v>
      </c>
      <c r="L1312">
        <v>78207</v>
      </c>
      <c r="M1312" t="s">
        <v>101</v>
      </c>
      <c r="N1312" t="s">
        <v>4903</v>
      </c>
      <c r="O1312" t="s">
        <v>42</v>
      </c>
      <c r="P1312" t="s">
        <v>71</v>
      </c>
      <c r="Q1312" t="s">
        <v>4904</v>
      </c>
      <c r="R1312">
        <v>1.272</v>
      </c>
      <c r="S1312" t="str">
        <f>TEXT(sales_data[[#This Row],[Order Date]],"mm")</f>
        <v>03</v>
      </c>
      <c r="T1312">
        <f>YEAR(sales_data[[#This Row],[Order Date]])</f>
        <v>2017</v>
      </c>
      <c r="V1312" t="s">
        <v>4903</v>
      </c>
    </row>
    <row r="1313" spans="1:22" x14ac:dyDescent="0.35">
      <c r="A1313">
        <v>2350</v>
      </c>
      <c r="B1313" t="s">
        <v>4905</v>
      </c>
      <c r="C1313" s="1">
        <v>43436</v>
      </c>
      <c r="D1313" s="1">
        <v>43437</v>
      </c>
      <c r="E1313" t="s">
        <v>1277</v>
      </c>
      <c r="F1313" t="s">
        <v>749</v>
      </c>
      <c r="G1313" t="s">
        <v>750</v>
      </c>
      <c r="H1313" t="s">
        <v>37</v>
      </c>
      <c r="I1313" t="s">
        <v>23</v>
      </c>
      <c r="J1313" t="s">
        <v>38</v>
      </c>
      <c r="K1313" t="s">
        <v>39</v>
      </c>
      <c r="L1313">
        <v>90032</v>
      </c>
      <c r="M1313" t="s">
        <v>40</v>
      </c>
      <c r="N1313" t="s">
        <v>4906</v>
      </c>
      <c r="O1313" t="s">
        <v>42</v>
      </c>
      <c r="P1313" t="s">
        <v>71</v>
      </c>
      <c r="Q1313" t="s">
        <v>4907</v>
      </c>
      <c r="R1313">
        <v>69.456000000000003</v>
      </c>
      <c r="S1313" t="str">
        <f>TEXT(sales_data[[#This Row],[Order Date]],"mm")</f>
        <v>12</v>
      </c>
      <c r="T1313">
        <f>YEAR(sales_data[[#This Row],[Order Date]])</f>
        <v>2018</v>
      </c>
      <c r="V1313" t="s">
        <v>4906</v>
      </c>
    </row>
    <row r="1314" spans="1:22" x14ac:dyDescent="0.35">
      <c r="A1314">
        <v>2356</v>
      </c>
      <c r="B1314" t="s">
        <v>4908</v>
      </c>
      <c r="C1314" s="1">
        <v>42613</v>
      </c>
      <c r="D1314" s="1">
        <v>42615</v>
      </c>
      <c r="E1314" t="s">
        <v>183</v>
      </c>
      <c r="F1314" t="s">
        <v>4909</v>
      </c>
      <c r="G1314" t="s">
        <v>4910</v>
      </c>
      <c r="H1314" t="s">
        <v>37</v>
      </c>
      <c r="I1314" t="s">
        <v>23</v>
      </c>
      <c r="J1314" t="s">
        <v>123</v>
      </c>
      <c r="K1314" t="s">
        <v>39</v>
      </c>
      <c r="L1314">
        <v>94122</v>
      </c>
      <c r="M1314" t="s">
        <v>40</v>
      </c>
      <c r="N1314" t="s">
        <v>4911</v>
      </c>
      <c r="O1314" t="s">
        <v>67</v>
      </c>
      <c r="P1314" t="s">
        <v>156</v>
      </c>
      <c r="Q1314" t="s">
        <v>4912</v>
      </c>
      <c r="R1314">
        <v>36.51</v>
      </c>
      <c r="S1314" t="str">
        <f>TEXT(sales_data[[#This Row],[Order Date]],"mm")</f>
        <v>08</v>
      </c>
      <c r="T1314">
        <f>YEAR(sales_data[[#This Row],[Order Date]])</f>
        <v>2016</v>
      </c>
      <c r="V1314" t="s">
        <v>4911</v>
      </c>
    </row>
    <row r="1315" spans="1:22" x14ac:dyDescent="0.35">
      <c r="A1315">
        <v>2357</v>
      </c>
      <c r="B1315" t="s">
        <v>4908</v>
      </c>
      <c r="C1315" s="1">
        <v>42613</v>
      </c>
      <c r="D1315" s="1">
        <v>42615</v>
      </c>
      <c r="E1315" t="s">
        <v>183</v>
      </c>
      <c r="F1315" t="s">
        <v>4909</v>
      </c>
      <c r="G1315" t="s">
        <v>4910</v>
      </c>
      <c r="H1315" t="s">
        <v>37</v>
      </c>
      <c r="I1315" t="s">
        <v>23</v>
      </c>
      <c r="J1315" t="s">
        <v>123</v>
      </c>
      <c r="K1315" t="s">
        <v>39</v>
      </c>
      <c r="L1315">
        <v>94122</v>
      </c>
      <c r="M1315" t="s">
        <v>40</v>
      </c>
      <c r="N1315" t="s">
        <v>4913</v>
      </c>
      <c r="O1315" t="s">
        <v>67</v>
      </c>
      <c r="P1315" t="s">
        <v>675</v>
      </c>
      <c r="Q1315" t="s">
        <v>4914</v>
      </c>
      <c r="R1315">
        <v>239.976</v>
      </c>
      <c r="S1315" t="str">
        <f>TEXT(sales_data[[#This Row],[Order Date]],"mm")</f>
        <v>08</v>
      </c>
      <c r="T1315">
        <f>YEAR(sales_data[[#This Row],[Order Date]])</f>
        <v>2016</v>
      </c>
      <c r="V1315" t="s">
        <v>4913</v>
      </c>
    </row>
    <row r="1316" spans="1:22" x14ac:dyDescent="0.35">
      <c r="A1316">
        <v>2361</v>
      </c>
      <c r="B1316" t="s">
        <v>4915</v>
      </c>
      <c r="C1316" s="1">
        <v>42080</v>
      </c>
      <c r="D1316" s="1">
        <v>42084</v>
      </c>
      <c r="E1316" t="s">
        <v>46</v>
      </c>
      <c r="F1316" t="s">
        <v>2367</v>
      </c>
      <c r="G1316" t="s">
        <v>2368</v>
      </c>
      <c r="H1316" t="s">
        <v>37</v>
      </c>
      <c r="I1316" t="s">
        <v>23</v>
      </c>
      <c r="J1316" t="s">
        <v>261</v>
      </c>
      <c r="K1316" t="s">
        <v>262</v>
      </c>
      <c r="L1316">
        <v>10024</v>
      </c>
      <c r="M1316" t="s">
        <v>144</v>
      </c>
      <c r="N1316" t="s">
        <v>4916</v>
      </c>
      <c r="O1316" t="s">
        <v>42</v>
      </c>
      <c r="P1316" t="s">
        <v>86</v>
      </c>
      <c r="Q1316" t="s">
        <v>4917</v>
      </c>
      <c r="R1316">
        <v>34.86</v>
      </c>
      <c r="S1316" t="str">
        <f>TEXT(sales_data[[#This Row],[Order Date]],"mm")</f>
        <v>03</v>
      </c>
      <c r="T1316">
        <f>YEAR(sales_data[[#This Row],[Order Date]])</f>
        <v>2015</v>
      </c>
      <c r="V1316" t="s">
        <v>4916</v>
      </c>
    </row>
    <row r="1317" spans="1:22" x14ac:dyDescent="0.35">
      <c r="A1317">
        <v>2362</v>
      </c>
      <c r="B1317" t="s">
        <v>4915</v>
      </c>
      <c r="C1317" s="1">
        <v>42080</v>
      </c>
      <c r="D1317" s="1">
        <v>42084</v>
      </c>
      <c r="E1317" t="s">
        <v>46</v>
      </c>
      <c r="F1317" t="s">
        <v>2367</v>
      </c>
      <c r="G1317" t="s">
        <v>2368</v>
      </c>
      <c r="H1317" t="s">
        <v>37</v>
      </c>
      <c r="I1317" t="s">
        <v>23</v>
      </c>
      <c r="J1317" t="s">
        <v>261</v>
      </c>
      <c r="K1317" t="s">
        <v>262</v>
      </c>
      <c r="L1317">
        <v>10024</v>
      </c>
      <c r="M1317" t="s">
        <v>144</v>
      </c>
      <c r="N1317" t="s">
        <v>4918</v>
      </c>
      <c r="O1317" t="s">
        <v>42</v>
      </c>
      <c r="P1317" t="s">
        <v>86</v>
      </c>
      <c r="Q1317" t="s">
        <v>4919</v>
      </c>
      <c r="R1317">
        <v>155.04</v>
      </c>
      <c r="S1317" t="str">
        <f>TEXT(sales_data[[#This Row],[Order Date]],"mm")</f>
        <v>03</v>
      </c>
      <c r="T1317">
        <f>YEAR(sales_data[[#This Row],[Order Date]])</f>
        <v>2015</v>
      </c>
      <c r="V1317" t="s">
        <v>4918</v>
      </c>
    </row>
    <row r="1318" spans="1:22" x14ac:dyDescent="0.35">
      <c r="A1318">
        <v>2363</v>
      </c>
      <c r="B1318" t="s">
        <v>4920</v>
      </c>
      <c r="C1318" s="1">
        <v>43206</v>
      </c>
      <c r="D1318" s="1">
        <v>43210</v>
      </c>
      <c r="E1318" t="s">
        <v>46</v>
      </c>
      <c r="F1318" t="s">
        <v>1414</v>
      </c>
      <c r="G1318" t="s">
        <v>1415</v>
      </c>
      <c r="H1318" t="s">
        <v>22</v>
      </c>
      <c r="I1318" t="s">
        <v>23</v>
      </c>
      <c r="J1318" t="s">
        <v>492</v>
      </c>
      <c r="K1318" t="s">
        <v>493</v>
      </c>
      <c r="L1318">
        <v>43229</v>
      </c>
      <c r="M1318" t="s">
        <v>144</v>
      </c>
      <c r="N1318" t="s">
        <v>4921</v>
      </c>
      <c r="O1318" t="s">
        <v>42</v>
      </c>
      <c r="P1318" t="s">
        <v>71</v>
      </c>
      <c r="Q1318" t="s">
        <v>4922</v>
      </c>
      <c r="R1318">
        <v>13.71</v>
      </c>
      <c r="S1318" t="str">
        <f>TEXT(sales_data[[#This Row],[Order Date]],"mm")</f>
        <v>04</v>
      </c>
      <c r="T1318">
        <f>YEAR(sales_data[[#This Row],[Order Date]])</f>
        <v>2018</v>
      </c>
      <c r="V1318" t="s">
        <v>4921</v>
      </c>
    </row>
    <row r="1319" spans="1:22" x14ac:dyDescent="0.35">
      <c r="A1319">
        <v>2365</v>
      </c>
      <c r="B1319" t="s">
        <v>4923</v>
      </c>
      <c r="C1319" s="1">
        <v>42807</v>
      </c>
      <c r="D1319" s="1">
        <v>42812</v>
      </c>
      <c r="E1319" t="s">
        <v>46</v>
      </c>
      <c r="F1319" t="s">
        <v>1239</v>
      </c>
      <c r="G1319" t="s">
        <v>1240</v>
      </c>
      <c r="H1319" t="s">
        <v>98</v>
      </c>
      <c r="I1319" t="s">
        <v>23</v>
      </c>
      <c r="J1319" t="s">
        <v>2207</v>
      </c>
      <c r="K1319" t="s">
        <v>314</v>
      </c>
      <c r="L1319">
        <v>22980</v>
      </c>
      <c r="M1319" t="s">
        <v>26</v>
      </c>
      <c r="N1319" t="s">
        <v>4924</v>
      </c>
      <c r="O1319" t="s">
        <v>42</v>
      </c>
      <c r="P1319" t="s">
        <v>74</v>
      </c>
      <c r="Q1319" t="s">
        <v>4925</v>
      </c>
      <c r="R1319">
        <v>160.32</v>
      </c>
      <c r="S1319" t="str">
        <f>TEXT(sales_data[[#This Row],[Order Date]],"mm")</f>
        <v>03</v>
      </c>
      <c r="T1319">
        <f>YEAR(sales_data[[#This Row],[Order Date]])</f>
        <v>2017</v>
      </c>
      <c r="V1319" t="s">
        <v>4924</v>
      </c>
    </row>
    <row r="1320" spans="1:22" x14ac:dyDescent="0.35">
      <c r="A1320">
        <v>2367</v>
      </c>
      <c r="B1320" t="s">
        <v>4926</v>
      </c>
      <c r="C1320" s="1">
        <v>42332</v>
      </c>
      <c r="D1320" s="1">
        <v>42334</v>
      </c>
      <c r="E1320" t="s">
        <v>19</v>
      </c>
      <c r="F1320" t="s">
        <v>4443</v>
      </c>
      <c r="G1320" t="s">
        <v>4444</v>
      </c>
      <c r="H1320" t="s">
        <v>22</v>
      </c>
      <c r="I1320" t="s">
        <v>23</v>
      </c>
      <c r="J1320" t="s">
        <v>4927</v>
      </c>
      <c r="K1320" t="s">
        <v>39</v>
      </c>
      <c r="L1320">
        <v>95823</v>
      </c>
      <c r="M1320" t="s">
        <v>40</v>
      </c>
      <c r="N1320" t="s">
        <v>4928</v>
      </c>
      <c r="O1320" t="s">
        <v>28</v>
      </c>
      <c r="P1320" t="s">
        <v>32</v>
      </c>
      <c r="Q1320" t="s">
        <v>4929</v>
      </c>
      <c r="R1320">
        <v>120.712</v>
      </c>
      <c r="S1320" t="str">
        <f>TEXT(sales_data[[#This Row],[Order Date]],"mm")</f>
        <v>11</v>
      </c>
      <c r="T1320">
        <f>YEAR(sales_data[[#This Row],[Order Date]])</f>
        <v>2015</v>
      </c>
      <c r="V1320" t="s">
        <v>4928</v>
      </c>
    </row>
    <row r="1321" spans="1:22" x14ac:dyDescent="0.35">
      <c r="A1321">
        <v>2369</v>
      </c>
      <c r="B1321" t="s">
        <v>4930</v>
      </c>
      <c r="C1321" s="1">
        <v>43001</v>
      </c>
      <c r="D1321" s="1">
        <v>43005</v>
      </c>
      <c r="E1321" t="s">
        <v>46</v>
      </c>
      <c r="F1321" t="s">
        <v>1072</v>
      </c>
      <c r="G1321" t="s">
        <v>1073</v>
      </c>
      <c r="H1321" t="s">
        <v>37</v>
      </c>
      <c r="I1321" t="s">
        <v>23</v>
      </c>
      <c r="J1321" t="s">
        <v>739</v>
      </c>
      <c r="K1321" t="s">
        <v>493</v>
      </c>
      <c r="L1321">
        <v>45014</v>
      </c>
      <c r="M1321" t="s">
        <v>144</v>
      </c>
      <c r="N1321" t="s">
        <v>4931</v>
      </c>
      <c r="O1321" t="s">
        <v>28</v>
      </c>
      <c r="P1321" t="s">
        <v>61</v>
      </c>
      <c r="Q1321" t="s">
        <v>4932</v>
      </c>
      <c r="R1321">
        <v>532.70399999999995</v>
      </c>
      <c r="S1321" t="str">
        <f>TEXT(sales_data[[#This Row],[Order Date]],"mm")</f>
        <v>09</v>
      </c>
      <c r="T1321">
        <f>YEAR(sales_data[[#This Row],[Order Date]])</f>
        <v>2017</v>
      </c>
      <c r="V1321" t="s">
        <v>4931</v>
      </c>
    </row>
    <row r="1322" spans="1:22" x14ac:dyDescent="0.35">
      <c r="A1322">
        <v>2370</v>
      </c>
      <c r="B1322" t="s">
        <v>4930</v>
      </c>
      <c r="C1322" s="1">
        <v>43001</v>
      </c>
      <c r="D1322" s="1">
        <v>43005</v>
      </c>
      <c r="E1322" t="s">
        <v>46</v>
      </c>
      <c r="F1322" t="s">
        <v>1072</v>
      </c>
      <c r="G1322" t="s">
        <v>1073</v>
      </c>
      <c r="H1322" t="s">
        <v>37</v>
      </c>
      <c r="I1322" t="s">
        <v>23</v>
      </c>
      <c r="J1322" t="s">
        <v>739</v>
      </c>
      <c r="K1322" t="s">
        <v>493</v>
      </c>
      <c r="L1322">
        <v>45014</v>
      </c>
      <c r="M1322" t="s">
        <v>144</v>
      </c>
      <c r="N1322" t="s">
        <v>4933</v>
      </c>
      <c r="O1322" t="s">
        <v>42</v>
      </c>
      <c r="P1322" t="s">
        <v>64</v>
      </c>
      <c r="Q1322" t="s">
        <v>4934</v>
      </c>
      <c r="R1322">
        <v>4.9119999999999999</v>
      </c>
      <c r="S1322" t="str">
        <f>TEXT(sales_data[[#This Row],[Order Date]],"mm")</f>
        <v>09</v>
      </c>
      <c r="T1322">
        <f>YEAR(sales_data[[#This Row],[Order Date]])</f>
        <v>2017</v>
      </c>
      <c r="V1322" t="s">
        <v>4933</v>
      </c>
    </row>
    <row r="1323" spans="1:22" x14ac:dyDescent="0.35">
      <c r="A1323">
        <v>2373</v>
      </c>
      <c r="B1323" t="s">
        <v>4935</v>
      </c>
      <c r="C1323" s="1">
        <v>42923</v>
      </c>
      <c r="D1323" s="1">
        <v>42927</v>
      </c>
      <c r="E1323" t="s">
        <v>19</v>
      </c>
      <c r="F1323" t="s">
        <v>2369</v>
      </c>
      <c r="G1323" t="s">
        <v>2370</v>
      </c>
      <c r="H1323" t="s">
        <v>37</v>
      </c>
      <c r="I1323" t="s">
        <v>23</v>
      </c>
      <c r="J1323" t="s">
        <v>451</v>
      </c>
      <c r="K1323" t="s">
        <v>206</v>
      </c>
      <c r="L1323">
        <v>60505</v>
      </c>
      <c r="M1323" t="s">
        <v>101</v>
      </c>
      <c r="N1323" t="s">
        <v>4936</v>
      </c>
      <c r="O1323" t="s">
        <v>42</v>
      </c>
      <c r="P1323" t="s">
        <v>264</v>
      </c>
      <c r="Q1323" t="s">
        <v>4937</v>
      </c>
      <c r="R1323">
        <v>2.6320000000000001</v>
      </c>
      <c r="S1323" t="str">
        <f>TEXT(sales_data[[#This Row],[Order Date]],"mm")</f>
        <v>07</v>
      </c>
      <c r="T1323">
        <f>YEAR(sales_data[[#This Row],[Order Date]])</f>
        <v>2017</v>
      </c>
      <c r="V1323" t="s">
        <v>4936</v>
      </c>
    </row>
    <row r="1324" spans="1:22" x14ac:dyDescent="0.35">
      <c r="A1324">
        <v>2378</v>
      </c>
      <c r="B1324" t="s">
        <v>4938</v>
      </c>
      <c r="C1324" s="1">
        <v>42235</v>
      </c>
      <c r="D1324" s="1">
        <v>42237</v>
      </c>
      <c r="E1324" t="s">
        <v>19</v>
      </c>
      <c r="F1324" t="s">
        <v>3800</v>
      </c>
      <c r="G1324" t="s">
        <v>3801</v>
      </c>
      <c r="H1324" t="s">
        <v>22</v>
      </c>
      <c r="I1324" t="s">
        <v>23</v>
      </c>
      <c r="J1324" t="s">
        <v>492</v>
      </c>
      <c r="K1324" t="s">
        <v>493</v>
      </c>
      <c r="L1324">
        <v>43229</v>
      </c>
      <c r="M1324" t="s">
        <v>144</v>
      </c>
      <c r="N1324" t="s">
        <v>4939</v>
      </c>
      <c r="O1324" t="s">
        <v>42</v>
      </c>
      <c r="P1324" t="s">
        <v>573</v>
      </c>
      <c r="Q1324" t="s">
        <v>4940</v>
      </c>
      <c r="R1324">
        <v>9.1839999999999993</v>
      </c>
      <c r="S1324" t="str">
        <f>TEXT(sales_data[[#This Row],[Order Date]],"mm")</f>
        <v>08</v>
      </c>
      <c r="T1324">
        <f>YEAR(sales_data[[#This Row],[Order Date]])</f>
        <v>2015</v>
      </c>
      <c r="V1324" t="s">
        <v>4939</v>
      </c>
    </row>
    <row r="1325" spans="1:22" x14ac:dyDescent="0.35">
      <c r="A1325">
        <v>2381</v>
      </c>
      <c r="B1325" t="s">
        <v>4941</v>
      </c>
      <c r="C1325" s="1">
        <v>42861</v>
      </c>
      <c r="D1325" s="1">
        <v>42865</v>
      </c>
      <c r="E1325" t="s">
        <v>46</v>
      </c>
      <c r="F1325" t="s">
        <v>4250</v>
      </c>
      <c r="G1325" t="s">
        <v>4251</v>
      </c>
      <c r="H1325" t="s">
        <v>98</v>
      </c>
      <c r="I1325" t="s">
        <v>23</v>
      </c>
      <c r="J1325" t="s">
        <v>2579</v>
      </c>
      <c r="K1325" t="s">
        <v>493</v>
      </c>
      <c r="L1325">
        <v>44052</v>
      </c>
      <c r="M1325" t="s">
        <v>144</v>
      </c>
      <c r="N1325" t="s">
        <v>4942</v>
      </c>
      <c r="O1325" t="s">
        <v>42</v>
      </c>
      <c r="P1325" t="s">
        <v>86</v>
      </c>
      <c r="Q1325" t="s">
        <v>4943</v>
      </c>
      <c r="R1325">
        <v>49.567999999999998</v>
      </c>
      <c r="S1325" t="str">
        <f>TEXT(sales_data[[#This Row],[Order Date]],"mm")</f>
        <v>05</v>
      </c>
      <c r="T1325">
        <f>YEAR(sales_data[[#This Row],[Order Date]])</f>
        <v>2017</v>
      </c>
      <c r="V1325" t="s">
        <v>4942</v>
      </c>
    </row>
    <row r="1326" spans="1:22" x14ac:dyDescent="0.35">
      <c r="A1326">
        <v>2383</v>
      </c>
      <c r="B1326" t="s">
        <v>4944</v>
      </c>
      <c r="C1326" s="1">
        <v>43184</v>
      </c>
      <c r="D1326" s="1">
        <v>43185</v>
      </c>
      <c r="E1326" t="s">
        <v>183</v>
      </c>
      <c r="F1326" t="s">
        <v>4945</v>
      </c>
      <c r="G1326" t="s">
        <v>4946</v>
      </c>
      <c r="H1326" t="s">
        <v>22</v>
      </c>
      <c r="I1326" t="s">
        <v>23</v>
      </c>
      <c r="J1326" t="s">
        <v>3369</v>
      </c>
      <c r="K1326" t="s">
        <v>39</v>
      </c>
      <c r="L1326">
        <v>93727</v>
      </c>
      <c r="M1326" t="s">
        <v>40</v>
      </c>
      <c r="N1326" t="s">
        <v>4947</v>
      </c>
      <c r="O1326" t="s">
        <v>42</v>
      </c>
      <c r="P1326" t="s">
        <v>74</v>
      </c>
      <c r="Q1326" t="s">
        <v>4948</v>
      </c>
      <c r="R1326">
        <v>176.04</v>
      </c>
      <c r="S1326" t="str">
        <f>TEXT(sales_data[[#This Row],[Order Date]],"mm")</f>
        <v>03</v>
      </c>
      <c r="T1326">
        <f>YEAR(sales_data[[#This Row],[Order Date]])</f>
        <v>2018</v>
      </c>
      <c r="V1326" t="s">
        <v>4947</v>
      </c>
    </row>
    <row r="1327" spans="1:22" x14ac:dyDescent="0.35">
      <c r="A1327">
        <v>2384</v>
      </c>
      <c r="B1327" t="s">
        <v>4944</v>
      </c>
      <c r="C1327" s="1">
        <v>43184</v>
      </c>
      <c r="D1327" s="1">
        <v>43185</v>
      </c>
      <c r="E1327" t="s">
        <v>183</v>
      </c>
      <c r="F1327" t="s">
        <v>4945</v>
      </c>
      <c r="G1327" t="s">
        <v>4946</v>
      </c>
      <c r="H1327" t="s">
        <v>22</v>
      </c>
      <c r="I1327" t="s">
        <v>23</v>
      </c>
      <c r="J1327" t="s">
        <v>3369</v>
      </c>
      <c r="K1327" t="s">
        <v>39</v>
      </c>
      <c r="L1327">
        <v>93727</v>
      </c>
      <c r="M1327" t="s">
        <v>40</v>
      </c>
      <c r="N1327" t="s">
        <v>4949</v>
      </c>
      <c r="O1327" t="s">
        <v>42</v>
      </c>
      <c r="P1327" t="s">
        <v>64</v>
      </c>
      <c r="Q1327" t="s">
        <v>2947</v>
      </c>
      <c r="R1327">
        <v>16.02</v>
      </c>
      <c r="S1327" t="str">
        <f>TEXT(sales_data[[#This Row],[Order Date]],"mm")</f>
        <v>03</v>
      </c>
      <c r="T1327">
        <f>YEAR(sales_data[[#This Row],[Order Date]])</f>
        <v>2018</v>
      </c>
      <c r="V1327" t="s">
        <v>4949</v>
      </c>
    </row>
    <row r="1328" spans="1:22" x14ac:dyDescent="0.35">
      <c r="A1328">
        <v>2386</v>
      </c>
      <c r="B1328" t="s">
        <v>4944</v>
      </c>
      <c r="C1328" s="1">
        <v>43184</v>
      </c>
      <c r="D1328" s="1">
        <v>43185</v>
      </c>
      <c r="E1328" t="s">
        <v>183</v>
      </c>
      <c r="F1328" t="s">
        <v>4945</v>
      </c>
      <c r="G1328" t="s">
        <v>4946</v>
      </c>
      <c r="H1328" t="s">
        <v>22</v>
      </c>
      <c r="I1328" t="s">
        <v>23</v>
      </c>
      <c r="J1328" t="s">
        <v>3369</v>
      </c>
      <c r="K1328" t="s">
        <v>39</v>
      </c>
      <c r="L1328">
        <v>93727</v>
      </c>
      <c r="M1328" t="s">
        <v>40</v>
      </c>
      <c r="N1328" t="s">
        <v>4950</v>
      </c>
      <c r="O1328" t="s">
        <v>67</v>
      </c>
      <c r="P1328" t="s">
        <v>68</v>
      </c>
      <c r="Q1328" t="s">
        <v>4951</v>
      </c>
      <c r="R1328">
        <v>211.16800000000001</v>
      </c>
      <c r="S1328" t="str">
        <f>TEXT(sales_data[[#This Row],[Order Date]],"mm")</f>
        <v>03</v>
      </c>
      <c r="T1328">
        <f>YEAR(sales_data[[#This Row],[Order Date]])</f>
        <v>2018</v>
      </c>
      <c r="V1328" t="s">
        <v>4950</v>
      </c>
    </row>
    <row r="1329" spans="1:22" x14ac:dyDescent="0.35">
      <c r="A1329">
        <v>2387</v>
      </c>
      <c r="B1329" t="s">
        <v>4944</v>
      </c>
      <c r="C1329" s="1">
        <v>43184</v>
      </c>
      <c r="D1329" s="1">
        <v>43185</v>
      </c>
      <c r="E1329" t="s">
        <v>183</v>
      </c>
      <c r="F1329" t="s">
        <v>4945</v>
      </c>
      <c r="G1329" t="s">
        <v>4946</v>
      </c>
      <c r="H1329" t="s">
        <v>22</v>
      </c>
      <c r="I1329" t="s">
        <v>23</v>
      </c>
      <c r="J1329" t="s">
        <v>3369</v>
      </c>
      <c r="K1329" t="s">
        <v>39</v>
      </c>
      <c r="L1329">
        <v>93727</v>
      </c>
      <c r="M1329" t="s">
        <v>40</v>
      </c>
      <c r="N1329" t="s">
        <v>4952</v>
      </c>
      <c r="O1329" t="s">
        <v>67</v>
      </c>
      <c r="P1329" t="s">
        <v>1209</v>
      </c>
      <c r="Q1329" t="s">
        <v>4953</v>
      </c>
      <c r="R1329">
        <v>479.98399999999998</v>
      </c>
      <c r="S1329" t="str">
        <f>TEXT(sales_data[[#This Row],[Order Date]],"mm")</f>
        <v>03</v>
      </c>
      <c r="T1329">
        <f>YEAR(sales_data[[#This Row],[Order Date]])</f>
        <v>2018</v>
      </c>
      <c r="V1329" t="s">
        <v>4952</v>
      </c>
    </row>
    <row r="1330" spans="1:22" x14ac:dyDescent="0.35">
      <c r="A1330">
        <v>2388</v>
      </c>
      <c r="B1330" t="s">
        <v>4954</v>
      </c>
      <c r="C1330" s="1">
        <v>42716</v>
      </c>
      <c r="D1330" s="1">
        <v>42719</v>
      </c>
      <c r="E1330" t="s">
        <v>183</v>
      </c>
      <c r="F1330" t="s">
        <v>4754</v>
      </c>
      <c r="G1330" t="s">
        <v>4755</v>
      </c>
      <c r="H1330" t="s">
        <v>22</v>
      </c>
      <c r="I1330" t="s">
        <v>23</v>
      </c>
      <c r="J1330" t="s">
        <v>940</v>
      </c>
      <c r="K1330" t="s">
        <v>39</v>
      </c>
      <c r="L1330">
        <v>92105</v>
      </c>
      <c r="M1330" t="s">
        <v>40</v>
      </c>
      <c r="N1330" t="s">
        <v>4955</v>
      </c>
      <c r="O1330" t="s">
        <v>42</v>
      </c>
      <c r="P1330" t="s">
        <v>264</v>
      </c>
      <c r="Q1330" t="s">
        <v>557</v>
      </c>
      <c r="R1330">
        <v>7.86</v>
      </c>
      <c r="S1330" t="str">
        <f>TEXT(sales_data[[#This Row],[Order Date]],"mm")</f>
        <v>12</v>
      </c>
      <c r="T1330">
        <f>YEAR(sales_data[[#This Row],[Order Date]])</f>
        <v>2016</v>
      </c>
      <c r="V1330" t="s">
        <v>4955</v>
      </c>
    </row>
    <row r="1331" spans="1:22" x14ac:dyDescent="0.35">
      <c r="A1331">
        <v>2389</v>
      </c>
      <c r="B1331" t="s">
        <v>4954</v>
      </c>
      <c r="C1331" s="1">
        <v>42716</v>
      </c>
      <c r="D1331" s="1">
        <v>42719</v>
      </c>
      <c r="E1331" t="s">
        <v>183</v>
      </c>
      <c r="F1331" t="s">
        <v>4754</v>
      </c>
      <c r="G1331" t="s">
        <v>4755</v>
      </c>
      <c r="H1331" t="s">
        <v>22</v>
      </c>
      <c r="I1331" t="s">
        <v>23</v>
      </c>
      <c r="J1331" t="s">
        <v>940</v>
      </c>
      <c r="K1331" t="s">
        <v>39</v>
      </c>
      <c r="L1331">
        <v>92105</v>
      </c>
      <c r="M1331" t="s">
        <v>40</v>
      </c>
      <c r="N1331" t="s">
        <v>4956</v>
      </c>
      <c r="O1331" t="s">
        <v>42</v>
      </c>
      <c r="P1331" t="s">
        <v>71</v>
      </c>
      <c r="Q1331" t="s">
        <v>4957</v>
      </c>
      <c r="R1331">
        <v>24.448</v>
      </c>
      <c r="S1331" t="str">
        <f>TEXT(sales_data[[#This Row],[Order Date]],"mm")</f>
        <v>12</v>
      </c>
      <c r="T1331">
        <f>YEAR(sales_data[[#This Row],[Order Date]])</f>
        <v>2016</v>
      </c>
      <c r="V1331" t="s">
        <v>4956</v>
      </c>
    </row>
    <row r="1332" spans="1:22" x14ac:dyDescent="0.35">
      <c r="A1332">
        <v>2390</v>
      </c>
      <c r="B1332" t="s">
        <v>4958</v>
      </c>
      <c r="C1332" s="1">
        <v>42710</v>
      </c>
      <c r="D1332" s="1">
        <v>42714</v>
      </c>
      <c r="E1332" t="s">
        <v>46</v>
      </c>
      <c r="F1332" t="s">
        <v>4959</v>
      </c>
      <c r="G1332" t="s">
        <v>4960</v>
      </c>
      <c r="H1332" t="s">
        <v>22</v>
      </c>
      <c r="I1332" t="s">
        <v>23</v>
      </c>
      <c r="J1332" t="s">
        <v>261</v>
      </c>
      <c r="K1332" t="s">
        <v>262</v>
      </c>
      <c r="L1332">
        <v>10009</v>
      </c>
      <c r="M1332" t="s">
        <v>144</v>
      </c>
      <c r="N1332" t="s">
        <v>4961</v>
      </c>
      <c r="O1332" t="s">
        <v>42</v>
      </c>
      <c r="P1332" t="s">
        <v>86</v>
      </c>
      <c r="Q1332" t="s">
        <v>4962</v>
      </c>
      <c r="R1332">
        <v>6.48</v>
      </c>
      <c r="S1332" t="str">
        <f>TEXT(sales_data[[#This Row],[Order Date]],"mm")</f>
        <v>12</v>
      </c>
      <c r="T1332">
        <f>YEAR(sales_data[[#This Row],[Order Date]])</f>
        <v>2016</v>
      </c>
      <c r="V1332" t="s">
        <v>4961</v>
      </c>
    </row>
    <row r="1333" spans="1:22" x14ac:dyDescent="0.35">
      <c r="A1333">
        <v>2391</v>
      </c>
      <c r="B1333" t="s">
        <v>4958</v>
      </c>
      <c r="C1333" s="1">
        <v>42710</v>
      </c>
      <c r="D1333" s="1">
        <v>42714</v>
      </c>
      <c r="E1333" t="s">
        <v>46</v>
      </c>
      <c r="F1333" t="s">
        <v>4959</v>
      </c>
      <c r="G1333" t="s">
        <v>4960</v>
      </c>
      <c r="H1333" t="s">
        <v>22</v>
      </c>
      <c r="I1333" t="s">
        <v>23</v>
      </c>
      <c r="J1333" t="s">
        <v>261</v>
      </c>
      <c r="K1333" t="s">
        <v>262</v>
      </c>
      <c r="L1333">
        <v>10009</v>
      </c>
      <c r="M1333" t="s">
        <v>144</v>
      </c>
      <c r="N1333" t="s">
        <v>4963</v>
      </c>
      <c r="O1333" t="s">
        <v>42</v>
      </c>
      <c r="P1333" t="s">
        <v>86</v>
      </c>
      <c r="Q1333" t="s">
        <v>4964</v>
      </c>
      <c r="R1333">
        <v>41.86</v>
      </c>
      <c r="S1333" t="str">
        <f>TEXT(sales_data[[#This Row],[Order Date]],"mm")</f>
        <v>12</v>
      </c>
      <c r="T1333">
        <f>YEAR(sales_data[[#This Row],[Order Date]])</f>
        <v>2016</v>
      </c>
      <c r="V1333" t="s">
        <v>4963</v>
      </c>
    </row>
    <row r="1334" spans="1:22" x14ac:dyDescent="0.35">
      <c r="A1334">
        <v>2392</v>
      </c>
      <c r="B1334" t="s">
        <v>4958</v>
      </c>
      <c r="C1334" s="1">
        <v>42710</v>
      </c>
      <c r="D1334" s="1">
        <v>42714</v>
      </c>
      <c r="E1334" t="s">
        <v>46</v>
      </c>
      <c r="F1334" t="s">
        <v>4959</v>
      </c>
      <c r="G1334" t="s">
        <v>4960</v>
      </c>
      <c r="H1334" t="s">
        <v>22</v>
      </c>
      <c r="I1334" t="s">
        <v>23</v>
      </c>
      <c r="J1334" t="s">
        <v>261</v>
      </c>
      <c r="K1334" t="s">
        <v>262</v>
      </c>
      <c r="L1334">
        <v>10009</v>
      </c>
      <c r="M1334" t="s">
        <v>144</v>
      </c>
      <c r="N1334" t="s">
        <v>4965</v>
      </c>
      <c r="O1334" t="s">
        <v>67</v>
      </c>
      <c r="P1334" t="s">
        <v>156</v>
      </c>
      <c r="Q1334" t="s">
        <v>4966</v>
      </c>
      <c r="R1334">
        <v>1619.91</v>
      </c>
      <c r="S1334" t="str">
        <f>TEXT(sales_data[[#This Row],[Order Date]],"mm")</f>
        <v>12</v>
      </c>
      <c r="T1334">
        <f>YEAR(sales_data[[#This Row],[Order Date]])</f>
        <v>2016</v>
      </c>
      <c r="V1334" t="s">
        <v>4965</v>
      </c>
    </row>
    <row r="1335" spans="1:22" x14ac:dyDescent="0.35">
      <c r="A1335">
        <v>2404</v>
      </c>
      <c r="B1335" t="s">
        <v>4968</v>
      </c>
      <c r="C1335" s="1">
        <v>43005</v>
      </c>
      <c r="D1335" s="1">
        <v>43011</v>
      </c>
      <c r="E1335" t="s">
        <v>46</v>
      </c>
      <c r="F1335" t="s">
        <v>3592</v>
      </c>
      <c r="G1335" t="s">
        <v>3593</v>
      </c>
      <c r="H1335" t="s">
        <v>37</v>
      </c>
      <c r="I1335" t="s">
        <v>23</v>
      </c>
      <c r="J1335" t="s">
        <v>1666</v>
      </c>
      <c r="K1335" t="s">
        <v>100</v>
      </c>
      <c r="L1335">
        <v>77340</v>
      </c>
      <c r="M1335" t="s">
        <v>101</v>
      </c>
      <c r="N1335" t="s">
        <v>4969</v>
      </c>
      <c r="O1335" t="s">
        <v>28</v>
      </c>
      <c r="P1335" t="s">
        <v>29</v>
      </c>
      <c r="Q1335" t="s">
        <v>4970</v>
      </c>
      <c r="R1335">
        <v>956.66480000000001</v>
      </c>
      <c r="S1335" t="str">
        <f>TEXT(sales_data[[#This Row],[Order Date]],"mm")</f>
        <v>09</v>
      </c>
      <c r="T1335">
        <f>YEAR(sales_data[[#This Row],[Order Date]])</f>
        <v>2017</v>
      </c>
      <c r="V1335" t="s">
        <v>4969</v>
      </c>
    </row>
    <row r="1336" spans="1:22" x14ac:dyDescent="0.35">
      <c r="A1336">
        <v>2409</v>
      </c>
      <c r="B1336" t="s">
        <v>4971</v>
      </c>
      <c r="C1336" s="1">
        <v>43120</v>
      </c>
      <c r="D1336" s="1">
        <v>43125</v>
      </c>
      <c r="E1336" t="s">
        <v>46</v>
      </c>
      <c r="F1336" t="s">
        <v>4972</v>
      </c>
      <c r="G1336" t="s">
        <v>4973</v>
      </c>
      <c r="H1336" t="s">
        <v>22</v>
      </c>
      <c r="I1336" t="s">
        <v>23</v>
      </c>
      <c r="J1336" t="s">
        <v>123</v>
      </c>
      <c r="K1336" t="s">
        <v>39</v>
      </c>
      <c r="L1336">
        <v>94122</v>
      </c>
      <c r="M1336" t="s">
        <v>40</v>
      </c>
      <c r="N1336" t="s">
        <v>4974</v>
      </c>
      <c r="O1336" t="s">
        <v>67</v>
      </c>
      <c r="P1336" t="s">
        <v>68</v>
      </c>
      <c r="Q1336" t="s">
        <v>4975</v>
      </c>
      <c r="R1336">
        <v>359.976</v>
      </c>
      <c r="S1336" t="str">
        <f>TEXT(sales_data[[#This Row],[Order Date]],"mm")</f>
        <v>01</v>
      </c>
      <c r="T1336">
        <f>YEAR(sales_data[[#This Row],[Order Date]])</f>
        <v>2018</v>
      </c>
      <c r="V1336" t="s">
        <v>4974</v>
      </c>
    </row>
    <row r="1337" spans="1:22" x14ac:dyDescent="0.35">
      <c r="A1337">
        <v>2419</v>
      </c>
      <c r="B1337" t="s">
        <v>4980</v>
      </c>
      <c r="C1337" s="1">
        <v>42876</v>
      </c>
      <c r="D1337" s="1">
        <v>42883</v>
      </c>
      <c r="E1337" t="s">
        <v>46</v>
      </c>
      <c r="F1337" t="s">
        <v>203</v>
      </c>
      <c r="G1337" t="s">
        <v>204</v>
      </c>
      <c r="H1337" t="s">
        <v>37</v>
      </c>
      <c r="I1337" t="s">
        <v>23</v>
      </c>
      <c r="J1337" t="s">
        <v>4981</v>
      </c>
      <c r="K1337" t="s">
        <v>1380</v>
      </c>
      <c r="L1337">
        <v>89431</v>
      </c>
      <c r="M1337" t="s">
        <v>40</v>
      </c>
      <c r="N1337" t="s">
        <v>4982</v>
      </c>
      <c r="O1337" t="s">
        <v>67</v>
      </c>
      <c r="P1337" t="s">
        <v>675</v>
      </c>
      <c r="Q1337" t="s">
        <v>4983</v>
      </c>
      <c r="R1337">
        <v>2396.4</v>
      </c>
      <c r="S1337" t="str">
        <f>TEXT(sales_data[[#This Row],[Order Date]],"mm")</f>
        <v>05</v>
      </c>
      <c r="T1337">
        <f>YEAR(sales_data[[#This Row],[Order Date]])</f>
        <v>2017</v>
      </c>
      <c r="V1337" t="s">
        <v>4982</v>
      </c>
    </row>
    <row r="1338" spans="1:22" x14ac:dyDescent="0.35">
      <c r="A1338">
        <v>2421</v>
      </c>
      <c r="B1338" t="s">
        <v>4984</v>
      </c>
      <c r="C1338" s="1">
        <v>43413</v>
      </c>
      <c r="D1338" s="1">
        <v>43418</v>
      </c>
      <c r="E1338" t="s">
        <v>46</v>
      </c>
      <c r="F1338" t="s">
        <v>4577</v>
      </c>
      <c r="G1338" t="s">
        <v>4578</v>
      </c>
      <c r="H1338" t="s">
        <v>37</v>
      </c>
      <c r="I1338" t="s">
        <v>23</v>
      </c>
      <c r="J1338" t="s">
        <v>4985</v>
      </c>
      <c r="K1338" t="s">
        <v>39</v>
      </c>
      <c r="L1338">
        <v>92236</v>
      </c>
      <c r="M1338" t="s">
        <v>40</v>
      </c>
      <c r="N1338" t="s">
        <v>4986</v>
      </c>
      <c r="O1338" t="s">
        <v>67</v>
      </c>
      <c r="P1338" t="s">
        <v>156</v>
      </c>
      <c r="Q1338" t="s">
        <v>4987</v>
      </c>
      <c r="R1338">
        <v>99.99</v>
      </c>
      <c r="S1338" t="str">
        <f>TEXT(sales_data[[#This Row],[Order Date]],"mm")</f>
        <v>11</v>
      </c>
      <c r="T1338">
        <f>YEAR(sales_data[[#This Row],[Order Date]])</f>
        <v>2018</v>
      </c>
      <c r="V1338" t="s">
        <v>4986</v>
      </c>
    </row>
    <row r="1339" spans="1:22" x14ac:dyDescent="0.35">
      <c r="A1339">
        <v>2426</v>
      </c>
      <c r="B1339" t="s">
        <v>4989</v>
      </c>
      <c r="C1339" s="1">
        <v>43459</v>
      </c>
      <c r="D1339" s="1">
        <v>43464</v>
      </c>
      <c r="E1339" t="s">
        <v>46</v>
      </c>
      <c r="F1339" t="s">
        <v>4863</v>
      </c>
      <c r="G1339" t="s">
        <v>4864</v>
      </c>
      <c r="H1339" t="s">
        <v>22</v>
      </c>
      <c r="I1339" t="s">
        <v>23</v>
      </c>
      <c r="J1339" t="s">
        <v>739</v>
      </c>
      <c r="K1339" t="s">
        <v>493</v>
      </c>
      <c r="L1339">
        <v>45014</v>
      </c>
      <c r="M1339" t="s">
        <v>144</v>
      </c>
      <c r="N1339" t="s">
        <v>4990</v>
      </c>
      <c r="O1339" t="s">
        <v>28</v>
      </c>
      <c r="P1339" t="s">
        <v>52</v>
      </c>
      <c r="Q1339" t="s">
        <v>4991</v>
      </c>
      <c r="R1339">
        <v>273.06</v>
      </c>
      <c r="S1339" t="str">
        <f>TEXT(sales_data[[#This Row],[Order Date]],"mm")</f>
        <v>12</v>
      </c>
      <c r="T1339">
        <f>YEAR(sales_data[[#This Row],[Order Date]])</f>
        <v>2018</v>
      </c>
      <c r="V1339" t="s">
        <v>4990</v>
      </c>
    </row>
    <row r="1340" spans="1:22" x14ac:dyDescent="0.35">
      <c r="A1340">
        <v>2428</v>
      </c>
      <c r="B1340" t="s">
        <v>4992</v>
      </c>
      <c r="C1340" s="1">
        <v>42897</v>
      </c>
      <c r="D1340" s="1">
        <v>42903</v>
      </c>
      <c r="E1340" t="s">
        <v>46</v>
      </c>
      <c r="F1340" t="s">
        <v>765</v>
      </c>
      <c r="G1340" t="s">
        <v>766</v>
      </c>
      <c r="H1340" t="s">
        <v>37</v>
      </c>
      <c r="I1340" t="s">
        <v>23</v>
      </c>
      <c r="J1340" t="s">
        <v>1120</v>
      </c>
      <c r="K1340" t="s">
        <v>100</v>
      </c>
      <c r="L1340">
        <v>76017</v>
      </c>
      <c r="M1340" t="s">
        <v>101</v>
      </c>
      <c r="N1340" t="s">
        <v>4993</v>
      </c>
      <c r="O1340" t="s">
        <v>42</v>
      </c>
      <c r="P1340" t="s">
        <v>71</v>
      </c>
      <c r="Q1340" t="s">
        <v>4994</v>
      </c>
      <c r="R1340">
        <v>1.3440000000000001</v>
      </c>
      <c r="S1340" t="str">
        <f>TEXT(sales_data[[#This Row],[Order Date]],"mm")</f>
        <v>06</v>
      </c>
      <c r="T1340">
        <f>YEAR(sales_data[[#This Row],[Order Date]])</f>
        <v>2017</v>
      </c>
      <c r="V1340" t="s">
        <v>4993</v>
      </c>
    </row>
    <row r="1341" spans="1:22" x14ac:dyDescent="0.35">
      <c r="A1341">
        <v>2429</v>
      </c>
      <c r="B1341" t="s">
        <v>4992</v>
      </c>
      <c r="C1341" s="1">
        <v>42897</v>
      </c>
      <c r="D1341" s="1">
        <v>42903</v>
      </c>
      <c r="E1341" t="s">
        <v>46</v>
      </c>
      <c r="F1341" t="s">
        <v>765</v>
      </c>
      <c r="G1341" t="s">
        <v>766</v>
      </c>
      <c r="H1341" t="s">
        <v>37</v>
      </c>
      <c r="I1341" t="s">
        <v>23</v>
      </c>
      <c r="J1341" t="s">
        <v>1120</v>
      </c>
      <c r="K1341" t="s">
        <v>100</v>
      </c>
      <c r="L1341">
        <v>76017</v>
      </c>
      <c r="M1341" t="s">
        <v>101</v>
      </c>
      <c r="N1341" t="s">
        <v>4995</v>
      </c>
      <c r="O1341" t="s">
        <v>42</v>
      </c>
      <c r="P1341" t="s">
        <v>71</v>
      </c>
      <c r="Q1341" t="s">
        <v>4996</v>
      </c>
      <c r="R1341">
        <v>8.2720000000000002</v>
      </c>
      <c r="S1341" t="str">
        <f>TEXT(sales_data[[#This Row],[Order Date]],"mm")</f>
        <v>06</v>
      </c>
      <c r="T1341">
        <f>YEAR(sales_data[[#This Row],[Order Date]])</f>
        <v>2017</v>
      </c>
      <c r="V1341" t="s">
        <v>4995</v>
      </c>
    </row>
    <row r="1342" spans="1:22" x14ac:dyDescent="0.35">
      <c r="A1342">
        <v>2433</v>
      </c>
      <c r="B1342" t="s">
        <v>4997</v>
      </c>
      <c r="C1342" s="1">
        <v>42088</v>
      </c>
      <c r="D1342" s="1">
        <v>42095</v>
      </c>
      <c r="E1342" t="s">
        <v>46</v>
      </c>
      <c r="F1342" t="s">
        <v>4998</v>
      </c>
      <c r="G1342" t="s">
        <v>4999</v>
      </c>
      <c r="H1342" t="s">
        <v>22</v>
      </c>
      <c r="I1342" t="s">
        <v>23</v>
      </c>
      <c r="J1342" t="s">
        <v>261</v>
      </c>
      <c r="K1342" t="s">
        <v>262</v>
      </c>
      <c r="L1342">
        <v>10009</v>
      </c>
      <c r="M1342" t="s">
        <v>144</v>
      </c>
      <c r="N1342" t="s">
        <v>5000</v>
      </c>
      <c r="O1342" t="s">
        <v>28</v>
      </c>
      <c r="P1342" t="s">
        <v>32</v>
      </c>
      <c r="Q1342" t="s">
        <v>5001</v>
      </c>
      <c r="R1342">
        <v>366.786</v>
      </c>
      <c r="S1342" t="str">
        <f>TEXT(sales_data[[#This Row],[Order Date]],"mm")</f>
        <v>03</v>
      </c>
      <c r="T1342">
        <f>YEAR(sales_data[[#This Row],[Order Date]])</f>
        <v>2015</v>
      </c>
      <c r="V1342" t="s">
        <v>5000</v>
      </c>
    </row>
    <row r="1343" spans="1:22" x14ac:dyDescent="0.35">
      <c r="A1343">
        <v>2436</v>
      </c>
      <c r="B1343" t="s">
        <v>5002</v>
      </c>
      <c r="C1343" s="1">
        <v>42688</v>
      </c>
      <c r="D1343" s="1">
        <v>42691</v>
      </c>
      <c r="E1343" t="s">
        <v>183</v>
      </c>
      <c r="F1343" t="s">
        <v>4845</v>
      </c>
      <c r="G1343" t="s">
        <v>4846</v>
      </c>
      <c r="H1343" t="s">
        <v>37</v>
      </c>
      <c r="I1343" t="s">
        <v>23</v>
      </c>
      <c r="J1343" t="s">
        <v>313</v>
      </c>
      <c r="K1343" t="s">
        <v>314</v>
      </c>
      <c r="L1343">
        <v>22153</v>
      </c>
      <c r="M1343" t="s">
        <v>26</v>
      </c>
      <c r="N1343" t="s">
        <v>5003</v>
      </c>
      <c r="O1343" t="s">
        <v>42</v>
      </c>
      <c r="P1343" t="s">
        <v>74</v>
      </c>
      <c r="Q1343" t="s">
        <v>5004</v>
      </c>
      <c r="R1343">
        <v>826.11</v>
      </c>
      <c r="S1343" t="str">
        <f>TEXT(sales_data[[#This Row],[Order Date]],"mm")</f>
        <v>11</v>
      </c>
      <c r="T1343">
        <f>YEAR(sales_data[[#This Row],[Order Date]])</f>
        <v>2016</v>
      </c>
      <c r="V1343" t="s">
        <v>5003</v>
      </c>
    </row>
    <row r="1344" spans="1:22" x14ac:dyDescent="0.35">
      <c r="A1344">
        <v>2438</v>
      </c>
      <c r="B1344" t="s">
        <v>5005</v>
      </c>
      <c r="C1344" s="1">
        <v>42326</v>
      </c>
      <c r="D1344" s="1">
        <v>42328</v>
      </c>
      <c r="E1344" t="s">
        <v>19</v>
      </c>
      <c r="F1344" t="s">
        <v>5006</v>
      </c>
      <c r="G1344" t="s">
        <v>5007</v>
      </c>
      <c r="H1344" t="s">
        <v>22</v>
      </c>
      <c r="I1344" t="s">
        <v>23</v>
      </c>
      <c r="J1344" t="s">
        <v>1461</v>
      </c>
      <c r="K1344" t="s">
        <v>452</v>
      </c>
      <c r="L1344">
        <v>80027</v>
      </c>
      <c r="M1344" t="s">
        <v>40</v>
      </c>
      <c r="N1344" t="s">
        <v>5008</v>
      </c>
      <c r="O1344" t="s">
        <v>28</v>
      </c>
      <c r="P1344" t="s">
        <v>52</v>
      </c>
      <c r="Q1344" t="s">
        <v>5009</v>
      </c>
      <c r="R1344">
        <v>145.97999999999999</v>
      </c>
      <c r="S1344" t="str">
        <f>TEXT(sales_data[[#This Row],[Order Date]],"mm")</f>
        <v>11</v>
      </c>
      <c r="T1344">
        <f>YEAR(sales_data[[#This Row],[Order Date]])</f>
        <v>2015</v>
      </c>
      <c r="V1344" t="s">
        <v>5008</v>
      </c>
    </row>
    <row r="1345" spans="1:22" x14ac:dyDescent="0.35">
      <c r="A1345">
        <v>2445</v>
      </c>
      <c r="B1345" t="s">
        <v>5010</v>
      </c>
      <c r="C1345" s="1">
        <v>42877</v>
      </c>
      <c r="D1345" s="1">
        <v>42882</v>
      </c>
      <c r="E1345" t="s">
        <v>46</v>
      </c>
      <c r="F1345" t="s">
        <v>4688</v>
      </c>
      <c r="G1345" t="s">
        <v>4689</v>
      </c>
      <c r="H1345" t="s">
        <v>22</v>
      </c>
      <c r="I1345" t="s">
        <v>23</v>
      </c>
      <c r="J1345" t="s">
        <v>5011</v>
      </c>
      <c r="K1345" t="s">
        <v>780</v>
      </c>
      <c r="L1345">
        <v>7055</v>
      </c>
      <c r="M1345" t="s">
        <v>144</v>
      </c>
      <c r="N1345" t="s">
        <v>5012</v>
      </c>
      <c r="O1345" t="s">
        <v>42</v>
      </c>
      <c r="P1345" t="s">
        <v>168</v>
      </c>
      <c r="Q1345" t="s">
        <v>5013</v>
      </c>
      <c r="R1345">
        <v>26.88</v>
      </c>
      <c r="S1345" t="str">
        <f>TEXT(sales_data[[#This Row],[Order Date]],"mm")</f>
        <v>05</v>
      </c>
      <c r="T1345">
        <f>YEAR(sales_data[[#This Row],[Order Date]])</f>
        <v>2017</v>
      </c>
      <c r="V1345" t="s">
        <v>5012</v>
      </c>
    </row>
    <row r="1346" spans="1:22" x14ac:dyDescent="0.35">
      <c r="A1346">
        <v>2450</v>
      </c>
      <c r="B1346" t="s">
        <v>5014</v>
      </c>
      <c r="C1346" s="1">
        <v>43044</v>
      </c>
      <c r="D1346" s="1">
        <v>43049</v>
      </c>
      <c r="E1346" t="s">
        <v>46</v>
      </c>
      <c r="F1346" t="s">
        <v>372</v>
      </c>
      <c r="G1346" t="s">
        <v>373</v>
      </c>
      <c r="H1346" t="s">
        <v>98</v>
      </c>
      <c r="I1346" t="s">
        <v>23</v>
      </c>
      <c r="J1346" t="s">
        <v>623</v>
      </c>
      <c r="K1346" t="s">
        <v>39</v>
      </c>
      <c r="L1346">
        <v>95123</v>
      </c>
      <c r="M1346" t="s">
        <v>40</v>
      </c>
      <c r="N1346" t="s">
        <v>5015</v>
      </c>
      <c r="O1346" t="s">
        <v>42</v>
      </c>
      <c r="P1346" t="s">
        <v>71</v>
      </c>
      <c r="Q1346" t="s">
        <v>5016</v>
      </c>
      <c r="R1346">
        <v>29.12</v>
      </c>
      <c r="S1346" t="str">
        <f>TEXT(sales_data[[#This Row],[Order Date]],"mm")</f>
        <v>11</v>
      </c>
      <c r="T1346">
        <f>YEAR(sales_data[[#This Row],[Order Date]])</f>
        <v>2017</v>
      </c>
      <c r="V1346" t="s">
        <v>5015</v>
      </c>
    </row>
    <row r="1347" spans="1:22" x14ac:dyDescent="0.35">
      <c r="A1347">
        <v>2451</v>
      </c>
      <c r="B1347" t="s">
        <v>5017</v>
      </c>
      <c r="C1347" s="1">
        <v>43176</v>
      </c>
      <c r="D1347" s="1">
        <v>43181</v>
      </c>
      <c r="E1347" t="s">
        <v>19</v>
      </c>
      <c r="F1347" t="s">
        <v>4769</v>
      </c>
      <c r="G1347" t="s">
        <v>4770</v>
      </c>
      <c r="H1347" t="s">
        <v>22</v>
      </c>
      <c r="I1347" t="s">
        <v>23</v>
      </c>
      <c r="J1347" t="s">
        <v>261</v>
      </c>
      <c r="K1347" t="s">
        <v>262</v>
      </c>
      <c r="L1347">
        <v>10011</v>
      </c>
      <c r="M1347" t="s">
        <v>144</v>
      </c>
      <c r="N1347" t="s">
        <v>5018</v>
      </c>
      <c r="O1347" t="s">
        <v>42</v>
      </c>
      <c r="P1347" t="s">
        <v>43</v>
      </c>
      <c r="Q1347" t="s">
        <v>5019</v>
      </c>
      <c r="R1347">
        <v>18.75</v>
      </c>
      <c r="S1347" t="str">
        <f>TEXT(sales_data[[#This Row],[Order Date]],"mm")</f>
        <v>03</v>
      </c>
      <c r="T1347">
        <f>YEAR(sales_data[[#This Row],[Order Date]])</f>
        <v>2018</v>
      </c>
      <c r="V1347" t="s">
        <v>5018</v>
      </c>
    </row>
    <row r="1348" spans="1:22" x14ac:dyDescent="0.35">
      <c r="A1348">
        <v>2467</v>
      </c>
      <c r="B1348" t="s">
        <v>5022</v>
      </c>
      <c r="C1348" s="1">
        <v>43224</v>
      </c>
      <c r="D1348" s="1">
        <v>43228</v>
      </c>
      <c r="E1348" t="s">
        <v>46</v>
      </c>
      <c r="F1348" t="s">
        <v>1507</v>
      </c>
      <c r="G1348" t="s">
        <v>1508</v>
      </c>
      <c r="H1348" t="s">
        <v>22</v>
      </c>
      <c r="I1348" t="s">
        <v>23</v>
      </c>
      <c r="J1348" t="s">
        <v>5023</v>
      </c>
      <c r="K1348" t="s">
        <v>314</v>
      </c>
      <c r="L1348">
        <v>23602</v>
      </c>
      <c r="M1348" t="s">
        <v>26</v>
      </c>
      <c r="N1348" t="s">
        <v>5024</v>
      </c>
      <c r="O1348" t="s">
        <v>42</v>
      </c>
      <c r="P1348" t="s">
        <v>86</v>
      </c>
      <c r="Q1348" t="s">
        <v>5025</v>
      </c>
      <c r="R1348">
        <v>9.11</v>
      </c>
      <c r="S1348" t="str">
        <f>TEXT(sales_data[[#This Row],[Order Date]],"mm")</f>
        <v>05</v>
      </c>
      <c r="T1348">
        <f>YEAR(sales_data[[#This Row],[Order Date]])</f>
        <v>2018</v>
      </c>
      <c r="V1348" t="s">
        <v>5024</v>
      </c>
    </row>
    <row r="1349" spans="1:22" x14ac:dyDescent="0.35">
      <c r="A1349">
        <v>2469</v>
      </c>
      <c r="B1349" t="s">
        <v>5022</v>
      </c>
      <c r="C1349" s="1">
        <v>43224</v>
      </c>
      <c r="D1349" s="1">
        <v>43228</v>
      </c>
      <c r="E1349" t="s">
        <v>46</v>
      </c>
      <c r="F1349" t="s">
        <v>1507</v>
      </c>
      <c r="G1349" t="s">
        <v>1508</v>
      </c>
      <c r="H1349" t="s">
        <v>22</v>
      </c>
      <c r="I1349" t="s">
        <v>23</v>
      </c>
      <c r="J1349" t="s">
        <v>5023</v>
      </c>
      <c r="K1349" t="s">
        <v>314</v>
      </c>
      <c r="L1349">
        <v>23602</v>
      </c>
      <c r="M1349" t="s">
        <v>26</v>
      </c>
      <c r="N1349" t="s">
        <v>5026</v>
      </c>
      <c r="O1349" t="s">
        <v>42</v>
      </c>
      <c r="P1349" t="s">
        <v>86</v>
      </c>
      <c r="Q1349" t="s">
        <v>5027</v>
      </c>
      <c r="R1349">
        <v>32.4</v>
      </c>
      <c r="S1349" t="str">
        <f>TEXT(sales_data[[#This Row],[Order Date]],"mm")</f>
        <v>05</v>
      </c>
      <c r="T1349">
        <f>YEAR(sales_data[[#This Row],[Order Date]])</f>
        <v>2018</v>
      </c>
      <c r="V1349" t="s">
        <v>5026</v>
      </c>
    </row>
    <row r="1350" spans="1:22" x14ac:dyDescent="0.35">
      <c r="A1350">
        <v>2471</v>
      </c>
      <c r="B1350" t="s">
        <v>5028</v>
      </c>
      <c r="C1350" s="1">
        <v>42757</v>
      </c>
      <c r="D1350" s="1">
        <v>42763</v>
      </c>
      <c r="E1350" t="s">
        <v>46</v>
      </c>
      <c r="F1350" t="s">
        <v>5029</v>
      </c>
      <c r="G1350" t="s">
        <v>5030</v>
      </c>
      <c r="H1350" t="s">
        <v>22</v>
      </c>
      <c r="I1350" t="s">
        <v>23</v>
      </c>
      <c r="J1350" t="s">
        <v>1691</v>
      </c>
      <c r="K1350" t="s">
        <v>84</v>
      </c>
      <c r="L1350">
        <v>28314</v>
      </c>
      <c r="M1350" t="s">
        <v>26</v>
      </c>
      <c r="N1350" t="s">
        <v>5031</v>
      </c>
      <c r="O1350" t="s">
        <v>28</v>
      </c>
      <c r="P1350" t="s">
        <v>61</v>
      </c>
      <c r="Q1350" t="s">
        <v>5032</v>
      </c>
      <c r="R1350">
        <v>14.272</v>
      </c>
      <c r="S1350" t="str">
        <f>TEXT(sales_data[[#This Row],[Order Date]],"mm")</f>
        <v>01</v>
      </c>
      <c r="T1350">
        <f>YEAR(sales_data[[#This Row],[Order Date]])</f>
        <v>2017</v>
      </c>
      <c r="V1350" t="s">
        <v>5031</v>
      </c>
    </row>
    <row r="1351" spans="1:22" x14ac:dyDescent="0.35">
      <c r="A1351">
        <v>2474</v>
      </c>
      <c r="B1351" t="s">
        <v>5033</v>
      </c>
      <c r="C1351" s="1">
        <v>43042</v>
      </c>
      <c r="D1351" s="1">
        <v>43045</v>
      </c>
      <c r="E1351" t="s">
        <v>183</v>
      </c>
      <c r="F1351" t="s">
        <v>3407</v>
      </c>
      <c r="G1351" t="s">
        <v>3408</v>
      </c>
      <c r="H1351" t="s">
        <v>22</v>
      </c>
      <c r="I1351" t="s">
        <v>23</v>
      </c>
      <c r="J1351" t="s">
        <v>38</v>
      </c>
      <c r="K1351" t="s">
        <v>39</v>
      </c>
      <c r="L1351">
        <v>90032</v>
      </c>
      <c r="M1351" t="s">
        <v>40</v>
      </c>
      <c r="N1351" t="s">
        <v>5034</v>
      </c>
      <c r="O1351" t="s">
        <v>28</v>
      </c>
      <c r="P1351" t="s">
        <v>32</v>
      </c>
      <c r="Q1351" t="s">
        <v>5035</v>
      </c>
      <c r="R1351">
        <v>217.584</v>
      </c>
      <c r="S1351" t="str">
        <f>TEXT(sales_data[[#This Row],[Order Date]],"mm")</f>
        <v>11</v>
      </c>
      <c r="T1351">
        <f>YEAR(sales_data[[#This Row],[Order Date]])</f>
        <v>2017</v>
      </c>
      <c r="V1351" t="s">
        <v>5034</v>
      </c>
    </row>
    <row r="1352" spans="1:22" x14ac:dyDescent="0.35">
      <c r="A1352">
        <v>2475</v>
      </c>
      <c r="B1352" t="s">
        <v>5033</v>
      </c>
      <c r="C1352" s="1">
        <v>43042</v>
      </c>
      <c r="D1352" s="1">
        <v>43045</v>
      </c>
      <c r="E1352" t="s">
        <v>183</v>
      </c>
      <c r="F1352" t="s">
        <v>3407</v>
      </c>
      <c r="G1352" t="s">
        <v>3408</v>
      </c>
      <c r="H1352" t="s">
        <v>22</v>
      </c>
      <c r="I1352" t="s">
        <v>23</v>
      </c>
      <c r="J1352" t="s">
        <v>38</v>
      </c>
      <c r="K1352" t="s">
        <v>39</v>
      </c>
      <c r="L1352">
        <v>90032</v>
      </c>
      <c r="M1352" t="s">
        <v>40</v>
      </c>
      <c r="N1352" t="s">
        <v>5036</v>
      </c>
      <c r="O1352" t="s">
        <v>67</v>
      </c>
      <c r="P1352" t="s">
        <v>156</v>
      </c>
      <c r="Q1352" t="s">
        <v>5037</v>
      </c>
      <c r="R1352">
        <v>82.95</v>
      </c>
      <c r="S1352" t="str">
        <f>TEXT(sales_data[[#This Row],[Order Date]],"mm")</f>
        <v>11</v>
      </c>
      <c r="T1352">
        <f>YEAR(sales_data[[#This Row],[Order Date]])</f>
        <v>2017</v>
      </c>
      <c r="V1352" t="s">
        <v>5036</v>
      </c>
    </row>
    <row r="1353" spans="1:22" x14ac:dyDescent="0.35">
      <c r="A1353">
        <v>2476</v>
      </c>
      <c r="B1353" t="s">
        <v>5033</v>
      </c>
      <c r="C1353" s="1">
        <v>43042</v>
      </c>
      <c r="D1353" s="1">
        <v>43045</v>
      </c>
      <c r="E1353" t="s">
        <v>183</v>
      </c>
      <c r="F1353" t="s">
        <v>3407</v>
      </c>
      <c r="G1353" t="s">
        <v>3408</v>
      </c>
      <c r="H1353" t="s">
        <v>22</v>
      </c>
      <c r="I1353" t="s">
        <v>23</v>
      </c>
      <c r="J1353" t="s">
        <v>38</v>
      </c>
      <c r="K1353" t="s">
        <v>39</v>
      </c>
      <c r="L1353">
        <v>90032</v>
      </c>
      <c r="M1353" t="s">
        <v>40</v>
      </c>
      <c r="N1353" t="s">
        <v>5038</v>
      </c>
      <c r="O1353" t="s">
        <v>42</v>
      </c>
      <c r="P1353" t="s">
        <v>43</v>
      </c>
      <c r="Q1353" t="s">
        <v>5039</v>
      </c>
      <c r="R1353">
        <v>87.71</v>
      </c>
      <c r="S1353" t="str">
        <f>TEXT(sales_data[[#This Row],[Order Date]],"mm")</f>
        <v>11</v>
      </c>
      <c r="T1353">
        <f>YEAR(sales_data[[#This Row],[Order Date]])</f>
        <v>2017</v>
      </c>
      <c r="V1353" t="s">
        <v>5038</v>
      </c>
    </row>
    <row r="1354" spans="1:22" x14ac:dyDescent="0.35">
      <c r="A1354">
        <v>2480</v>
      </c>
      <c r="B1354" t="s">
        <v>5041</v>
      </c>
      <c r="C1354" s="1">
        <v>43270</v>
      </c>
      <c r="D1354" s="1">
        <v>43276</v>
      </c>
      <c r="E1354" t="s">
        <v>46</v>
      </c>
      <c r="F1354" t="s">
        <v>3060</v>
      </c>
      <c r="G1354" t="s">
        <v>3061</v>
      </c>
      <c r="H1354" t="s">
        <v>22</v>
      </c>
      <c r="I1354" t="s">
        <v>23</v>
      </c>
      <c r="J1354" t="s">
        <v>807</v>
      </c>
      <c r="K1354" t="s">
        <v>100</v>
      </c>
      <c r="L1354">
        <v>75220</v>
      </c>
      <c r="M1354" t="s">
        <v>101</v>
      </c>
      <c r="N1354" t="s">
        <v>5042</v>
      </c>
      <c r="O1354" t="s">
        <v>42</v>
      </c>
      <c r="P1354" t="s">
        <v>573</v>
      </c>
      <c r="Q1354" t="s">
        <v>5043</v>
      </c>
      <c r="R1354">
        <v>11.183999999999999</v>
      </c>
      <c r="S1354" t="str">
        <f>TEXT(sales_data[[#This Row],[Order Date]],"mm")</f>
        <v>06</v>
      </c>
      <c r="T1354">
        <f>YEAR(sales_data[[#This Row],[Order Date]])</f>
        <v>2018</v>
      </c>
      <c r="V1354" t="s">
        <v>5042</v>
      </c>
    </row>
    <row r="1355" spans="1:22" x14ac:dyDescent="0.35">
      <c r="A1355">
        <v>2483</v>
      </c>
      <c r="B1355" t="s">
        <v>5044</v>
      </c>
      <c r="C1355" s="1">
        <v>43340</v>
      </c>
      <c r="D1355" s="1">
        <v>43346</v>
      </c>
      <c r="E1355" t="s">
        <v>46</v>
      </c>
      <c r="F1355" t="s">
        <v>4878</v>
      </c>
      <c r="G1355" t="s">
        <v>4879</v>
      </c>
      <c r="H1355" t="s">
        <v>98</v>
      </c>
      <c r="I1355" t="s">
        <v>23</v>
      </c>
      <c r="J1355" t="s">
        <v>91</v>
      </c>
      <c r="K1355" t="s">
        <v>92</v>
      </c>
      <c r="L1355">
        <v>98105</v>
      </c>
      <c r="M1355" t="s">
        <v>40</v>
      </c>
      <c r="N1355" t="s">
        <v>5045</v>
      </c>
      <c r="O1355" t="s">
        <v>67</v>
      </c>
      <c r="P1355" t="s">
        <v>68</v>
      </c>
      <c r="Q1355" t="s">
        <v>5046</v>
      </c>
      <c r="R1355">
        <v>35.167999999999999</v>
      </c>
      <c r="S1355" t="str">
        <f>TEXT(sales_data[[#This Row],[Order Date]],"mm")</f>
        <v>08</v>
      </c>
      <c r="T1355">
        <f>YEAR(sales_data[[#This Row],[Order Date]])</f>
        <v>2018</v>
      </c>
      <c r="V1355" t="s">
        <v>5045</v>
      </c>
    </row>
    <row r="1356" spans="1:22" x14ac:dyDescent="0.35">
      <c r="A1356">
        <v>2487</v>
      </c>
      <c r="B1356" t="s">
        <v>5047</v>
      </c>
      <c r="C1356" s="1">
        <v>42371</v>
      </c>
      <c r="D1356" s="1">
        <v>42373</v>
      </c>
      <c r="E1356" t="s">
        <v>19</v>
      </c>
      <c r="F1356" t="s">
        <v>988</v>
      </c>
      <c r="G1356" t="s">
        <v>989</v>
      </c>
      <c r="H1356" t="s">
        <v>37</v>
      </c>
      <c r="I1356" t="s">
        <v>23</v>
      </c>
      <c r="J1356" t="s">
        <v>599</v>
      </c>
      <c r="K1356" t="s">
        <v>240</v>
      </c>
      <c r="L1356">
        <v>19711</v>
      </c>
      <c r="M1356" t="s">
        <v>144</v>
      </c>
      <c r="N1356" t="s">
        <v>5048</v>
      </c>
      <c r="O1356" t="s">
        <v>42</v>
      </c>
      <c r="P1356" t="s">
        <v>55</v>
      </c>
      <c r="Q1356" t="s">
        <v>5049</v>
      </c>
      <c r="R1356">
        <v>85.52</v>
      </c>
      <c r="S1356" t="str">
        <f>TEXT(sales_data[[#This Row],[Order Date]],"mm")</f>
        <v>01</v>
      </c>
      <c r="T1356">
        <f>YEAR(sales_data[[#This Row],[Order Date]])</f>
        <v>2016</v>
      </c>
      <c r="V1356" t="s">
        <v>5048</v>
      </c>
    </row>
    <row r="1357" spans="1:22" x14ac:dyDescent="0.35">
      <c r="A1357">
        <v>2488</v>
      </c>
      <c r="B1357" t="s">
        <v>5047</v>
      </c>
      <c r="C1357" s="1">
        <v>42371</v>
      </c>
      <c r="D1357" s="1">
        <v>42373</v>
      </c>
      <c r="E1357" t="s">
        <v>19</v>
      </c>
      <c r="F1357" t="s">
        <v>988</v>
      </c>
      <c r="G1357" t="s">
        <v>989</v>
      </c>
      <c r="H1357" t="s">
        <v>37</v>
      </c>
      <c r="I1357" t="s">
        <v>23</v>
      </c>
      <c r="J1357" t="s">
        <v>599</v>
      </c>
      <c r="K1357" t="s">
        <v>240</v>
      </c>
      <c r="L1357">
        <v>19711</v>
      </c>
      <c r="M1357" t="s">
        <v>144</v>
      </c>
      <c r="N1357" t="s">
        <v>5050</v>
      </c>
      <c r="O1357" t="s">
        <v>42</v>
      </c>
      <c r="P1357" t="s">
        <v>64</v>
      </c>
      <c r="Q1357" t="s">
        <v>5051</v>
      </c>
      <c r="R1357">
        <v>9.84</v>
      </c>
      <c r="S1357" t="str">
        <f>TEXT(sales_data[[#This Row],[Order Date]],"mm")</f>
        <v>01</v>
      </c>
      <c r="T1357">
        <f>YEAR(sales_data[[#This Row],[Order Date]])</f>
        <v>2016</v>
      </c>
      <c r="V1357" t="s">
        <v>5050</v>
      </c>
    </row>
    <row r="1358" spans="1:22" x14ac:dyDescent="0.35">
      <c r="A1358">
        <v>2490</v>
      </c>
      <c r="B1358" t="s">
        <v>5052</v>
      </c>
      <c r="C1358" s="1">
        <v>42652</v>
      </c>
      <c r="D1358" s="1">
        <v>42656</v>
      </c>
      <c r="E1358" t="s">
        <v>19</v>
      </c>
      <c r="F1358" t="s">
        <v>5053</v>
      </c>
      <c r="G1358" t="s">
        <v>5054</v>
      </c>
      <c r="H1358" t="s">
        <v>22</v>
      </c>
      <c r="I1358" t="s">
        <v>23</v>
      </c>
      <c r="J1358" t="s">
        <v>261</v>
      </c>
      <c r="K1358" t="s">
        <v>262</v>
      </c>
      <c r="L1358">
        <v>10024</v>
      </c>
      <c r="M1358" t="s">
        <v>144</v>
      </c>
      <c r="N1358" t="s">
        <v>5055</v>
      </c>
      <c r="O1358" t="s">
        <v>67</v>
      </c>
      <c r="P1358" t="s">
        <v>68</v>
      </c>
      <c r="Q1358" t="s">
        <v>5056</v>
      </c>
      <c r="R1358">
        <v>631.96</v>
      </c>
      <c r="S1358" t="str">
        <f>TEXT(sales_data[[#This Row],[Order Date]],"mm")</f>
        <v>10</v>
      </c>
      <c r="T1358">
        <f>YEAR(sales_data[[#This Row],[Order Date]])</f>
        <v>2016</v>
      </c>
      <c r="V1358" t="s">
        <v>5055</v>
      </c>
    </row>
    <row r="1359" spans="1:22" x14ac:dyDescent="0.35">
      <c r="A1359">
        <v>2491</v>
      </c>
      <c r="B1359" t="s">
        <v>5052</v>
      </c>
      <c r="C1359" s="1">
        <v>42652</v>
      </c>
      <c r="D1359" s="1">
        <v>42656</v>
      </c>
      <c r="E1359" t="s">
        <v>19</v>
      </c>
      <c r="F1359" t="s">
        <v>5053</v>
      </c>
      <c r="G1359" t="s">
        <v>5054</v>
      </c>
      <c r="H1359" t="s">
        <v>22</v>
      </c>
      <c r="I1359" t="s">
        <v>23</v>
      </c>
      <c r="J1359" t="s">
        <v>261</v>
      </c>
      <c r="K1359" t="s">
        <v>262</v>
      </c>
      <c r="L1359">
        <v>10024</v>
      </c>
      <c r="M1359" t="s">
        <v>144</v>
      </c>
      <c r="N1359" t="s">
        <v>5057</v>
      </c>
      <c r="O1359" t="s">
        <v>42</v>
      </c>
      <c r="P1359" t="s">
        <v>86</v>
      </c>
      <c r="Q1359" t="s">
        <v>5058</v>
      </c>
      <c r="R1359">
        <v>23.92</v>
      </c>
      <c r="S1359" t="str">
        <f>TEXT(sales_data[[#This Row],[Order Date]],"mm")</f>
        <v>10</v>
      </c>
      <c r="T1359">
        <f>YEAR(sales_data[[#This Row],[Order Date]])</f>
        <v>2016</v>
      </c>
      <c r="V1359" t="s">
        <v>5057</v>
      </c>
    </row>
    <row r="1360" spans="1:22" x14ac:dyDescent="0.35">
      <c r="A1360">
        <v>2500</v>
      </c>
      <c r="B1360" t="s">
        <v>5062</v>
      </c>
      <c r="C1360" s="1">
        <v>43273</v>
      </c>
      <c r="D1360" s="1">
        <v>43274</v>
      </c>
      <c r="E1360" t="s">
        <v>183</v>
      </c>
      <c r="F1360" t="s">
        <v>3412</v>
      </c>
      <c r="G1360" t="s">
        <v>3413</v>
      </c>
      <c r="H1360" t="s">
        <v>22</v>
      </c>
      <c r="I1360" t="s">
        <v>23</v>
      </c>
      <c r="J1360" t="s">
        <v>1407</v>
      </c>
      <c r="K1360" t="s">
        <v>50</v>
      </c>
      <c r="L1360">
        <v>33178</v>
      </c>
      <c r="M1360" t="s">
        <v>26</v>
      </c>
      <c r="N1360" t="s">
        <v>5063</v>
      </c>
      <c r="O1360" t="s">
        <v>42</v>
      </c>
      <c r="P1360" t="s">
        <v>168</v>
      </c>
      <c r="Q1360" t="s">
        <v>5064</v>
      </c>
      <c r="R1360">
        <v>37.607999999999997</v>
      </c>
      <c r="S1360" t="str">
        <f>TEXT(sales_data[[#This Row],[Order Date]],"mm")</f>
        <v>06</v>
      </c>
      <c r="T1360">
        <f>YEAR(sales_data[[#This Row],[Order Date]])</f>
        <v>2018</v>
      </c>
      <c r="V1360" t="s">
        <v>5063</v>
      </c>
    </row>
    <row r="1361" spans="1:22" x14ac:dyDescent="0.35">
      <c r="A1361">
        <v>2506</v>
      </c>
      <c r="B1361" t="s">
        <v>5067</v>
      </c>
      <c r="C1361" s="1">
        <v>42210</v>
      </c>
      <c r="D1361" s="1">
        <v>42212</v>
      </c>
      <c r="E1361" t="s">
        <v>19</v>
      </c>
      <c r="F1361" t="s">
        <v>908</v>
      </c>
      <c r="G1361" t="s">
        <v>909</v>
      </c>
      <c r="H1361" t="s">
        <v>22</v>
      </c>
      <c r="I1361" t="s">
        <v>23</v>
      </c>
      <c r="J1361" t="s">
        <v>123</v>
      </c>
      <c r="K1361" t="s">
        <v>39</v>
      </c>
      <c r="L1361">
        <v>94122</v>
      </c>
      <c r="M1361" t="s">
        <v>40</v>
      </c>
      <c r="N1361" t="s">
        <v>5068</v>
      </c>
      <c r="O1361" t="s">
        <v>42</v>
      </c>
      <c r="P1361" t="s">
        <v>573</v>
      </c>
      <c r="Q1361" t="s">
        <v>5069</v>
      </c>
      <c r="R1361">
        <v>8187.65</v>
      </c>
      <c r="S1361" t="str">
        <f>TEXT(sales_data[[#This Row],[Order Date]],"mm")</f>
        <v>07</v>
      </c>
      <c r="T1361">
        <f>YEAR(sales_data[[#This Row],[Order Date]])</f>
        <v>2015</v>
      </c>
      <c r="V1361" t="s">
        <v>5068</v>
      </c>
    </row>
    <row r="1362" spans="1:22" x14ac:dyDescent="0.35">
      <c r="A1362">
        <v>2508</v>
      </c>
      <c r="B1362" t="s">
        <v>5070</v>
      </c>
      <c r="C1362" s="1">
        <v>42553</v>
      </c>
      <c r="D1362" s="1">
        <v>42553</v>
      </c>
      <c r="E1362" t="s">
        <v>1277</v>
      </c>
      <c r="F1362" t="s">
        <v>4691</v>
      </c>
      <c r="G1362" t="s">
        <v>4692</v>
      </c>
      <c r="H1362" t="s">
        <v>22</v>
      </c>
      <c r="I1362" t="s">
        <v>23</v>
      </c>
      <c r="J1362" t="s">
        <v>179</v>
      </c>
      <c r="K1362" t="s">
        <v>100</v>
      </c>
      <c r="L1362">
        <v>77070</v>
      </c>
      <c r="M1362" t="s">
        <v>101</v>
      </c>
      <c r="N1362" t="s">
        <v>5071</v>
      </c>
      <c r="O1362" t="s">
        <v>42</v>
      </c>
      <c r="P1362" t="s">
        <v>74</v>
      </c>
      <c r="Q1362" t="s">
        <v>5072</v>
      </c>
      <c r="R1362">
        <v>32.783999999999999</v>
      </c>
      <c r="S1362" t="str">
        <f>TEXT(sales_data[[#This Row],[Order Date]],"mm")</f>
        <v>07</v>
      </c>
      <c r="T1362">
        <f>YEAR(sales_data[[#This Row],[Order Date]])</f>
        <v>2016</v>
      </c>
      <c r="V1362" t="s">
        <v>5071</v>
      </c>
    </row>
    <row r="1363" spans="1:22" x14ac:dyDescent="0.35">
      <c r="A1363">
        <v>2509</v>
      </c>
      <c r="B1363" t="s">
        <v>5073</v>
      </c>
      <c r="C1363" s="1">
        <v>43161</v>
      </c>
      <c r="D1363" s="1">
        <v>43167</v>
      </c>
      <c r="E1363" t="s">
        <v>46</v>
      </c>
      <c r="F1363" t="s">
        <v>1704</v>
      </c>
      <c r="G1363" t="s">
        <v>1705</v>
      </c>
      <c r="H1363" t="s">
        <v>37</v>
      </c>
      <c r="I1363" t="s">
        <v>23</v>
      </c>
      <c r="J1363" t="s">
        <v>38</v>
      </c>
      <c r="K1363" t="s">
        <v>39</v>
      </c>
      <c r="L1363">
        <v>90045</v>
      </c>
      <c r="M1363" t="s">
        <v>40</v>
      </c>
      <c r="N1363" t="s">
        <v>5074</v>
      </c>
      <c r="O1363" t="s">
        <v>67</v>
      </c>
      <c r="P1363" t="s">
        <v>68</v>
      </c>
      <c r="Q1363" t="s">
        <v>5075</v>
      </c>
      <c r="R1363">
        <v>196.77600000000001</v>
      </c>
      <c r="S1363" t="str">
        <f>TEXT(sales_data[[#This Row],[Order Date]],"mm")</f>
        <v>03</v>
      </c>
      <c r="T1363">
        <f>YEAR(sales_data[[#This Row],[Order Date]])</f>
        <v>2018</v>
      </c>
      <c r="V1363" t="s">
        <v>5074</v>
      </c>
    </row>
    <row r="1364" spans="1:22" x14ac:dyDescent="0.35">
      <c r="A1364">
        <v>2511</v>
      </c>
      <c r="B1364" t="s">
        <v>5076</v>
      </c>
      <c r="C1364" s="1">
        <v>43057</v>
      </c>
      <c r="D1364" s="1">
        <v>43062</v>
      </c>
      <c r="E1364" t="s">
        <v>46</v>
      </c>
      <c r="F1364" t="s">
        <v>4734</v>
      </c>
      <c r="G1364" t="s">
        <v>4735</v>
      </c>
      <c r="H1364" t="s">
        <v>98</v>
      </c>
      <c r="I1364" t="s">
        <v>23</v>
      </c>
      <c r="J1364" t="s">
        <v>4525</v>
      </c>
      <c r="K1364" t="s">
        <v>641</v>
      </c>
      <c r="L1364">
        <v>73120</v>
      </c>
      <c r="M1364" t="s">
        <v>101</v>
      </c>
      <c r="N1364" t="s">
        <v>5077</v>
      </c>
      <c r="O1364" t="s">
        <v>42</v>
      </c>
      <c r="P1364" t="s">
        <v>55</v>
      </c>
      <c r="Q1364" t="s">
        <v>5078</v>
      </c>
      <c r="R1364">
        <v>1117.92</v>
      </c>
      <c r="S1364" t="str">
        <f>TEXT(sales_data[[#This Row],[Order Date]],"mm")</f>
        <v>11</v>
      </c>
      <c r="T1364">
        <f>YEAR(sales_data[[#This Row],[Order Date]])</f>
        <v>2017</v>
      </c>
      <c r="V1364" t="s">
        <v>5077</v>
      </c>
    </row>
    <row r="1365" spans="1:22" x14ac:dyDescent="0.35">
      <c r="A1365">
        <v>2519</v>
      </c>
      <c r="B1365" t="s">
        <v>5081</v>
      </c>
      <c r="C1365" s="1">
        <v>43023</v>
      </c>
      <c r="D1365" s="1">
        <v>43029</v>
      </c>
      <c r="E1365" t="s">
        <v>46</v>
      </c>
      <c r="F1365" t="s">
        <v>4138</v>
      </c>
      <c r="G1365" t="s">
        <v>4139</v>
      </c>
      <c r="H1365" t="s">
        <v>98</v>
      </c>
      <c r="I1365" t="s">
        <v>23</v>
      </c>
      <c r="J1365" t="s">
        <v>4525</v>
      </c>
      <c r="K1365" t="s">
        <v>641</v>
      </c>
      <c r="L1365">
        <v>73120</v>
      </c>
      <c r="M1365" t="s">
        <v>101</v>
      </c>
      <c r="N1365" t="s">
        <v>5082</v>
      </c>
      <c r="O1365" t="s">
        <v>42</v>
      </c>
      <c r="P1365" t="s">
        <v>43</v>
      </c>
      <c r="Q1365" t="s">
        <v>5083</v>
      </c>
      <c r="R1365">
        <v>20.16</v>
      </c>
      <c r="S1365" t="str">
        <f>TEXT(sales_data[[#This Row],[Order Date]],"mm")</f>
        <v>10</v>
      </c>
      <c r="T1365">
        <f>YEAR(sales_data[[#This Row],[Order Date]])</f>
        <v>2017</v>
      </c>
      <c r="V1365" t="s">
        <v>5082</v>
      </c>
    </row>
    <row r="1366" spans="1:22" x14ac:dyDescent="0.35">
      <c r="A1366">
        <v>2521</v>
      </c>
      <c r="B1366" t="s">
        <v>5081</v>
      </c>
      <c r="C1366" s="1">
        <v>43023</v>
      </c>
      <c r="D1366" s="1">
        <v>43029</v>
      </c>
      <c r="E1366" t="s">
        <v>46</v>
      </c>
      <c r="F1366" t="s">
        <v>4138</v>
      </c>
      <c r="G1366" t="s">
        <v>4139</v>
      </c>
      <c r="H1366" t="s">
        <v>98</v>
      </c>
      <c r="I1366" t="s">
        <v>23</v>
      </c>
      <c r="J1366" t="s">
        <v>4525</v>
      </c>
      <c r="K1366" t="s">
        <v>641</v>
      </c>
      <c r="L1366">
        <v>73120</v>
      </c>
      <c r="M1366" t="s">
        <v>101</v>
      </c>
      <c r="N1366" t="s">
        <v>5084</v>
      </c>
      <c r="O1366" t="s">
        <v>42</v>
      </c>
      <c r="P1366" t="s">
        <v>74</v>
      </c>
      <c r="Q1366" t="s">
        <v>5085</v>
      </c>
      <c r="R1366">
        <v>868.59</v>
      </c>
      <c r="S1366" t="str">
        <f>TEXT(sales_data[[#This Row],[Order Date]],"mm")</f>
        <v>10</v>
      </c>
      <c r="T1366">
        <f>YEAR(sales_data[[#This Row],[Order Date]])</f>
        <v>2017</v>
      </c>
      <c r="V1366" t="s">
        <v>5084</v>
      </c>
    </row>
    <row r="1367" spans="1:22" x14ac:dyDescent="0.35">
      <c r="A1367">
        <v>2526</v>
      </c>
      <c r="B1367" t="s">
        <v>5086</v>
      </c>
      <c r="C1367" s="1">
        <v>42466</v>
      </c>
      <c r="D1367" s="1">
        <v>42470</v>
      </c>
      <c r="E1367" t="s">
        <v>46</v>
      </c>
      <c r="F1367" t="s">
        <v>5087</v>
      </c>
      <c r="G1367" t="s">
        <v>5088</v>
      </c>
      <c r="H1367" t="s">
        <v>22</v>
      </c>
      <c r="I1367" t="s">
        <v>23</v>
      </c>
      <c r="J1367" t="s">
        <v>179</v>
      </c>
      <c r="K1367" t="s">
        <v>100</v>
      </c>
      <c r="L1367">
        <v>77041</v>
      </c>
      <c r="M1367" t="s">
        <v>101</v>
      </c>
      <c r="N1367" t="s">
        <v>5089</v>
      </c>
      <c r="O1367" t="s">
        <v>67</v>
      </c>
      <c r="P1367" t="s">
        <v>156</v>
      </c>
      <c r="Q1367" t="s">
        <v>5090</v>
      </c>
      <c r="R1367">
        <v>25.488</v>
      </c>
      <c r="S1367" t="str">
        <f>TEXT(sales_data[[#This Row],[Order Date]],"mm")</f>
        <v>04</v>
      </c>
      <c r="T1367">
        <f>YEAR(sales_data[[#This Row],[Order Date]])</f>
        <v>2016</v>
      </c>
      <c r="V1367" t="s">
        <v>5089</v>
      </c>
    </row>
    <row r="1368" spans="1:22" x14ac:dyDescent="0.35">
      <c r="A1368">
        <v>2532</v>
      </c>
      <c r="B1368" t="s">
        <v>5091</v>
      </c>
      <c r="C1368" s="1">
        <v>42233</v>
      </c>
      <c r="D1368" s="1">
        <v>42237</v>
      </c>
      <c r="E1368" t="s">
        <v>46</v>
      </c>
      <c r="F1368" t="s">
        <v>1176</v>
      </c>
      <c r="G1368" t="s">
        <v>1177</v>
      </c>
      <c r="H1368" t="s">
        <v>37</v>
      </c>
      <c r="I1368" t="s">
        <v>23</v>
      </c>
      <c r="J1368" t="s">
        <v>4727</v>
      </c>
      <c r="K1368" t="s">
        <v>1692</v>
      </c>
      <c r="L1368">
        <v>72209</v>
      </c>
      <c r="M1368" t="s">
        <v>26</v>
      </c>
      <c r="N1368" t="s">
        <v>5092</v>
      </c>
      <c r="O1368" t="s">
        <v>42</v>
      </c>
      <c r="P1368" t="s">
        <v>71</v>
      </c>
      <c r="Q1368" t="s">
        <v>1212</v>
      </c>
      <c r="R1368">
        <v>17.96</v>
      </c>
      <c r="S1368" t="str">
        <f>TEXT(sales_data[[#This Row],[Order Date]],"mm")</f>
        <v>08</v>
      </c>
      <c r="T1368">
        <f>YEAR(sales_data[[#This Row],[Order Date]])</f>
        <v>2015</v>
      </c>
      <c r="V1368" t="s">
        <v>5092</v>
      </c>
    </row>
    <row r="1369" spans="1:22" x14ac:dyDescent="0.35">
      <c r="A1369">
        <v>2539</v>
      </c>
      <c r="B1369" t="s">
        <v>5094</v>
      </c>
      <c r="C1369" s="1">
        <v>42396</v>
      </c>
      <c r="D1369" s="1">
        <v>42398</v>
      </c>
      <c r="E1369" t="s">
        <v>19</v>
      </c>
      <c r="F1369" t="s">
        <v>2271</v>
      </c>
      <c r="G1369" t="s">
        <v>2272</v>
      </c>
      <c r="H1369" t="s">
        <v>22</v>
      </c>
      <c r="I1369" t="s">
        <v>23</v>
      </c>
      <c r="J1369" t="s">
        <v>2151</v>
      </c>
      <c r="K1369" t="s">
        <v>493</v>
      </c>
      <c r="L1369">
        <v>44105</v>
      </c>
      <c r="M1369" t="s">
        <v>144</v>
      </c>
      <c r="N1369" t="s">
        <v>5095</v>
      </c>
      <c r="O1369" t="s">
        <v>67</v>
      </c>
      <c r="P1369" t="s">
        <v>68</v>
      </c>
      <c r="Q1369" t="s">
        <v>5096</v>
      </c>
      <c r="R1369">
        <v>155.37</v>
      </c>
      <c r="S1369" t="str">
        <f>TEXT(sales_data[[#This Row],[Order Date]],"mm")</f>
        <v>01</v>
      </c>
      <c r="T1369">
        <f>YEAR(sales_data[[#This Row],[Order Date]])</f>
        <v>2016</v>
      </c>
      <c r="V1369" t="s">
        <v>5095</v>
      </c>
    </row>
    <row r="1370" spans="1:22" x14ac:dyDescent="0.35">
      <c r="A1370">
        <v>2544</v>
      </c>
      <c r="B1370" t="s">
        <v>5099</v>
      </c>
      <c r="C1370" s="1">
        <v>42986</v>
      </c>
      <c r="D1370" s="1">
        <v>42992</v>
      </c>
      <c r="E1370" t="s">
        <v>46</v>
      </c>
      <c r="F1370" t="s">
        <v>3229</v>
      </c>
      <c r="G1370" t="s">
        <v>3230</v>
      </c>
      <c r="H1370" t="s">
        <v>98</v>
      </c>
      <c r="I1370" t="s">
        <v>23</v>
      </c>
      <c r="J1370" t="s">
        <v>4967</v>
      </c>
      <c r="K1370" t="s">
        <v>1235</v>
      </c>
      <c r="L1370">
        <v>2148</v>
      </c>
      <c r="M1370" t="s">
        <v>144</v>
      </c>
      <c r="N1370" t="s">
        <v>5100</v>
      </c>
      <c r="O1370" t="s">
        <v>28</v>
      </c>
      <c r="P1370" t="s">
        <v>29</v>
      </c>
      <c r="Q1370" t="s">
        <v>5101</v>
      </c>
      <c r="R1370">
        <v>173.94</v>
      </c>
      <c r="S1370" t="str">
        <f>TEXT(sales_data[[#This Row],[Order Date]],"mm")</f>
        <v>09</v>
      </c>
      <c r="T1370">
        <f>YEAR(sales_data[[#This Row],[Order Date]])</f>
        <v>2017</v>
      </c>
      <c r="V1370" t="s">
        <v>5100</v>
      </c>
    </row>
    <row r="1371" spans="1:22" x14ac:dyDescent="0.35">
      <c r="A1371">
        <v>2552</v>
      </c>
      <c r="B1371" t="s">
        <v>5102</v>
      </c>
      <c r="C1371" s="1">
        <v>43423</v>
      </c>
      <c r="D1371" s="1">
        <v>43427</v>
      </c>
      <c r="E1371" t="s">
        <v>46</v>
      </c>
      <c r="F1371" t="s">
        <v>3665</v>
      </c>
      <c r="G1371" t="s">
        <v>3666</v>
      </c>
      <c r="H1371" t="s">
        <v>22</v>
      </c>
      <c r="I1371" t="s">
        <v>23</v>
      </c>
      <c r="J1371" t="s">
        <v>24</v>
      </c>
      <c r="K1371" t="s">
        <v>25</v>
      </c>
      <c r="L1371">
        <v>42420</v>
      </c>
      <c r="M1371" t="s">
        <v>26</v>
      </c>
      <c r="N1371" t="s">
        <v>5103</v>
      </c>
      <c r="O1371" t="s">
        <v>28</v>
      </c>
      <c r="P1371" t="s">
        <v>61</v>
      </c>
      <c r="Q1371" t="s">
        <v>5104</v>
      </c>
      <c r="R1371">
        <v>821.88</v>
      </c>
      <c r="S1371" t="str">
        <f>TEXT(sales_data[[#This Row],[Order Date]],"mm")</f>
        <v>11</v>
      </c>
      <c r="T1371">
        <f>YEAR(sales_data[[#This Row],[Order Date]])</f>
        <v>2018</v>
      </c>
      <c r="V1371" t="s">
        <v>5103</v>
      </c>
    </row>
    <row r="1372" spans="1:22" x14ac:dyDescent="0.35">
      <c r="A1372">
        <v>2555</v>
      </c>
      <c r="B1372" t="s">
        <v>5105</v>
      </c>
      <c r="C1372" s="1">
        <v>42962</v>
      </c>
      <c r="D1372" s="1">
        <v>42967</v>
      </c>
      <c r="E1372" t="s">
        <v>46</v>
      </c>
      <c r="F1372" t="s">
        <v>4384</v>
      </c>
      <c r="G1372" t="s">
        <v>4385</v>
      </c>
      <c r="H1372" t="s">
        <v>22</v>
      </c>
      <c r="I1372" t="s">
        <v>23</v>
      </c>
      <c r="J1372" t="s">
        <v>5106</v>
      </c>
      <c r="K1372" t="s">
        <v>50</v>
      </c>
      <c r="L1372">
        <v>32303</v>
      </c>
      <c r="M1372" t="s">
        <v>26</v>
      </c>
      <c r="N1372" t="s">
        <v>5107</v>
      </c>
      <c r="O1372" t="s">
        <v>67</v>
      </c>
      <c r="P1372" t="s">
        <v>68</v>
      </c>
      <c r="Q1372" t="s">
        <v>5108</v>
      </c>
      <c r="R1372">
        <v>705.54399999999998</v>
      </c>
      <c r="S1372" t="str">
        <f>TEXT(sales_data[[#This Row],[Order Date]],"mm")</f>
        <v>08</v>
      </c>
      <c r="T1372">
        <f>YEAR(sales_data[[#This Row],[Order Date]])</f>
        <v>2017</v>
      </c>
      <c r="V1372" t="s">
        <v>5107</v>
      </c>
    </row>
    <row r="1373" spans="1:22" x14ac:dyDescent="0.35">
      <c r="A1373">
        <v>2556</v>
      </c>
      <c r="B1373" t="s">
        <v>5109</v>
      </c>
      <c r="C1373" s="1">
        <v>42639</v>
      </c>
      <c r="D1373" s="1">
        <v>42643</v>
      </c>
      <c r="E1373" t="s">
        <v>46</v>
      </c>
      <c r="F1373" t="s">
        <v>531</v>
      </c>
      <c r="G1373" t="s">
        <v>532</v>
      </c>
      <c r="H1373" t="s">
        <v>22</v>
      </c>
      <c r="I1373" t="s">
        <v>23</v>
      </c>
      <c r="J1373" t="s">
        <v>261</v>
      </c>
      <c r="K1373" t="s">
        <v>262</v>
      </c>
      <c r="L1373">
        <v>10035</v>
      </c>
      <c r="M1373" t="s">
        <v>144</v>
      </c>
      <c r="N1373" t="s">
        <v>5110</v>
      </c>
      <c r="O1373" t="s">
        <v>67</v>
      </c>
      <c r="P1373" t="s">
        <v>156</v>
      </c>
      <c r="Q1373" t="s">
        <v>5111</v>
      </c>
      <c r="R1373">
        <v>50</v>
      </c>
      <c r="S1373" t="str">
        <f>TEXT(sales_data[[#This Row],[Order Date]],"mm")</f>
        <v>09</v>
      </c>
      <c r="T1373">
        <f>YEAR(sales_data[[#This Row],[Order Date]])</f>
        <v>2016</v>
      </c>
      <c r="V1373" t="s">
        <v>5110</v>
      </c>
    </row>
    <row r="1374" spans="1:22" x14ac:dyDescent="0.35">
      <c r="A1374">
        <v>2557</v>
      </c>
      <c r="B1374" t="s">
        <v>5112</v>
      </c>
      <c r="C1374" s="1">
        <v>43016</v>
      </c>
      <c r="D1374" s="1">
        <v>43022</v>
      </c>
      <c r="E1374" t="s">
        <v>46</v>
      </c>
      <c r="F1374" t="s">
        <v>2500</v>
      </c>
      <c r="G1374" t="s">
        <v>2501</v>
      </c>
      <c r="H1374" t="s">
        <v>37</v>
      </c>
      <c r="I1374" t="s">
        <v>23</v>
      </c>
      <c r="J1374" t="s">
        <v>179</v>
      </c>
      <c r="K1374" t="s">
        <v>100</v>
      </c>
      <c r="L1374">
        <v>77070</v>
      </c>
      <c r="M1374" t="s">
        <v>101</v>
      </c>
      <c r="N1374" t="s">
        <v>5113</v>
      </c>
      <c r="O1374" t="s">
        <v>28</v>
      </c>
      <c r="P1374" t="s">
        <v>61</v>
      </c>
      <c r="Q1374" t="s">
        <v>5114</v>
      </c>
      <c r="R1374">
        <v>51.712000000000003</v>
      </c>
      <c r="S1374" t="str">
        <f>TEXT(sales_data[[#This Row],[Order Date]],"mm")</f>
        <v>10</v>
      </c>
      <c r="T1374">
        <f>YEAR(sales_data[[#This Row],[Order Date]])</f>
        <v>2017</v>
      </c>
      <c r="V1374" t="s">
        <v>5113</v>
      </c>
    </row>
    <row r="1375" spans="1:22" x14ac:dyDescent="0.35">
      <c r="A1375">
        <v>2559</v>
      </c>
      <c r="B1375" t="s">
        <v>5115</v>
      </c>
      <c r="C1375" s="1">
        <v>42521</v>
      </c>
      <c r="D1375" s="1">
        <v>42525</v>
      </c>
      <c r="E1375" t="s">
        <v>46</v>
      </c>
      <c r="F1375" t="s">
        <v>4972</v>
      </c>
      <c r="G1375" t="s">
        <v>4973</v>
      </c>
      <c r="H1375" t="s">
        <v>22</v>
      </c>
      <c r="I1375" t="s">
        <v>23</v>
      </c>
      <c r="J1375" t="s">
        <v>149</v>
      </c>
      <c r="K1375" t="s">
        <v>117</v>
      </c>
      <c r="L1375">
        <v>84057</v>
      </c>
      <c r="M1375" t="s">
        <v>40</v>
      </c>
      <c r="N1375" t="s">
        <v>5116</v>
      </c>
      <c r="O1375" t="s">
        <v>28</v>
      </c>
      <c r="P1375" t="s">
        <v>29</v>
      </c>
      <c r="Q1375" t="s">
        <v>5117</v>
      </c>
      <c r="R1375">
        <v>1406.86</v>
      </c>
      <c r="S1375" t="str">
        <f>TEXT(sales_data[[#This Row],[Order Date]],"mm")</f>
        <v>05</v>
      </c>
      <c r="T1375">
        <f>YEAR(sales_data[[#This Row],[Order Date]])</f>
        <v>2016</v>
      </c>
      <c r="V1375" t="s">
        <v>5116</v>
      </c>
    </row>
    <row r="1376" spans="1:22" x14ac:dyDescent="0.35">
      <c r="A1376">
        <v>2564</v>
      </c>
      <c r="B1376" t="s">
        <v>5119</v>
      </c>
      <c r="C1376" s="1">
        <v>42446</v>
      </c>
      <c r="D1376" s="1">
        <v>42451</v>
      </c>
      <c r="E1376" t="s">
        <v>19</v>
      </c>
      <c r="F1376" t="s">
        <v>3272</v>
      </c>
      <c r="G1376" t="s">
        <v>3273</v>
      </c>
      <c r="H1376" t="s">
        <v>37</v>
      </c>
      <c r="I1376" t="s">
        <v>23</v>
      </c>
      <c r="J1376" t="s">
        <v>261</v>
      </c>
      <c r="K1376" t="s">
        <v>262</v>
      </c>
      <c r="L1376">
        <v>10009</v>
      </c>
      <c r="M1376" t="s">
        <v>144</v>
      </c>
      <c r="N1376" t="s">
        <v>5120</v>
      </c>
      <c r="O1376" t="s">
        <v>67</v>
      </c>
      <c r="P1376" t="s">
        <v>156</v>
      </c>
      <c r="Q1376" t="s">
        <v>5121</v>
      </c>
      <c r="R1376">
        <v>15.02</v>
      </c>
      <c r="S1376" t="str">
        <f>TEXT(sales_data[[#This Row],[Order Date]],"mm")</f>
        <v>03</v>
      </c>
      <c r="T1376">
        <f>YEAR(sales_data[[#This Row],[Order Date]])</f>
        <v>2016</v>
      </c>
      <c r="V1376" t="s">
        <v>5120</v>
      </c>
    </row>
    <row r="1377" spans="1:22" x14ac:dyDescent="0.35">
      <c r="A1377">
        <v>2567</v>
      </c>
      <c r="B1377" t="s">
        <v>5123</v>
      </c>
      <c r="C1377" s="1">
        <v>43405</v>
      </c>
      <c r="D1377" s="1">
        <v>43407</v>
      </c>
      <c r="E1377" t="s">
        <v>19</v>
      </c>
      <c r="F1377" t="s">
        <v>1916</v>
      </c>
      <c r="G1377" t="s">
        <v>1917</v>
      </c>
      <c r="H1377" t="s">
        <v>22</v>
      </c>
      <c r="I1377" t="s">
        <v>23</v>
      </c>
      <c r="J1377" t="s">
        <v>5124</v>
      </c>
      <c r="K1377" t="s">
        <v>92</v>
      </c>
      <c r="L1377">
        <v>98226</v>
      </c>
      <c r="M1377" t="s">
        <v>40</v>
      </c>
      <c r="N1377" t="s">
        <v>5125</v>
      </c>
      <c r="O1377" t="s">
        <v>42</v>
      </c>
      <c r="P1377" t="s">
        <v>71</v>
      </c>
      <c r="Q1377" t="s">
        <v>5126</v>
      </c>
      <c r="R1377">
        <v>25.12</v>
      </c>
      <c r="S1377" t="str">
        <f>TEXT(sales_data[[#This Row],[Order Date]],"mm")</f>
        <v>11</v>
      </c>
      <c r="T1377">
        <f>YEAR(sales_data[[#This Row],[Order Date]])</f>
        <v>2018</v>
      </c>
      <c r="V1377" t="s">
        <v>5125</v>
      </c>
    </row>
    <row r="1378" spans="1:22" x14ac:dyDescent="0.35">
      <c r="A1378">
        <v>2578</v>
      </c>
      <c r="B1378" t="s">
        <v>5129</v>
      </c>
      <c r="C1378" s="1">
        <v>42330</v>
      </c>
      <c r="D1378" s="1">
        <v>42335</v>
      </c>
      <c r="E1378" t="s">
        <v>46</v>
      </c>
      <c r="F1378" t="s">
        <v>210</v>
      </c>
      <c r="G1378" t="s">
        <v>211</v>
      </c>
      <c r="H1378" t="s">
        <v>37</v>
      </c>
      <c r="I1378" t="s">
        <v>23</v>
      </c>
      <c r="J1378" t="s">
        <v>492</v>
      </c>
      <c r="K1378" t="s">
        <v>1261</v>
      </c>
      <c r="L1378">
        <v>31907</v>
      </c>
      <c r="M1378" t="s">
        <v>26</v>
      </c>
      <c r="N1378" t="s">
        <v>5130</v>
      </c>
      <c r="O1378" t="s">
        <v>42</v>
      </c>
      <c r="P1378" t="s">
        <v>74</v>
      </c>
      <c r="Q1378" t="s">
        <v>5131</v>
      </c>
      <c r="R1378">
        <v>675.12</v>
      </c>
      <c r="S1378" t="str">
        <f>TEXT(sales_data[[#This Row],[Order Date]],"mm")</f>
        <v>11</v>
      </c>
      <c r="T1378">
        <f>YEAR(sales_data[[#This Row],[Order Date]])</f>
        <v>2015</v>
      </c>
      <c r="V1378" t="s">
        <v>5130</v>
      </c>
    </row>
    <row r="1379" spans="1:22" x14ac:dyDescent="0.35">
      <c r="A1379">
        <v>2579</v>
      </c>
      <c r="B1379" t="s">
        <v>5132</v>
      </c>
      <c r="C1379" s="1">
        <v>42030</v>
      </c>
      <c r="D1379" s="1">
        <v>42035</v>
      </c>
      <c r="E1379" t="s">
        <v>46</v>
      </c>
      <c r="F1379" t="s">
        <v>1485</v>
      </c>
      <c r="G1379" t="s">
        <v>1486</v>
      </c>
      <c r="H1379" t="s">
        <v>98</v>
      </c>
      <c r="I1379" t="s">
        <v>23</v>
      </c>
      <c r="J1379" t="s">
        <v>2745</v>
      </c>
      <c r="K1379" t="s">
        <v>314</v>
      </c>
      <c r="L1379">
        <v>22304</v>
      </c>
      <c r="M1379" t="s">
        <v>26</v>
      </c>
      <c r="N1379" t="s">
        <v>5133</v>
      </c>
      <c r="O1379" t="s">
        <v>28</v>
      </c>
      <c r="P1379" t="s">
        <v>61</v>
      </c>
      <c r="Q1379" t="s">
        <v>5134</v>
      </c>
      <c r="R1379">
        <v>62.82</v>
      </c>
      <c r="S1379" t="str">
        <f>TEXT(sales_data[[#This Row],[Order Date]],"mm")</f>
        <v>01</v>
      </c>
      <c r="T1379">
        <f>YEAR(sales_data[[#This Row],[Order Date]])</f>
        <v>2015</v>
      </c>
      <c r="V1379" t="s">
        <v>5133</v>
      </c>
    </row>
    <row r="1380" spans="1:22" x14ac:dyDescent="0.35">
      <c r="A1380">
        <v>2583</v>
      </c>
      <c r="B1380" t="s">
        <v>5132</v>
      </c>
      <c r="C1380" s="1">
        <v>42030</v>
      </c>
      <c r="D1380" s="1">
        <v>42035</v>
      </c>
      <c r="E1380" t="s">
        <v>46</v>
      </c>
      <c r="F1380" t="s">
        <v>1485</v>
      </c>
      <c r="G1380" t="s">
        <v>1486</v>
      </c>
      <c r="H1380" t="s">
        <v>98</v>
      </c>
      <c r="I1380" t="s">
        <v>23</v>
      </c>
      <c r="J1380" t="s">
        <v>2745</v>
      </c>
      <c r="K1380" t="s">
        <v>314</v>
      </c>
      <c r="L1380">
        <v>22304</v>
      </c>
      <c r="M1380" t="s">
        <v>26</v>
      </c>
      <c r="N1380" t="s">
        <v>5135</v>
      </c>
      <c r="O1380" t="s">
        <v>67</v>
      </c>
      <c r="P1380" t="s">
        <v>68</v>
      </c>
      <c r="Q1380" t="s">
        <v>5136</v>
      </c>
      <c r="R1380">
        <v>155.35</v>
      </c>
      <c r="S1380" t="str">
        <f>TEXT(sales_data[[#This Row],[Order Date]],"mm")</f>
        <v>01</v>
      </c>
      <c r="T1380">
        <f>YEAR(sales_data[[#This Row],[Order Date]])</f>
        <v>2015</v>
      </c>
      <c r="V1380" t="s">
        <v>5135</v>
      </c>
    </row>
    <row r="1381" spans="1:22" x14ac:dyDescent="0.35">
      <c r="A1381">
        <v>2584</v>
      </c>
      <c r="B1381" t="s">
        <v>5132</v>
      </c>
      <c r="C1381" s="1">
        <v>42030</v>
      </c>
      <c r="D1381" s="1">
        <v>42035</v>
      </c>
      <c r="E1381" t="s">
        <v>46</v>
      </c>
      <c r="F1381" t="s">
        <v>1485</v>
      </c>
      <c r="G1381" t="s">
        <v>1486</v>
      </c>
      <c r="H1381" t="s">
        <v>98</v>
      </c>
      <c r="I1381" t="s">
        <v>23</v>
      </c>
      <c r="J1381" t="s">
        <v>2745</v>
      </c>
      <c r="K1381" t="s">
        <v>314</v>
      </c>
      <c r="L1381">
        <v>22304</v>
      </c>
      <c r="M1381" t="s">
        <v>26</v>
      </c>
      <c r="N1381" t="s">
        <v>5137</v>
      </c>
      <c r="O1381" t="s">
        <v>28</v>
      </c>
      <c r="P1381" t="s">
        <v>61</v>
      </c>
      <c r="Q1381" t="s">
        <v>5138</v>
      </c>
      <c r="R1381">
        <v>12.42</v>
      </c>
      <c r="S1381" t="str">
        <f>TEXT(sales_data[[#This Row],[Order Date]],"mm")</f>
        <v>01</v>
      </c>
      <c r="T1381">
        <f>YEAR(sales_data[[#This Row],[Order Date]])</f>
        <v>2015</v>
      </c>
      <c r="V1381" t="s">
        <v>5137</v>
      </c>
    </row>
    <row r="1382" spans="1:22" x14ac:dyDescent="0.35">
      <c r="A1382">
        <v>2588</v>
      </c>
      <c r="B1382" t="s">
        <v>5139</v>
      </c>
      <c r="C1382" s="1">
        <v>43281</v>
      </c>
      <c r="D1382" s="1">
        <v>43287</v>
      </c>
      <c r="E1382" t="s">
        <v>46</v>
      </c>
      <c r="F1382" t="s">
        <v>2200</v>
      </c>
      <c r="G1382" t="s">
        <v>2201</v>
      </c>
      <c r="H1382" t="s">
        <v>22</v>
      </c>
      <c r="I1382" t="s">
        <v>23</v>
      </c>
      <c r="J1382" t="s">
        <v>261</v>
      </c>
      <c r="K1382" t="s">
        <v>262</v>
      </c>
      <c r="L1382">
        <v>10024</v>
      </c>
      <c r="M1382" t="s">
        <v>144</v>
      </c>
      <c r="N1382" t="s">
        <v>5140</v>
      </c>
      <c r="O1382" t="s">
        <v>28</v>
      </c>
      <c r="P1382" t="s">
        <v>61</v>
      </c>
      <c r="Q1382" t="s">
        <v>5141</v>
      </c>
      <c r="R1382">
        <v>22.23</v>
      </c>
      <c r="S1382" t="str">
        <f>TEXT(sales_data[[#This Row],[Order Date]],"mm")</f>
        <v>06</v>
      </c>
      <c r="T1382">
        <f>YEAR(sales_data[[#This Row],[Order Date]])</f>
        <v>2018</v>
      </c>
      <c r="V1382" t="s">
        <v>5140</v>
      </c>
    </row>
    <row r="1383" spans="1:22" x14ac:dyDescent="0.35">
      <c r="A1383">
        <v>2591</v>
      </c>
      <c r="B1383" t="s">
        <v>5142</v>
      </c>
      <c r="C1383" s="1">
        <v>42986</v>
      </c>
      <c r="D1383" s="1">
        <v>42992</v>
      </c>
      <c r="E1383" t="s">
        <v>46</v>
      </c>
      <c r="F1383" t="s">
        <v>2747</v>
      </c>
      <c r="G1383" t="s">
        <v>2748</v>
      </c>
      <c r="H1383" t="s">
        <v>22</v>
      </c>
      <c r="I1383" t="s">
        <v>23</v>
      </c>
      <c r="J1383" t="s">
        <v>5143</v>
      </c>
      <c r="K1383" t="s">
        <v>206</v>
      </c>
      <c r="L1383">
        <v>60090</v>
      </c>
      <c r="M1383" t="s">
        <v>101</v>
      </c>
      <c r="N1383" t="s">
        <v>5144</v>
      </c>
      <c r="O1383" t="s">
        <v>28</v>
      </c>
      <c r="P1383" t="s">
        <v>61</v>
      </c>
      <c r="Q1383" t="s">
        <v>5145</v>
      </c>
      <c r="R1383">
        <v>14.135999999999999</v>
      </c>
      <c r="S1383" t="str">
        <f>TEXT(sales_data[[#This Row],[Order Date]],"mm")</f>
        <v>09</v>
      </c>
      <c r="T1383">
        <f>YEAR(sales_data[[#This Row],[Order Date]])</f>
        <v>2017</v>
      </c>
      <c r="V1383" t="s">
        <v>5144</v>
      </c>
    </row>
    <row r="1384" spans="1:22" x14ac:dyDescent="0.35">
      <c r="A1384">
        <v>2592</v>
      </c>
      <c r="B1384" t="s">
        <v>5142</v>
      </c>
      <c r="C1384" s="1">
        <v>42986</v>
      </c>
      <c r="D1384" s="1">
        <v>42992</v>
      </c>
      <c r="E1384" t="s">
        <v>46</v>
      </c>
      <c r="F1384" t="s">
        <v>2747</v>
      </c>
      <c r="G1384" t="s">
        <v>2748</v>
      </c>
      <c r="H1384" t="s">
        <v>22</v>
      </c>
      <c r="I1384" t="s">
        <v>23</v>
      </c>
      <c r="J1384" t="s">
        <v>5143</v>
      </c>
      <c r="K1384" t="s">
        <v>206</v>
      </c>
      <c r="L1384">
        <v>60090</v>
      </c>
      <c r="M1384" t="s">
        <v>101</v>
      </c>
      <c r="N1384" t="s">
        <v>5146</v>
      </c>
      <c r="O1384" t="s">
        <v>28</v>
      </c>
      <c r="P1384" t="s">
        <v>52</v>
      </c>
      <c r="Q1384" t="s">
        <v>5147</v>
      </c>
      <c r="R1384">
        <v>601.47</v>
      </c>
      <c r="S1384" t="str">
        <f>TEXT(sales_data[[#This Row],[Order Date]],"mm")</f>
        <v>09</v>
      </c>
      <c r="T1384">
        <f>YEAR(sales_data[[#This Row],[Order Date]])</f>
        <v>2017</v>
      </c>
      <c r="V1384" t="s">
        <v>5146</v>
      </c>
    </row>
    <row r="1385" spans="1:22" x14ac:dyDescent="0.35">
      <c r="A1385">
        <v>2599</v>
      </c>
      <c r="B1385" t="s">
        <v>5148</v>
      </c>
      <c r="C1385" s="1">
        <v>43233</v>
      </c>
      <c r="D1385" s="1">
        <v>43237</v>
      </c>
      <c r="E1385" t="s">
        <v>46</v>
      </c>
      <c r="F1385" t="s">
        <v>2558</v>
      </c>
      <c r="G1385" t="s">
        <v>2559</v>
      </c>
      <c r="H1385" t="s">
        <v>37</v>
      </c>
      <c r="I1385" t="s">
        <v>23</v>
      </c>
      <c r="J1385" t="s">
        <v>492</v>
      </c>
      <c r="K1385" t="s">
        <v>249</v>
      </c>
      <c r="L1385">
        <v>47201</v>
      </c>
      <c r="M1385" t="s">
        <v>101</v>
      </c>
      <c r="N1385" t="s">
        <v>5149</v>
      </c>
      <c r="O1385" t="s">
        <v>42</v>
      </c>
      <c r="P1385" t="s">
        <v>86</v>
      </c>
      <c r="Q1385" t="s">
        <v>5150</v>
      </c>
      <c r="R1385">
        <v>14.94</v>
      </c>
      <c r="S1385" t="str">
        <f>TEXT(sales_data[[#This Row],[Order Date]],"mm")</f>
        <v>05</v>
      </c>
      <c r="T1385">
        <f>YEAR(sales_data[[#This Row],[Order Date]])</f>
        <v>2018</v>
      </c>
      <c r="V1385" t="s">
        <v>5149</v>
      </c>
    </row>
    <row r="1386" spans="1:22" x14ac:dyDescent="0.35">
      <c r="A1386">
        <v>2603</v>
      </c>
      <c r="B1386" t="s">
        <v>5151</v>
      </c>
      <c r="C1386" s="1">
        <v>42890</v>
      </c>
      <c r="D1386" s="1">
        <v>42890</v>
      </c>
      <c r="E1386" t="s">
        <v>1277</v>
      </c>
      <c r="F1386" t="s">
        <v>5152</v>
      </c>
      <c r="G1386" t="s">
        <v>5153</v>
      </c>
      <c r="H1386" t="s">
        <v>22</v>
      </c>
      <c r="I1386" t="s">
        <v>23</v>
      </c>
      <c r="J1386" t="s">
        <v>261</v>
      </c>
      <c r="K1386" t="s">
        <v>262</v>
      </c>
      <c r="L1386">
        <v>10035</v>
      </c>
      <c r="M1386" t="s">
        <v>144</v>
      </c>
      <c r="N1386" t="s">
        <v>5154</v>
      </c>
      <c r="O1386" t="s">
        <v>67</v>
      </c>
      <c r="P1386" t="s">
        <v>675</v>
      </c>
      <c r="Q1386" t="s">
        <v>5155</v>
      </c>
      <c r="R1386">
        <v>1349.85</v>
      </c>
      <c r="S1386" t="str">
        <f>TEXT(sales_data[[#This Row],[Order Date]],"mm")</f>
        <v>06</v>
      </c>
      <c r="T1386">
        <f>YEAR(sales_data[[#This Row],[Order Date]])</f>
        <v>2017</v>
      </c>
      <c r="V1386" t="s">
        <v>5154</v>
      </c>
    </row>
    <row r="1387" spans="1:22" x14ac:dyDescent="0.35">
      <c r="A1387">
        <v>2607</v>
      </c>
      <c r="B1387" t="s">
        <v>5157</v>
      </c>
      <c r="C1387" s="1">
        <v>42798</v>
      </c>
      <c r="D1387" s="1">
        <v>42804</v>
      </c>
      <c r="E1387" t="s">
        <v>46</v>
      </c>
      <c r="F1387" t="s">
        <v>3608</v>
      </c>
      <c r="G1387" t="s">
        <v>3609</v>
      </c>
      <c r="H1387" t="s">
        <v>98</v>
      </c>
      <c r="I1387" t="s">
        <v>23</v>
      </c>
      <c r="J1387" t="s">
        <v>940</v>
      </c>
      <c r="K1387" t="s">
        <v>39</v>
      </c>
      <c r="L1387">
        <v>92024</v>
      </c>
      <c r="M1387" t="s">
        <v>40</v>
      </c>
      <c r="N1387" t="s">
        <v>5158</v>
      </c>
      <c r="O1387" t="s">
        <v>42</v>
      </c>
      <c r="P1387" t="s">
        <v>64</v>
      </c>
      <c r="Q1387" t="s">
        <v>5159</v>
      </c>
      <c r="R1387">
        <v>16.989999999999998</v>
      </c>
      <c r="S1387" t="str">
        <f>TEXT(sales_data[[#This Row],[Order Date]],"mm")</f>
        <v>03</v>
      </c>
      <c r="T1387">
        <f>YEAR(sales_data[[#This Row],[Order Date]])</f>
        <v>2017</v>
      </c>
      <c r="V1387" t="s">
        <v>5158</v>
      </c>
    </row>
    <row r="1388" spans="1:22" x14ac:dyDescent="0.35">
      <c r="A1388">
        <v>2608</v>
      </c>
      <c r="B1388" t="s">
        <v>5160</v>
      </c>
      <c r="C1388" s="1">
        <v>42333</v>
      </c>
      <c r="D1388" s="1">
        <v>42338</v>
      </c>
      <c r="E1388" t="s">
        <v>46</v>
      </c>
      <c r="F1388" t="s">
        <v>4577</v>
      </c>
      <c r="G1388" t="s">
        <v>4578</v>
      </c>
      <c r="H1388" t="s">
        <v>37</v>
      </c>
      <c r="I1388" t="s">
        <v>23</v>
      </c>
      <c r="J1388" t="s">
        <v>1120</v>
      </c>
      <c r="K1388" t="s">
        <v>100</v>
      </c>
      <c r="L1388">
        <v>76017</v>
      </c>
      <c r="M1388" t="s">
        <v>101</v>
      </c>
      <c r="N1388" t="s">
        <v>5161</v>
      </c>
      <c r="O1388" t="s">
        <v>67</v>
      </c>
      <c r="P1388" t="s">
        <v>156</v>
      </c>
      <c r="Q1388" t="s">
        <v>5162</v>
      </c>
      <c r="R1388">
        <v>24.672000000000001</v>
      </c>
      <c r="S1388" t="str">
        <f>TEXT(sales_data[[#This Row],[Order Date]],"mm")</f>
        <v>11</v>
      </c>
      <c r="T1388">
        <f>YEAR(sales_data[[#This Row],[Order Date]])</f>
        <v>2015</v>
      </c>
      <c r="V1388" t="s">
        <v>5161</v>
      </c>
    </row>
    <row r="1389" spans="1:22" x14ac:dyDescent="0.35">
      <c r="A1389">
        <v>2617</v>
      </c>
      <c r="B1389" t="s">
        <v>5167</v>
      </c>
      <c r="C1389" s="1">
        <v>43191</v>
      </c>
      <c r="D1389" s="1">
        <v>43195</v>
      </c>
      <c r="E1389" t="s">
        <v>46</v>
      </c>
      <c r="F1389" t="s">
        <v>2696</v>
      </c>
      <c r="G1389" t="s">
        <v>2697</v>
      </c>
      <c r="H1389" t="s">
        <v>22</v>
      </c>
      <c r="I1389" t="s">
        <v>23</v>
      </c>
      <c r="J1389" t="s">
        <v>123</v>
      </c>
      <c r="K1389" t="s">
        <v>39</v>
      </c>
      <c r="L1389">
        <v>94110</v>
      </c>
      <c r="M1389" t="s">
        <v>40</v>
      </c>
      <c r="N1389" t="s">
        <v>5168</v>
      </c>
      <c r="O1389" t="s">
        <v>42</v>
      </c>
      <c r="P1389" t="s">
        <v>43</v>
      </c>
      <c r="Q1389" t="s">
        <v>5169</v>
      </c>
      <c r="R1389">
        <v>5.78</v>
      </c>
      <c r="S1389" t="str">
        <f>TEXT(sales_data[[#This Row],[Order Date]],"mm")</f>
        <v>04</v>
      </c>
      <c r="T1389">
        <f>YEAR(sales_data[[#This Row],[Order Date]])</f>
        <v>2018</v>
      </c>
      <c r="V1389" t="s">
        <v>5168</v>
      </c>
    </row>
    <row r="1390" spans="1:22" x14ac:dyDescent="0.35">
      <c r="A1390">
        <v>2624</v>
      </c>
      <c r="B1390" t="s">
        <v>5171</v>
      </c>
      <c r="C1390" s="1">
        <v>43395</v>
      </c>
      <c r="D1390" s="1">
        <v>43397</v>
      </c>
      <c r="E1390" t="s">
        <v>183</v>
      </c>
      <c r="F1390" t="s">
        <v>5172</v>
      </c>
      <c r="G1390" t="s">
        <v>5173</v>
      </c>
      <c r="H1390" t="s">
        <v>98</v>
      </c>
      <c r="I1390" t="s">
        <v>23</v>
      </c>
      <c r="J1390" t="s">
        <v>261</v>
      </c>
      <c r="K1390" t="s">
        <v>262</v>
      </c>
      <c r="L1390">
        <v>10024</v>
      </c>
      <c r="M1390" t="s">
        <v>144</v>
      </c>
      <c r="N1390" t="s">
        <v>5174</v>
      </c>
      <c r="O1390" t="s">
        <v>67</v>
      </c>
      <c r="P1390" t="s">
        <v>1209</v>
      </c>
      <c r="Q1390" t="s">
        <v>5175</v>
      </c>
      <c r="R1390">
        <v>11199.968000000001</v>
      </c>
      <c r="S1390" t="str">
        <f>TEXT(sales_data[[#This Row],[Order Date]],"mm")</f>
        <v>10</v>
      </c>
      <c r="T1390">
        <f>YEAR(sales_data[[#This Row],[Order Date]])</f>
        <v>2018</v>
      </c>
      <c r="V1390" t="s">
        <v>5174</v>
      </c>
    </row>
    <row r="1391" spans="1:22" x14ac:dyDescent="0.35">
      <c r="A1391">
        <v>2629</v>
      </c>
      <c r="B1391" t="s">
        <v>5176</v>
      </c>
      <c r="C1391" s="1">
        <v>43417</v>
      </c>
      <c r="D1391" s="1">
        <v>43419</v>
      </c>
      <c r="E1391" t="s">
        <v>183</v>
      </c>
      <c r="F1391" t="s">
        <v>972</v>
      </c>
      <c r="G1391" t="s">
        <v>973</v>
      </c>
      <c r="H1391" t="s">
        <v>37</v>
      </c>
      <c r="I1391" t="s">
        <v>23</v>
      </c>
      <c r="J1391" t="s">
        <v>313</v>
      </c>
      <c r="K1391" t="s">
        <v>493</v>
      </c>
      <c r="L1391">
        <v>45503</v>
      </c>
      <c r="M1391" t="s">
        <v>144</v>
      </c>
      <c r="N1391" t="s">
        <v>5177</v>
      </c>
      <c r="O1391" t="s">
        <v>67</v>
      </c>
      <c r="P1391" t="s">
        <v>675</v>
      </c>
      <c r="Q1391" t="s">
        <v>5178</v>
      </c>
      <c r="R1391">
        <v>652.995</v>
      </c>
      <c r="S1391" t="str">
        <f>TEXT(sales_data[[#This Row],[Order Date]],"mm")</f>
        <v>11</v>
      </c>
      <c r="T1391">
        <f>YEAR(sales_data[[#This Row],[Order Date]])</f>
        <v>2018</v>
      </c>
      <c r="V1391" t="s">
        <v>5177</v>
      </c>
    </row>
    <row r="1392" spans="1:22" x14ac:dyDescent="0.35">
      <c r="A1392">
        <v>2630</v>
      </c>
      <c r="B1392" t="s">
        <v>5176</v>
      </c>
      <c r="C1392" s="1">
        <v>43417</v>
      </c>
      <c r="D1392" s="1">
        <v>43419</v>
      </c>
      <c r="E1392" t="s">
        <v>183</v>
      </c>
      <c r="F1392" t="s">
        <v>972</v>
      </c>
      <c r="G1392" t="s">
        <v>973</v>
      </c>
      <c r="H1392" t="s">
        <v>37</v>
      </c>
      <c r="I1392" t="s">
        <v>23</v>
      </c>
      <c r="J1392" t="s">
        <v>313</v>
      </c>
      <c r="K1392" t="s">
        <v>493</v>
      </c>
      <c r="L1392">
        <v>45503</v>
      </c>
      <c r="M1392" t="s">
        <v>144</v>
      </c>
      <c r="N1392" t="s">
        <v>5179</v>
      </c>
      <c r="O1392" t="s">
        <v>42</v>
      </c>
      <c r="P1392" t="s">
        <v>71</v>
      </c>
      <c r="Q1392" t="s">
        <v>5180</v>
      </c>
      <c r="R1392">
        <v>11.22</v>
      </c>
      <c r="S1392" t="str">
        <f>TEXT(sales_data[[#This Row],[Order Date]],"mm")</f>
        <v>11</v>
      </c>
      <c r="T1392">
        <f>YEAR(sales_data[[#This Row],[Order Date]])</f>
        <v>2018</v>
      </c>
      <c r="V1392" t="s">
        <v>5179</v>
      </c>
    </row>
    <row r="1393" spans="1:22" x14ac:dyDescent="0.35">
      <c r="A1393">
        <v>2633</v>
      </c>
      <c r="B1393" t="s">
        <v>5181</v>
      </c>
      <c r="C1393" s="1">
        <v>43235</v>
      </c>
      <c r="D1393" s="1">
        <v>43240</v>
      </c>
      <c r="E1393" t="s">
        <v>46</v>
      </c>
      <c r="F1393" t="s">
        <v>5182</v>
      </c>
      <c r="G1393" t="s">
        <v>5183</v>
      </c>
      <c r="H1393" t="s">
        <v>22</v>
      </c>
      <c r="I1393" t="s">
        <v>23</v>
      </c>
      <c r="J1393" t="s">
        <v>91</v>
      </c>
      <c r="K1393" t="s">
        <v>92</v>
      </c>
      <c r="L1393">
        <v>98103</v>
      </c>
      <c r="M1393" t="s">
        <v>40</v>
      </c>
      <c r="N1393" t="s">
        <v>5184</v>
      </c>
      <c r="O1393" t="s">
        <v>28</v>
      </c>
      <c r="P1393" t="s">
        <v>32</v>
      </c>
      <c r="Q1393" t="s">
        <v>5185</v>
      </c>
      <c r="R1393">
        <v>42.624000000000002</v>
      </c>
      <c r="S1393" t="str">
        <f>TEXT(sales_data[[#This Row],[Order Date]],"mm")</f>
        <v>05</v>
      </c>
      <c r="T1393">
        <f>YEAR(sales_data[[#This Row],[Order Date]])</f>
        <v>2018</v>
      </c>
      <c r="V1393" t="s">
        <v>5184</v>
      </c>
    </row>
    <row r="1394" spans="1:22" x14ac:dyDescent="0.35">
      <c r="A1394">
        <v>2635</v>
      </c>
      <c r="B1394" t="s">
        <v>5186</v>
      </c>
      <c r="C1394" s="1">
        <v>42556</v>
      </c>
      <c r="D1394" s="1">
        <v>42561</v>
      </c>
      <c r="E1394" t="s">
        <v>19</v>
      </c>
      <c r="F1394" t="s">
        <v>4322</v>
      </c>
      <c r="G1394" t="s">
        <v>4323</v>
      </c>
      <c r="H1394" t="s">
        <v>37</v>
      </c>
      <c r="I1394" t="s">
        <v>23</v>
      </c>
      <c r="J1394" t="s">
        <v>1691</v>
      </c>
      <c r="K1394" t="s">
        <v>84</v>
      </c>
      <c r="L1394">
        <v>28314</v>
      </c>
      <c r="M1394" t="s">
        <v>26</v>
      </c>
      <c r="N1394" t="s">
        <v>5187</v>
      </c>
      <c r="O1394" t="s">
        <v>28</v>
      </c>
      <c r="P1394" t="s">
        <v>61</v>
      </c>
      <c r="Q1394" t="s">
        <v>5188</v>
      </c>
      <c r="R1394">
        <v>4.9279999999999999</v>
      </c>
      <c r="S1394" t="str">
        <f>TEXT(sales_data[[#This Row],[Order Date]],"mm")</f>
        <v>07</v>
      </c>
      <c r="T1394">
        <f>YEAR(sales_data[[#This Row],[Order Date]])</f>
        <v>2016</v>
      </c>
      <c r="V1394" t="s">
        <v>5187</v>
      </c>
    </row>
    <row r="1395" spans="1:22" x14ac:dyDescent="0.35">
      <c r="A1395">
        <v>2638</v>
      </c>
      <c r="B1395" t="s">
        <v>5190</v>
      </c>
      <c r="C1395" s="1">
        <v>43263</v>
      </c>
      <c r="D1395" s="1">
        <v>43269</v>
      </c>
      <c r="E1395" t="s">
        <v>46</v>
      </c>
      <c r="F1395" t="s">
        <v>5191</v>
      </c>
      <c r="G1395" t="s">
        <v>5192</v>
      </c>
      <c r="H1395" t="s">
        <v>22</v>
      </c>
      <c r="I1395" t="s">
        <v>23</v>
      </c>
      <c r="J1395" t="s">
        <v>261</v>
      </c>
      <c r="K1395" t="s">
        <v>262</v>
      </c>
      <c r="L1395">
        <v>10035</v>
      </c>
      <c r="M1395" t="s">
        <v>144</v>
      </c>
      <c r="N1395" t="s">
        <v>5193</v>
      </c>
      <c r="O1395" t="s">
        <v>42</v>
      </c>
      <c r="P1395" t="s">
        <v>86</v>
      </c>
      <c r="Q1395" t="s">
        <v>5194</v>
      </c>
      <c r="R1395">
        <v>19.04</v>
      </c>
      <c r="S1395" t="str">
        <f>TEXT(sales_data[[#This Row],[Order Date]],"mm")</f>
        <v>06</v>
      </c>
      <c r="T1395">
        <f>YEAR(sales_data[[#This Row],[Order Date]])</f>
        <v>2018</v>
      </c>
      <c r="V1395" t="s">
        <v>5193</v>
      </c>
    </row>
    <row r="1396" spans="1:22" x14ac:dyDescent="0.35">
      <c r="A1396">
        <v>2640</v>
      </c>
      <c r="B1396" t="s">
        <v>5190</v>
      </c>
      <c r="C1396" s="1">
        <v>43263</v>
      </c>
      <c r="D1396" s="1">
        <v>43269</v>
      </c>
      <c r="E1396" t="s">
        <v>46</v>
      </c>
      <c r="F1396" t="s">
        <v>5191</v>
      </c>
      <c r="G1396" t="s">
        <v>5192</v>
      </c>
      <c r="H1396" t="s">
        <v>22</v>
      </c>
      <c r="I1396" t="s">
        <v>23</v>
      </c>
      <c r="J1396" t="s">
        <v>261</v>
      </c>
      <c r="K1396" t="s">
        <v>262</v>
      </c>
      <c r="L1396">
        <v>10035</v>
      </c>
      <c r="M1396" t="s">
        <v>144</v>
      </c>
      <c r="N1396" t="s">
        <v>5195</v>
      </c>
      <c r="O1396" t="s">
        <v>42</v>
      </c>
      <c r="P1396" t="s">
        <v>64</v>
      </c>
      <c r="Q1396" t="s">
        <v>5196</v>
      </c>
      <c r="R1396">
        <v>64.14</v>
      </c>
      <c r="S1396" t="str">
        <f>TEXT(sales_data[[#This Row],[Order Date]],"mm")</f>
        <v>06</v>
      </c>
      <c r="T1396">
        <f>YEAR(sales_data[[#This Row],[Order Date]])</f>
        <v>2018</v>
      </c>
      <c r="V1396" t="s">
        <v>5195</v>
      </c>
    </row>
    <row r="1397" spans="1:22" x14ac:dyDescent="0.35">
      <c r="A1397">
        <v>2647</v>
      </c>
      <c r="B1397" t="s">
        <v>5197</v>
      </c>
      <c r="C1397" s="1">
        <v>42254</v>
      </c>
      <c r="D1397" s="1">
        <v>42259</v>
      </c>
      <c r="E1397" t="s">
        <v>19</v>
      </c>
      <c r="F1397" t="s">
        <v>3846</v>
      </c>
      <c r="G1397" t="s">
        <v>3847</v>
      </c>
      <c r="H1397" t="s">
        <v>22</v>
      </c>
      <c r="I1397" t="s">
        <v>23</v>
      </c>
      <c r="J1397" t="s">
        <v>4267</v>
      </c>
      <c r="K1397" t="s">
        <v>641</v>
      </c>
      <c r="L1397">
        <v>74133</v>
      </c>
      <c r="M1397" t="s">
        <v>101</v>
      </c>
      <c r="N1397" t="s">
        <v>5198</v>
      </c>
      <c r="O1397" t="s">
        <v>42</v>
      </c>
      <c r="P1397" t="s">
        <v>71</v>
      </c>
      <c r="Q1397" t="s">
        <v>5199</v>
      </c>
      <c r="R1397">
        <v>42.81</v>
      </c>
      <c r="S1397" t="str">
        <f>TEXT(sales_data[[#This Row],[Order Date]],"mm")</f>
        <v>09</v>
      </c>
      <c r="T1397">
        <f>YEAR(sales_data[[#This Row],[Order Date]])</f>
        <v>2015</v>
      </c>
      <c r="V1397" t="s">
        <v>5198</v>
      </c>
    </row>
    <row r="1398" spans="1:22" x14ac:dyDescent="0.35">
      <c r="A1398">
        <v>2648</v>
      </c>
      <c r="B1398" t="s">
        <v>5197</v>
      </c>
      <c r="C1398" s="1">
        <v>42254</v>
      </c>
      <c r="D1398" s="1">
        <v>42259</v>
      </c>
      <c r="E1398" t="s">
        <v>19</v>
      </c>
      <c r="F1398" t="s">
        <v>3846</v>
      </c>
      <c r="G1398" t="s">
        <v>3847</v>
      </c>
      <c r="H1398" t="s">
        <v>22</v>
      </c>
      <c r="I1398" t="s">
        <v>23</v>
      </c>
      <c r="J1398" t="s">
        <v>4267</v>
      </c>
      <c r="K1398" t="s">
        <v>641</v>
      </c>
      <c r="L1398">
        <v>74133</v>
      </c>
      <c r="M1398" t="s">
        <v>101</v>
      </c>
      <c r="N1398" t="s">
        <v>5200</v>
      </c>
      <c r="O1398" t="s">
        <v>42</v>
      </c>
      <c r="P1398" t="s">
        <v>86</v>
      </c>
      <c r="Q1398" t="s">
        <v>5201</v>
      </c>
      <c r="R1398">
        <v>12.96</v>
      </c>
      <c r="S1398" t="str">
        <f>TEXT(sales_data[[#This Row],[Order Date]],"mm")</f>
        <v>09</v>
      </c>
      <c r="T1398">
        <f>YEAR(sales_data[[#This Row],[Order Date]])</f>
        <v>2015</v>
      </c>
      <c r="V1398" t="s">
        <v>5200</v>
      </c>
    </row>
    <row r="1399" spans="1:22" x14ac:dyDescent="0.35">
      <c r="A1399">
        <v>2654</v>
      </c>
      <c r="B1399" t="s">
        <v>5202</v>
      </c>
      <c r="C1399" s="1">
        <v>43360</v>
      </c>
      <c r="D1399" s="1">
        <v>43364</v>
      </c>
      <c r="E1399" t="s">
        <v>19</v>
      </c>
      <c r="F1399" t="s">
        <v>1101</v>
      </c>
      <c r="G1399" t="s">
        <v>1102</v>
      </c>
      <c r="H1399" t="s">
        <v>37</v>
      </c>
      <c r="I1399" t="s">
        <v>23</v>
      </c>
      <c r="J1399" t="s">
        <v>3616</v>
      </c>
      <c r="K1399" t="s">
        <v>117</v>
      </c>
      <c r="L1399">
        <v>84604</v>
      </c>
      <c r="M1399" t="s">
        <v>40</v>
      </c>
      <c r="N1399" t="s">
        <v>5203</v>
      </c>
      <c r="O1399" t="s">
        <v>42</v>
      </c>
      <c r="P1399" t="s">
        <v>86</v>
      </c>
      <c r="Q1399" t="s">
        <v>5204</v>
      </c>
      <c r="R1399">
        <v>164.88</v>
      </c>
      <c r="S1399" t="str">
        <f>TEXT(sales_data[[#This Row],[Order Date]],"mm")</f>
        <v>09</v>
      </c>
      <c r="T1399">
        <f>YEAR(sales_data[[#This Row],[Order Date]])</f>
        <v>2018</v>
      </c>
      <c r="V1399" t="s">
        <v>5203</v>
      </c>
    </row>
    <row r="1400" spans="1:22" x14ac:dyDescent="0.35">
      <c r="A1400">
        <v>2655</v>
      </c>
      <c r="B1400" t="s">
        <v>5202</v>
      </c>
      <c r="C1400" s="1">
        <v>43360</v>
      </c>
      <c r="D1400" s="1">
        <v>43364</v>
      </c>
      <c r="E1400" t="s">
        <v>19</v>
      </c>
      <c r="F1400" t="s">
        <v>1101</v>
      </c>
      <c r="G1400" t="s">
        <v>1102</v>
      </c>
      <c r="H1400" t="s">
        <v>37</v>
      </c>
      <c r="I1400" t="s">
        <v>23</v>
      </c>
      <c r="J1400" t="s">
        <v>3616</v>
      </c>
      <c r="K1400" t="s">
        <v>117</v>
      </c>
      <c r="L1400">
        <v>84604</v>
      </c>
      <c r="M1400" t="s">
        <v>40</v>
      </c>
      <c r="N1400" t="s">
        <v>5205</v>
      </c>
      <c r="O1400" t="s">
        <v>28</v>
      </c>
      <c r="P1400" t="s">
        <v>29</v>
      </c>
      <c r="Q1400" t="s">
        <v>5206</v>
      </c>
      <c r="R1400">
        <v>1292.94</v>
      </c>
      <c r="S1400" t="str">
        <f>TEXT(sales_data[[#This Row],[Order Date]],"mm")</f>
        <v>09</v>
      </c>
      <c r="T1400">
        <f>YEAR(sales_data[[#This Row],[Order Date]])</f>
        <v>2018</v>
      </c>
      <c r="V1400" t="s">
        <v>5205</v>
      </c>
    </row>
    <row r="1401" spans="1:22" x14ac:dyDescent="0.35">
      <c r="A1401">
        <v>2656</v>
      </c>
      <c r="B1401" t="s">
        <v>5202</v>
      </c>
      <c r="C1401" s="1">
        <v>43360</v>
      </c>
      <c r="D1401" s="1">
        <v>43364</v>
      </c>
      <c r="E1401" t="s">
        <v>19</v>
      </c>
      <c r="F1401" t="s">
        <v>1101</v>
      </c>
      <c r="G1401" t="s">
        <v>1102</v>
      </c>
      <c r="H1401" t="s">
        <v>37</v>
      </c>
      <c r="I1401" t="s">
        <v>23</v>
      </c>
      <c r="J1401" t="s">
        <v>3616</v>
      </c>
      <c r="K1401" t="s">
        <v>117</v>
      </c>
      <c r="L1401">
        <v>84604</v>
      </c>
      <c r="M1401" t="s">
        <v>40</v>
      </c>
      <c r="N1401" t="s">
        <v>5207</v>
      </c>
      <c r="O1401" t="s">
        <v>42</v>
      </c>
      <c r="P1401" t="s">
        <v>71</v>
      </c>
      <c r="Q1401" t="s">
        <v>5208</v>
      </c>
      <c r="R1401">
        <v>25.584</v>
      </c>
      <c r="S1401" t="str">
        <f>TEXT(sales_data[[#This Row],[Order Date]],"mm")</f>
        <v>09</v>
      </c>
      <c r="T1401">
        <f>YEAR(sales_data[[#This Row],[Order Date]])</f>
        <v>2018</v>
      </c>
      <c r="V1401" t="s">
        <v>5207</v>
      </c>
    </row>
    <row r="1402" spans="1:22" x14ac:dyDescent="0.35">
      <c r="A1402">
        <v>2661</v>
      </c>
      <c r="B1402" t="s">
        <v>5209</v>
      </c>
      <c r="C1402" s="1">
        <v>43432</v>
      </c>
      <c r="D1402" s="1">
        <v>43436</v>
      </c>
      <c r="E1402" t="s">
        <v>46</v>
      </c>
      <c r="F1402" t="s">
        <v>3014</v>
      </c>
      <c r="G1402" t="s">
        <v>3015</v>
      </c>
      <c r="H1402" t="s">
        <v>37</v>
      </c>
      <c r="I1402" t="s">
        <v>23</v>
      </c>
      <c r="J1402" t="s">
        <v>261</v>
      </c>
      <c r="K1402" t="s">
        <v>262</v>
      </c>
      <c r="L1402">
        <v>10035</v>
      </c>
      <c r="M1402" t="s">
        <v>144</v>
      </c>
      <c r="N1402" t="s">
        <v>5210</v>
      </c>
      <c r="O1402" t="s">
        <v>67</v>
      </c>
      <c r="P1402" t="s">
        <v>68</v>
      </c>
      <c r="Q1402" t="s">
        <v>5211</v>
      </c>
      <c r="R1402">
        <v>1979.89</v>
      </c>
      <c r="S1402" t="str">
        <f>TEXT(sales_data[[#This Row],[Order Date]],"mm")</f>
        <v>11</v>
      </c>
      <c r="T1402">
        <f>YEAR(sales_data[[#This Row],[Order Date]])</f>
        <v>2018</v>
      </c>
      <c r="V1402" t="s">
        <v>5210</v>
      </c>
    </row>
    <row r="1403" spans="1:22" x14ac:dyDescent="0.35">
      <c r="A1403">
        <v>2672</v>
      </c>
      <c r="B1403" t="s">
        <v>5216</v>
      </c>
      <c r="C1403" s="1">
        <v>42256</v>
      </c>
      <c r="D1403" s="1">
        <v>42259</v>
      </c>
      <c r="E1403" t="s">
        <v>19</v>
      </c>
      <c r="F1403" t="s">
        <v>5217</v>
      </c>
      <c r="G1403" t="s">
        <v>5218</v>
      </c>
      <c r="H1403" t="s">
        <v>37</v>
      </c>
      <c r="I1403" t="s">
        <v>23</v>
      </c>
      <c r="J1403" t="s">
        <v>1234</v>
      </c>
      <c r="K1403" t="s">
        <v>1235</v>
      </c>
      <c r="L1403">
        <v>1852</v>
      </c>
      <c r="M1403" t="s">
        <v>144</v>
      </c>
      <c r="N1403" t="s">
        <v>5219</v>
      </c>
      <c r="O1403" t="s">
        <v>28</v>
      </c>
      <c r="P1403" t="s">
        <v>32</v>
      </c>
      <c r="Q1403" t="s">
        <v>5220</v>
      </c>
      <c r="R1403">
        <v>785.88</v>
      </c>
      <c r="S1403" t="str">
        <f>TEXT(sales_data[[#This Row],[Order Date]],"mm")</f>
        <v>09</v>
      </c>
      <c r="T1403">
        <f>YEAR(sales_data[[#This Row],[Order Date]])</f>
        <v>2015</v>
      </c>
      <c r="V1403" t="s">
        <v>5219</v>
      </c>
    </row>
    <row r="1404" spans="1:22" x14ac:dyDescent="0.35">
      <c r="A1404">
        <v>2673</v>
      </c>
      <c r="B1404" t="s">
        <v>5216</v>
      </c>
      <c r="C1404" s="1">
        <v>42256</v>
      </c>
      <c r="D1404" s="1">
        <v>42259</v>
      </c>
      <c r="E1404" t="s">
        <v>19</v>
      </c>
      <c r="F1404" t="s">
        <v>5217</v>
      </c>
      <c r="G1404" t="s">
        <v>5218</v>
      </c>
      <c r="H1404" t="s">
        <v>37</v>
      </c>
      <c r="I1404" t="s">
        <v>23</v>
      </c>
      <c r="J1404" t="s">
        <v>1234</v>
      </c>
      <c r="K1404" t="s">
        <v>1235</v>
      </c>
      <c r="L1404">
        <v>1852</v>
      </c>
      <c r="M1404" t="s">
        <v>144</v>
      </c>
      <c r="N1404" t="s">
        <v>5221</v>
      </c>
      <c r="O1404" t="s">
        <v>42</v>
      </c>
      <c r="P1404" t="s">
        <v>86</v>
      </c>
      <c r="Q1404" t="s">
        <v>5222</v>
      </c>
      <c r="R1404">
        <v>26.2</v>
      </c>
      <c r="S1404" t="str">
        <f>TEXT(sales_data[[#This Row],[Order Date]],"mm")</f>
        <v>09</v>
      </c>
      <c r="T1404">
        <f>YEAR(sales_data[[#This Row],[Order Date]])</f>
        <v>2015</v>
      </c>
      <c r="V1404" t="s">
        <v>5221</v>
      </c>
    </row>
    <row r="1405" spans="1:22" x14ac:dyDescent="0.35">
      <c r="A1405">
        <v>2682</v>
      </c>
      <c r="B1405" t="s">
        <v>5227</v>
      </c>
      <c r="C1405" s="1">
        <v>43121</v>
      </c>
      <c r="D1405" s="1">
        <v>43127</v>
      </c>
      <c r="E1405" t="s">
        <v>46</v>
      </c>
      <c r="F1405" t="s">
        <v>3384</v>
      </c>
      <c r="G1405" t="s">
        <v>3385</v>
      </c>
      <c r="H1405" t="s">
        <v>98</v>
      </c>
      <c r="I1405" t="s">
        <v>23</v>
      </c>
      <c r="J1405" t="s">
        <v>323</v>
      </c>
      <c r="K1405" t="s">
        <v>233</v>
      </c>
      <c r="L1405">
        <v>49201</v>
      </c>
      <c r="M1405" t="s">
        <v>101</v>
      </c>
      <c r="N1405" t="s">
        <v>5228</v>
      </c>
      <c r="O1405" t="s">
        <v>42</v>
      </c>
      <c r="P1405" t="s">
        <v>71</v>
      </c>
      <c r="Q1405" t="s">
        <v>5229</v>
      </c>
      <c r="R1405">
        <v>89.52</v>
      </c>
      <c r="S1405" t="str">
        <f>TEXT(sales_data[[#This Row],[Order Date]],"mm")</f>
        <v>01</v>
      </c>
      <c r="T1405">
        <f>YEAR(sales_data[[#This Row],[Order Date]])</f>
        <v>2018</v>
      </c>
      <c r="V1405" t="s">
        <v>5228</v>
      </c>
    </row>
    <row r="1406" spans="1:22" x14ac:dyDescent="0.35">
      <c r="A1406">
        <v>2683</v>
      </c>
      <c r="B1406" t="s">
        <v>5227</v>
      </c>
      <c r="C1406" s="1">
        <v>43121</v>
      </c>
      <c r="D1406" s="1">
        <v>43127</v>
      </c>
      <c r="E1406" t="s">
        <v>46</v>
      </c>
      <c r="F1406" t="s">
        <v>3384</v>
      </c>
      <c r="G1406" t="s">
        <v>3385</v>
      </c>
      <c r="H1406" t="s">
        <v>98</v>
      </c>
      <c r="I1406" t="s">
        <v>23</v>
      </c>
      <c r="J1406" t="s">
        <v>323</v>
      </c>
      <c r="K1406" t="s">
        <v>233</v>
      </c>
      <c r="L1406">
        <v>49201</v>
      </c>
      <c r="M1406" t="s">
        <v>101</v>
      </c>
      <c r="N1406" t="s">
        <v>5230</v>
      </c>
      <c r="O1406" t="s">
        <v>67</v>
      </c>
      <c r="P1406" t="s">
        <v>675</v>
      </c>
      <c r="Q1406" t="s">
        <v>5231</v>
      </c>
      <c r="R1406">
        <v>350.97300000000001</v>
      </c>
      <c r="S1406" t="str">
        <f>TEXT(sales_data[[#This Row],[Order Date]],"mm")</f>
        <v>01</v>
      </c>
      <c r="T1406">
        <f>YEAR(sales_data[[#This Row],[Order Date]])</f>
        <v>2018</v>
      </c>
      <c r="V1406" t="s">
        <v>5230</v>
      </c>
    </row>
    <row r="1407" spans="1:22" x14ac:dyDescent="0.35">
      <c r="A1407">
        <v>2684</v>
      </c>
      <c r="B1407" t="s">
        <v>5227</v>
      </c>
      <c r="C1407" s="1">
        <v>43121</v>
      </c>
      <c r="D1407" s="1">
        <v>43127</v>
      </c>
      <c r="E1407" t="s">
        <v>46</v>
      </c>
      <c r="F1407" t="s">
        <v>3384</v>
      </c>
      <c r="G1407" t="s">
        <v>3385</v>
      </c>
      <c r="H1407" t="s">
        <v>98</v>
      </c>
      <c r="I1407" t="s">
        <v>23</v>
      </c>
      <c r="J1407" t="s">
        <v>323</v>
      </c>
      <c r="K1407" t="s">
        <v>233</v>
      </c>
      <c r="L1407">
        <v>49201</v>
      </c>
      <c r="M1407" t="s">
        <v>101</v>
      </c>
      <c r="N1407" t="s">
        <v>5232</v>
      </c>
      <c r="O1407" t="s">
        <v>67</v>
      </c>
      <c r="P1407" t="s">
        <v>68</v>
      </c>
      <c r="Q1407" t="s">
        <v>5233</v>
      </c>
      <c r="R1407">
        <v>164.99</v>
      </c>
      <c r="S1407" t="str">
        <f>TEXT(sales_data[[#This Row],[Order Date]],"mm")</f>
        <v>01</v>
      </c>
      <c r="T1407">
        <f>YEAR(sales_data[[#This Row],[Order Date]])</f>
        <v>2018</v>
      </c>
      <c r="V1407" t="s">
        <v>5232</v>
      </c>
    </row>
    <row r="1408" spans="1:22" x14ac:dyDescent="0.35">
      <c r="A1408">
        <v>2688</v>
      </c>
      <c r="B1408" t="s">
        <v>5234</v>
      </c>
      <c r="C1408" s="1">
        <v>42951</v>
      </c>
      <c r="D1408" s="1">
        <v>42952</v>
      </c>
      <c r="E1408" t="s">
        <v>183</v>
      </c>
      <c r="F1408" t="s">
        <v>2200</v>
      </c>
      <c r="G1408" t="s">
        <v>2201</v>
      </c>
      <c r="H1408" t="s">
        <v>22</v>
      </c>
      <c r="I1408" t="s">
        <v>23</v>
      </c>
      <c r="J1408" t="s">
        <v>1373</v>
      </c>
      <c r="K1408" t="s">
        <v>206</v>
      </c>
      <c r="L1408">
        <v>61604</v>
      </c>
      <c r="M1408" t="s">
        <v>101</v>
      </c>
      <c r="N1408" t="s">
        <v>5235</v>
      </c>
      <c r="O1408" t="s">
        <v>42</v>
      </c>
      <c r="P1408" t="s">
        <v>71</v>
      </c>
      <c r="Q1408" t="s">
        <v>5236</v>
      </c>
      <c r="R1408">
        <v>3.98</v>
      </c>
      <c r="S1408" t="str">
        <f>TEXT(sales_data[[#This Row],[Order Date]],"mm")</f>
        <v>08</v>
      </c>
      <c r="T1408">
        <f>YEAR(sales_data[[#This Row],[Order Date]])</f>
        <v>2017</v>
      </c>
      <c r="V1408" t="s">
        <v>5235</v>
      </c>
    </row>
    <row r="1409" spans="1:22" x14ac:dyDescent="0.35">
      <c r="A1409">
        <v>2689</v>
      </c>
      <c r="B1409" t="s">
        <v>5237</v>
      </c>
      <c r="C1409" s="1">
        <v>42686</v>
      </c>
      <c r="D1409" s="1">
        <v>42688</v>
      </c>
      <c r="E1409" t="s">
        <v>183</v>
      </c>
      <c r="F1409" t="s">
        <v>2358</v>
      </c>
      <c r="G1409" t="s">
        <v>2359</v>
      </c>
      <c r="H1409" t="s">
        <v>37</v>
      </c>
      <c r="I1409" t="s">
        <v>23</v>
      </c>
      <c r="J1409" t="s">
        <v>38</v>
      </c>
      <c r="K1409" t="s">
        <v>39</v>
      </c>
      <c r="L1409">
        <v>90032</v>
      </c>
      <c r="M1409" t="s">
        <v>40</v>
      </c>
      <c r="N1409" t="s">
        <v>5238</v>
      </c>
      <c r="O1409" t="s">
        <v>42</v>
      </c>
      <c r="P1409" t="s">
        <v>86</v>
      </c>
      <c r="Q1409" t="s">
        <v>5239</v>
      </c>
      <c r="R1409">
        <v>15.7</v>
      </c>
      <c r="S1409" t="str">
        <f>TEXT(sales_data[[#This Row],[Order Date]],"mm")</f>
        <v>11</v>
      </c>
      <c r="T1409">
        <f>YEAR(sales_data[[#This Row],[Order Date]])</f>
        <v>2016</v>
      </c>
      <c r="V1409" t="s">
        <v>5238</v>
      </c>
    </row>
    <row r="1410" spans="1:22" x14ac:dyDescent="0.35">
      <c r="A1410">
        <v>2692</v>
      </c>
      <c r="B1410" t="s">
        <v>5240</v>
      </c>
      <c r="C1410" s="1">
        <v>42975</v>
      </c>
      <c r="D1410" s="1">
        <v>42980</v>
      </c>
      <c r="E1410" t="s">
        <v>46</v>
      </c>
      <c r="F1410" t="s">
        <v>688</v>
      </c>
      <c r="G1410" t="s">
        <v>689</v>
      </c>
      <c r="H1410" t="s">
        <v>22</v>
      </c>
      <c r="I1410" t="s">
        <v>23</v>
      </c>
      <c r="J1410" t="s">
        <v>5241</v>
      </c>
      <c r="K1410" t="s">
        <v>452</v>
      </c>
      <c r="L1410">
        <v>80112</v>
      </c>
      <c r="M1410" t="s">
        <v>40</v>
      </c>
      <c r="N1410" t="s">
        <v>5242</v>
      </c>
      <c r="O1410" t="s">
        <v>42</v>
      </c>
      <c r="P1410" t="s">
        <v>86</v>
      </c>
      <c r="Q1410" t="s">
        <v>5243</v>
      </c>
      <c r="R1410">
        <v>15.48</v>
      </c>
      <c r="S1410" t="str">
        <f>TEXT(sales_data[[#This Row],[Order Date]],"mm")</f>
        <v>08</v>
      </c>
      <c r="T1410">
        <f>YEAR(sales_data[[#This Row],[Order Date]])</f>
        <v>2017</v>
      </c>
      <c r="V1410" t="s">
        <v>5242</v>
      </c>
    </row>
    <row r="1411" spans="1:22" x14ac:dyDescent="0.35">
      <c r="A1411">
        <v>2693</v>
      </c>
      <c r="B1411" t="s">
        <v>5240</v>
      </c>
      <c r="C1411" s="1">
        <v>42975</v>
      </c>
      <c r="D1411" s="1">
        <v>42980</v>
      </c>
      <c r="E1411" t="s">
        <v>46</v>
      </c>
      <c r="F1411" t="s">
        <v>688</v>
      </c>
      <c r="G1411" t="s">
        <v>689</v>
      </c>
      <c r="H1411" t="s">
        <v>22</v>
      </c>
      <c r="I1411" t="s">
        <v>23</v>
      </c>
      <c r="J1411" t="s">
        <v>5241</v>
      </c>
      <c r="K1411" t="s">
        <v>452</v>
      </c>
      <c r="L1411">
        <v>80112</v>
      </c>
      <c r="M1411" t="s">
        <v>40</v>
      </c>
      <c r="N1411" t="s">
        <v>5244</v>
      </c>
      <c r="O1411" t="s">
        <v>67</v>
      </c>
      <c r="P1411" t="s">
        <v>68</v>
      </c>
      <c r="Q1411" t="s">
        <v>5245</v>
      </c>
      <c r="R1411">
        <v>108.57599999999999</v>
      </c>
      <c r="S1411" t="str">
        <f>TEXT(sales_data[[#This Row],[Order Date]],"mm")</f>
        <v>08</v>
      </c>
      <c r="T1411">
        <f>YEAR(sales_data[[#This Row],[Order Date]])</f>
        <v>2017</v>
      </c>
      <c r="V1411" t="s">
        <v>5244</v>
      </c>
    </row>
    <row r="1412" spans="1:22" x14ac:dyDescent="0.35">
      <c r="A1412">
        <v>2697</v>
      </c>
      <c r="B1412" t="s">
        <v>5247</v>
      </c>
      <c r="C1412" s="1">
        <v>42081</v>
      </c>
      <c r="D1412" s="1">
        <v>42086</v>
      </c>
      <c r="E1412" t="s">
        <v>46</v>
      </c>
      <c r="F1412" t="s">
        <v>4817</v>
      </c>
      <c r="G1412" t="s">
        <v>4818</v>
      </c>
      <c r="H1412" t="s">
        <v>98</v>
      </c>
      <c r="I1412" t="s">
        <v>23</v>
      </c>
      <c r="J1412" t="s">
        <v>1509</v>
      </c>
      <c r="K1412" t="s">
        <v>50</v>
      </c>
      <c r="L1412">
        <v>32216</v>
      </c>
      <c r="M1412" t="s">
        <v>26</v>
      </c>
      <c r="N1412" t="s">
        <v>5248</v>
      </c>
      <c r="O1412" t="s">
        <v>67</v>
      </c>
      <c r="P1412" t="s">
        <v>675</v>
      </c>
      <c r="Q1412" t="s">
        <v>5249</v>
      </c>
      <c r="R1412">
        <v>821.3</v>
      </c>
      <c r="S1412" t="str">
        <f>TEXT(sales_data[[#This Row],[Order Date]],"mm")</f>
        <v>03</v>
      </c>
      <c r="T1412">
        <f>YEAR(sales_data[[#This Row],[Order Date]])</f>
        <v>2015</v>
      </c>
      <c r="V1412" t="s">
        <v>5248</v>
      </c>
    </row>
    <row r="1413" spans="1:22" x14ac:dyDescent="0.35">
      <c r="A1413">
        <v>2698</v>
      </c>
      <c r="B1413" t="s">
        <v>5247</v>
      </c>
      <c r="C1413" s="1">
        <v>42081</v>
      </c>
      <c r="D1413" s="1">
        <v>42086</v>
      </c>
      <c r="E1413" t="s">
        <v>46</v>
      </c>
      <c r="F1413" t="s">
        <v>4817</v>
      </c>
      <c r="G1413" t="s">
        <v>4818</v>
      </c>
      <c r="H1413" t="s">
        <v>98</v>
      </c>
      <c r="I1413" t="s">
        <v>23</v>
      </c>
      <c r="J1413" t="s">
        <v>1509</v>
      </c>
      <c r="K1413" t="s">
        <v>50</v>
      </c>
      <c r="L1413">
        <v>32216</v>
      </c>
      <c r="M1413" t="s">
        <v>26</v>
      </c>
      <c r="N1413" t="s">
        <v>5250</v>
      </c>
      <c r="O1413" t="s">
        <v>67</v>
      </c>
      <c r="P1413" t="s">
        <v>675</v>
      </c>
      <c r="Q1413" t="s">
        <v>5251</v>
      </c>
      <c r="R1413">
        <v>22638.48</v>
      </c>
      <c r="S1413" t="str">
        <f>TEXT(sales_data[[#This Row],[Order Date]],"mm")</f>
        <v>03</v>
      </c>
      <c r="T1413">
        <f>YEAR(sales_data[[#This Row],[Order Date]])</f>
        <v>2015</v>
      </c>
      <c r="V1413" t="s">
        <v>5250</v>
      </c>
    </row>
    <row r="1414" spans="1:22" x14ac:dyDescent="0.35">
      <c r="A1414">
        <v>2700</v>
      </c>
      <c r="B1414" t="s">
        <v>5247</v>
      </c>
      <c r="C1414" s="1">
        <v>42081</v>
      </c>
      <c r="D1414" s="1">
        <v>42086</v>
      </c>
      <c r="E1414" t="s">
        <v>46</v>
      </c>
      <c r="F1414" t="s">
        <v>4817</v>
      </c>
      <c r="G1414" t="s">
        <v>4818</v>
      </c>
      <c r="H1414" t="s">
        <v>98</v>
      </c>
      <c r="I1414" t="s">
        <v>23</v>
      </c>
      <c r="J1414" t="s">
        <v>1509</v>
      </c>
      <c r="K1414" t="s">
        <v>50</v>
      </c>
      <c r="L1414">
        <v>32216</v>
      </c>
      <c r="M1414" t="s">
        <v>26</v>
      </c>
      <c r="N1414" t="s">
        <v>5252</v>
      </c>
      <c r="O1414" t="s">
        <v>42</v>
      </c>
      <c r="P1414" t="s">
        <v>64</v>
      </c>
      <c r="Q1414" t="s">
        <v>5253</v>
      </c>
      <c r="R1414">
        <v>8.016</v>
      </c>
      <c r="S1414" t="str">
        <f>TEXT(sales_data[[#This Row],[Order Date]],"mm")</f>
        <v>03</v>
      </c>
      <c r="T1414">
        <f>YEAR(sales_data[[#This Row],[Order Date]])</f>
        <v>2015</v>
      </c>
      <c r="V1414" t="s">
        <v>5252</v>
      </c>
    </row>
    <row r="1415" spans="1:22" x14ac:dyDescent="0.35">
      <c r="A1415">
        <v>2704</v>
      </c>
      <c r="B1415" t="s">
        <v>5254</v>
      </c>
      <c r="C1415" s="1">
        <v>42148</v>
      </c>
      <c r="D1415" s="1">
        <v>42154</v>
      </c>
      <c r="E1415" t="s">
        <v>46</v>
      </c>
      <c r="F1415" t="s">
        <v>2149</v>
      </c>
      <c r="G1415" t="s">
        <v>2150</v>
      </c>
      <c r="H1415" t="s">
        <v>22</v>
      </c>
      <c r="I1415" t="s">
        <v>23</v>
      </c>
      <c r="J1415" t="s">
        <v>4220</v>
      </c>
      <c r="K1415" t="s">
        <v>2676</v>
      </c>
      <c r="L1415">
        <v>21215</v>
      </c>
      <c r="M1415" t="s">
        <v>144</v>
      </c>
      <c r="N1415" t="s">
        <v>5255</v>
      </c>
      <c r="O1415" t="s">
        <v>42</v>
      </c>
      <c r="P1415" t="s">
        <v>86</v>
      </c>
      <c r="Q1415" t="s">
        <v>5256</v>
      </c>
      <c r="R1415">
        <v>116.28</v>
      </c>
      <c r="S1415" t="str">
        <f>TEXT(sales_data[[#This Row],[Order Date]],"mm")</f>
        <v>05</v>
      </c>
      <c r="T1415">
        <f>YEAR(sales_data[[#This Row],[Order Date]])</f>
        <v>2015</v>
      </c>
      <c r="V1415" t="s">
        <v>5255</v>
      </c>
    </row>
    <row r="1416" spans="1:22" x14ac:dyDescent="0.35">
      <c r="A1416">
        <v>2707</v>
      </c>
      <c r="B1416" t="s">
        <v>5257</v>
      </c>
      <c r="C1416" s="1">
        <v>43267</v>
      </c>
      <c r="D1416" s="1">
        <v>43272</v>
      </c>
      <c r="E1416" t="s">
        <v>46</v>
      </c>
      <c r="F1416" t="s">
        <v>3533</v>
      </c>
      <c r="G1416" t="s">
        <v>3534</v>
      </c>
      <c r="H1416" t="s">
        <v>98</v>
      </c>
      <c r="I1416" t="s">
        <v>23</v>
      </c>
      <c r="J1416" t="s">
        <v>659</v>
      </c>
      <c r="K1416" t="s">
        <v>660</v>
      </c>
      <c r="L1416">
        <v>88220</v>
      </c>
      <c r="M1416" t="s">
        <v>40</v>
      </c>
      <c r="N1416" t="s">
        <v>5258</v>
      </c>
      <c r="O1416" t="s">
        <v>42</v>
      </c>
      <c r="P1416" t="s">
        <v>86</v>
      </c>
      <c r="Q1416" t="s">
        <v>5259</v>
      </c>
      <c r="R1416">
        <v>19.440000000000001</v>
      </c>
      <c r="S1416" t="str">
        <f>TEXT(sales_data[[#This Row],[Order Date]],"mm")</f>
        <v>06</v>
      </c>
      <c r="T1416">
        <f>YEAR(sales_data[[#This Row],[Order Date]])</f>
        <v>2018</v>
      </c>
      <c r="V1416" t="s">
        <v>5258</v>
      </c>
    </row>
    <row r="1417" spans="1:22" x14ac:dyDescent="0.35">
      <c r="A1417">
        <v>2708</v>
      </c>
      <c r="B1417" t="s">
        <v>5257</v>
      </c>
      <c r="C1417" s="1">
        <v>43267</v>
      </c>
      <c r="D1417" s="1">
        <v>43272</v>
      </c>
      <c r="E1417" t="s">
        <v>46</v>
      </c>
      <c r="F1417" t="s">
        <v>3533</v>
      </c>
      <c r="G1417" t="s">
        <v>3534</v>
      </c>
      <c r="H1417" t="s">
        <v>98</v>
      </c>
      <c r="I1417" t="s">
        <v>23</v>
      </c>
      <c r="J1417" t="s">
        <v>659</v>
      </c>
      <c r="K1417" t="s">
        <v>660</v>
      </c>
      <c r="L1417">
        <v>88220</v>
      </c>
      <c r="M1417" t="s">
        <v>40</v>
      </c>
      <c r="N1417" t="s">
        <v>5260</v>
      </c>
      <c r="O1417" t="s">
        <v>42</v>
      </c>
      <c r="P1417" t="s">
        <v>86</v>
      </c>
      <c r="Q1417" t="s">
        <v>5261</v>
      </c>
      <c r="R1417">
        <v>192.16</v>
      </c>
      <c r="S1417" t="str">
        <f>TEXT(sales_data[[#This Row],[Order Date]],"mm")</f>
        <v>06</v>
      </c>
      <c r="T1417">
        <f>YEAR(sales_data[[#This Row],[Order Date]])</f>
        <v>2018</v>
      </c>
      <c r="V1417" t="s">
        <v>5260</v>
      </c>
    </row>
    <row r="1418" spans="1:22" x14ac:dyDescent="0.35">
      <c r="A1418">
        <v>2709</v>
      </c>
      <c r="B1418" t="s">
        <v>5262</v>
      </c>
      <c r="C1418" s="1">
        <v>42399</v>
      </c>
      <c r="D1418" s="1">
        <v>42406</v>
      </c>
      <c r="E1418" t="s">
        <v>46</v>
      </c>
      <c r="F1418" t="s">
        <v>1934</v>
      </c>
      <c r="G1418" t="s">
        <v>1935</v>
      </c>
      <c r="H1418" t="s">
        <v>22</v>
      </c>
      <c r="I1418" t="s">
        <v>23</v>
      </c>
      <c r="J1418" t="s">
        <v>38</v>
      </c>
      <c r="K1418" t="s">
        <v>39</v>
      </c>
      <c r="L1418">
        <v>90049</v>
      </c>
      <c r="M1418" t="s">
        <v>40</v>
      </c>
      <c r="N1418" t="s">
        <v>5263</v>
      </c>
      <c r="O1418" t="s">
        <v>28</v>
      </c>
      <c r="P1418" t="s">
        <v>61</v>
      </c>
      <c r="Q1418" t="s">
        <v>5264</v>
      </c>
      <c r="R1418">
        <v>227.36</v>
      </c>
      <c r="S1418" t="str">
        <f>TEXT(sales_data[[#This Row],[Order Date]],"mm")</f>
        <v>01</v>
      </c>
      <c r="T1418">
        <f>YEAR(sales_data[[#This Row],[Order Date]])</f>
        <v>2016</v>
      </c>
      <c r="V1418" t="s">
        <v>5263</v>
      </c>
    </row>
    <row r="1419" spans="1:22" x14ac:dyDescent="0.35">
      <c r="A1419">
        <v>2716</v>
      </c>
      <c r="B1419" t="s">
        <v>5265</v>
      </c>
      <c r="C1419" s="1">
        <v>42342</v>
      </c>
      <c r="D1419" s="1">
        <v>42346</v>
      </c>
      <c r="E1419" t="s">
        <v>46</v>
      </c>
      <c r="F1419" t="s">
        <v>3525</v>
      </c>
      <c r="G1419" t="s">
        <v>3526</v>
      </c>
      <c r="H1419" t="s">
        <v>37</v>
      </c>
      <c r="I1419" t="s">
        <v>23</v>
      </c>
      <c r="J1419" t="s">
        <v>261</v>
      </c>
      <c r="K1419" t="s">
        <v>262</v>
      </c>
      <c r="L1419">
        <v>10024</v>
      </c>
      <c r="M1419" t="s">
        <v>144</v>
      </c>
      <c r="N1419" t="s">
        <v>5266</v>
      </c>
      <c r="O1419" t="s">
        <v>67</v>
      </c>
      <c r="P1419" t="s">
        <v>68</v>
      </c>
      <c r="Q1419" t="s">
        <v>5267</v>
      </c>
      <c r="R1419">
        <v>129.97999999999999</v>
      </c>
      <c r="S1419" t="str">
        <f>TEXT(sales_data[[#This Row],[Order Date]],"mm")</f>
        <v>12</v>
      </c>
      <c r="T1419">
        <f>YEAR(sales_data[[#This Row],[Order Date]])</f>
        <v>2015</v>
      </c>
      <c r="V1419" t="s">
        <v>5266</v>
      </c>
    </row>
    <row r="1420" spans="1:22" x14ac:dyDescent="0.35">
      <c r="A1420">
        <v>2718</v>
      </c>
      <c r="B1420" t="s">
        <v>5269</v>
      </c>
      <c r="C1420" s="1">
        <v>42254</v>
      </c>
      <c r="D1420" s="1">
        <v>42260</v>
      </c>
      <c r="E1420" t="s">
        <v>46</v>
      </c>
      <c r="F1420" t="s">
        <v>4754</v>
      </c>
      <c r="G1420" t="s">
        <v>4755</v>
      </c>
      <c r="H1420" t="s">
        <v>22</v>
      </c>
      <c r="I1420" t="s">
        <v>23</v>
      </c>
      <c r="J1420" t="s">
        <v>261</v>
      </c>
      <c r="K1420" t="s">
        <v>262</v>
      </c>
      <c r="L1420">
        <v>10024</v>
      </c>
      <c r="M1420" t="s">
        <v>144</v>
      </c>
      <c r="N1420" t="s">
        <v>5270</v>
      </c>
      <c r="O1420" t="s">
        <v>67</v>
      </c>
      <c r="P1420" t="s">
        <v>68</v>
      </c>
      <c r="Q1420" t="s">
        <v>5271</v>
      </c>
      <c r="R1420">
        <v>377.97</v>
      </c>
      <c r="S1420" t="str">
        <f>TEXT(sales_data[[#This Row],[Order Date]],"mm")</f>
        <v>09</v>
      </c>
      <c r="T1420">
        <f>YEAR(sales_data[[#This Row],[Order Date]])</f>
        <v>2015</v>
      </c>
      <c r="V1420" t="s">
        <v>5270</v>
      </c>
    </row>
    <row r="1421" spans="1:22" x14ac:dyDescent="0.35">
      <c r="A1421">
        <v>2736</v>
      </c>
      <c r="B1421" t="s">
        <v>5276</v>
      </c>
      <c r="C1421" s="1">
        <v>42687</v>
      </c>
      <c r="D1421" s="1">
        <v>42693</v>
      </c>
      <c r="E1421" t="s">
        <v>46</v>
      </c>
      <c r="F1421" t="s">
        <v>908</v>
      </c>
      <c r="G1421" t="s">
        <v>909</v>
      </c>
      <c r="H1421" t="s">
        <v>22</v>
      </c>
      <c r="I1421" t="s">
        <v>23</v>
      </c>
      <c r="J1421" t="s">
        <v>599</v>
      </c>
      <c r="K1421" t="s">
        <v>240</v>
      </c>
      <c r="L1421">
        <v>19711</v>
      </c>
      <c r="M1421" t="s">
        <v>144</v>
      </c>
      <c r="N1421" t="s">
        <v>5277</v>
      </c>
      <c r="O1421" t="s">
        <v>67</v>
      </c>
      <c r="P1421" t="s">
        <v>68</v>
      </c>
      <c r="Q1421" t="s">
        <v>5278</v>
      </c>
      <c r="R1421">
        <v>377.97</v>
      </c>
      <c r="S1421" t="str">
        <f>TEXT(sales_data[[#This Row],[Order Date]],"mm")</f>
        <v>11</v>
      </c>
      <c r="T1421">
        <f>YEAR(sales_data[[#This Row],[Order Date]])</f>
        <v>2016</v>
      </c>
      <c r="V1421" t="s">
        <v>5277</v>
      </c>
    </row>
    <row r="1422" spans="1:22" x14ac:dyDescent="0.35">
      <c r="A1422">
        <v>2740</v>
      </c>
      <c r="B1422" t="s">
        <v>5279</v>
      </c>
      <c r="C1422" s="1">
        <v>43206</v>
      </c>
      <c r="D1422" s="1">
        <v>43208</v>
      </c>
      <c r="E1422" t="s">
        <v>183</v>
      </c>
      <c r="F1422" t="s">
        <v>3920</v>
      </c>
      <c r="G1422" t="s">
        <v>3921</v>
      </c>
      <c r="H1422" t="s">
        <v>37</v>
      </c>
      <c r="I1422" t="s">
        <v>23</v>
      </c>
      <c r="J1422" t="s">
        <v>5280</v>
      </c>
      <c r="K1422" t="s">
        <v>353</v>
      </c>
      <c r="L1422">
        <v>35244</v>
      </c>
      <c r="M1422" t="s">
        <v>26</v>
      </c>
      <c r="N1422" t="s">
        <v>5281</v>
      </c>
      <c r="O1422" t="s">
        <v>42</v>
      </c>
      <c r="P1422" t="s">
        <v>573</v>
      </c>
      <c r="Q1422" t="s">
        <v>5282</v>
      </c>
      <c r="R1422">
        <v>477.24</v>
      </c>
      <c r="S1422" t="str">
        <f>TEXT(sales_data[[#This Row],[Order Date]],"mm")</f>
        <v>04</v>
      </c>
      <c r="T1422">
        <f>YEAR(sales_data[[#This Row],[Order Date]])</f>
        <v>2018</v>
      </c>
      <c r="V1422" t="s">
        <v>5281</v>
      </c>
    </row>
    <row r="1423" spans="1:22" x14ac:dyDescent="0.35">
      <c r="A1423">
        <v>2741</v>
      </c>
      <c r="B1423" t="s">
        <v>5279</v>
      </c>
      <c r="C1423" s="1">
        <v>43206</v>
      </c>
      <c r="D1423" s="1">
        <v>43208</v>
      </c>
      <c r="E1423" t="s">
        <v>183</v>
      </c>
      <c r="F1423" t="s">
        <v>3920</v>
      </c>
      <c r="G1423" t="s">
        <v>3921</v>
      </c>
      <c r="H1423" t="s">
        <v>37</v>
      </c>
      <c r="I1423" t="s">
        <v>23</v>
      </c>
      <c r="J1423" t="s">
        <v>5280</v>
      </c>
      <c r="K1423" t="s">
        <v>353</v>
      </c>
      <c r="L1423">
        <v>35244</v>
      </c>
      <c r="M1423" t="s">
        <v>26</v>
      </c>
      <c r="N1423" t="s">
        <v>5283</v>
      </c>
      <c r="O1423" t="s">
        <v>67</v>
      </c>
      <c r="P1423" t="s">
        <v>156</v>
      </c>
      <c r="Q1423" t="s">
        <v>5284</v>
      </c>
      <c r="R1423">
        <v>25.98</v>
      </c>
      <c r="S1423" t="str">
        <f>TEXT(sales_data[[#This Row],[Order Date]],"mm")</f>
        <v>04</v>
      </c>
      <c r="T1423">
        <f>YEAR(sales_data[[#This Row],[Order Date]])</f>
        <v>2018</v>
      </c>
      <c r="V1423" t="s">
        <v>5283</v>
      </c>
    </row>
    <row r="1424" spans="1:22" x14ac:dyDescent="0.35">
      <c r="A1424">
        <v>2748</v>
      </c>
      <c r="B1424" t="s">
        <v>5287</v>
      </c>
      <c r="C1424" s="1">
        <v>42696</v>
      </c>
      <c r="D1424" s="1">
        <v>42700</v>
      </c>
      <c r="E1424" t="s">
        <v>46</v>
      </c>
      <c r="F1424" t="s">
        <v>3229</v>
      </c>
      <c r="G1424" t="s">
        <v>3230</v>
      </c>
      <c r="H1424" t="s">
        <v>98</v>
      </c>
      <c r="I1424" t="s">
        <v>23</v>
      </c>
      <c r="J1424" t="s">
        <v>5288</v>
      </c>
      <c r="K1424" t="s">
        <v>100</v>
      </c>
      <c r="L1424">
        <v>75034</v>
      </c>
      <c r="M1424" t="s">
        <v>101</v>
      </c>
      <c r="N1424" t="s">
        <v>5289</v>
      </c>
      <c r="O1424" t="s">
        <v>67</v>
      </c>
      <c r="P1424" t="s">
        <v>156</v>
      </c>
      <c r="Q1424" t="s">
        <v>5290</v>
      </c>
      <c r="R1424">
        <v>27.167999999999999</v>
      </c>
      <c r="S1424" t="str">
        <f>TEXT(sales_data[[#This Row],[Order Date]],"mm")</f>
        <v>11</v>
      </c>
      <c r="T1424">
        <f>YEAR(sales_data[[#This Row],[Order Date]])</f>
        <v>2016</v>
      </c>
      <c r="V1424" t="s">
        <v>5289</v>
      </c>
    </row>
    <row r="1425" spans="1:22" x14ac:dyDescent="0.35">
      <c r="A1425">
        <v>2750</v>
      </c>
      <c r="B1425" t="s">
        <v>5292</v>
      </c>
      <c r="C1425" s="1">
        <v>42163</v>
      </c>
      <c r="D1425" s="1">
        <v>42169</v>
      </c>
      <c r="E1425" t="s">
        <v>46</v>
      </c>
      <c r="F1425" t="s">
        <v>1929</v>
      </c>
      <c r="G1425" t="s">
        <v>1930</v>
      </c>
      <c r="H1425" t="s">
        <v>22</v>
      </c>
      <c r="I1425" t="s">
        <v>23</v>
      </c>
      <c r="J1425" t="s">
        <v>91</v>
      </c>
      <c r="K1425" t="s">
        <v>92</v>
      </c>
      <c r="L1425">
        <v>98115</v>
      </c>
      <c r="M1425" t="s">
        <v>40</v>
      </c>
      <c r="N1425" t="s">
        <v>5293</v>
      </c>
      <c r="O1425" t="s">
        <v>28</v>
      </c>
      <c r="P1425" t="s">
        <v>32</v>
      </c>
      <c r="Q1425" t="s">
        <v>5294</v>
      </c>
      <c r="R1425">
        <v>585.55200000000002</v>
      </c>
      <c r="S1425" t="str">
        <f>TEXT(sales_data[[#This Row],[Order Date]],"mm")</f>
        <v>06</v>
      </c>
      <c r="T1425">
        <f>YEAR(sales_data[[#This Row],[Order Date]])</f>
        <v>2015</v>
      </c>
      <c r="V1425" t="s">
        <v>5293</v>
      </c>
    </row>
    <row r="1426" spans="1:22" x14ac:dyDescent="0.35">
      <c r="A1426">
        <v>2751</v>
      </c>
      <c r="B1426" t="s">
        <v>5295</v>
      </c>
      <c r="C1426" s="1">
        <v>42224</v>
      </c>
      <c r="D1426" s="1">
        <v>42227</v>
      </c>
      <c r="E1426" t="s">
        <v>19</v>
      </c>
      <c r="F1426" t="s">
        <v>4972</v>
      </c>
      <c r="G1426" t="s">
        <v>4973</v>
      </c>
      <c r="H1426" t="s">
        <v>22</v>
      </c>
      <c r="I1426" t="s">
        <v>23</v>
      </c>
      <c r="J1426" t="s">
        <v>5296</v>
      </c>
      <c r="K1426" t="s">
        <v>39</v>
      </c>
      <c r="L1426">
        <v>95687</v>
      </c>
      <c r="M1426" t="s">
        <v>40</v>
      </c>
      <c r="N1426" t="s">
        <v>5297</v>
      </c>
      <c r="O1426" t="s">
        <v>42</v>
      </c>
      <c r="P1426" t="s">
        <v>55</v>
      </c>
      <c r="Q1426" t="s">
        <v>5298</v>
      </c>
      <c r="R1426">
        <v>423.28</v>
      </c>
      <c r="S1426" t="str">
        <f>TEXT(sales_data[[#This Row],[Order Date]],"mm")</f>
        <v>08</v>
      </c>
      <c r="T1426">
        <f>YEAR(sales_data[[#This Row],[Order Date]])</f>
        <v>2015</v>
      </c>
      <c r="V1426" t="s">
        <v>5297</v>
      </c>
    </row>
    <row r="1427" spans="1:22" x14ac:dyDescent="0.35">
      <c r="A1427">
        <v>2762</v>
      </c>
      <c r="B1427" t="s">
        <v>5305</v>
      </c>
      <c r="C1427" s="1">
        <v>43385</v>
      </c>
      <c r="D1427" s="1">
        <v>43387</v>
      </c>
      <c r="E1427" t="s">
        <v>183</v>
      </c>
      <c r="F1427" t="s">
        <v>631</v>
      </c>
      <c r="G1427" t="s">
        <v>632</v>
      </c>
      <c r="H1427" t="s">
        <v>98</v>
      </c>
      <c r="I1427" t="s">
        <v>23</v>
      </c>
      <c r="J1427" t="s">
        <v>123</v>
      </c>
      <c r="K1427" t="s">
        <v>39</v>
      </c>
      <c r="L1427">
        <v>94110</v>
      </c>
      <c r="M1427" t="s">
        <v>40</v>
      </c>
      <c r="N1427" t="s">
        <v>5306</v>
      </c>
      <c r="O1427" t="s">
        <v>67</v>
      </c>
      <c r="P1427" t="s">
        <v>156</v>
      </c>
      <c r="Q1427" t="s">
        <v>5307</v>
      </c>
      <c r="R1427">
        <v>0.99</v>
      </c>
      <c r="S1427" t="str">
        <f>TEXT(sales_data[[#This Row],[Order Date]],"mm")</f>
        <v>10</v>
      </c>
      <c r="T1427">
        <f>YEAR(sales_data[[#This Row],[Order Date]])</f>
        <v>2018</v>
      </c>
      <c r="V1427" t="s">
        <v>5306</v>
      </c>
    </row>
    <row r="1428" spans="1:22" x14ac:dyDescent="0.35">
      <c r="A1428">
        <v>2764</v>
      </c>
      <c r="B1428" t="s">
        <v>5308</v>
      </c>
      <c r="C1428" s="1">
        <v>43273</v>
      </c>
      <c r="D1428" s="1">
        <v>43279</v>
      </c>
      <c r="E1428" t="s">
        <v>46</v>
      </c>
      <c r="F1428" t="s">
        <v>3849</v>
      </c>
      <c r="G1428" t="s">
        <v>3850</v>
      </c>
      <c r="H1428" t="s">
        <v>98</v>
      </c>
      <c r="I1428" t="s">
        <v>23</v>
      </c>
      <c r="J1428" t="s">
        <v>142</v>
      </c>
      <c r="K1428" t="s">
        <v>143</v>
      </c>
      <c r="L1428">
        <v>19140</v>
      </c>
      <c r="M1428" t="s">
        <v>144</v>
      </c>
      <c r="N1428" t="s">
        <v>5309</v>
      </c>
      <c r="O1428" t="s">
        <v>42</v>
      </c>
      <c r="P1428" t="s">
        <v>71</v>
      </c>
      <c r="Q1428" t="s">
        <v>5310</v>
      </c>
      <c r="R1428">
        <v>10.332000000000001</v>
      </c>
      <c r="S1428" t="str">
        <f>TEXT(sales_data[[#This Row],[Order Date]],"mm")</f>
        <v>06</v>
      </c>
      <c r="T1428">
        <f>YEAR(sales_data[[#This Row],[Order Date]])</f>
        <v>2018</v>
      </c>
      <c r="V1428" t="s">
        <v>5309</v>
      </c>
    </row>
    <row r="1429" spans="1:22" x14ac:dyDescent="0.35">
      <c r="A1429">
        <v>2766</v>
      </c>
      <c r="B1429" t="s">
        <v>5308</v>
      </c>
      <c r="C1429" s="1">
        <v>43273</v>
      </c>
      <c r="D1429" s="1">
        <v>43279</v>
      </c>
      <c r="E1429" t="s">
        <v>46</v>
      </c>
      <c r="F1429" t="s">
        <v>3849</v>
      </c>
      <c r="G1429" t="s">
        <v>3850</v>
      </c>
      <c r="H1429" t="s">
        <v>98</v>
      </c>
      <c r="I1429" t="s">
        <v>23</v>
      </c>
      <c r="J1429" t="s">
        <v>142</v>
      </c>
      <c r="K1429" t="s">
        <v>143</v>
      </c>
      <c r="L1429">
        <v>19140</v>
      </c>
      <c r="M1429" t="s">
        <v>144</v>
      </c>
      <c r="N1429" t="s">
        <v>5311</v>
      </c>
      <c r="O1429" t="s">
        <v>42</v>
      </c>
      <c r="P1429" t="s">
        <v>55</v>
      </c>
      <c r="Q1429" t="s">
        <v>5312</v>
      </c>
      <c r="R1429">
        <v>8.9280000000000008</v>
      </c>
      <c r="S1429" t="str">
        <f>TEXT(sales_data[[#This Row],[Order Date]],"mm")</f>
        <v>06</v>
      </c>
      <c r="T1429">
        <f>YEAR(sales_data[[#This Row],[Order Date]])</f>
        <v>2018</v>
      </c>
      <c r="V1429" t="s">
        <v>5311</v>
      </c>
    </row>
    <row r="1430" spans="1:22" x14ac:dyDescent="0.35">
      <c r="A1430">
        <v>2767</v>
      </c>
      <c r="B1430" t="s">
        <v>5313</v>
      </c>
      <c r="C1430" s="1">
        <v>43115</v>
      </c>
      <c r="D1430" s="1">
        <v>43118</v>
      </c>
      <c r="E1430" t="s">
        <v>183</v>
      </c>
      <c r="F1430" t="s">
        <v>2860</v>
      </c>
      <c r="G1430" t="s">
        <v>2861</v>
      </c>
      <c r="H1430" t="s">
        <v>22</v>
      </c>
      <c r="I1430" t="s">
        <v>23</v>
      </c>
      <c r="J1430" t="s">
        <v>142</v>
      </c>
      <c r="K1430" t="s">
        <v>143</v>
      </c>
      <c r="L1430">
        <v>19134</v>
      </c>
      <c r="M1430" t="s">
        <v>144</v>
      </c>
      <c r="N1430" t="s">
        <v>5314</v>
      </c>
      <c r="O1430" t="s">
        <v>42</v>
      </c>
      <c r="P1430" t="s">
        <v>74</v>
      </c>
      <c r="Q1430" t="s">
        <v>5315</v>
      </c>
      <c r="R1430">
        <v>34.384</v>
      </c>
      <c r="S1430" t="str">
        <f>TEXT(sales_data[[#This Row],[Order Date]],"mm")</f>
        <v>01</v>
      </c>
      <c r="T1430">
        <f>YEAR(sales_data[[#This Row],[Order Date]])</f>
        <v>2018</v>
      </c>
      <c r="V1430" t="s">
        <v>5314</v>
      </c>
    </row>
    <row r="1431" spans="1:22" x14ac:dyDescent="0.35">
      <c r="A1431">
        <v>2769</v>
      </c>
      <c r="B1431" t="s">
        <v>5316</v>
      </c>
      <c r="C1431" s="1">
        <v>42462</v>
      </c>
      <c r="D1431" s="1">
        <v>42467</v>
      </c>
      <c r="E1431" t="s">
        <v>46</v>
      </c>
      <c r="F1431" t="s">
        <v>5317</v>
      </c>
      <c r="G1431" t="s">
        <v>5318</v>
      </c>
      <c r="H1431" t="s">
        <v>22</v>
      </c>
      <c r="I1431" t="s">
        <v>23</v>
      </c>
      <c r="J1431" t="s">
        <v>807</v>
      </c>
      <c r="K1431" t="s">
        <v>100</v>
      </c>
      <c r="L1431">
        <v>75220</v>
      </c>
      <c r="M1431" t="s">
        <v>101</v>
      </c>
      <c r="N1431" t="s">
        <v>5319</v>
      </c>
      <c r="O1431" t="s">
        <v>42</v>
      </c>
      <c r="P1431" t="s">
        <v>74</v>
      </c>
      <c r="Q1431" t="s">
        <v>5320</v>
      </c>
      <c r="R1431">
        <v>32.192</v>
      </c>
      <c r="S1431" t="str">
        <f>TEXT(sales_data[[#This Row],[Order Date]],"mm")</f>
        <v>04</v>
      </c>
      <c r="T1431">
        <f>YEAR(sales_data[[#This Row],[Order Date]])</f>
        <v>2016</v>
      </c>
      <c r="V1431" t="s">
        <v>5319</v>
      </c>
    </row>
    <row r="1432" spans="1:22" x14ac:dyDescent="0.35">
      <c r="A1432">
        <v>2780</v>
      </c>
      <c r="B1432" t="s">
        <v>5321</v>
      </c>
      <c r="C1432" s="1">
        <v>43220</v>
      </c>
      <c r="D1432" s="1">
        <v>43225</v>
      </c>
      <c r="E1432" t="s">
        <v>46</v>
      </c>
      <c r="F1432" t="s">
        <v>1384</v>
      </c>
      <c r="G1432" t="s">
        <v>1385</v>
      </c>
      <c r="H1432" t="s">
        <v>37</v>
      </c>
      <c r="I1432" t="s">
        <v>23</v>
      </c>
      <c r="J1432" t="s">
        <v>5322</v>
      </c>
      <c r="K1432" t="s">
        <v>50</v>
      </c>
      <c r="L1432">
        <v>33068</v>
      </c>
      <c r="M1432" t="s">
        <v>26</v>
      </c>
      <c r="N1432" t="s">
        <v>5323</v>
      </c>
      <c r="O1432" t="s">
        <v>67</v>
      </c>
      <c r="P1432" t="s">
        <v>156</v>
      </c>
      <c r="Q1432" t="s">
        <v>5324</v>
      </c>
      <c r="R1432">
        <v>2.3759999999999999</v>
      </c>
      <c r="S1432" t="str">
        <f>TEXT(sales_data[[#This Row],[Order Date]],"mm")</f>
        <v>04</v>
      </c>
      <c r="T1432">
        <f>YEAR(sales_data[[#This Row],[Order Date]])</f>
        <v>2018</v>
      </c>
      <c r="V1432" t="s">
        <v>5323</v>
      </c>
    </row>
    <row r="1433" spans="1:22" x14ac:dyDescent="0.35">
      <c r="A1433">
        <v>2784</v>
      </c>
      <c r="B1433" t="s">
        <v>5325</v>
      </c>
      <c r="C1433" s="1">
        <v>43044</v>
      </c>
      <c r="D1433" s="1">
        <v>43049</v>
      </c>
      <c r="E1433" t="s">
        <v>46</v>
      </c>
      <c r="F1433" t="s">
        <v>1326</v>
      </c>
      <c r="G1433" t="s">
        <v>1327</v>
      </c>
      <c r="H1433" t="s">
        <v>37</v>
      </c>
      <c r="I1433" t="s">
        <v>23</v>
      </c>
      <c r="J1433" t="s">
        <v>142</v>
      </c>
      <c r="K1433" t="s">
        <v>143</v>
      </c>
      <c r="L1433">
        <v>19134</v>
      </c>
      <c r="M1433" t="s">
        <v>144</v>
      </c>
      <c r="N1433" t="s">
        <v>5326</v>
      </c>
      <c r="O1433" t="s">
        <v>67</v>
      </c>
      <c r="P1433" t="s">
        <v>68</v>
      </c>
      <c r="Q1433" t="s">
        <v>5327</v>
      </c>
      <c r="R1433">
        <v>23.988</v>
      </c>
      <c r="S1433" t="str">
        <f>TEXT(sales_data[[#This Row],[Order Date]],"mm")</f>
        <v>11</v>
      </c>
      <c r="T1433">
        <f>YEAR(sales_data[[#This Row],[Order Date]])</f>
        <v>2017</v>
      </c>
      <c r="V1433" t="s">
        <v>5326</v>
      </c>
    </row>
    <row r="1434" spans="1:22" x14ac:dyDescent="0.35">
      <c r="A1434">
        <v>2787</v>
      </c>
      <c r="B1434" t="s">
        <v>5328</v>
      </c>
      <c r="C1434" s="1">
        <v>42634</v>
      </c>
      <c r="D1434" s="1">
        <v>42636</v>
      </c>
      <c r="E1434" t="s">
        <v>183</v>
      </c>
      <c r="F1434" t="s">
        <v>4138</v>
      </c>
      <c r="G1434" t="s">
        <v>4139</v>
      </c>
      <c r="H1434" t="s">
        <v>98</v>
      </c>
      <c r="I1434" t="s">
        <v>23</v>
      </c>
      <c r="J1434" t="s">
        <v>38</v>
      </c>
      <c r="K1434" t="s">
        <v>39</v>
      </c>
      <c r="L1434">
        <v>90036</v>
      </c>
      <c r="M1434" t="s">
        <v>40</v>
      </c>
      <c r="N1434" t="s">
        <v>5329</v>
      </c>
      <c r="O1434" t="s">
        <v>42</v>
      </c>
      <c r="P1434" t="s">
        <v>264</v>
      </c>
      <c r="Q1434" t="s">
        <v>5330</v>
      </c>
      <c r="R1434">
        <v>7.9</v>
      </c>
      <c r="S1434" t="str">
        <f>TEXT(sales_data[[#This Row],[Order Date]],"mm")</f>
        <v>09</v>
      </c>
      <c r="T1434">
        <f>YEAR(sales_data[[#This Row],[Order Date]])</f>
        <v>2016</v>
      </c>
      <c r="V1434" t="s">
        <v>5329</v>
      </c>
    </row>
    <row r="1435" spans="1:22" x14ac:dyDescent="0.35">
      <c r="A1435">
        <v>2805</v>
      </c>
      <c r="B1435" t="s">
        <v>5333</v>
      </c>
      <c r="C1435" s="1">
        <v>42502</v>
      </c>
      <c r="D1435" s="1">
        <v>42506</v>
      </c>
      <c r="E1435" t="s">
        <v>46</v>
      </c>
      <c r="F1435" t="s">
        <v>3783</v>
      </c>
      <c r="G1435" t="s">
        <v>3784</v>
      </c>
      <c r="H1435" t="s">
        <v>22</v>
      </c>
      <c r="I1435" t="s">
        <v>23</v>
      </c>
      <c r="J1435" t="s">
        <v>123</v>
      </c>
      <c r="K1435" t="s">
        <v>39</v>
      </c>
      <c r="L1435">
        <v>94122</v>
      </c>
      <c r="M1435" t="s">
        <v>40</v>
      </c>
      <c r="N1435" t="s">
        <v>5334</v>
      </c>
      <c r="O1435" t="s">
        <v>42</v>
      </c>
      <c r="P1435" t="s">
        <v>86</v>
      </c>
      <c r="Q1435" t="s">
        <v>5335</v>
      </c>
      <c r="R1435">
        <v>25.68</v>
      </c>
      <c r="S1435" t="str">
        <f>TEXT(sales_data[[#This Row],[Order Date]],"mm")</f>
        <v>05</v>
      </c>
      <c r="T1435">
        <f>YEAR(sales_data[[#This Row],[Order Date]])</f>
        <v>2016</v>
      </c>
      <c r="V1435" t="s">
        <v>5334</v>
      </c>
    </row>
    <row r="1436" spans="1:22" x14ac:dyDescent="0.35">
      <c r="A1436">
        <v>2808</v>
      </c>
      <c r="B1436" t="s">
        <v>5336</v>
      </c>
      <c r="C1436" s="1">
        <v>42576</v>
      </c>
      <c r="D1436" s="1">
        <v>42578</v>
      </c>
      <c r="E1436" t="s">
        <v>19</v>
      </c>
      <c r="F1436" t="s">
        <v>5337</v>
      </c>
      <c r="G1436" t="s">
        <v>5338</v>
      </c>
      <c r="H1436" t="s">
        <v>22</v>
      </c>
      <c r="I1436" t="s">
        <v>23</v>
      </c>
      <c r="J1436" t="s">
        <v>91</v>
      </c>
      <c r="K1436" t="s">
        <v>92</v>
      </c>
      <c r="L1436">
        <v>98115</v>
      </c>
      <c r="M1436" t="s">
        <v>40</v>
      </c>
      <c r="N1436" t="s">
        <v>5339</v>
      </c>
      <c r="O1436" t="s">
        <v>42</v>
      </c>
      <c r="P1436" t="s">
        <v>86</v>
      </c>
      <c r="Q1436" t="s">
        <v>5340</v>
      </c>
      <c r="R1436">
        <v>12.96</v>
      </c>
      <c r="S1436" t="str">
        <f>TEXT(sales_data[[#This Row],[Order Date]],"mm")</f>
        <v>07</v>
      </c>
      <c r="T1436">
        <f>YEAR(sales_data[[#This Row],[Order Date]])</f>
        <v>2016</v>
      </c>
      <c r="V1436" t="s">
        <v>5339</v>
      </c>
    </row>
    <row r="1437" spans="1:22" x14ac:dyDescent="0.35">
      <c r="A1437">
        <v>2812</v>
      </c>
      <c r="B1437" t="s">
        <v>5341</v>
      </c>
      <c r="C1437" s="1">
        <v>42690</v>
      </c>
      <c r="D1437" s="1">
        <v>42692</v>
      </c>
      <c r="E1437" t="s">
        <v>19</v>
      </c>
      <c r="F1437" t="s">
        <v>3879</v>
      </c>
      <c r="G1437" t="s">
        <v>3880</v>
      </c>
      <c r="H1437" t="s">
        <v>98</v>
      </c>
      <c r="I1437" t="s">
        <v>23</v>
      </c>
      <c r="J1437" t="s">
        <v>2502</v>
      </c>
      <c r="K1437" t="s">
        <v>110</v>
      </c>
      <c r="L1437">
        <v>53209</v>
      </c>
      <c r="M1437" t="s">
        <v>101</v>
      </c>
      <c r="N1437" t="s">
        <v>5342</v>
      </c>
      <c r="O1437" t="s">
        <v>28</v>
      </c>
      <c r="P1437" t="s">
        <v>61</v>
      </c>
      <c r="Q1437" t="s">
        <v>5343</v>
      </c>
      <c r="R1437">
        <v>185.58</v>
      </c>
      <c r="S1437" t="str">
        <f>TEXT(sales_data[[#This Row],[Order Date]],"mm")</f>
        <v>11</v>
      </c>
      <c r="T1437">
        <f>YEAR(sales_data[[#This Row],[Order Date]])</f>
        <v>2016</v>
      </c>
      <c r="V1437" t="s">
        <v>5342</v>
      </c>
    </row>
    <row r="1438" spans="1:22" x14ac:dyDescent="0.35">
      <c r="A1438">
        <v>2825</v>
      </c>
      <c r="B1438" t="s">
        <v>5348</v>
      </c>
      <c r="C1438" s="1">
        <v>42272</v>
      </c>
      <c r="D1438" s="1">
        <v>42277</v>
      </c>
      <c r="E1438" t="s">
        <v>46</v>
      </c>
      <c r="F1438" t="s">
        <v>1650</v>
      </c>
      <c r="G1438" t="s">
        <v>1651</v>
      </c>
      <c r="H1438" t="s">
        <v>98</v>
      </c>
      <c r="I1438" t="s">
        <v>23</v>
      </c>
      <c r="J1438" t="s">
        <v>179</v>
      </c>
      <c r="K1438" t="s">
        <v>100</v>
      </c>
      <c r="L1438">
        <v>77041</v>
      </c>
      <c r="M1438" t="s">
        <v>101</v>
      </c>
      <c r="N1438" t="s">
        <v>5349</v>
      </c>
      <c r="O1438" t="s">
        <v>42</v>
      </c>
      <c r="P1438" t="s">
        <v>86</v>
      </c>
      <c r="Q1438" t="s">
        <v>5350</v>
      </c>
      <c r="R1438">
        <v>33.792000000000002</v>
      </c>
      <c r="S1438" t="str">
        <f>TEXT(sales_data[[#This Row],[Order Date]],"mm")</f>
        <v>09</v>
      </c>
      <c r="T1438">
        <f>YEAR(sales_data[[#This Row],[Order Date]])</f>
        <v>2015</v>
      </c>
      <c r="V1438" t="s">
        <v>5349</v>
      </c>
    </row>
    <row r="1439" spans="1:22" x14ac:dyDescent="0.35">
      <c r="A1439">
        <v>2829</v>
      </c>
      <c r="B1439" t="s">
        <v>5351</v>
      </c>
      <c r="C1439" s="1">
        <v>42848</v>
      </c>
      <c r="D1439" s="1">
        <v>42851</v>
      </c>
      <c r="E1439" t="s">
        <v>183</v>
      </c>
      <c r="F1439" t="s">
        <v>664</v>
      </c>
      <c r="G1439" t="s">
        <v>665</v>
      </c>
      <c r="H1439" t="s">
        <v>22</v>
      </c>
      <c r="I1439" t="s">
        <v>23</v>
      </c>
      <c r="J1439" t="s">
        <v>2428</v>
      </c>
      <c r="K1439" t="s">
        <v>493</v>
      </c>
      <c r="L1439">
        <v>43130</v>
      </c>
      <c r="M1439" t="s">
        <v>144</v>
      </c>
      <c r="N1439" t="s">
        <v>5352</v>
      </c>
      <c r="O1439" t="s">
        <v>42</v>
      </c>
      <c r="P1439" t="s">
        <v>86</v>
      </c>
      <c r="Q1439" t="s">
        <v>5353</v>
      </c>
      <c r="R1439">
        <v>108.336</v>
      </c>
      <c r="S1439" t="str">
        <f>TEXT(sales_data[[#This Row],[Order Date]],"mm")</f>
        <v>04</v>
      </c>
      <c r="T1439">
        <f>YEAR(sales_data[[#This Row],[Order Date]])</f>
        <v>2017</v>
      </c>
      <c r="V1439" t="s">
        <v>5352</v>
      </c>
    </row>
    <row r="1440" spans="1:22" x14ac:dyDescent="0.35">
      <c r="A1440">
        <v>2831</v>
      </c>
      <c r="B1440" t="s">
        <v>5351</v>
      </c>
      <c r="C1440" s="1">
        <v>42848</v>
      </c>
      <c r="D1440" s="1">
        <v>42851</v>
      </c>
      <c r="E1440" t="s">
        <v>183</v>
      </c>
      <c r="F1440" t="s">
        <v>664</v>
      </c>
      <c r="G1440" t="s">
        <v>665</v>
      </c>
      <c r="H1440" t="s">
        <v>22</v>
      </c>
      <c r="I1440" t="s">
        <v>23</v>
      </c>
      <c r="J1440" t="s">
        <v>2428</v>
      </c>
      <c r="K1440" t="s">
        <v>493</v>
      </c>
      <c r="L1440">
        <v>43130</v>
      </c>
      <c r="M1440" t="s">
        <v>144</v>
      </c>
      <c r="N1440" t="s">
        <v>5354</v>
      </c>
      <c r="O1440" t="s">
        <v>42</v>
      </c>
      <c r="P1440" t="s">
        <v>86</v>
      </c>
      <c r="Q1440" t="s">
        <v>5355</v>
      </c>
      <c r="R1440">
        <v>78.304000000000002</v>
      </c>
      <c r="S1440" t="str">
        <f>TEXT(sales_data[[#This Row],[Order Date]],"mm")</f>
        <v>04</v>
      </c>
      <c r="T1440">
        <f>YEAR(sales_data[[#This Row],[Order Date]])</f>
        <v>2017</v>
      </c>
      <c r="V1440" t="s">
        <v>5354</v>
      </c>
    </row>
    <row r="1441" spans="1:22" x14ac:dyDescent="0.35">
      <c r="A1441">
        <v>2832</v>
      </c>
      <c r="B1441" t="s">
        <v>5356</v>
      </c>
      <c r="C1441" s="1">
        <v>42309</v>
      </c>
      <c r="D1441" s="1">
        <v>42313</v>
      </c>
      <c r="E1441" t="s">
        <v>46</v>
      </c>
      <c r="F1441" t="s">
        <v>3581</v>
      </c>
      <c r="G1441" t="s">
        <v>3582</v>
      </c>
      <c r="H1441" t="s">
        <v>22</v>
      </c>
      <c r="I1441" t="s">
        <v>23</v>
      </c>
      <c r="J1441" t="s">
        <v>414</v>
      </c>
      <c r="K1441" t="s">
        <v>415</v>
      </c>
      <c r="L1441">
        <v>97206</v>
      </c>
      <c r="M1441" t="s">
        <v>40</v>
      </c>
      <c r="N1441" t="s">
        <v>5357</v>
      </c>
      <c r="O1441" t="s">
        <v>42</v>
      </c>
      <c r="P1441" t="s">
        <v>55</v>
      </c>
      <c r="Q1441" t="s">
        <v>5358</v>
      </c>
      <c r="R1441">
        <v>443.92</v>
      </c>
      <c r="S1441" t="str">
        <f>TEXT(sales_data[[#This Row],[Order Date]],"mm")</f>
        <v>11</v>
      </c>
      <c r="T1441">
        <f>YEAR(sales_data[[#This Row],[Order Date]])</f>
        <v>2015</v>
      </c>
      <c r="V1441" t="s">
        <v>5357</v>
      </c>
    </row>
    <row r="1442" spans="1:22" x14ac:dyDescent="0.35">
      <c r="A1442">
        <v>2837</v>
      </c>
      <c r="B1442" t="s">
        <v>5360</v>
      </c>
      <c r="C1442" s="1">
        <v>43415</v>
      </c>
      <c r="D1442" s="1">
        <v>43420</v>
      </c>
      <c r="E1442" t="s">
        <v>46</v>
      </c>
      <c r="F1442" t="s">
        <v>2577</v>
      </c>
      <c r="G1442" t="s">
        <v>2578</v>
      </c>
      <c r="H1442" t="s">
        <v>22</v>
      </c>
      <c r="I1442" t="s">
        <v>23</v>
      </c>
      <c r="J1442" t="s">
        <v>38</v>
      </c>
      <c r="K1442" t="s">
        <v>39</v>
      </c>
      <c r="L1442">
        <v>90036</v>
      </c>
      <c r="M1442" t="s">
        <v>40</v>
      </c>
      <c r="N1442" t="s">
        <v>5361</v>
      </c>
      <c r="O1442" t="s">
        <v>42</v>
      </c>
      <c r="P1442" t="s">
        <v>86</v>
      </c>
      <c r="Q1442" t="s">
        <v>5362</v>
      </c>
      <c r="R1442">
        <v>19.440000000000001</v>
      </c>
      <c r="S1442" t="str">
        <f>TEXT(sales_data[[#This Row],[Order Date]],"mm")</f>
        <v>11</v>
      </c>
      <c r="T1442">
        <f>YEAR(sales_data[[#This Row],[Order Date]])</f>
        <v>2018</v>
      </c>
      <c r="V1442" t="s">
        <v>5361</v>
      </c>
    </row>
    <row r="1443" spans="1:22" x14ac:dyDescent="0.35">
      <c r="A1443">
        <v>2848</v>
      </c>
      <c r="B1443" t="s">
        <v>5364</v>
      </c>
      <c r="C1443" s="1">
        <v>43198</v>
      </c>
      <c r="D1443" s="1">
        <v>43205</v>
      </c>
      <c r="E1443" t="s">
        <v>46</v>
      </c>
      <c r="F1443" t="s">
        <v>5365</v>
      </c>
      <c r="G1443" t="s">
        <v>5366</v>
      </c>
      <c r="H1443" t="s">
        <v>37</v>
      </c>
      <c r="I1443" t="s">
        <v>23</v>
      </c>
      <c r="J1443" t="s">
        <v>3158</v>
      </c>
      <c r="K1443" t="s">
        <v>1261</v>
      </c>
      <c r="L1443">
        <v>30076</v>
      </c>
      <c r="M1443" t="s">
        <v>26</v>
      </c>
      <c r="N1443" t="s">
        <v>5367</v>
      </c>
      <c r="O1443" t="s">
        <v>28</v>
      </c>
      <c r="P1443" t="s">
        <v>61</v>
      </c>
      <c r="Q1443" t="s">
        <v>5368</v>
      </c>
      <c r="R1443">
        <v>56.28</v>
      </c>
      <c r="S1443" t="str">
        <f>TEXT(sales_data[[#This Row],[Order Date]],"mm")</f>
        <v>04</v>
      </c>
      <c r="T1443">
        <f>YEAR(sales_data[[#This Row],[Order Date]])</f>
        <v>2018</v>
      </c>
      <c r="V1443" t="s">
        <v>5367</v>
      </c>
    </row>
    <row r="1444" spans="1:22" x14ac:dyDescent="0.35">
      <c r="A1444">
        <v>2853</v>
      </c>
      <c r="B1444" t="s">
        <v>5371</v>
      </c>
      <c r="C1444" s="1">
        <v>42813</v>
      </c>
      <c r="D1444" s="1">
        <v>42815</v>
      </c>
      <c r="E1444" t="s">
        <v>19</v>
      </c>
      <c r="F1444" t="s">
        <v>4863</v>
      </c>
      <c r="G1444" t="s">
        <v>4864</v>
      </c>
      <c r="H1444" t="s">
        <v>22</v>
      </c>
      <c r="I1444" t="s">
        <v>23</v>
      </c>
      <c r="J1444" t="s">
        <v>2308</v>
      </c>
      <c r="K1444" t="s">
        <v>262</v>
      </c>
      <c r="L1444">
        <v>11572</v>
      </c>
      <c r="M1444" t="s">
        <v>144</v>
      </c>
      <c r="N1444" t="s">
        <v>5372</v>
      </c>
      <c r="O1444" t="s">
        <v>28</v>
      </c>
      <c r="P1444" t="s">
        <v>61</v>
      </c>
      <c r="Q1444" t="s">
        <v>5373</v>
      </c>
      <c r="R1444">
        <v>14.98</v>
      </c>
      <c r="S1444" t="str">
        <f>TEXT(sales_data[[#This Row],[Order Date]],"mm")</f>
        <v>03</v>
      </c>
      <c r="T1444">
        <f>YEAR(sales_data[[#This Row],[Order Date]])</f>
        <v>2017</v>
      </c>
      <c r="V1444" t="s">
        <v>5372</v>
      </c>
    </row>
    <row r="1445" spans="1:22" x14ac:dyDescent="0.35">
      <c r="A1445">
        <v>2860</v>
      </c>
      <c r="B1445" t="s">
        <v>5376</v>
      </c>
      <c r="C1445" s="1">
        <v>43239</v>
      </c>
      <c r="D1445" s="1">
        <v>43243</v>
      </c>
      <c r="E1445" t="s">
        <v>46</v>
      </c>
      <c r="F1445" t="s">
        <v>5020</v>
      </c>
      <c r="G1445" t="s">
        <v>5021</v>
      </c>
      <c r="H1445" t="s">
        <v>22</v>
      </c>
      <c r="I1445" t="s">
        <v>23</v>
      </c>
      <c r="J1445" t="s">
        <v>1720</v>
      </c>
      <c r="K1445" t="s">
        <v>1261</v>
      </c>
      <c r="L1445">
        <v>30318</v>
      </c>
      <c r="M1445" t="s">
        <v>26</v>
      </c>
      <c r="N1445" t="s">
        <v>5377</v>
      </c>
      <c r="O1445" t="s">
        <v>67</v>
      </c>
      <c r="P1445" t="s">
        <v>68</v>
      </c>
      <c r="Q1445" t="s">
        <v>5378</v>
      </c>
      <c r="R1445">
        <v>377.97</v>
      </c>
      <c r="S1445" t="str">
        <f>TEXT(sales_data[[#This Row],[Order Date]],"mm")</f>
        <v>05</v>
      </c>
      <c r="T1445">
        <f>YEAR(sales_data[[#This Row],[Order Date]])</f>
        <v>2018</v>
      </c>
      <c r="V1445" t="s">
        <v>5377</v>
      </c>
    </row>
    <row r="1446" spans="1:22" x14ac:dyDescent="0.35">
      <c r="A1446">
        <v>2867</v>
      </c>
      <c r="B1446" t="s">
        <v>5379</v>
      </c>
      <c r="C1446" s="1">
        <v>43325</v>
      </c>
      <c r="D1446" s="1">
        <v>43325</v>
      </c>
      <c r="E1446" t="s">
        <v>1277</v>
      </c>
      <c r="F1446" t="s">
        <v>2235</v>
      </c>
      <c r="G1446" t="s">
        <v>2236</v>
      </c>
      <c r="H1446" t="s">
        <v>22</v>
      </c>
      <c r="I1446" t="s">
        <v>23</v>
      </c>
      <c r="J1446" t="s">
        <v>123</v>
      </c>
      <c r="K1446" t="s">
        <v>39</v>
      </c>
      <c r="L1446">
        <v>94122</v>
      </c>
      <c r="M1446" t="s">
        <v>40</v>
      </c>
      <c r="N1446" t="s">
        <v>5380</v>
      </c>
      <c r="O1446" t="s">
        <v>42</v>
      </c>
      <c r="P1446" t="s">
        <v>573</v>
      </c>
      <c r="Q1446" t="s">
        <v>1284</v>
      </c>
      <c r="R1446">
        <v>31.92</v>
      </c>
      <c r="S1446" t="str">
        <f>TEXT(sales_data[[#This Row],[Order Date]],"mm")</f>
        <v>08</v>
      </c>
      <c r="T1446">
        <f>YEAR(sales_data[[#This Row],[Order Date]])</f>
        <v>2018</v>
      </c>
      <c r="V1446" t="s">
        <v>5380</v>
      </c>
    </row>
    <row r="1447" spans="1:22" x14ac:dyDescent="0.35">
      <c r="A1447">
        <v>2870</v>
      </c>
      <c r="B1447" t="s">
        <v>5381</v>
      </c>
      <c r="C1447" s="1">
        <v>43263</v>
      </c>
      <c r="D1447" s="1">
        <v>43270</v>
      </c>
      <c r="E1447" t="s">
        <v>46</v>
      </c>
      <c r="F1447" t="s">
        <v>559</v>
      </c>
      <c r="G1447" t="s">
        <v>560</v>
      </c>
      <c r="H1447" t="s">
        <v>22</v>
      </c>
      <c r="I1447" t="s">
        <v>23</v>
      </c>
      <c r="J1447" t="s">
        <v>1144</v>
      </c>
      <c r="K1447" t="s">
        <v>50</v>
      </c>
      <c r="L1447">
        <v>33710</v>
      </c>
      <c r="M1447" t="s">
        <v>26</v>
      </c>
      <c r="N1447" t="s">
        <v>5382</v>
      </c>
      <c r="O1447" t="s">
        <v>28</v>
      </c>
      <c r="P1447" t="s">
        <v>61</v>
      </c>
      <c r="Q1447" t="s">
        <v>5383</v>
      </c>
      <c r="R1447">
        <v>17.088000000000001</v>
      </c>
      <c r="S1447" t="str">
        <f>TEXT(sales_data[[#This Row],[Order Date]],"mm")</f>
        <v>06</v>
      </c>
      <c r="T1447">
        <f>YEAR(sales_data[[#This Row],[Order Date]])</f>
        <v>2018</v>
      </c>
      <c r="V1447" t="s">
        <v>5382</v>
      </c>
    </row>
    <row r="1448" spans="1:22" x14ac:dyDescent="0.35">
      <c r="A1448">
        <v>2890</v>
      </c>
      <c r="B1448" t="s">
        <v>5385</v>
      </c>
      <c r="C1448" s="1">
        <v>43406</v>
      </c>
      <c r="D1448" s="1">
        <v>43410</v>
      </c>
      <c r="E1448" t="s">
        <v>46</v>
      </c>
      <c r="F1448" t="s">
        <v>1491</v>
      </c>
      <c r="G1448" t="s">
        <v>1492</v>
      </c>
      <c r="H1448" t="s">
        <v>37</v>
      </c>
      <c r="I1448" t="s">
        <v>23</v>
      </c>
      <c r="J1448" t="s">
        <v>91</v>
      </c>
      <c r="K1448" t="s">
        <v>92</v>
      </c>
      <c r="L1448">
        <v>98105</v>
      </c>
      <c r="M1448" t="s">
        <v>40</v>
      </c>
      <c r="N1448" t="s">
        <v>5386</v>
      </c>
      <c r="O1448" t="s">
        <v>42</v>
      </c>
      <c r="P1448" t="s">
        <v>86</v>
      </c>
      <c r="Q1448" t="s">
        <v>5387</v>
      </c>
      <c r="R1448">
        <v>23.85</v>
      </c>
      <c r="S1448" t="str">
        <f>TEXT(sales_data[[#This Row],[Order Date]],"mm")</f>
        <v>11</v>
      </c>
      <c r="T1448">
        <f>YEAR(sales_data[[#This Row],[Order Date]])</f>
        <v>2018</v>
      </c>
      <c r="V1448" t="s">
        <v>5386</v>
      </c>
    </row>
    <row r="1449" spans="1:22" x14ac:dyDescent="0.35">
      <c r="A1449">
        <v>2893</v>
      </c>
      <c r="B1449" t="s">
        <v>5390</v>
      </c>
      <c r="C1449" s="1">
        <v>43396</v>
      </c>
      <c r="D1449" s="1">
        <v>43402</v>
      </c>
      <c r="E1449" t="s">
        <v>46</v>
      </c>
      <c r="F1449" t="s">
        <v>366</v>
      </c>
      <c r="G1449" t="s">
        <v>367</v>
      </c>
      <c r="H1449" t="s">
        <v>37</v>
      </c>
      <c r="I1449" t="s">
        <v>23</v>
      </c>
      <c r="J1449" t="s">
        <v>384</v>
      </c>
      <c r="K1449" t="s">
        <v>262</v>
      </c>
      <c r="L1449">
        <v>14609</v>
      </c>
      <c r="M1449" t="s">
        <v>144</v>
      </c>
      <c r="N1449" t="s">
        <v>5391</v>
      </c>
      <c r="O1449" t="s">
        <v>42</v>
      </c>
      <c r="P1449" t="s">
        <v>86</v>
      </c>
      <c r="Q1449" t="s">
        <v>5392</v>
      </c>
      <c r="R1449">
        <v>11.56</v>
      </c>
      <c r="S1449" t="str">
        <f>TEXT(sales_data[[#This Row],[Order Date]],"mm")</f>
        <v>10</v>
      </c>
      <c r="T1449">
        <f>YEAR(sales_data[[#This Row],[Order Date]])</f>
        <v>2018</v>
      </c>
      <c r="V1449" t="s">
        <v>5391</v>
      </c>
    </row>
    <row r="1450" spans="1:22" x14ac:dyDescent="0.35">
      <c r="A1450">
        <v>2895</v>
      </c>
      <c r="B1450" t="s">
        <v>5390</v>
      </c>
      <c r="C1450" s="1">
        <v>43396</v>
      </c>
      <c r="D1450" s="1">
        <v>43402</v>
      </c>
      <c r="E1450" t="s">
        <v>46</v>
      </c>
      <c r="F1450" t="s">
        <v>366</v>
      </c>
      <c r="G1450" t="s">
        <v>367</v>
      </c>
      <c r="H1450" t="s">
        <v>37</v>
      </c>
      <c r="I1450" t="s">
        <v>23</v>
      </c>
      <c r="J1450" t="s">
        <v>384</v>
      </c>
      <c r="K1450" t="s">
        <v>262</v>
      </c>
      <c r="L1450">
        <v>14609</v>
      </c>
      <c r="M1450" t="s">
        <v>144</v>
      </c>
      <c r="N1450" t="s">
        <v>5393</v>
      </c>
      <c r="O1450" t="s">
        <v>28</v>
      </c>
      <c r="P1450" t="s">
        <v>61</v>
      </c>
      <c r="Q1450" t="s">
        <v>5394</v>
      </c>
      <c r="R1450">
        <v>69.08</v>
      </c>
      <c r="S1450" t="str">
        <f>TEXT(sales_data[[#This Row],[Order Date]],"mm")</f>
        <v>10</v>
      </c>
      <c r="T1450">
        <f>YEAR(sales_data[[#This Row],[Order Date]])</f>
        <v>2018</v>
      </c>
      <c r="V1450" t="s">
        <v>5393</v>
      </c>
    </row>
    <row r="1451" spans="1:22" x14ac:dyDescent="0.35">
      <c r="A1451">
        <v>2906</v>
      </c>
      <c r="B1451" t="s">
        <v>5396</v>
      </c>
      <c r="C1451" s="1">
        <v>42273</v>
      </c>
      <c r="D1451" s="1">
        <v>42277</v>
      </c>
      <c r="E1451" t="s">
        <v>46</v>
      </c>
      <c r="F1451" t="s">
        <v>372</v>
      </c>
      <c r="G1451" t="s">
        <v>373</v>
      </c>
      <c r="H1451" t="s">
        <v>98</v>
      </c>
      <c r="I1451" t="s">
        <v>23</v>
      </c>
      <c r="J1451" t="s">
        <v>91</v>
      </c>
      <c r="K1451" t="s">
        <v>92</v>
      </c>
      <c r="L1451">
        <v>98115</v>
      </c>
      <c r="M1451" t="s">
        <v>40</v>
      </c>
      <c r="N1451" t="s">
        <v>5397</v>
      </c>
      <c r="O1451" t="s">
        <v>42</v>
      </c>
      <c r="P1451" t="s">
        <v>55</v>
      </c>
      <c r="Q1451" t="s">
        <v>5398</v>
      </c>
      <c r="R1451">
        <v>310.12</v>
      </c>
      <c r="S1451" t="str">
        <f>TEXT(sales_data[[#This Row],[Order Date]],"mm")</f>
        <v>09</v>
      </c>
      <c r="T1451">
        <f>YEAR(sales_data[[#This Row],[Order Date]])</f>
        <v>2015</v>
      </c>
      <c r="V1451" t="s">
        <v>5397</v>
      </c>
    </row>
    <row r="1452" spans="1:22" x14ac:dyDescent="0.35">
      <c r="A1452">
        <v>2907</v>
      </c>
      <c r="B1452" t="s">
        <v>5399</v>
      </c>
      <c r="C1452" s="1">
        <v>43407</v>
      </c>
      <c r="D1452" s="1">
        <v>43413</v>
      </c>
      <c r="E1452" t="s">
        <v>46</v>
      </c>
      <c r="F1452" t="s">
        <v>2828</v>
      </c>
      <c r="G1452" t="s">
        <v>2829</v>
      </c>
      <c r="H1452" t="s">
        <v>22</v>
      </c>
      <c r="I1452" t="s">
        <v>23</v>
      </c>
      <c r="J1452" t="s">
        <v>223</v>
      </c>
      <c r="K1452" t="s">
        <v>224</v>
      </c>
      <c r="L1452">
        <v>55122</v>
      </c>
      <c r="M1452" t="s">
        <v>101</v>
      </c>
      <c r="N1452" t="s">
        <v>5400</v>
      </c>
      <c r="O1452" t="s">
        <v>42</v>
      </c>
      <c r="P1452" t="s">
        <v>86</v>
      </c>
      <c r="Q1452" t="s">
        <v>5401</v>
      </c>
      <c r="R1452">
        <v>8.56</v>
      </c>
      <c r="S1452" t="str">
        <f>TEXT(sales_data[[#This Row],[Order Date]],"mm")</f>
        <v>11</v>
      </c>
      <c r="T1452">
        <f>YEAR(sales_data[[#This Row],[Order Date]])</f>
        <v>2018</v>
      </c>
      <c r="V1452" t="s">
        <v>5400</v>
      </c>
    </row>
    <row r="1453" spans="1:22" x14ac:dyDescent="0.35">
      <c r="A1453">
        <v>2912</v>
      </c>
      <c r="B1453" t="s">
        <v>5402</v>
      </c>
      <c r="C1453" s="1">
        <v>42171</v>
      </c>
      <c r="D1453" s="1">
        <v>42176</v>
      </c>
      <c r="E1453" t="s">
        <v>46</v>
      </c>
      <c r="F1453" t="s">
        <v>1979</v>
      </c>
      <c r="G1453" t="s">
        <v>1980</v>
      </c>
      <c r="H1453" t="s">
        <v>22</v>
      </c>
      <c r="I1453" t="s">
        <v>23</v>
      </c>
      <c r="J1453" t="s">
        <v>5403</v>
      </c>
      <c r="K1453" t="s">
        <v>262</v>
      </c>
      <c r="L1453">
        <v>11550</v>
      </c>
      <c r="M1453" t="s">
        <v>144</v>
      </c>
      <c r="N1453" t="s">
        <v>5404</v>
      </c>
      <c r="O1453" t="s">
        <v>42</v>
      </c>
      <c r="P1453" t="s">
        <v>168</v>
      </c>
      <c r="Q1453" t="s">
        <v>662</v>
      </c>
      <c r="R1453">
        <v>41.4</v>
      </c>
      <c r="S1453" t="str">
        <f>TEXT(sales_data[[#This Row],[Order Date]],"mm")</f>
        <v>06</v>
      </c>
      <c r="T1453">
        <f>YEAR(sales_data[[#This Row],[Order Date]])</f>
        <v>2015</v>
      </c>
      <c r="V1453" t="s">
        <v>5404</v>
      </c>
    </row>
    <row r="1454" spans="1:22" x14ac:dyDescent="0.35">
      <c r="A1454">
        <v>2913</v>
      </c>
      <c r="B1454" t="s">
        <v>5402</v>
      </c>
      <c r="C1454" s="1">
        <v>42171</v>
      </c>
      <c r="D1454" s="1">
        <v>42176</v>
      </c>
      <c r="E1454" t="s">
        <v>46</v>
      </c>
      <c r="F1454" t="s">
        <v>1979</v>
      </c>
      <c r="G1454" t="s">
        <v>1980</v>
      </c>
      <c r="H1454" t="s">
        <v>22</v>
      </c>
      <c r="I1454" t="s">
        <v>23</v>
      </c>
      <c r="J1454" t="s">
        <v>5403</v>
      </c>
      <c r="K1454" t="s">
        <v>262</v>
      </c>
      <c r="L1454">
        <v>11550</v>
      </c>
      <c r="M1454" t="s">
        <v>144</v>
      </c>
      <c r="N1454" t="s">
        <v>5405</v>
      </c>
      <c r="O1454" t="s">
        <v>42</v>
      </c>
      <c r="P1454" t="s">
        <v>64</v>
      </c>
      <c r="Q1454" t="s">
        <v>5406</v>
      </c>
      <c r="R1454">
        <v>35</v>
      </c>
      <c r="S1454" t="str">
        <f>TEXT(sales_data[[#This Row],[Order Date]],"mm")</f>
        <v>06</v>
      </c>
      <c r="T1454">
        <f>YEAR(sales_data[[#This Row],[Order Date]])</f>
        <v>2015</v>
      </c>
      <c r="V1454" t="s">
        <v>5405</v>
      </c>
    </row>
    <row r="1455" spans="1:22" x14ac:dyDescent="0.35">
      <c r="A1455">
        <v>2918</v>
      </c>
      <c r="B1455" t="s">
        <v>5407</v>
      </c>
      <c r="C1455" s="1">
        <v>43339</v>
      </c>
      <c r="D1455" s="1">
        <v>43342</v>
      </c>
      <c r="E1455" t="s">
        <v>183</v>
      </c>
      <c r="F1455" t="s">
        <v>2747</v>
      </c>
      <c r="G1455" t="s">
        <v>2748</v>
      </c>
      <c r="H1455" t="s">
        <v>22</v>
      </c>
      <c r="I1455" t="s">
        <v>23</v>
      </c>
      <c r="J1455" t="s">
        <v>807</v>
      </c>
      <c r="K1455" t="s">
        <v>100</v>
      </c>
      <c r="L1455">
        <v>75220</v>
      </c>
      <c r="M1455" t="s">
        <v>101</v>
      </c>
      <c r="N1455" t="s">
        <v>5408</v>
      </c>
      <c r="O1455" t="s">
        <v>42</v>
      </c>
      <c r="P1455" t="s">
        <v>64</v>
      </c>
      <c r="Q1455" t="s">
        <v>5409</v>
      </c>
      <c r="R1455">
        <v>5.952</v>
      </c>
      <c r="S1455" t="str">
        <f>TEXT(sales_data[[#This Row],[Order Date]],"mm")</f>
        <v>08</v>
      </c>
      <c r="T1455">
        <f>YEAR(sales_data[[#This Row],[Order Date]])</f>
        <v>2018</v>
      </c>
      <c r="V1455" t="s">
        <v>5408</v>
      </c>
    </row>
    <row r="1456" spans="1:22" x14ac:dyDescent="0.35">
      <c r="A1456">
        <v>2926</v>
      </c>
      <c r="B1456" t="s">
        <v>5410</v>
      </c>
      <c r="C1456" s="1">
        <v>42249</v>
      </c>
      <c r="D1456" s="1">
        <v>42252</v>
      </c>
      <c r="E1456" t="s">
        <v>183</v>
      </c>
      <c r="F1456" t="s">
        <v>4794</v>
      </c>
      <c r="G1456" t="s">
        <v>4795</v>
      </c>
      <c r="H1456" t="s">
        <v>22</v>
      </c>
      <c r="I1456" t="s">
        <v>23</v>
      </c>
      <c r="J1456" t="s">
        <v>3895</v>
      </c>
      <c r="K1456" t="s">
        <v>262</v>
      </c>
      <c r="L1456">
        <v>13601</v>
      </c>
      <c r="M1456" t="s">
        <v>144</v>
      </c>
      <c r="N1456" t="s">
        <v>5411</v>
      </c>
      <c r="O1456" t="s">
        <v>28</v>
      </c>
      <c r="P1456" t="s">
        <v>61</v>
      </c>
      <c r="Q1456" t="s">
        <v>5412</v>
      </c>
      <c r="R1456">
        <v>70.709999999999994</v>
      </c>
      <c r="S1456" t="str">
        <f>TEXT(sales_data[[#This Row],[Order Date]],"mm")</f>
        <v>09</v>
      </c>
      <c r="T1456">
        <f>YEAR(sales_data[[#This Row],[Order Date]])</f>
        <v>2015</v>
      </c>
      <c r="V1456" t="s">
        <v>5411</v>
      </c>
    </row>
    <row r="1457" spans="1:22" x14ac:dyDescent="0.35">
      <c r="A1457">
        <v>2941</v>
      </c>
      <c r="B1457" t="s">
        <v>5416</v>
      </c>
      <c r="C1457" s="1">
        <v>43184</v>
      </c>
      <c r="D1457" s="1">
        <v>43190</v>
      </c>
      <c r="E1457" t="s">
        <v>46</v>
      </c>
      <c r="F1457" t="s">
        <v>2086</v>
      </c>
      <c r="G1457" t="s">
        <v>2087</v>
      </c>
      <c r="H1457" t="s">
        <v>37</v>
      </c>
      <c r="I1457" t="s">
        <v>23</v>
      </c>
      <c r="J1457" t="s">
        <v>2502</v>
      </c>
      <c r="K1457" t="s">
        <v>110</v>
      </c>
      <c r="L1457">
        <v>53209</v>
      </c>
      <c r="M1457" t="s">
        <v>101</v>
      </c>
      <c r="N1457" t="s">
        <v>5417</v>
      </c>
      <c r="O1457" t="s">
        <v>28</v>
      </c>
      <c r="P1457" t="s">
        <v>32</v>
      </c>
      <c r="Q1457" t="s">
        <v>5418</v>
      </c>
      <c r="R1457">
        <v>90.99</v>
      </c>
      <c r="S1457" t="str">
        <f>TEXT(sales_data[[#This Row],[Order Date]],"mm")</f>
        <v>03</v>
      </c>
      <c r="T1457">
        <f>YEAR(sales_data[[#This Row],[Order Date]])</f>
        <v>2018</v>
      </c>
      <c r="V1457" t="s">
        <v>5417</v>
      </c>
    </row>
    <row r="1458" spans="1:22" x14ac:dyDescent="0.35">
      <c r="A1458">
        <v>2945</v>
      </c>
      <c r="B1458" t="s">
        <v>5419</v>
      </c>
      <c r="C1458" s="1">
        <v>43423</v>
      </c>
      <c r="D1458" s="1">
        <v>43428</v>
      </c>
      <c r="E1458" t="s">
        <v>46</v>
      </c>
      <c r="F1458" t="s">
        <v>3948</v>
      </c>
      <c r="G1458" t="s">
        <v>3949</v>
      </c>
      <c r="H1458" t="s">
        <v>22</v>
      </c>
      <c r="I1458" t="s">
        <v>23</v>
      </c>
      <c r="J1458" t="s">
        <v>38</v>
      </c>
      <c r="K1458" t="s">
        <v>39</v>
      </c>
      <c r="L1458">
        <v>90049</v>
      </c>
      <c r="M1458" t="s">
        <v>40</v>
      </c>
      <c r="N1458" t="s">
        <v>5420</v>
      </c>
      <c r="O1458" t="s">
        <v>28</v>
      </c>
      <c r="P1458" t="s">
        <v>61</v>
      </c>
      <c r="Q1458" t="s">
        <v>5421</v>
      </c>
      <c r="R1458">
        <v>18.7</v>
      </c>
      <c r="S1458" t="str">
        <f>TEXT(sales_data[[#This Row],[Order Date]],"mm")</f>
        <v>11</v>
      </c>
      <c r="T1458">
        <f>YEAR(sales_data[[#This Row],[Order Date]])</f>
        <v>2018</v>
      </c>
      <c r="V1458" t="s">
        <v>5420</v>
      </c>
    </row>
    <row r="1459" spans="1:22" x14ac:dyDescent="0.35">
      <c r="A1459">
        <v>2947</v>
      </c>
      <c r="B1459" t="s">
        <v>5422</v>
      </c>
      <c r="C1459" s="1">
        <v>43448</v>
      </c>
      <c r="D1459" s="1">
        <v>43452</v>
      </c>
      <c r="E1459" t="s">
        <v>46</v>
      </c>
      <c r="F1459" t="s">
        <v>3879</v>
      </c>
      <c r="G1459" t="s">
        <v>3880</v>
      </c>
      <c r="H1459" t="s">
        <v>98</v>
      </c>
      <c r="I1459" t="s">
        <v>23</v>
      </c>
      <c r="J1459" t="s">
        <v>940</v>
      </c>
      <c r="K1459" t="s">
        <v>39</v>
      </c>
      <c r="L1459">
        <v>92024</v>
      </c>
      <c r="M1459" t="s">
        <v>40</v>
      </c>
      <c r="N1459" t="s">
        <v>5423</v>
      </c>
      <c r="O1459" t="s">
        <v>28</v>
      </c>
      <c r="P1459" t="s">
        <v>61</v>
      </c>
      <c r="Q1459" t="s">
        <v>5424</v>
      </c>
      <c r="R1459">
        <v>26.25</v>
      </c>
      <c r="S1459" t="str">
        <f>TEXT(sales_data[[#This Row],[Order Date]],"mm")</f>
        <v>12</v>
      </c>
      <c r="T1459">
        <f>YEAR(sales_data[[#This Row],[Order Date]])</f>
        <v>2018</v>
      </c>
      <c r="V1459" t="s">
        <v>5423</v>
      </c>
    </row>
    <row r="1460" spans="1:22" x14ac:dyDescent="0.35">
      <c r="A1460">
        <v>2948</v>
      </c>
      <c r="B1460" t="s">
        <v>5422</v>
      </c>
      <c r="C1460" s="1">
        <v>43448</v>
      </c>
      <c r="D1460" s="1">
        <v>43452</v>
      </c>
      <c r="E1460" t="s">
        <v>46</v>
      </c>
      <c r="F1460" t="s">
        <v>3879</v>
      </c>
      <c r="G1460" t="s">
        <v>3880</v>
      </c>
      <c r="H1460" t="s">
        <v>98</v>
      </c>
      <c r="I1460" t="s">
        <v>23</v>
      </c>
      <c r="J1460" t="s">
        <v>940</v>
      </c>
      <c r="K1460" t="s">
        <v>39</v>
      </c>
      <c r="L1460">
        <v>92024</v>
      </c>
      <c r="M1460" t="s">
        <v>40</v>
      </c>
      <c r="N1460" t="s">
        <v>5425</v>
      </c>
      <c r="O1460" t="s">
        <v>42</v>
      </c>
      <c r="P1460" t="s">
        <v>71</v>
      </c>
      <c r="Q1460" t="s">
        <v>5426</v>
      </c>
      <c r="R1460">
        <v>64.959999999999994</v>
      </c>
      <c r="S1460" t="str">
        <f>TEXT(sales_data[[#This Row],[Order Date]],"mm")</f>
        <v>12</v>
      </c>
      <c r="T1460">
        <f>YEAR(sales_data[[#This Row],[Order Date]])</f>
        <v>2018</v>
      </c>
      <c r="V1460" t="s">
        <v>5425</v>
      </c>
    </row>
    <row r="1461" spans="1:22" x14ac:dyDescent="0.35">
      <c r="A1461">
        <v>2952</v>
      </c>
      <c r="B1461" t="s">
        <v>5427</v>
      </c>
      <c r="C1461" s="1">
        <v>43416</v>
      </c>
      <c r="D1461" s="1">
        <v>43416</v>
      </c>
      <c r="E1461" t="s">
        <v>1277</v>
      </c>
      <c r="F1461" t="s">
        <v>5428</v>
      </c>
      <c r="G1461" t="s">
        <v>5429</v>
      </c>
      <c r="H1461" t="s">
        <v>98</v>
      </c>
      <c r="I1461" t="s">
        <v>23</v>
      </c>
      <c r="J1461" t="s">
        <v>3760</v>
      </c>
      <c r="K1461" t="s">
        <v>305</v>
      </c>
      <c r="L1461">
        <v>85301</v>
      </c>
      <c r="M1461" t="s">
        <v>40</v>
      </c>
      <c r="N1461" t="s">
        <v>5430</v>
      </c>
      <c r="O1461" t="s">
        <v>28</v>
      </c>
      <c r="P1461" t="s">
        <v>32</v>
      </c>
      <c r="Q1461" t="s">
        <v>5431</v>
      </c>
      <c r="R1461">
        <v>113.88800000000001</v>
      </c>
      <c r="S1461" t="str">
        <f>TEXT(sales_data[[#This Row],[Order Date]],"mm")</f>
        <v>11</v>
      </c>
      <c r="T1461">
        <f>YEAR(sales_data[[#This Row],[Order Date]])</f>
        <v>2018</v>
      </c>
      <c r="V1461" t="s">
        <v>5430</v>
      </c>
    </row>
    <row r="1462" spans="1:22" x14ac:dyDescent="0.35">
      <c r="A1462">
        <v>2953</v>
      </c>
      <c r="B1462" t="s">
        <v>5427</v>
      </c>
      <c r="C1462" s="1">
        <v>43416</v>
      </c>
      <c r="D1462" s="1">
        <v>43416</v>
      </c>
      <c r="E1462" t="s">
        <v>1277</v>
      </c>
      <c r="F1462" t="s">
        <v>5428</v>
      </c>
      <c r="G1462" t="s">
        <v>5429</v>
      </c>
      <c r="H1462" t="s">
        <v>98</v>
      </c>
      <c r="I1462" t="s">
        <v>23</v>
      </c>
      <c r="J1462" t="s">
        <v>3760</v>
      </c>
      <c r="K1462" t="s">
        <v>305</v>
      </c>
      <c r="L1462">
        <v>85301</v>
      </c>
      <c r="M1462" t="s">
        <v>40</v>
      </c>
      <c r="N1462" t="s">
        <v>5432</v>
      </c>
      <c r="O1462" t="s">
        <v>28</v>
      </c>
      <c r="P1462" t="s">
        <v>61</v>
      </c>
      <c r="Q1462" t="s">
        <v>5433</v>
      </c>
      <c r="R1462">
        <v>113.568</v>
      </c>
      <c r="S1462" t="str">
        <f>TEXT(sales_data[[#This Row],[Order Date]],"mm")</f>
        <v>11</v>
      </c>
      <c r="T1462">
        <f>YEAR(sales_data[[#This Row],[Order Date]])</f>
        <v>2018</v>
      </c>
      <c r="V1462" t="s">
        <v>5432</v>
      </c>
    </row>
    <row r="1463" spans="1:22" x14ac:dyDescent="0.35">
      <c r="A1463">
        <v>2955</v>
      </c>
      <c r="B1463" t="s">
        <v>5427</v>
      </c>
      <c r="C1463" s="1">
        <v>43416</v>
      </c>
      <c r="D1463" s="1">
        <v>43416</v>
      </c>
      <c r="E1463" t="s">
        <v>1277</v>
      </c>
      <c r="F1463" t="s">
        <v>5428</v>
      </c>
      <c r="G1463" t="s">
        <v>5429</v>
      </c>
      <c r="H1463" t="s">
        <v>98</v>
      </c>
      <c r="I1463" t="s">
        <v>23</v>
      </c>
      <c r="J1463" t="s">
        <v>3760</v>
      </c>
      <c r="K1463" t="s">
        <v>305</v>
      </c>
      <c r="L1463">
        <v>85301</v>
      </c>
      <c r="M1463" t="s">
        <v>40</v>
      </c>
      <c r="N1463" t="s">
        <v>5434</v>
      </c>
      <c r="O1463" t="s">
        <v>67</v>
      </c>
      <c r="P1463" t="s">
        <v>68</v>
      </c>
      <c r="Q1463" t="s">
        <v>5435</v>
      </c>
      <c r="R1463">
        <v>671.98400000000004</v>
      </c>
      <c r="S1463" t="str">
        <f>TEXT(sales_data[[#This Row],[Order Date]],"mm")</f>
        <v>11</v>
      </c>
      <c r="T1463">
        <f>YEAR(sales_data[[#This Row],[Order Date]])</f>
        <v>2018</v>
      </c>
      <c r="V1463" t="s">
        <v>5434</v>
      </c>
    </row>
    <row r="1464" spans="1:22" x14ac:dyDescent="0.35">
      <c r="A1464">
        <v>2966</v>
      </c>
      <c r="B1464" t="s">
        <v>5438</v>
      </c>
      <c r="C1464" s="1">
        <v>43450</v>
      </c>
      <c r="D1464" s="1">
        <v>43455</v>
      </c>
      <c r="E1464" t="s">
        <v>19</v>
      </c>
      <c r="F1464" t="s">
        <v>5439</v>
      </c>
      <c r="G1464" t="s">
        <v>5440</v>
      </c>
      <c r="H1464" t="s">
        <v>37</v>
      </c>
      <c r="I1464" t="s">
        <v>23</v>
      </c>
      <c r="J1464" t="s">
        <v>2308</v>
      </c>
      <c r="K1464" t="s">
        <v>39</v>
      </c>
      <c r="L1464">
        <v>92054</v>
      </c>
      <c r="M1464" t="s">
        <v>40</v>
      </c>
      <c r="N1464" t="s">
        <v>5441</v>
      </c>
      <c r="O1464" t="s">
        <v>28</v>
      </c>
      <c r="P1464" t="s">
        <v>61</v>
      </c>
      <c r="Q1464" t="s">
        <v>5442</v>
      </c>
      <c r="R1464">
        <v>18.96</v>
      </c>
      <c r="S1464" t="str">
        <f>TEXT(sales_data[[#This Row],[Order Date]],"mm")</f>
        <v>12</v>
      </c>
      <c r="T1464">
        <f>YEAR(sales_data[[#This Row],[Order Date]])</f>
        <v>2018</v>
      </c>
      <c r="V1464" t="s">
        <v>5441</v>
      </c>
    </row>
    <row r="1465" spans="1:22" x14ac:dyDescent="0.35">
      <c r="A1465">
        <v>2976</v>
      </c>
      <c r="B1465" t="s">
        <v>5443</v>
      </c>
      <c r="C1465" s="1">
        <v>42497</v>
      </c>
      <c r="D1465" s="1">
        <v>42502</v>
      </c>
      <c r="E1465" t="s">
        <v>46</v>
      </c>
      <c r="F1465" t="s">
        <v>1396</v>
      </c>
      <c r="G1465" t="s">
        <v>1397</v>
      </c>
      <c r="H1465" t="s">
        <v>22</v>
      </c>
      <c r="I1465" t="s">
        <v>23</v>
      </c>
      <c r="J1465" t="s">
        <v>3934</v>
      </c>
      <c r="K1465" t="s">
        <v>100</v>
      </c>
      <c r="L1465">
        <v>75002</v>
      </c>
      <c r="M1465" t="s">
        <v>101</v>
      </c>
      <c r="N1465" t="s">
        <v>5444</v>
      </c>
      <c r="O1465" t="s">
        <v>42</v>
      </c>
      <c r="P1465" t="s">
        <v>86</v>
      </c>
      <c r="Q1465" t="s">
        <v>5445</v>
      </c>
      <c r="R1465">
        <v>15.936</v>
      </c>
      <c r="S1465" t="str">
        <f>TEXT(sales_data[[#This Row],[Order Date]],"mm")</f>
        <v>05</v>
      </c>
      <c r="T1465">
        <f>YEAR(sales_data[[#This Row],[Order Date]])</f>
        <v>2016</v>
      </c>
      <c r="V1465" t="s">
        <v>5444</v>
      </c>
    </row>
    <row r="1466" spans="1:22" x14ac:dyDescent="0.35">
      <c r="A1466">
        <v>2977</v>
      </c>
      <c r="B1466" t="s">
        <v>5446</v>
      </c>
      <c r="C1466" s="1">
        <v>43438</v>
      </c>
      <c r="D1466" s="1">
        <v>43438</v>
      </c>
      <c r="E1466" t="s">
        <v>1277</v>
      </c>
      <c r="F1466" t="s">
        <v>35</v>
      </c>
      <c r="G1466" t="s">
        <v>36</v>
      </c>
      <c r="H1466" t="s">
        <v>37</v>
      </c>
      <c r="I1466" t="s">
        <v>23</v>
      </c>
      <c r="J1466" t="s">
        <v>142</v>
      </c>
      <c r="K1466" t="s">
        <v>143</v>
      </c>
      <c r="L1466">
        <v>19143</v>
      </c>
      <c r="M1466" t="s">
        <v>144</v>
      </c>
      <c r="N1466" t="s">
        <v>5447</v>
      </c>
      <c r="O1466" t="s">
        <v>28</v>
      </c>
      <c r="P1466" t="s">
        <v>32</v>
      </c>
      <c r="Q1466" t="s">
        <v>5448</v>
      </c>
      <c r="R1466">
        <v>188.55199999999999</v>
      </c>
      <c r="S1466" t="str">
        <f>TEXT(sales_data[[#This Row],[Order Date]],"mm")</f>
        <v>12</v>
      </c>
      <c r="T1466">
        <f>YEAR(sales_data[[#This Row],[Order Date]])</f>
        <v>2018</v>
      </c>
      <c r="V1466" t="s">
        <v>5447</v>
      </c>
    </row>
    <row r="1467" spans="1:22" x14ac:dyDescent="0.35">
      <c r="A1467">
        <v>2980</v>
      </c>
      <c r="B1467" t="s">
        <v>5450</v>
      </c>
      <c r="C1467" s="1">
        <v>42533</v>
      </c>
      <c r="D1467" s="1">
        <v>42538</v>
      </c>
      <c r="E1467" t="s">
        <v>46</v>
      </c>
      <c r="F1467" t="s">
        <v>5451</v>
      </c>
      <c r="G1467" t="s">
        <v>5452</v>
      </c>
      <c r="H1467" t="s">
        <v>22</v>
      </c>
      <c r="I1467" t="s">
        <v>23</v>
      </c>
      <c r="J1467" t="s">
        <v>142</v>
      </c>
      <c r="K1467" t="s">
        <v>143</v>
      </c>
      <c r="L1467">
        <v>19134</v>
      </c>
      <c r="M1467" t="s">
        <v>144</v>
      </c>
      <c r="N1467" t="s">
        <v>5453</v>
      </c>
      <c r="O1467" t="s">
        <v>42</v>
      </c>
      <c r="P1467" t="s">
        <v>86</v>
      </c>
      <c r="Q1467" t="s">
        <v>5454</v>
      </c>
      <c r="R1467">
        <v>20.736000000000001</v>
      </c>
      <c r="S1467" t="str">
        <f>TEXT(sales_data[[#This Row],[Order Date]],"mm")</f>
        <v>06</v>
      </c>
      <c r="T1467">
        <f>YEAR(sales_data[[#This Row],[Order Date]])</f>
        <v>2016</v>
      </c>
      <c r="V1467" t="s">
        <v>5453</v>
      </c>
    </row>
    <row r="1468" spans="1:22" x14ac:dyDescent="0.35">
      <c r="A1468">
        <v>2986</v>
      </c>
      <c r="B1468" t="s">
        <v>5455</v>
      </c>
      <c r="C1468" s="1">
        <v>42880</v>
      </c>
      <c r="D1468" s="1">
        <v>42885</v>
      </c>
      <c r="E1468" t="s">
        <v>46</v>
      </c>
      <c r="F1468" t="s">
        <v>5456</v>
      </c>
      <c r="G1468" t="s">
        <v>5457</v>
      </c>
      <c r="H1468" t="s">
        <v>98</v>
      </c>
      <c r="I1468" t="s">
        <v>23</v>
      </c>
      <c r="J1468" t="s">
        <v>492</v>
      </c>
      <c r="K1468" t="s">
        <v>1261</v>
      </c>
      <c r="L1468">
        <v>31907</v>
      </c>
      <c r="M1468" t="s">
        <v>26</v>
      </c>
      <c r="N1468" t="s">
        <v>5458</v>
      </c>
      <c r="O1468" t="s">
        <v>28</v>
      </c>
      <c r="P1468" t="s">
        <v>61</v>
      </c>
      <c r="Q1468" t="s">
        <v>5459</v>
      </c>
      <c r="R1468">
        <v>24.96</v>
      </c>
      <c r="S1468" t="str">
        <f>TEXT(sales_data[[#This Row],[Order Date]],"mm")</f>
        <v>05</v>
      </c>
      <c r="T1468">
        <f>YEAR(sales_data[[#This Row],[Order Date]])</f>
        <v>2017</v>
      </c>
      <c r="V1468" t="s">
        <v>5458</v>
      </c>
    </row>
    <row r="1469" spans="1:22" x14ac:dyDescent="0.35">
      <c r="A1469">
        <v>2998</v>
      </c>
      <c r="B1469" t="s">
        <v>5460</v>
      </c>
      <c r="C1469" s="1">
        <v>42176</v>
      </c>
      <c r="D1469" s="1">
        <v>42180</v>
      </c>
      <c r="E1469" t="s">
        <v>46</v>
      </c>
      <c r="F1469" t="s">
        <v>4043</v>
      </c>
      <c r="G1469" t="s">
        <v>4044</v>
      </c>
      <c r="H1469" t="s">
        <v>22</v>
      </c>
      <c r="I1469" t="s">
        <v>23</v>
      </c>
      <c r="J1469" t="s">
        <v>142</v>
      </c>
      <c r="K1469" t="s">
        <v>143</v>
      </c>
      <c r="L1469">
        <v>19120</v>
      </c>
      <c r="M1469" t="s">
        <v>144</v>
      </c>
      <c r="N1469" t="s">
        <v>5461</v>
      </c>
      <c r="O1469" t="s">
        <v>28</v>
      </c>
      <c r="P1469" t="s">
        <v>61</v>
      </c>
      <c r="Q1469" t="s">
        <v>5462</v>
      </c>
      <c r="R1469">
        <v>3.984</v>
      </c>
      <c r="S1469" t="str">
        <f>TEXT(sales_data[[#This Row],[Order Date]],"mm")</f>
        <v>06</v>
      </c>
      <c r="T1469">
        <f>YEAR(sales_data[[#This Row],[Order Date]])</f>
        <v>2015</v>
      </c>
      <c r="V1469" t="s">
        <v>5461</v>
      </c>
    </row>
    <row r="1470" spans="1:22" x14ac:dyDescent="0.35">
      <c r="A1470">
        <v>3000</v>
      </c>
      <c r="B1470" t="s">
        <v>5460</v>
      </c>
      <c r="C1470" s="1">
        <v>42176</v>
      </c>
      <c r="D1470" s="1">
        <v>42180</v>
      </c>
      <c r="E1470" t="s">
        <v>46</v>
      </c>
      <c r="F1470" t="s">
        <v>4043</v>
      </c>
      <c r="G1470" t="s">
        <v>4044</v>
      </c>
      <c r="H1470" t="s">
        <v>22</v>
      </c>
      <c r="I1470" t="s">
        <v>23</v>
      </c>
      <c r="J1470" t="s">
        <v>142</v>
      </c>
      <c r="K1470" t="s">
        <v>143</v>
      </c>
      <c r="L1470">
        <v>19120</v>
      </c>
      <c r="M1470" t="s">
        <v>144</v>
      </c>
      <c r="N1470" t="s">
        <v>5463</v>
      </c>
      <c r="O1470" t="s">
        <v>67</v>
      </c>
      <c r="P1470" t="s">
        <v>675</v>
      </c>
      <c r="Q1470" t="s">
        <v>5464</v>
      </c>
      <c r="R1470">
        <v>206.99100000000001</v>
      </c>
      <c r="S1470" t="str">
        <f>TEXT(sales_data[[#This Row],[Order Date]],"mm")</f>
        <v>06</v>
      </c>
      <c r="T1470">
        <f>YEAR(sales_data[[#This Row],[Order Date]])</f>
        <v>2015</v>
      </c>
      <c r="V1470" t="s">
        <v>5463</v>
      </c>
    </row>
    <row r="1471" spans="1:22" x14ac:dyDescent="0.35">
      <c r="A1471">
        <v>3003</v>
      </c>
      <c r="B1471" t="s">
        <v>5465</v>
      </c>
      <c r="C1471" s="1">
        <v>42556</v>
      </c>
      <c r="D1471" s="1">
        <v>42561</v>
      </c>
      <c r="E1471" t="s">
        <v>46</v>
      </c>
      <c r="F1471" t="s">
        <v>1377</v>
      </c>
      <c r="G1471" t="s">
        <v>1378</v>
      </c>
      <c r="H1471" t="s">
        <v>98</v>
      </c>
      <c r="I1471" t="s">
        <v>23</v>
      </c>
      <c r="J1471" t="s">
        <v>5466</v>
      </c>
      <c r="K1471" t="s">
        <v>233</v>
      </c>
      <c r="L1471">
        <v>48310</v>
      </c>
      <c r="M1471" t="s">
        <v>101</v>
      </c>
      <c r="N1471" t="s">
        <v>5467</v>
      </c>
      <c r="O1471" t="s">
        <v>42</v>
      </c>
      <c r="P1471" t="s">
        <v>71</v>
      </c>
      <c r="Q1471" t="s">
        <v>5468</v>
      </c>
      <c r="R1471">
        <v>19</v>
      </c>
      <c r="S1471" t="str">
        <f>TEXT(sales_data[[#This Row],[Order Date]],"mm")</f>
        <v>07</v>
      </c>
      <c r="T1471">
        <f>YEAR(sales_data[[#This Row],[Order Date]])</f>
        <v>2016</v>
      </c>
      <c r="V1471" t="s">
        <v>5467</v>
      </c>
    </row>
    <row r="1472" spans="1:22" x14ac:dyDescent="0.35">
      <c r="A1472">
        <v>3005</v>
      </c>
      <c r="B1472" t="s">
        <v>5469</v>
      </c>
      <c r="C1472" s="1">
        <v>42986</v>
      </c>
      <c r="D1472" s="1">
        <v>42988</v>
      </c>
      <c r="E1472" t="s">
        <v>183</v>
      </c>
      <c r="F1472" t="s">
        <v>5470</v>
      </c>
      <c r="G1472" t="s">
        <v>5471</v>
      </c>
      <c r="H1472" t="s">
        <v>98</v>
      </c>
      <c r="I1472" t="s">
        <v>23</v>
      </c>
      <c r="J1472" t="s">
        <v>261</v>
      </c>
      <c r="K1472" t="s">
        <v>262</v>
      </c>
      <c r="L1472">
        <v>10011</v>
      </c>
      <c r="M1472" t="s">
        <v>144</v>
      </c>
      <c r="N1472" t="s">
        <v>5472</v>
      </c>
      <c r="O1472" t="s">
        <v>42</v>
      </c>
      <c r="P1472" t="s">
        <v>74</v>
      </c>
      <c r="Q1472" t="s">
        <v>5473</v>
      </c>
      <c r="R1472">
        <v>207.48</v>
      </c>
      <c r="S1472" t="str">
        <f>TEXT(sales_data[[#This Row],[Order Date]],"mm")</f>
        <v>09</v>
      </c>
      <c r="T1472">
        <f>YEAR(sales_data[[#This Row],[Order Date]])</f>
        <v>2017</v>
      </c>
      <c r="V1472" t="s">
        <v>5472</v>
      </c>
    </row>
    <row r="1473" spans="1:22" x14ac:dyDescent="0.35">
      <c r="A1473">
        <v>3020</v>
      </c>
      <c r="B1473" t="s">
        <v>5475</v>
      </c>
      <c r="C1473" s="1">
        <v>42682</v>
      </c>
      <c r="D1473" s="1">
        <v>42688</v>
      </c>
      <c r="E1473" t="s">
        <v>46</v>
      </c>
      <c r="F1473" t="s">
        <v>1571</v>
      </c>
      <c r="G1473" t="s">
        <v>1572</v>
      </c>
      <c r="H1473" t="s">
        <v>22</v>
      </c>
      <c r="I1473" t="s">
        <v>23</v>
      </c>
      <c r="J1473" t="s">
        <v>116</v>
      </c>
      <c r="K1473" t="s">
        <v>117</v>
      </c>
      <c r="L1473">
        <v>84084</v>
      </c>
      <c r="M1473" t="s">
        <v>40</v>
      </c>
      <c r="N1473" t="s">
        <v>5476</v>
      </c>
      <c r="O1473" t="s">
        <v>42</v>
      </c>
      <c r="P1473" t="s">
        <v>264</v>
      </c>
      <c r="Q1473" t="s">
        <v>5477</v>
      </c>
      <c r="R1473">
        <v>5.04</v>
      </c>
      <c r="S1473" t="str">
        <f>TEXT(sales_data[[#This Row],[Order Date]],"mm")</f>
        <v>11</v>
      </c>
      <c r="T1473">
        <f>YEAR(sales_data[[#This Row],[Order Date]])</f>
        <v>2016</v>
      </c>
      <c r="V1473" t="s">
        <v>5476</v>
      </c>
    </row>
    <row r="1474" spans="1:22" x14ac:dyDescent="0.35">
      <c r="A1474">
        <v>3028</v>
      </c>
      <c r="B1474" t="s">
        <v>5479</v>
      </c>
      <c r="C1474" s="1">
        <v>42240</v>
      </c>
      <c r="D1474" s="1">
        <v>42240</v>
      </c>
      <c r="E1474" t="s">
        <v>1277</v>
      </c>
      <c r="F1474" t="s">
        <v>4102</v>
      </c>
      <c r="G1474" t="s">
        <v>4103</v>
      </c>
      <c r="H1474" t="s">
        <v>37</v>
      </c>
      <c r="I1474" t="s">
        <v>23</v>
      </c>
      <c r="J1474" t="s">
        <v>5480</v>
      </c>
      <c r="K1474" t="s">
        <v>1744</v>
      </c>
      <c r="L1474">
        <v>59102</v>
      </c>
      <c r="M1474" t="s">
        <v>40</v>
      </c>
      <c r="N1474" t="s">
        <v>5481</v>
      </c>
      <c r="O1474" t="s">
        <v>42</v>
      </c>
      <c r="P1474" t="s">
        <v>71</v>
      </c>
      <c r="Q1474" t="s">
        <v>5482</v>
      </c>
      <c r="R1474">
        <v>8.2880000000000003</v>
      </c>
      <c r="S1474" t="str">
        <f>TEXT(sales_data[[#This Row],[Order Date]],"mm")</f>
        <v>08</v>
      </c>
      <c r="T1474">
        <f>YEAR(sales_data[[#This Row],[Order Date]])</f>
        <v>2015</v>
      </c>
      <c r="V1474" t="s">
        <v>5481</v>
      </c>
    </row>
    <row r="1475" spans="1:22" x14ac:dyDescent="0.35">
      <c r="A1475">
        <v>3037</v>
      </c>
      <c r="B1475" t="s">
        <v>5484</v>
      </c>
      <c r="C1475" s="1">
        <v>42532</v>
      </c>
      <c r="D1475" s="1">
        <v>42537</v>
      </c>
      <c r="E1475" t="s">
        <v>46</v>
      </c>
      <c r="F1475" t="s">
        <v>1765</v>
      </c>
      <c r="G1475" t="s">
        <v>1766</v>
      </c>
      <c r="H1475" t="s">
        <v>22</v>
      </c>
      <c r="I1475" t="s">
        <v>23</v>
      </c>
      <c r="J1475" t="s">
        <v>728</v>
      </c>
      <c r="K1475" t="s">
        <v>729</v>
      </c>
      <c r="L1475">
        <v>71203</v>
      </c>
      <c r="M1475" t="s">
        <v>26</v>
      </c>
      <c r="N1475" t="s">
        <v>5485</v>
      </c>
      <c r="O1475" t="s">
        <v>42</v>
      </c>
      <c r="P1475" t="s">
        <v>64</v>
      </c>
      <c r="Q1475" t="s">
        <v>5486</v>
      </c>
      <c r="R1475">
        <v>56.3</v>
      </c>
      <c r="S1475" t="str">
        <f>TEXT(sales_data[[#This Row],[Order Date]],"mm")</f>
        <v>06</v>
      </c>
      <c r="T1475">
        <f>YEAR(sales_data[[#This Row],[Order Date]])</f>
        <v>2016</v>
      </c>
      <c r="V1475" t="s">
        <v>5485</v>
      </c>
    </row>
    <row r="1476" spans="1:22" x14ac:dyDescent="0.35">
      <c r="A1476">
        <v>3039</v>
      </c>
      <c r="B1476" t="s">
        <v>5484</v>
      </c>
      <c r="C1476" s="1">
        <v>42532</v>
      </c>
      <c r="D1476" s="1">
        <v>42537</v>
      </c>
      <c r="E1476" t="s">
        <v>46</v>
      </c>
      <c r="F1476" t="s">
        <v>1765</v>
      </c>
      <c r="G1476" t="s">
        <v>1766</v>
      </c>
      <c r="H1476" t="s">
        <v>22</v>
      </c>
      <c r="I1476" t="s">
        <v>23</v>
      </c>
      <c r="J1476" t="s">
        <v>728</v>
      </c>
      <c r="K1476" t="s">
        <v>729</v>
      </c>
      <c r="L1476">
        <v>71203</v>
      </c>
      <c r="M1476" t="s">
        <v>26</v>
      </c>
      <c r="N1476" t="s">
        <v>5487</v>
      </c>
      <c r="O1476" t="s">
        <v>28</v>
      </c>
      <c r="P1476" t="s">
        <v>61</v>
      </c>
      <c r="Q1476" t="s">
        <v>5488</v>
      </c>
      <c r="R1476">
        <v>29.16</v>
      </c>
      <c r="S1476" t="str">
        <f>TEXT(sales_data[[#This Row],[Order Date]],"mm")</f>
        <v>06</v>
      </c>
      <c r="T1476">
        <f>YEAR(sales_data[[#This Row],[Order Date]])</f>
        <v>2016</v>
      </c>
      <c r="V1476" t="s">
        <v>5487</v>
      </c>
    </row>
    <row r="1477" spans="1:22" x14ac:dyDescent="0.35">
      <c r="A1477">
        <v>3043</v>
      </c>
      <c r="B1477" t="s">
        <v>5490</v>
      </c>
      <c r="C1477" s="1">
        <v>43354</v>
      </c>
      <c r="D1477" s="1">
        <v>43355</v>
      </c>
      <c r="E1477" t="s">
        <v>1277</v>
      </c>
      <c r="F1477" t="s">
        <v>4699</v>
      </c>
      <c r="G1477" t="s">
        <v>4700</v>
      </c>
      <c r="H1477" t="s">
        <v>98</v>
      </c>
      <c r="I1477" t="s">
        <v>23</v>
      </c>
      <c r="J1477" t="s">
        <v>1166</v>
      </c>
      <c r="K1477" t="s">
        <v>39</v>
      </c>
      <c r="L1477">
        <v>90805</v>
      </c>
      <c r="M1477" t="s">
        <v>40</v>
      </c>
      <c r="N1477" t="s">
        <v>5491</v>
      </c>
      <c r="O1477" t="s">
        <v>42</v>
      </c>
      <c r="P1477" t="s">
        <v>168</v>
      </c>
      <c r="Q1477" t="s">
        <v>5492</v>
      </c>
      <c r="R1477">
        <v>22.18</v>
      </c>
      <c r="S1477" t="str">
        <f>TEXT(sales_data[[#This Row],[Order Date]],"mm")</f>
        <v>09</v>
      </c>
      <c r="T1477">
        <f>YEAR(sales_data[[#This Row],[Order Date]])</f>
        <v>2018</v>
      </c>
      <c r="V1477" t="s">
        <v>5491</v>
      </c>
    </row>
    <row r="1478" spans="1:22" x14ac:dyDescent="0.35">
      <c r="A1478">
        <v>3044</v>
      </c>
      <c r="B1478" t="s">
        <v>5490</v>
      </c>
      <c r="C1478" s="1">
        <v>43354</v>
      </c>
      <c r="D1478" s="1">
        <v>43355</v>
      </c>
      <c r="E1478" t="s">
        <v>1277</v>
      </c>
      <c r="F1478" t="s">
        <v>4699</v>
      </c>
      <c r="G1478" t="s">
        <v>4700</v>
      </c>
      <c r="H1478" t="s">
        <v>98</v>
      </c>
      <c r="I1478" t="s">
        <v>23</v>
      </c>
      <c r="J1478" t="s">
        <v>1166</v>
      </c>
      <c r="K1478" t="s">
        <v>39</v>
      </c>
      <c r="L1478">
        <v>90805</v>
      </c>
      <c r="M1478" t="s">
        <v>40</v>
      </c>
      <c r="N1478" t="s">
        <v>5493</v>
      </c>
      <c r="O1478" t="s">
        <v>28</v>
      </c>
      <c r="P1478" t="s">
        <v>32</v>
      </c>
      <c r="Q1478" t="s">
        <v>5494</v>
      </c>
      <c r="R1478">
        <v>2054.2719999999999</v>
      </c>
      <c r="S1478" t="str">
        <f>TEXT(sales_data[[#This Row],[Order Date]],"mm")</f>
        <v>09</v>
      </c>
      <c r="T1478">
        <f>YEAR(sales_data[[#This Row],[Order Date]])</f>
        <v>2018</v>
      </c>
      <c r="V1478" t="s">
        <v>5493</v>
      </c>
    </row>
    <row r="1479" spans="1:22" x14ac:dyDescent="0.35">
      <c r="A1479">
        <v>3046</v>
      </c>
      <c r="B1479" t="s">
        <v>5495</v>
      </c>
      <c r="C1479" s="1">
        <v>43410</v>
      </c>
      <c r="D1479" s="1">
        <v>43414</v>
      </c>
      <c r="E1479" t="s">
        <v>19</v>
      </c>
      <c r="F1479" t="s">
        <v>2105</v>
      </c>
      <c r="G1479" t="s">
        <v>2106</v>
      </c>
      <c r="H1479" t="s">
        <v>98</v>
      </c>
      <c r="I1479" t="s">
        <v>23</v>
      </c>
      <c r="J1479" t="s">
        <v>404</v>
      </c>
      <c r="K1479" t="s">
        <v>224</v>
      </c>
      <c r="L1479">
        <v>55407</v>
      </c>
      <c r="M1479" t="s">
        <v>101</v>
      </c>
      <c r="N1479" t="s">
        <v>5496</v>
      </c>
      <c r="O1479" t="s">
        <v>42</v>
      </c>
      <c r="P1479" t="s">
        <v>64</v>
      </c>
      <c r="Q1479" t="s">
        <v>5497</v>
      </c>
      <c r="R1479">
        <v>13.9</v>
      </c>
      <c r="S1479" t="str">
        <f>TEXT(sales_data[[#This Row],[Order Date]],"mm")</f>
        <v>11</v>
      </c>
      <c r="T1479">
        <f>YEAR(sales_data[[#This Row],[Order Date]])</f>
        <v>2018</v>
      </c>
      <c r="V1479" t="s">
        <v>5496</v>
      </c>
    </row>
    <row r="1480" spans="1:22" x14ac:dyDescent="0.35">
      <c r="A1480">
        <v>3051</v>
      </c>
      <c r="B1480" t="s">
        <v>5499</v>
      </c>
      <c r="C1480" s="1">
        <v>43379</v>
      </c>
      <c r="D1480" s="1">
        <v>43384</v>
      </c>
      <c r="E1480" t="s">
        <v>46</v>
      </c>
      <c r="F1480" t="s">
        <v>1061</v>
      </c>
      <c r="G1480" t="s">
        <v>1062</v>
      </c>
      <c r="H1480" t="s">
        <v>98</v>
      </c>
      <c r="I1480" t="s">
        <v>23</v>
      </c>
      <c r="J1480" t="s">
        <v>5500</v>
      </c>
      <c r="K1480" t="s">
        <v>5501</v>
      </c>
      <c r="L1480">
        <v>83642</v>
      </c>
      <c r="M1480" t="s">
        <v>40</v>
      </c>
      <c r="N1480" t="s">
        <v>5502</v>
      </c>
      <c r="O1480" t="s">
        <v>28</v>
      </c>
      <c r="P1480" t="s">
        <v>61</v>
      </c>
      <c r="Q1480" t="s">
        <v>5503</v>
      </c>
      <c r="R1480">
        <v>41.96</v>
      </c>
      <c r="S1480" t="str">
        <f>TEXT(sales_data[[#This Row],[Order Date]],"mm")</f>
        <v>10</v>
      </c>
      <c r="T1480">
        <f>YEAR(sales_data[[#This Row],[Order Date]])</f>
        <v>2018</v>
      </c>
      <c r="V1480" t="s">
        <v>5502</v>
      </c>
    </row>
    <row r="1481" spans="1:22" x14ac:dyDescent="0.35">
      <c r="A1481">
        <v>3060</v>
      </c>
      <c r="B1481" t="s">
        <v>5506</v>
      </c>
      <c r="C1481" s="1">
        <v>43392</v>
      </c>
      <c r="D1481" s="1">
        <v>43397</v>
      </c>
      <c r="E1481" t="s">
        <v>19</v>
      </c>
      <c r="F1481" t="s">
        <v>4068</v>
      </c>
      <c r="G1481" t="s">
        <v>4069</v>
      </c>
      <c r="H1481" t="s">
        <v>37</v>
      </c>
      <c r="I1481" t="s">
        <v>23</v>
      </c>
      <c r="J1481" t="s">
        <v>123</v>
      </c>
      <c r="K1481" t="s">
        <v>39</v>
      </c>
      <c r="L1481">
        <v>94110</v>
      </c>
      <c r="M1481" t="s">
        <v>40</v>
      </c>
      <c r="N1481" t="s">
        <v>5507</v>
      </c>
      <c r="O1481" t="s">
        <v>28</v>
      </c>
      <c r="P1481" t="s">
        <v>52</v>
      </c>
      <c r="Q1481" t="s">
        <v>5508</v>
      </c>
      <c r="R1481">
        <v>24.367999999999999</v>
      </c>
      <c r="S1481" t="str">
        <f>TEXT(sales_data[[#This Row],[Order Date]],"mm")</f>
        <v>10</v>
      </c>
      <c r="T1481">
        <f>YEAR(sales_data[[#This Row],[Order Date]])</f>
        <v>2018</v>
      </c>
      <c r="V1481" t="s">
        <v>5507</v>
      </c>
    </row>
    <row r="1482" spans="1:22" x14ac:dyDescent="0.35">
      <c r="A1482">
        <v>3063</v>
      </c>
      <c r="B1482" t="s">
        <v>5510</v>
      </c>
      <c r="C1482" s="1">
        <v>42701</v>
      </c>
      <c r="D1482" s="1">
        <v>42703</v>
      </c>
      <c r="E1482" t="s">
        <v>183</v>
      </c>
      <c r="F1482" t="s">
        <v>2086</v>
      </c>
      <c r="G1482" t="s">
        <v>2087</v>
      </c>
      <c r="H1482" t="s">
        <v>37</v>
      </c>
      <c r="I1482" t="s">
        <v>23</v>
      </c>
      <c r="J1482" t="s">
        <v>599</v>
      </c>
      <c r="K1482" t="s">
        <v>240</v>
      </c>
      <c r="L1482">
        <v>19711</v>
      </c>
      <c r="M1482" t="s">
        <v>144</v>
      </c>
      <c r="N1482" t="s">
        <v>5511</v>
      </c>
      <c r="O1482" t="s">
        <v>67</v>
      </c>
      <c r="P1482" t="s">
        <v>68</v>
      </c>
      <c r="Q1482" t="s">
        <v>5512</v>
      </c>
      <c r="R1482">
        <v>83.97</v>
      </c>
      <c r="S1482" t="str">
        <f>TEXT(sales_data[[#This Row],[Order Date]],"mm")</f>
        <v>11</v>
      </c>
      <c r="T1482">
        <f>YEAR(sales_data[[#This Row],[Order Date]])</f>
        <v>2016</v>
      </c>
      <c r="V1482" t="s">
        <v>5511</v>
      </c>
    </row>
    <row r="1483" spans="1:22" x14ac:dyDescent="0.35">
      <c r="A1483">
        <v>3064</v>
      </c>
      <c r="B1483" t="s">
        <v>5510</v>
      </c>
      <c r="C1483" s="1">
        <v>42701</v>
      </c>
      <c r="D1483" s="1">
        <v>42703</v>
      </c>
      <c r="E1483" t="s">
        <v>183</v>
      </c>
      <c r="F1483" t="s">
        <v>2086</v>
      </c>
      <c r="G1483" t="s">
        <v>2087</v>
      </c>
      <c r="H1483" t="s">
        <v>37</v>
      </c>
      <c r="I1483" t="s">
        <v>23</v>
      </c>
      <c r="J1483" t="s">
        <v>599</v>
      </c>
      <c r="K1483" t="s">
        <v>240</v>
      </c>
      <c r="L1483">
        <v>19711</v>
      </c>
      <c r="M1483" t="s">
        <v>144</v>
      </c>
      <c r="N1483" t="s">
        <v>5513</v>
      </c>
      <c r="O1483" t="s">
        <v>67</v>
      </c>
      <c r="P1483" t="s">
        <v>156</v>
      </c>
      <c r="Q1483" t="s">
        <v>5514</v>
      </c>
      <c r="R1483">
        <v>104.97</v>
      </c>
      <c r="S1483" t="str">
        <f>TEXT(sales_data[[#This Row],[Order Date]],"mm")</f>
        <v>11</v>
      </c>
      <c r="T1483">
        <f>YEAR(sales_data[[#This Row],[Order Date]])</f>
        <v>2016</v>
      </c>
      <c r="V1483" t="s">
        <v>5513</v>
      </c>
    </row>
    <row r="1484" spans="1:22" x14ac:dyDescent="0.35">
      <c r="A1484">
        <v>3067</v>
      </c>
      <c r="B1484" t="s">
        <v>5515</v>
      </c>
      <c r="C1484" s="1">
        <v>43172</v>
      </c>
      <c r="D1484" s="1">
        <v>43177</v>
      </c>
      <c r="E1484" t="s">
        <v>19</v>
      </c>
      <c r="F1484" t="s">
        <v>5516</v>
      </c>
      <c r="G1484" t="s">
        <v>5517</v>
      </c>
      <c r="H1484" t="s">
        <v>98</v>
      </c>
      <c r="I1484" t="s">
        <v>23</v>
      </c>
      <c r="J1484" t="s">
        <v>4979</v>
      </c>
      <c r="K1484" t="s">
        <v>660</v>
      </c>
      <c r="L1484">
        <v>87105</v>
      </c>
      <c r="M1484" t="s">
        <v>40</v>
      </c>
      <c r="N1484" t="s">
        <v>5518</v>
      </c>
      <c r="O1484" t="s">
        <v>67</v>
      </c>
      <c r="P1484" t="s">
        <v>156</v>
      </c>
      <c r="Q1484" t="s">
        <v>5519</v>
      </c>
      <c r="R1484">
        <v>214.95</v>
      </c>
      <c r="S1484" t="str">
        <f>TEXT(sales_data[[#This Row],[Order Date]],"mm")</f>
        <v>03</v>
      </c>
      <c r="T1484">
        <f>YEAR(sales_data[[#This Row],[Order Date]])</f>
        <v>2018</v>
      </c>
      <c r="V1484" t="s">
        <v>5518</v>
      </c>
    </row>
    <row r="1485" spans="1:22" x14ac:dyDescent="0.35">
      <c r="A1485">
        <v>3068</v>
      </c>
      <c r="B1485" t="s">
        <v>5515</v>
      </c>
      <c r="C1485" s="1">
        <v>43172</v>
      </c>
      <c r="D1485" s="1">
        <v>43177</v>
      </c>
      <c r="E1485" t="s">
        <v>19</v>
      </c>
      <c r="F1485" t="s">
        <v>5516</v>
      </c>
      <c r="G1485" t="s">
        <v>5517</v>
      </c>
      <c r="H1485" t="s">
        <v>98</v>
      </c>
      <c r="I1485" t="s">
        <v>23</v>
      </c>
      <c r="J1485" t="s">
        <v>4979</v>
      </c>
      <c r="K1485" t="s">
        <v>660</v>
      </c>
      <c r="L1485">
        <v>87105</v>
      </c>
      <c r="M1485" t="s">
        <v>40</v>
      </c>
      <c r="N1485" t="s">
        <v>5520</v>
      </c>
      <c r="O1485" t="s">
        <v>42</v>
      </c>
      <c r="P1485" t="s">
        <v>86</v>
      </c>
      <c r="Q1485" t="s">
        <v>5521</v>
      </c>
      <c r="R1485">
        <v>45.36</v>
      </c>
      <c r="S1485" t="str">
        <f>TEXT(sales_data[[#This Row],[Order Date]],"mm")</f>
        <v>03</v>
      </c>
      <c r="T1485">
        <f>YEAR(sales_data[[#This Row],[Order Date]])</f>
        <v>2018</v>
      </c>
      <c r="V1485" t="s">
        <v>5520</v>
      </c>
    </row>
    <row r="1486" spans="1:22" x14ac:dyDescent="0.35">
      <c r="A1486">
        <v>3072</v>
      </c>
      <c r="B1486" t="s">
        <v>5522</v>
      </c>
      <c r="C1486" s="1">
        <v>42325</v>
      </c>
      <c r="D1486" s="1">
        <v>42330</v>
      </c>
      <c r="E1486" t="s">
        <v>46</v>
      </c>
      <c r="F1486" t="s">
        <v>2358</v>
      </c>
      <c r="G1486" t="s">
        <v>2359</v>
      </c>
      <c r="H1486" t="s">
        <v>37</v>
      </c>
      <c r="I1486" t="s">
        <v>23</v>
      </c>
      <c r="J1486" t="s">
        <v>599</v>
      </c>
      <c r="K1486" t="s">
        <v>240</v>
      </c>
      <c r="L1486">
        <v>19711</v>
      </c>
      <c r="M1486" t="s">
        <v>144</v>
      </c>
      <c r="N1486" t="s">
        <v>5523</v>
      </c>
      <c r="O1486" t="s">
        <v>28</v>
      </c>
      <c r="P1486" t="s">
        <v>61</v>
      </c>
      <c r="Q1486" t="s">
        <v>5524</v>
      </c>
      <c r="R1486">
        <v>124.41</v>
      </c>
      <c r="S1486" t="str">
        <f>TEXT(sales_data[[#This Row],[Order Date]],"mm")</f>
        <v>11</v>
      </c>
      <c r="T1486">
        <f>YEAR(sales_data[[#This Row],[Order Date]])</f>
        <v>2015</v>
      </c>
      <c r="V1486" t="s">
        <v>5523</v>
      </c>
    </row>
    <row r="1487" spans="1:22" x14ac:dyDescent="0.35">
      <c r="A1487">
        <v>3090</v>
      </c>
      <c r="B1487" t="s">
        <v>5526</v>
      </c>
      <c r="C1487" s="1">
        <v>43190</v>
      </c>
      <c r="D1487" s="1">
        <v>43192</v>
      </c>
      <c r="E1487" t="s">
        <v>19</v>
      </c>
      <c r="F1487" t="s">
        <v>5079</v>
      </c>
      <c r="G1487" t="s">
        <v>5080</v>
      </c>
      <c r="H1487" t="s">
        <v>98</v>
      </c>
      <c r="I1487" t="s">
        <v>23</v>
      </c>
      <c r="J1487" t="s">
        <v>24</v>
      </c>
      <c r="K1487" t="s">
        <v>25</v>
      </c>
      <c r="L1487">
        <v>42420</v>
      </c>
      <c r="M1487" t="s">
        <v>26</v>
      </c>
      <c r="N1487" t="s">
        <v>5527</v>
      </c>
      <c r="O1487" t="s">
        <v>67</v>
      </c>
      <c r="P1487" t="s">
        <v>68</v>
      </c>
      <c r="Q1487" t="s">
        <v>5528</v>
      </c>
      <c r="R1487">
        <v>671.93</v>
      </c>
      <c r="S1487" t="str">
        <f>TEXT(sales_data[[#This Row],[Order Date]],"mm")</f>
        <v>03</v>
      </c>
      <c r="T1487">
        <f>YEAR(sales_data[[#This Row],[Order Date]])</f>
        <v>2018</v>
      </c>
      <c r="V1487" t="s">
        <v>5527</v>
      </c>
    </row>
    <row r="1488" spans="1:22" x14ac:dyDescent="0.35">
      <c r="A1488">
        <v>3093</v>
      </c>
      <c r="B1488" t="s">
        <v>5529</v>
      </c>
      <c r="C1488" s="1">
        <v>42797</v>
      </c>
      <c r="D1488" s="1">
        <v>42802</v>
      </c>
      <c r="E1488" t="s">
        <v>46</v>
      </c>
      <c r="F1488" t="s">
        <v>58</v>
      </c>
      <c r="G1488" t="s">
        <v>59</v>
      </c>
      <c r="H1488" t="s">
        <v>22</v>
      </c>
      <c r="I1488" t="s">
        <v>23</v>
      </c>
      <c r="J1488" t="s">
        <v>599</v>
      </c>
      <c r="K1488" t="s">
        <v>240</v>
      </c>
      <c r="L1488">
        <v>19711</v>
      </c>
      <c r="M1488" t="s">
        <v>144</v>
      </c>
      <c r="N1488" t="s">
        <v>5530</v>
      </c>
      <c r="O1488" t="s">
        <v>42</v>
      </c>
      <c r="P1488" t="s">
        <v>86</v>
      </c>
      <c r="Q1488" t="s">
        <v>5531</v>
      </c>
      <c r="R1488">
        <v>166.44</v>
      </c>
      <c r="S1488" t="str">
        <f>TEXT(sales_data[[#This Row],[Order Date]],"mm")</f>
        <v>03</v>
      </c>
      <c r="T1488">
        <f>YEAR(sales_data[[#This Row],[Order Date]])</f>
        <v>2017</v>
      </c>
      <c r="V1488" t="s">
        <v>5530</v>
      </c>
    </row>
    <row r="1489" spans="1:22" x14ac:dyDescent="0.35">
      <c r="A1489">
        <v>3103</v>
      </c>
      <c r="B1489" t="s">
        <v>5532</v>
      </c>
      <c r="C1489" s="1">
        <v>43456</v>
      </c>
      <c r="D1489" s="1">
        <v>43461</v>
      </c>
      <c r="E1489" t="s">
        <v>19</v>
      </c>
      <c r="F1489" t="s">
        <v>5533</v>
      </c>
      <c r="G1489" t="s">
        <v>5534</v>
      </c>
      <c r="H1489" t="s">
        <v>37</v>
      </c>
      <c r="I1489" t="s">
        <v>23</v>
      </c>
      <c r="J1489" t="s">
        <v>3453</v>
      </c>
      <c r="K1489" t="s">
        <v>1387</v>
      </c>
      <c r="L1489">
        <v>2908</v>
      </c>
      <c r="M1489" t="s">
        <v>144</v>
      </c>
      <c r="N1489" t="s">
        <v>5535</v>
      </c>
      <c r="O1489" t="s">
        <v>28</v>
      </c>
      <c r="P1489" t="s">
        <v>29</v>
      </c>
      <c r="Q1489" t="s">
        <v>5536</v>
      </c>
      <c r="R1489">
        <v>220.98</v>
      </c>
      <c r="S1489" t="str">
        <f>TEXT(sales_data[[#This Row],[Order Date]],"mm")</f>
        <v>12</v>
      </c>
      <c r="T1489">
        <f>YEAR(sales_data[[#This Row],[Order Date]])</f>
        <v>2018</v>
      </c>
      <c r="V1489" t="s">
        <v>5535</v>
      </c>
    </row>
    <row r="1490" spans="1:22" x14ac:dyDescent="0.35">
      <c r="A1490">
        <v>3104</v>
      </c>
      <c r="B1490" t="s">
        <v>5537</v>
      </c>
      <c r="C1490" s="1">
        <v>43077</v>
      </c>
      <c r="D1490" s="1">
        <v>43081</v>
      </c>
      <c r="E1490" t="s">
        <v>46</v>
      </c>
      <c r="F1490" t="s">
        <v>5301</v>
      </c>
      <c r="G1490" t="s">
        <v>5302</v>
      </c>
      <c r="H1490" t="s">
        <v>98</v>
      </c>
      <c r="I1490" t="s">
        <v>23</v>
      </c>
      <c r="J1490" t="s">
        <v>492</v>
      </c>
      <c r="K1490" t="s">
        <v>493</v>
      </c>
      <c r="L1490">
        <v>43229</v>
      </c>
      <c r="M1490" t="s">
        <v>144</v>
      </c>
      <c r="N1490" t="s">
        <v>5538</v>
      </c>
      <c r="O1490" t="s">
        <v>42</v>
      </c>
      <c r="P1490" t="s">
        <v>71</v>
      </c>
      <c r="Q1490" t="s">
        <v>5539</v>
      </c>
      <c r="R1490">
        <v>12.957000000000001</v>
      </c>
      <c r="S1490" t="str">
        <f>TEXT(sales_data[[#This Row],[Order Date]],"mm")</f>
        <v>12</v>
      </c>
      <c r="T1490">
        <f>YEAR(sales_data[[#This Row],[Order Date]])</f>
        <v>2017</v>
      </c>
      <c r="V1490" t="s">
        <v>5538</v>
      </c>
    </row>
    <row r="1491" spans="1:22" x14ac:dyDescent="0.35">
      <c r="A1491">
        <v>3105</v>
      </c>
      <c r="B1491" t="s">
        <v>5540</v>
      </c>
      <c r="C1491" s="1">
        <v>43182</v>
      </c>
      <c r="D1491" s="1">
        <v>43188</v>
      </c>
      <c r="E1491" t="s">
        <v>46</v>
      </c>
      <c r="F1491" t="s">
        <v>5541</v>
      </c>
      <c r="G1491" t="s">
        <v>5542</v>
      </c>
      <c r="H1491" t="s">
        <v>22</v>
      </c>
      <c r="I1491" t="s">
        <v>23</v>
      </c>
      <c r="J1491" t="s">
        <v>261</v>
      </c>
      <c r="K1491" t="s">
        <v>262</v>
      </c>
      <c r="L1491">
        <v>10024</v>
      </c>
      <c r="M1491" t="s">
        <v>144</v>
      </c>
      <c r="N1491" t="s">
        <v>5543</v>
      </c>
      <c r="O1491" t="s">
        <v>42</v>
      </c>
      <c r="P1491" t="s">
        <v>86</v>
      </c>
      <c r="Q1491" t="s">
        <v>5544</v>
      </c>
      <c r="R1491">
        <v>25.68</v>
      </c>
      <c r="S1491" t="str">
        <f>TEXT(sales_data[[#This Row],[Order Date]],"mm")</f>
        <v>03</v>
      </c>
      <c r="T1491">
        <f>YEAR(sales_data[[#This Row],[Order Date]])</f>
        <v>2018</v>
      </c>
      <c r="V1491" t="s">
        <v>5543</v>
      </c>
    </row>
    <row r="1492" spans="1:22" x14ac:dyDescent="0.35">
      <c r="A1492">
        <v>3108</v>
      </c>
      <c r="B1492" t="s">
        <v>5545</v>
      </c>
      <c r="C1492" s="1">
        <v>42933</v>
      </c>
      <c r="D1492" s="1">
        <v>42938</v>
      </c>
      <c r="E1492" t="s">
        <v>46</v>
      </c>
      <c r="F1492" t="s">
        <v>81</v>
      </c>
      <c r="G1492" t="s">
        <v>82</v>
      </c>
      <c r="H1492" t="s">
        <v>22</v>
      </c>
      <c r="I1492" t="s">
        <v>23</v>
      </c>
      <c r="J1492" t="s">
        <v>313</v>
      </c>
      <c r="K1492" t="s">
        <v>590</v>
      </c>
      <c r="L1492">
        <v>65807</v>
      </c>
      <c r="M1492" t="s">
        <v>101</v>
      </c>
      <c r="N1492" t="s">
        <v>5546</v>
      </c>
      <c r="O1492" t="s">
        <v>42</v>
      </c>
      <c r="P1492" t="s">
        <v>86</v>
      </c>
      <c r="Q1492" t="s">
        <v>5547</v>
      </c>
      <c r="R1492">
        <v>21.93</v>
      </c>
      <c r="S1492" t="str">
        <f>TEXT(sales_data[[#This Row],[Order Date]],"mm")</f>
        <v>07</v>
      </c>
      <c r="T1492">
        <f>YEAR(sales_data[[#This Row],[Order Date]])</f>
        <v>2017</v>
      </c>
      <c r="V1492" t="s">
        <v>5546</v>
      </c>
    </row>
    <row r="1493" spans="1:22" x14ac:dyDescent="0.35">
      <c r="A1493">
        <v>3113</v>
      </c>
      <c r="B1493" t="s">
        <v>5548</v>
      </c>
      <c r="C1493" s="1">
        <v>42970</v>
      </c>
      <c r="D1493" s="1">
        <v>42977</v>
      </c>
      <c r="E1493" t="s">
        <v>46</v>
      </c>
      <c r="F1493" t="s">
        <v>3800</v>
      </c>
      <c r="G1493" t="s">
        <v>3801</v>
      </c>
      <c r="H1493" t="s">
        <v>22</v>
      </c>
      <c r="I1493" t="s">
        <v>23</v>
      </c>
      <c r="J1493" t="s">
        <v>91</v>
      </c>
      <c r="K1493" t="s">
        <v>92</v>
      </c>
      <c r="L1493">
        <v>98105</v>
      </c>
      <c r="M1493" t="s">
        <v>40</v>
      </c>
      <c r="N1493" t="s">
        <v>5549</v>
      </c>
      <c r="O1493" t="s">
        <v>67</v>
      </c>
      <c r="P1493" t="s">
        <v>675</v>
      </c>
      <c r="Q1493" t="s">
        <v>5550</v>
      </c>
      <c r="R1493">
        <v>837.6</v>
      </c>
      <c r="S1493" t="str">
        <f>TEXT(sales_data[[#This Row],[Order Date]],"mm")</f>
        <v>08</v>
      </c>
      <c r="T1493">
        <f>YEAR(sales_data[[#This Row],[Order Date]])</f>
        <v>2017</v>
      </c>
      <c r="V1493" t="s">
        <v>5549</v>
      </c>
    </row>
    <row r="1494" spans="1:22" x14ac:dyDescent="0.35">
      <c r="A1494">
        <v>3121</v>
      </c>
      <c r="B1494" t="s">
        <v>5551</v>
      </c>
      <c r="C1494" s="1">
        <v>42532</v>
      </c>
      <c r="D1494" s="1">
        <v>42533</v>
      </c>
      <c r="E1494" t="s">
        <v>183</v>
      </c>
      <c r="F1494" t="s">
        <v>4234</v>
      </c>
      <c r="G1494" t="s">
        <v>4235</v>
      </c>
      <c r="H1494" t="s">
        <v>37</v>
      </c>
      <c r="I1494" t="s">
        <v>23</v>
      </c>
      <c r="J1494" t="s">
        <v>1771</v>
      </c>
      <c r="K1494" t="s">
        <v>50</v>
      </c>
      <c r="L1494">
        <v>33801</v>
      </c>
      <c r="M1494" t="s">
        <v>26</v>
      </c>
      <c r="N1494" t="s">
        <v>5552</v>
      </c>
      <c r="O1494" t="s">
        <v>28</v>
      </c>
      <c r="P1494" t="s">
        <v>61</v>
      </c>
      <c r="Q1494" t="s">
        <v>5553</v>
      </c>
      <c r="R1494">
        <v>48.671999999999997</v>
      </c>
      <c r="S1494" t="str">
        <f>TEXT(sales_data[[#This Row],[Order Date]],"mm")</f>
        <v>06</v>
      </c>
      <c r="T1494">
        <f>YEAR(sales_data[[#This Row],[Order Date]])</f>
        <v>2016</v>
      </c>
      <c r="V1494" t="s">
        <v>5552</v>
      </c>
    </row>
    <row r="1495" spans="1:22" x14ac:dyDescent="0.35">
      <c r="A1495">
        <v>3128</v>
      </c>
      <c r="B1495" t="s">
        <v>5556</v>
      </c>
      <c r="C1495" s="1">
        <v>43375</v>
      </c>
      <c r="D1495" s="1">
        <v>43379</v>
      </c>
      <c r="E1495" t="s">
        <v>46</v>
      </c>
      <c r="F1495" t="s">
        <v>5413</v>
      </c>
      <c r="G1495" t="s">
        <v>5414</v>
      </c>
      <c r="H1495" t="s">
        <v>22</v>
      </c>
      <c r="I1495" t="s">
        <v>23</v>
      </c>
      <c r="J1495" t="s">
        <v>261</v>
      </c>
      <c r="K1495" t="s">
        <v>262</v>
      </c>
      <c r="L1495">
        <v>10011</v>
      </c>
      <c r="M1495" t="s">
        <v>144</v>
      </c>
      <c r="N1495" t="s">
        <v>5557</v>
      </c>
      <c r="O1495" t="s">
        <v>42</v>
      </c>
      <c r="P1495" t="s">
        <v>86</v>
      </c>
      <c r="Q1495" t="s">
        <v>5558</v>
      </c>
      <c r="R1495">
        <v>49.12</v>
      </c>
      <c r="S1495" t="str">
        <f>TEXT(sales_data[[#This Row],[Order Date]],"mm")</f>
        <v>10</v>
      </c>
      <c r="T1495">
        <f>YEAR(sales_data[[#This Row],[Order Date]])</f>
        <v>2018</v>
      </c>
      <c r="V1495" t="s">
        <v>5557</v>
      </c>
    </row>
    <row r="1496" spans="1:22" x14ac:dyDescent="0.35">
      <c r="A1496">
        <v>3133</v>
      </c>
      <c r="B1496" t="s">
        <v>5559</v>
      </c>
      <c r="C1496" s="1">
        <v>42240</v>
      </c>
      <c r="D1496" s="1">
        <v>42242</v>
      </c>
      <c r="E1496" t="s">
        <v>183</v>
      </c>
      <c r="F1496" t="s">
        <v>5560</v>
      </c>
      <c r="G1496" t="s">
        <v>5561</v>
      </c>
      <c r="H1496" t="s">
        <v>37</v>
      </c>
      <c r="I1496" t="s">
        <v>23</v>
      </c>
      <c r="J1496" t="s">
        <v>2308</v>
      </c>
      <c r="K1496" t="s">
        <v>262</v>
      </c>
      <c r="L1496">
        <v>11572</v>
      </c>
      <c r="M1496" t="s">
        <v>144</v>
      </c>
      <c r="N1496" t="s">
        <v>5562</v>
      </c>
      <c r="O1496" t="s">
        <v>28</v>
      </c>
      <c r="P1496" t="s">
        <v>61</v>
      </c>
      <c r="Q1496" t="s">
        <v>5563</v>
      </c>
      <c r="R1496">
        <v>13.28</v>
      </c>
      <c r="S1496" t="str">
        <f>TEXT(sales_data[[#This Row],[Order Date]],"mm")</f>
        <v>08</v>
      </c>
      <c r="T1496">
        <f>YEAR(sales_data[[#This Row],[Order Date]])</f>
        <v>2015</v>
      </c>
      <c r="V1496" t="s">
        <v>5562</v>
      </c>
    </row>
    <row r="1497" spans="1:22" x14ac:dyDescent="0.35">
      <c r="A1497">
        <v>3137</v>
      </c>
      <c r="B1497" t="s">
        <v>5564</v>
      </c>
      <c r="C1497" s="1">
        <v>43416</v>
      </c>
      <c r="D1497" s="1">
        <v>43422</v>
      </c>
      <c r="E1497" t="s">
        <v>46</v>
      </c>
      <c r="F1497" t="s">
        <v>545</v>
      </c>
      <c r="G1497" t="s">
        <v>546</v>
      </c>
      <c r="H1497" t="s">
        <v>98</v>
      </c>
      <c r="I1497" t="s">
        <v>23</v>
      </c>
      <c r="J1497" t="s">
        <v>807</v>
      </c>
      <c r="K1497" t="s">
        <v>100</v>
      </c>
      <c r="L1497">
        <v>75081</v>
      </c>
      <c r="M1497" t="s">
        <v>101</v>
      </c>
      <c r="N1497" t="s">
        <v>5565</v>
      </c>
      <c r="O1497" t="s">
        <v>67</v>
      </c>
      <c r="P1497" t="s">
        <v>68</v>
      </c>
      <c r="Q1497" t="s">
        <v>5566</v>
      </c>
      <c r="R1497">
        <v>67.992000000000004</v>
      </c>
      <c r="S1497" t="str">
        <f>TEXT(sales_data[[#This Row],[Order Date]],"mm")</f>
        <v>11</v>
      </c>
      <c r="T1497">
        <f>YEAR(sales_data[[#This Row],[Order Date]])</f>
        <v>2018</v>
      </c>
      <c r="V1497" t="s">
        <v>5565</v>
      </c>
    </row>
    <row r="1498" spans="1:22" x14ac:dyDescent="0.35">
      <c r="A1498">
        <v>3146</v>
      </c>
      <c r="B1498" t="s">
        <v>5567</v>
      </c>
      <c r="C1498" s="1">
        <v>43142</v>
      </c>
      <c r="D1498" s="1">
        <v>43144</v>
      </c>
      <c r="E1498" t="s">
        <v>19</v>
      </c>
      <c r="F1498" t="s">
        <v>5568</v>
      </c>
      <c r="G1498" t="s">
        <v>5569</v>
      </c>
      <c r="H1498" t="s">
        <v>37</v>
      </c>
      <c r="I1498" t="s">
        <v>23</v>
      </c>
      <c r="J1498" t="s">
        <v>91</v>
      </c>
      <c r="K1498" t="s">
        <v>92</v>
      </c>
      <c r="L1498">
        <v>98105</v>
      </c>
      <c r="M1498" t="s">
        <v>40</v>
      </c>
      <c r="N1498" t="s">
        <v>5570</v>
      </c>
      <c r="O1498" t="s">
        <v>28</v>
      </c>
      <c r="P1498" t="s">
        <v>32</v>
      </c>
      <c r="Q1498" t="s">
        <v>5571</v>
      </c>
      <c r="R1498">
        <v>963.13599999999997</v>
      </c>
      <c r="S1498" t="str">
        <f>TEXT(sales_data[[#This Row],[Order Date]],"mm")</f>
        <v>02</v>
      </c>
      <c r="T1498">
        <f>YEAR(sales_data[[#This Row],[Order Date]])</f>
        <v>2018</v>
      </c>
      <c r="V1498" t="s">
        <v>5570</v>
      </c>
    </row>
    <row r="1499" spans="1:22" x14ac:dyDescent="0.35">
      <c r="A1499">
        <v>3152</v>
      </c>
      <c r="B1499" t="s">
        <v>5572</v>
      </c>
      <c r="C1499" s="1">
        <v>42719</v>
      </c>
      <c r="D1499" s="1">
        <v>42722</v>
      </c>
      <c r="E1499" t="s">
        <v>183</v>
      </c>
      <c r="F1499" t="s">
        <v>1473</v>
      </c>
      <c r="G1499" t="s">
        <v>1474</v>
      </c>
      <c r="H1499" t="s">
        <v>22</v>
      </c>
      <c r="I1499" t="s">
        <v>23</v>
      </c>
      <c r="J1499" t="s">
        <v>599</v>
      </c>
      <c r="K1499" t="s">
        <v>493</v>
      </c>
      <c r="L1499">
        <v>43055</v>
      </c>
      <c r="M1499" t="s">
        <v>144</v>
      </c>
      <c r="N1499" t="s">
        <v>5573</v>
      </c>
      <c r="O1499" t="s">
        <v>67</v>
      </c>
      <c r="P1499" t="s">
        <v>675</v>
      </c>
      <c r="Q1499" t="s">
        <v>5574</v>
      </c>
      <c r="R1499">
        <v>1799.9939999999999</v>
      </c>
      <c r="S1499" t="str">
        <f>TEXT(sales_data[[#This Row],[Order Date]],"mm")</f>
        <v>12</v>
      </c>
      <c r="T1499">
        <f>YEAR(sales_data[[#This Row],[Order Date]])</f>
        <v>2016</v>
      </c>
      <c r="V1499" t="s">
        <v>5573</v>
      </c>
    </row>
    <row r="1500" spans="1:22" x14ac:dyDescent="0.35">
      <c r="A1500">
        <v>3155</v>
      </c>
      <c r="B1500" t="s">
        <v>5575</v>
      </c>
      <c r="C1500" s="1">
        <v>43301</v>
      </c>
      <c r="D1500" s="1">
        <v>43305</v>
      </c>
      <c r="E1500" t="s">
        <v>46</v>
      </c>
      <c r="F1500" t="s">
        <v>3399</v>
      </c>
      <c r="G1500" t="s">
        <v>3400</v>
      </c>
      <c r="H1500" t="s">
        <v>37</v>
      </c>
      <c r="I1500" t="s">
        <v>23</v>
      </c>
      <c r="J1500" t="s">
        <v>5576</v>
      </c>
      <c r="K1500" t="s">
        <v>224</v>
      </c>
      <c r="L1500">
        <v>55369</v>
      </c>
      <c r="M1500" t="s">
        <v>101</v>
      </c>
      <c r="N1500" t="s">
        <v>5577</v>
      </c>
      <c r="O1500" t="s">
        <v>42</v>
      </c>
      <c r="P1500" t="s">
        <v>71</v>
      </c>
      <c r="Q1500" t="s">
        <v>5578</v>
      </c>
      <c r="R1500">
        <v>735.98</v>
      </c>
      <c r="S1500" t="str">
        <f>TEXT(sales_data[[#This Row],[Order Date]],"mm")</f>
        <v>07</v>
      </c>
      <c r="T1500">
        <f>YEAR(sales_data[[#This Row],[Order Date]])</f>
        <v>2018</v>
      </c>
      <c r="V1500" t="s">
        <v>5577</v>
      </c>
    </row>
    <row r="1501" spans="1:22" x14ac:dyDescent="0.35">
      <c r="A1501">
        <v>3161</v>
      </c>
      <c r="B1501" t="s">
        <v>5581</v>
      </c>
      <c r="C1501" s="1">
        <v>42259</v>
      </c>
      <c r="D1501" s="1">
        <v>42263</v>
      </c>
      <c r="E1501" t="s">
        <v>19</v>
      </c>
      <c r="F1501" t="s">
        <v>5582</v>
      </c>
      <c r="G1501" t="s">
        <v>5583</v>
      </c>
      <c r="H1501" t="s">
        <v>22</v>
      </c>
      <c r="I1501" t="s">
        <v>23</v>
      </c>
      <c r="J1501" t="s">
        <v>179</v>
      </c>
      <c r="K1501" t="s">
        <v>100</v>
      </c>
      <c r="L1501">
        <v>77070</v>
      </c>
      <c r="M1501" t="s">
        <v>101</v>
      </c>
      <c r="N1501" t="s">
        <v>5584</v>
      </c>
      <c r="O1501" t="s">
        <v>42</v>
      </c>
      <c r="P1501" t="s">
        <v>71</v>
      </c>
      <c r="Q1501" t="s">
        <v>5585</v>
      </c>
      <c r="R1501">
        <v>5.18</v>
      </c>
      <c r="S1501" t="str">
        <f>TEXT(sales_data[[#This Row],[Order Date]],"mm")</f>
        <v>09</v>
      </c>
      <c r="T1501">
        <f>YEAR(sales_data[[#This Row],[Order Date]])</f>
        <v>2015</v>
      </c>
      <c r="V1501" t="s">
        <v>5584</v>
      </c>
    </row>
    <row r="1502" spans="1:22" x14ac:dyDescent="0.35">
      <c r="A1502">
        <v>3164</v>
      </c>
      <c r="B1502" t="s">
        <v>5586</v>
      </c>
      <c r="C1502" s="1">
        <v>42268</v>
      </c>
      <c r="D1502" s="1">
        <v>42272</v>
      </c>
      <c r="E1502" t="s">
        <v>46</v>
      </c>
      <c r="F1502" t="s">
        <v>4122</v>
      </c>
      <c r="G1502" t="s">
        <v>4123</v>
      </c>
      <c r="H1502" t="s">
        <v>22</v>
      </c>
      <c r="I1502" t="s">
        <v>23</v>
      </c>
      <c r="J1502" t="s">
        <v>123</v>
      </c>
      <c r="K1502" t="s">
        <v>39</v>
      </c>
      <c r="L1502">
        <v>94109</v>
      </c>
      <c r="M1502" t="s">
        <v>40</v>
      </c>
      <c r="N1502" t="s">
        <v>5587</v>
      </c>
      <c r="O1502" t="s">
        <v>42</v>
      </c>
      <c r="P1502" t="s">
        <v>64</v>
      </c>
      <c r="Q1502" t="s">
        <v>5588</v>
      </c>
      <c r="R1502">
        <v>59.52</v>
      </c>
      <c r="S1502" t="str">
        <f>TEXT(sales_data[[#This Row],[Order Date]],"mm")</f>
        <v>09</v>
      </c>
      <c r="T1502">
        <f>YEAR(sales_data[[#This Row],[Order Date]])</f>
        <v>2015</v>
      </c>
      <c r="V1502" t="s">
        <v>5587</v>
      </c>
    </row>
    <row r="1503" spans="1:22" x14ac:dyDescent="0.35">
      <c r="A1503">
        <v>3166</v>
      </c>
      <c r="B1503" t="s">
        <v>5586</v>
      </c>
      <c r="C1503" s="1">
        <v>42268</v>
      </c>
      <c r="D1503" s="1">
        <v>42272</v>
      </c>
      <c r="E1503" t="s">
        <v>46</v>
      </c>
      <c r="F1503" t="s">
        <v>4122</v>
      </c>
      <c r="G1503" t="s">
        <v>4123</v>
      </c>
      <c r="H1503" t="s">
        <v>22</v>
      </c>
      <c r="I1503" t="s">
        <v>23</v>
      </c>
      <c r="J1503" t="s">
        <v>123</v>
      </c>
      <c r="K1503" t="s">
        <v>39</v>
      </c>
      <c r="L1503">
        <v>94109</v>
      </c>
      <c r="M1503" t="s">
        <v>40</v>
      </c>
      <c r="N1503" t="s">
        <v>5589</v>
      </c>
      <c r="O1503" t="s">
        <v>67</v>
      </c>
      <c r="P1503" t="s">
        <v>68</v>
      </c>
      <c r="Q1503" t="s">
        <v>5590</v>
      </c>
      <c r="R1503">
        <v>239.98400000000001</v>
      </c>
      <c r="S1503" t="str">
        <f>TEXT(sales_data[[#This Row],[Order Date]],"mm")</f>
        <v>09</v>
      </c>
      <c r="T1503">
        <f>YEAR(sales_data[[#This Row],[Order Date]])</f>
        <v>2015</v>
      </c>
      <c r="V1503" t="s">
        <v>5589</v>
      </c>
    </row>
    <row r="1504" spans="1:22" x14ac:dyDescent="0.35">
      <c r="A1504">
        <v>3175</v>
      </c>
      <c r="B1504" t="s">
        <v>5591</v>
      </c>
      <c r="C1504" s="1">
        <v>43415</v>
      </c>
      <c r="D1504" s="1">
        <v>43422</v>
      </c>
      <c r="E1504" t="s">
        <v>46</v>
      </c>
      <c r="F1504" t="s">
        <v>1806</v>
      </c>
      <c r="G1504" t="s">
        <v>1807</v>
      </c>
      <c r="H1504" t="s">
        <v>22</v>
      </c>
      <c r="I1504" t="s">
        <v>23</v>
      </c>
      <c r="J1504" t="s">
        <v>872</v>
      </c>
      <c r="K1504" t="s">
        <v>233</v>
      </c>
      <c r="L1504">
        <v>48227</v>
      </c>
      <c r="M1504" t="s">
        <v>101</v>
      </c>
      <c r="N1504" t="s">
        <v>5592</v>
      </c>
      <c r="O1504" t="s">
        <v>42</v>
      </c>
      <c r="P1504" t="s">
        <v>64</v>
      </c>
      <c r="Q1504" t="s">
        <v>5593</v>
      </c>
      <c r="R1504">
        <v>181.86</v>
      </c>
      <c r="S1504" t="str">
        <f>TEXT(sales_data[[#This Row],[Order Date]],"mm")</f>
        <v>11</v>
      </c>
      <c r="T1504">
        <f>YEAR(sales_data[[#This Row],[Order Date]])</f>
        <v>2018</v>
      </c>
      <c r="V1504" t="s">
        <v>5592</v>
      </c>
    </row>
    <row r="1505" spans="1:22" x14ac:dyDescent="0.35">
      <c r="A1505">
        <v>3187</v>
      </c>
      <c r="B1505" t="s">
        <v>5594</v>
      </c>
      <c r="C1505" s="1">
        <v>42315</v>
      </c>
      <c r="D1505" s="1">
        <v>42317</v>
      </c>
      <c r="E1505" t="s">
        <v>183</v>
      </c>
      <c r="F1505" t="s">
        <v>4605</v>
      </c>
      <c r="G1505" t="s">
        <v>4606</v>
      </c>
      <c r="H1505" t="s">
        <v>37</v>
      </c>
      <c r="I1505" t="s">
        <v>23</v>
      </c>
      <c r="J1505" t="s">
        <v>179</v>
      </c>
      <c r="K1505" t="s">
        <v>100</v>
      </c>
      <c r="L1505">
        <v>77041</v>
      </c>
      <c r="M1505" t="s">
        <v>101</v>
      </c>
      <c r="N1505" t="s">
        <v>5595</v>
      </c>
      <c r="O1505" t="s">
        <v>42</v>
      </c>
      <c r="P1505" t="s">
        <v>168</v>
      </c>
      <c r="Q1505" t="s">
        <v>662</v>
      </c>
      <c r="R1505">
        <v>74.352000000000004</v>
      </c>
      <c r="S1505" t="str">
        <f>TEXT(sales_data[[#This Row],[Order Date]],"mm")</f>
        <v>11</v>
      </c>
      <c r="T1505">
        <f>YEAR(sales_data[[#This Row],[Order Date]])</f>
        <v>2015</v>
      </c>
      <c r="V1505" t="s">
        <v>5595</v>
      </c>
    </row>
    <row r="1506" spans="1:22" x14ac:dyDescent="0.35">
      <c r="A1506">
        <v>3190</v>
      </c>
      <c r="B1506" t="s">
        <v>5596</v>
      </c>
      <c r="C1506" s="1">
        <v>43393</v>
      </c>
      <c r="D1506" s="1">
        <v>43395</v>
      </c>
      <c r="E1506" t="s">
        <v>19</v>
      </c>
      <c r="F1506" t="s">
        <v>603</v>
      </c>
      <c r="G1506" t="s">
        <v>604</v>
      </c>
      <c r="H1506" t="s">
        <v>37</v>
      </c>
      <c r="I1506" t="s">
        <v>23</v>
      </c>
      <c r="J1506" t="s">
        <v>5597</v>
      </c>
      <c r="K1506" t="s">
        <v>39</v>
      </c>
      <c r="L1506">
        <v>95695</v>
      </c>
      <c r="M1506" t="s">
        <v>40</v>
      </c>
      <c r="N1506" t="s">
        <v>5598</v>
      </c>
      <c r="O1506" t="s">
        <v>42</v>
      </c>
      <c r="P1506" t="s">
        <v>71</v>
      </c>
      <c r="Q1506" t="s">
        <v>5599</v>
      </c>
      <c r="R1506">
        <v>20.928000000000001</v>
      </c>
      <c r="S1506" t="str">
        <f>TEXT(sales_data[[#This Row],[Order Date]],"mm")</f>
        <v>10</v>
      </c>
      <c r="T1506">
        <f>YEAR(sales_data[[#This Row],[Order Date]])</f>
        <v>2018</v>
      </c>
      <c r="V1506" t="s">
        <v>5598</v>
      </c>
    </row>
    <row r="1507" spans="1:22" x14ac:dyDescent="0.35">
      <c r="A1507">
        <v>3191</v>
      </c>
      <c r="B1507" t="s">
        <v>5600</v>
      </c>
      <c r="C1507" s="1">
        <v>42731</v>
      </c>
      <c r="D1507" s="1">
        <v>42736</v>
      </c>
      <c r="E1507" t="s">
        <v>46</v>
      </c>
      <c r="F1507" t="s">
        <v>5344</v>
      </c>
      <c r="G1507" t="s">
        <v>5345</v>
      </c>
      <c r="H1507" t="s">
        <v>98</v>
      </c>
      <c r="I1507" t="s">
        <v>23</v>
      </c>
      <c r="J1507" t="s">
        <v>298</v>
      </c>
      <c r="K1507" t="s">
        <v>206</v>
      </c>
      <c r="L1507">
        <v>60610</v>
      </c>
      <c r="M1507" t="s">
        <v>101</v>
      </c>
      <c r="N1507" t="s">
        <v>5601</v>
      </c>
      <c r="O1507" t="s">
        <v>42</v>
      </c>
      <c r="P1507" t="s">
        <v>55</v>
      </c>
      <c r="Q1507" t="s">
        <v>5602</v>
      </c>
      <c r="R1507">
        <v>12.672000000000001</v>
      </c>
      <c r="S1507" t="str">
        <f>TEXT(sales_data[[#This Row],[Order Date]],"mm")</f>
        <v>12</v>
      </c>
      <c r="T1507">
        <f>YEAR(sales_data[[#This Row],[Order Date]])</f>
        <v>2016</v>
      </c>
      <c r="V1507" t="s">
        <v>5601</v>
      </c>
    </row>
    <row r="1508" spans="1:22" x14ac:dyDescent="0.35">
      <c r="A1508">
        <v>3196</v>
      </c>
      <c r="B1508" t="s">
        <v>5604</v>
      </c>
      <c r="C1508" s="1">
        <v>42955</v>
      </c>
      <c r="D1508" s="1">
        <v>42960</v>
      </c>
      <c r="E1508" t="s">
        <v>46</v>
      </c>
      <c r="F1508" t="s">
        <v>3804</v>
      </c>
      <c r="G1508" t="s">
        <v>3805</v>
      </c>
      <c r="H1508" t="s">
        <v>98</v>
      </c>
      <c r="I1508" t="s">
        <v>23</v>
      </c>
      <c r="J1508" t="s">
        <v>323</v>
      </c>
      <c r="K1508" t="s">
        <v>1475</v>
      </c>
      <c r="L1508">
        <v>39212</v>
      </c>
      <c r="M1508" t="s">
        <v>26</v>
      </c>
      <c r="N1508" t="s">
        <v>5605</v>
      </c>
      <c r="O1508" t="s">
        <v>42</v>
      </c>
      <c r="P1508" t="s">
        <v>264</v>
      </c>
      <c r="Q1508" t="s">
        <v>5606</v>
      </c>
      <c r="R1508">
        <v>23.34</v>
      </c>
      <c r="S1508" t="str">
        <f>TEXT(sales_data[[#This Row],[Order Date]],"mm")</f>
        <v>08</v>
      </c>
      <c r="T1508">
        <f>YEAR(sales_data[[#This Row],[Order Date]])</f>
        <v>2017</v>
      </c>
      <c r="V1508" t="s">
        <v>5605</v>
      </c>
    </row>
    <row r="1509" spans="1:22" x14ac:dyDescent="0.35">
      <c r="A1509">
        <v>3199</v>
      </c>
      <c r="B1509" t="s">
        <v>5607</v>
      </c>
      <c r="C1509" s="1">
        <v>42339</v>
      </c>
      <c r="D1509" s="1">
        <v>42345</v>
      </c>
      <c r="E1509" t="s">
        <v>46</v>
      </c>
      <c r="F1509" t="s">
        <v>4049</v>
      </c>
      <c r="G1509" t="s">
        <v>4050</v>
      </c>
      <c r="H1509" t="s">
        <v>22</v>
      </c>
      <c r="I1509" t="s">
        <v>23</v>
      </c>
      <c r="J1509" t="s">
        <v>1509</v>
      </c>
      <c r="K1509" t="s">
        <v>84</v>
      </c>
      <c r="L1509">
        <v>28540</v>
      </c>
      <c r="M1509" t="s">
        <v>26</v>
      </c>
      <c r="N1509" t="s">
        <v>5608</v>
      </c>
      <c r="O1509" t="s">
        <v>67</v>
      </c>
      <c r="P1509" t="s">
        <v>68</v>
      </c>
      <c r="Q1509" t="s">
        <v>5609</v>
      </c>
      <c r="R1509">
        <v>95.968000000000004</v>
      </c>
      <c r="S1509" t="str">
        <f>TEXT(sales_data[[#This Row],[Order Date]],"mm")</f>
        <v>12</v>
      </c>
      <c r="T1509">
        <f>YEAR(sales_data[[#This Row],[Order Date]])</f>
        <v>2015</v>
      </c>
      <c r="V1509" t="s">
        <v>5608</v>
      </c>
    </row>
    <row r="1510" spans="1:22" x14ac:dyDescent="0.35">
      <c r="A1510">
        <v>3208</v>
      </c>
      <c r="B1510" t="s">
        <v>5612</v>
      </c>
      <c r="C1510" s="1">
        <v>42318</v>
      </c>
      <c r="D1510" s="1">
        <v>42324</v>
      </c>
      <c r="E1510" t="s">
        <v>46</v>
      </c>
      <c r="F1510" t="s">
        <v>657</v>
      </c>
      <c r="G1510" t="s">
        <v>658</v>
      </c>
      <c r="H1510" t="s">
        <v>22</v>
      </c>
      <c r="I1510" t="s">
        <v>23</v>
      </c>
      <c r="J1510" t="s">
        <v>940</v>
      </c>
      <c r="K1510" t="s">
        <v>39</v>
      </c>
      <c r="L1510">
        <v>92037</v>
      </c>
      <c r="M1510" t="s">
        <v>40</v>
      </c>
      <c r="N1510" t="s">
        <v>5613</v>
      </c>
      <c r="O1510" t="s">
        <v>42</v>
      </c>
      <c r="P1510" t="s">
        <v>43</v>
      </c>
      <c r="Q1510" t="s">
        <v>5614</v>
      </c>
      <c r="R1510">
        <v>39.840000000000003</v>
      </c>
      <c r="S1510" t="str">
        <f>TEXT(sales_data[[#This Row],[Order Date]],"mm")</f>
        <v>11</v>
      </c>
      <c r="T1510">
        <f>YEAR(sales_data[[#This Row],[Order Date]])</f>
        <v>2015</v>
      </c>
      <c r="V1510" t="s">
        <v>5613</v>
      </c>
    </row>
    <row r="1511" spans="1:22" x14ac:dyDescent="0.35">
      <c r="A1511">
        <v>3209</v>
      </c>
      <c r="B1511" t="s">
        <v>5615</v>
      </c>
      <c r="C1511" s="1">
        <v>42744</v>
      </c>
      <c r="D1511" s="1">
        <v>42750</v>
      </c>
      <c r="E1511" t="s">
        <v>46</v>
      </c>
      <c r="F1511" t="s">
        <v>1333</v>
      </c>
      <c r="G1511" t="s">
        <v>1334</v>
      </c>
      <c r="H1511" t="s">
        <v>37</v>
      </c>
      <c r="I1511" t="s">
        <v>23</v>
      </c>
      <c r="J1511" t="s">
        <v>3369</v>
      </c>
      <c r="K1511" t="s">
        <v>39</v>
      </c>
      <c r="L1511">
        <v>93727</v>
      </c>
      <c r="M1511" t="s">
        <v>40</v>
      </c>
      <c r="N1511" t="s">
        <v>5616</v>
      </c>
      <c r="O1511" t="s">
        <v>67</v>
      </c>
      <c r="P1511" t="s">
        <v>156</v>
      </c>
      <c r="Q1511" t="s">
        <v>5617</v>
      </c>
      <c r="R1511">
        <v>349.95</v>
      </c>
      <c r="S1511" t="str">
        <f>TEXT(sales_data[[#This Row],[Order Date]],"mm")</f>
        <v>01</v>
      </c>
      <c r="T1511">
        <f>YEAR(sales_data[[#This Row],[Order Date]])</f>
        <v>2017</v>
      </c>
      <c r="V1511" t="s">
        <v>5616</v>
      </c>
    </row>
    <row r="1512" spans="1:22" x14ac:dyDescent="0.35">
      <c r="A1512">
        <v>3226</v>
      </c>
      <c r="B1512" t="s">
        <v>5619</v>
      </c>
      <c r="C1512" s="1">
        <v>42279</v>
      </c>
      <c r="D1512" s="1">
        <v>42282</v>
      </c>
      <c r="E1512" t="s">
        <v>183</v>
      </c>
      <c r="F1512" t="s">
        <v>215</v>
      </c>
      <c r="G1512" t="s">
        <v>216</v>
      </c>
      <c r="H1512" t="s">
        <v>37</v>
      </c>
      <c r="I1512" t="s">
        <v>23</v>
      </c>
      <c r="J1512" t="s">
        <v>3873</v>
      </c>
      <c r="K1512" t="s">
        <v>305</v>
      </c>
      <c r="L1512">
        <v>85281</v>
      </c>
      <c r="M1512" t="s">
        <v>40</v>
      </c>
      <c r="N1512" t="s">
        <v>5620</v>
      </c>
      <c r="O1512" t="s">
        <v>42</v>
      </c>
      <c r="P1512" t="s">
        <v>168</v>
      </c>
      <c r="Q1512" t="s">
        <v>5621</v>
      </c>
      <c r="R1512">
        <v>12.768000000000001</v>
      </c>
      <c r="S1512" t="str">
        <f>TEXT(sales_data[[#This Row],[Order Date]],"mm")</f>
        <v>10</v>
      </c>
      <c r="T1512">
        <f>YEAR(sales_data[[#This Row],[Order Date]])</f>
        <v>2015</v>
      </c>
      <c r="V1512" t="s">
        <v>5620</v>
      </c>
    </row>
    <row r="1513" spans="1:22" x14ac:dyDescent="0.35">
      <c r="A1513">
        <v>3227</v>
      </c>
      <c r="B1513" t="s">
        <v>5619</v>
      </c>
      <c r="C1513" s="1">
        <v>42279</v>
      </c>
      <c r="D1513" s="1">
        <v>42282</v>
      </c>
      <c r="E1513" t="s">
        <v>183</v>
      </c>
      <c r="F1513" t="s">
        <v>215</v>
      </c>
      <c r="G1513" t="s">
        <v>216</v>
      </c>
      <c r="H1513" t="s">
        <v>37</v>
      </c>
      <c r="I1513" t="s">
        <v>23</v>
      </c>
      <c r="J1513" t="s">
        <v>3873</v>
      </c>
      <c r="K1513" t="s">
        <v>305</v>
      </c>
      <c r="L1513">
        <v>85281</v>
      </c>
      <c r="M1513" t="s">
        <v>40</v>
      </c>
      <c r="N1513" t="s">
        <v>5622</v>
      </c>
      <c r="O1513" t="s">
        <v>42</v>
      </c>
      <c r="P1513" t="s">
        <v>573</v>
      </c>
      <c r="Q1513" t="s">
        <v>5623</v>
      </c>
      <c r="R1513">
        <v>15.36</v>
      </c>
      <c r="S1513" t="str">
        <f>TEXT(sales_data[[#This Row],[Order Date]],"mm")</f>
        <v>10</v>
      </c>
      <c r="T1513">
        <f>YEAR(sales_data[[#This Row],[Order Date]])</f>
        <v>2015</v>
      </c>
      <c r="V1513" t="s">
        <v>5622</v>
      </c>
    </row>
    <row r="1514" spans="1:22" x14ac:dyDescent="0.35">
      <c r="A1514">
        <v>3234</v>
      </c>
      <c r="B1514" t="s">
        <v>5624</v>
      </c>
      <c r="C1514" s="1">
        <v>43206</v>
      </c>
      <c r="D1514" s="1">
        <v>43212</v>
      </c>
      <c r="E1514" t="s">
        <v>46</v>
      </c>
      <c r="F1514" t="s">
        <v>3581</v>
      </c>
      <c r="G1514" t="s">
        <v>3582</v>
      </c>
      <c r="H1514" t="s">
        <v>22</v>
      </c>
      <c r="I1514" t="s">
        <v>23</v>
      </c>
      <c r="J1514" t="s">
        <v>179</v>
      </c>
      <c r="K1514" t="s">
        <v>100</v>
      </c>
      <c r="L1514">
        <v>77095</v>
      </c>
      <c r="M1514" t="s">
        <v>101</v>
      </c>
      <c r="N1514" t="s">
        <v>5625</v>
      </c>
      <c r="O1514" t="s">
        <v>42</v>
      </c>
      <c r="P1514" t="s">
        <v>55</v>
      </c>
      <c r="Q1514" t="s">
        <v>5626</v>
      </c>
      <c r="R1514">
        <v>32.543999999999997</v>
      </c>
      <c r="S1514" t="str">
        <f>TEXT(sales_data[[#This Row],[Order Date]],"mm")</f>
        <v>04</v>
      </c>
      <c r="T1514">
        <f>YEAR(sales_data[[#This Row],[Order Date]])</f>
        <v>2018</v>
      </c>
      <c r="V1514" t="s">
        <v>5625</v>
      </c>
    </row>
    <row r="1515" spans="1:22" x14ac:dyDescent="0.35">
      <c r="A1515">
        <v>3240</v>
      </c>
      <c r="B1515" t="s">
        <v>5629</v>
      </c>
      <c r="C1515" s="1">
        <v>43059</v>
      </c>
      <c r="D1515" s="1">
        <v>43066</v>
      </c>
      <c r="E1515" t="s">
        <v>46</v>
      </c>
      <c r="F1515" t="s">
        <v>5630</v>
      </c>
      <c r="G1515" t="s">
        <v>5631</v>
      </c>
      <c r="H1515" t="s">
        <v>37</v>
      </c>
      <c r="I1515" t="s">
        <v>23</v>
      </c>
      <c r="J1515" t="s">
        <v>179</v>
      </c>
      <c r="K1515" t="s">
        <v>100</v>
      </c>
      <c r="L1515">
        <v>77095</v>
      </c>
      <c r="M1515" t="s">
        <v>101</v>
      </c>
      <c r="N1515" t="s">
        <v>5632</v>
      </c>
      <c r="O1515" t="s">
        <v>67</v>
      </c>
      <c r="P1515" t="s">
        <v>68</v>
      </c>
      <c r="Q1515" t="s">
        <v>5633</v>
      </c>
      <c r="R1515">
        <v>122.92</v>
      </c>
      <c r="S1515" t="str">
        <f>TEXT(sales_data[[#This Row],[Order Date]],"mm")</f>
        <v>11</v>
      </c>
      <c r="T1515">
        <f>YEAR(sales_data[[#This Row],[Order Date]])</f>
        <v>2017</v>
      </c>
      <c r="V1515" t="s">
        <v>5632</v>
      </c>
    </row>
    <row r="1516" spans="1:22" x14ac:dyDescent="0.35">
      <c r="A1516">
        <v>3244</v>
      </c>
      <c r="B1516" t="s">
        <v>5634</v>
      </c>
      <c r="C1516" s="1">
        <v>43435</v>
      </c>
      <c r="D1516" s="1">
        <v>43439</v>
      </c>
      <c r="E1516" t="s">
        <v>46</v>
      </c>
      <c r="F1516" t="s">
        <v>5635</v>
      </c>
      <c r="G1516" t="s">
        <v>5636</v>
      </c>
      <c r="H1516" t="s">
        <v>22</v>
      </c>
      <c r="I1516" t="s">
        <v>23</v>
      </c>
      <c r="J1516" t="s">
        <v>751</v>
      </c>
      <c r="K1516" t="s">
        <v>100</v>
      </c>
      <c r="L1516">
        <v>75051</v>
      </c>
      <c r="M1516" t="s">
        <v>101</v>
      </c>
      <c r="N1516" t="s">
        <v>5637</v>
      </c>
      <c r="O1516" t="s">
        <v>67</v>
      </c>
      <c r="P1516" t="s">
        <v>68</v>
      </c>
      <c r="Q1516" t="s">
        <v>5638</v>
      </c>
      <c r="R1516">
        <v>219.8</v>
      </c>
      <c r="S1516" t="str">
        <f>TEXT(sales_data[[#This Row],[Order Date]],"mm")</f>
        <v>12</v>
      </c>
      <c r="T1516">
        <f>YEAR(sales_data[[#This Row],[Order Date]])</f>
        <v>2018</v>
      </c>
      <c r="V1516" t="s">
        <v>5637</v>
      </c>
    </row>
    <row r="1517" spans="1:22" x14ac:dyDescent="0.35">
      <c r="A1517">
        <v>3248</v>
      </c>
      <c r="B1517" t="s">
        <v>5639</v>
      </c>
      <c r="C1517" s="1">
        <v>43444</v>
      </c>
      <c r="D1517" s="1">
        <v>43446</v>
      </c>
      <c r="E1517" t="s">
        <v>19</v>
      </c>
      <c r="F1517" t="s">
        <v>1124</v>
      </c>
      <c r="G1517" t="s">
        <v>1125</v>
      </c>
      <c r="H1517" t="s">
        <v>37</v>
      </c>
      <c r="I1517" t="s">
        <v>23</v>
      </c>
      <c r="J1517" t="s">
        <v>91</v>
      </c>
      <c r="K1517" t="s">
        <v>92</v>
      </c>
      <c r="L1517">
        <v>98103</v>
      </c>
      <c r="M1517" t="s">
        <v>40</v>
      </c>
      <c r="N1517" t="s">
        <v>5640</v>
      </c>
      <c r="O1517" t="s">
        <v>42</v>
      </c>
      <c r="P1517" t="s">
        <v>64</v>
      </c>
      <c r="Q1517" t="s">
        <v>5641</v>
      </c>
      <c r="R1517">
        <v>18.239999999999998</v>
      </c>
      <c r="S1517" t="str">
        <f>TEXT(sales_data[[#This Row],[Order Date]],"mm")</f>
        <v>12</v>
      </c>
      <c r="T1517">
        <f>YEAR(sales_data[[#This Row],[Order Date]])</f>
        <v>2018</v>
      </c>
      <c r="V1517" t="s">
        <v>5640</v>
      </c>
    </row>
    <row r="1518" spans="1:22" x14ac:dyDescent="0.35">
      <c r="A1518">
        <v>3261</v>
      </c>
      <c r="B1518" t="s">
        <v>5645</v>
      </c>
      <c r="C1518" s="1">
        <v>42322</v>
      </c>
      <c r="D1518" s="1">
        <v>42323</v>
      </c>
      <c r="E1518" t="s">
        <v>183</v>
      </c>
      <c r="F1518" t="s">
        <v>5646</v>
      </c>
      <c r="G1518" t="s">
        <v>5647</v>
      </c>
      <c r="H1518" t="s">
        <v>37</v>
      </c>
      <c r="I1518" t="s">
        <v>23</v>
      </c>
      <c r="J1518" t="s">
        <v>595</v>
      </c>
      <c r="K1518" t="s">
        <v>100</v>
      </c>
      <c r="L1518">
        <v>77506</v>
      </c>
      <c r="M1518" t="s">
        <v>101</v>
      </c>
      <c r="N1518" t="s">
        <v>5648</v>
      </c>
      <c r="O1518" t="s">
        <v>42</v>
      </c>
      <c r="P1518" t="s">
        <v>86</v>
      </c>
      <c r="Q1518" t="s">
        <v>5649</v>
      </c>
      <c r="R1518">
        <v>20.736000000000001</v>
      </c>
      <c r="S1518" t="str">
        <f>TEXT(sales_data[[#This Row],[Order Date]],"mm")</f>
        <v>11</v>
      </c>
      <c r="T1518">
        <f>YEAR(sales_data[[#This Row],[Order Date]])</f>
        <v>2015</v>
      </c>
      <c r="V1518" t="s">
        <v>5648</v>
      </c>
    </row>
    <row r="1519" spans="1:22" x14ac:dyDescent="0.35">
      <c r="A1519">
        <v>3269</v>
      </c>
      <c r="B1519" t="s">
        <v>5650</v>
      </c>
      <c r="C1519" s="1">
        <v>42146</v>
      </c>
      <c r="D1519" s="1">
        <v>42153</v>
      </c>
      <c r="E1519" t="s">
        <v>46</v>
      </c>
      <c r="F1519" t="s">
        <v>5651</v>
      </c>
      <c r="G1519" t="s">
        <v>5652</v>
      </c>
      <c r="H1519" t="s">
        <v>22</v>
      </c>
      <c r="I1519" t="s">
        <v>23</v>
      </c>
      <c r="J1519" t="s">
        <v>352</v>
      </c>
      <c r="K1519" t="s">
        <v>353</v>
      </c>
      <c r="L1519">
        <v>35601</v>
      </c>
      <c r="M1519" t="s">
        <v>26</v>
      </c>
      <c r="N1519" t="s">
        <v>5653</v>
      </c>
      <c r="O1519" t="s">
        <v>67</v>
      </c>
      <c r="P1519" t="s">
        <v>68</v>
      </c>
      <c r="Q1519" t="s">
        <v>5654</v>
      </c>
      <c r="R1519">
        <v>44.95</v>
      </c>
      <c r="S1519" t="str">
        <f>TEXT(sales_data[[#This Row],[Order Date]],"mm")</f>
        <v>05</v>
      </c>
      <c r="T1519">
        <f>YEAR(sales_data[[#This Row],[Order Date]])</f>
        <v>2015</v>
      </c>
      <c r="V1519" t="s">
        <v>5653</v>
      </c>
    </row>
    <row r="1520" spans="1:22" x14ac:dyDescent="0.35">
      <c r="A1520">
        <v>3287</v>
      </c>
      <c r="B1520" t="s">
        <v>5655</v>
      </c>
      <c r="C1520" s="1">
        <v>43151</v>
      </c>
      <c r="D1520" s="1">
        <v>43156</v>
      </c>
      <c r="E1520" t="s">
        <v>46</v>
      </c>
      <c r="F1520" t="s">
        <v>5301</v>
      </c>
      <c r="G1520" t="s">
        <v>5302</v>
      </c>
      <c r="H1520" t="s">
        <v>98</v>
      </c>
      <c r="I1520" t="s">
        <v>23</v>
      </c>
      <c r="J1520" t="s">
        <v>4313</v>
      </c>
      <c r="K1520" t="s">
        <v>641</v>
      </c>
      <c r="L1520">
        <v>74403</v>
      </c>
      <c r="M1520" t="s">
        <v>101</v>
      </c>
      <c r="N1520" t="s">
        <v>5656</v>
      </c>
      <c r="O1520" t="s">
        <v>42</v>
      </c>
      <c r="P1520" t="s">
        <v>74</v>
      </c>
      <c r="Q1520" t="s">
        <v>5657</v>
      </c>
      <c r="R1520">
        <v>13.11</v>
      </c>
      <c r="S1520" t="str">
        <f>TEXT(sales_data[[#This Row],[Order Date]],"mm")</f>
        <v>02</v>
      </c>
      <c r="T1520">
        <f>YEAR(sales_data[[#This Row],[Order Date]])</f>
        <v>2018</v>
      </c>
      <c r="V1520" t="s">
        <v>5656</v>
      </c>
    </row>
    <row r="1521" spans="1:22" x14ac:dyDescent="0.35">
      <c r="A1521">
        <v>3291</v>
      </c>
      <c r="B1521" t="s">
        <v>5658</v>
      </c>
      <c r="C1521" s="1">
        <v>42717</v>
      </c>
      <c r="D1521" s="1">
        <v>42719</v>
      </c>
      <c r="E1521" t="s">
        <v>183</v>
      </c>
      <c r="F1521" t="s">
        <v>2899</v>
      </c>
      <c r="G1521" t="s">
        <v>2900</v>
      </c>
      <c r="H1521" t="s">
        <v>22</v>
      </c>
      <c r="I1521" t="s">
        <v>23</v>
      </c>
      <c r="J1521" t="s">
        <v>5659</v>
      </c>
      <c r="K1521" t="s">
        <v>39</v>
      </c>
      <c r="L1521">
        <v>92592</v>
      </c>
      <c r="M1521" t="s">
        <v>40</v>
      </c>
      <c r="N1521" t="s">
        <v>5660</v>
      </c>
      <c r="O1521" t="s">
        <v>67</v>
      </c>
      <c r="P1521" t="s">
        <v>156</v>
      </c>
      <c r="Q1521" t="s">
        <v>5661</v>
      </c>
      <c r="R1521">
        <v>36.24</v>
      </c>
      <c r="S1521" t="str">
        <f>TEXT(sales_data[[#This Row],[Order Date]],"mm")</f>
        <v>12</v>
      </c>
      <c r="T1521">
        <f>YEAR(sales_data[[#This Row],[Order Date]])</f>
        <v>2016</v>
      </c>
      <c r="V1521" t="s">
        <v>5660</v>
      </c>
    </row>
    <row r="1522" spans="1:22" x14ac:dyDescent="0.35">
      <c r="A1522">
        <v>3296</v>
      </c>
      <c r="B1522" t="s">
        <v>5662</v>
      </c>
      <c r="C1522" s="1">
        <v>43374</v>
      </c>
      <c r="D1522" s="1">
        <v>43376</v>
      </c>
      <c r="E1522" t="s">
        <v>183</v>
      </c>
      <c r="F1522" t="s">
        <v>3804</v>
      </c>
      <c r="G1522" t="s">
        <v>3805</v>
      </c>
      <c r="H1522" t="s">
        <v>98</v>
      </c>
      <c r="I1522" t="s">
        <v>23</v>
      </c>
      <c r="J1522" t="s">
        <v>261</v>
      </c>
      <c r="K1522" t="s">
        <v>262</v>
      </c>
      <c r="L1522">
        <v>10035</v>
      </c>
      <c r="M1522" t="s">
        <v>144</v>
      </c>
      <c r="N1522" t="s">
        <v>5663</v>
      </c>
      <c r="O1522" t="s">
        <v>67</v>
      </c>
      <c r="P1522" t="s">
        <v>675</v>
      </c>
      <c r="Q1522" t="s">
        <v>5664</v>
      </c>
      <c r="R1522">
        <v>1704.89</v>
      </c>
      <c r="S1522" t="str">
        <f>TEXT(sales_data[[#This Row],[Order Date]],"mm")</f>
        <v>10</v>
      </c>
      <c r="T1522">
        <f>YEAR(sales_data[[#This Row],[Order Date]])</f>
        <v>2018</v>
      </c>
      <c r="V1522" t="s">
        <v>5663</v>
      </c>
    </row>
    <row r="1523" spans="1:22" x14ac:dyDescent="0.35">
      <c r="A1523">
        <v>3302</v>
      </c>
      <c r="B1523" t="s">
        <v>5665</v>
      </c>
      <c r="C1523" s="1">
        <v>42326</v>
      </c>
      <c r="D1523" s="1">
        <v>42330</v>
      </c>
      <c r="E1523" t="s">
        <v>46</v>
      </c>
      <c r="F1523" t="s">
        <v>1929</v>
      </c>
      <c r="G1523" t="s">
        <v>1930</v>
      </c>
      <c r="H1523" t="s">
        <v>22</v>
      </c>
      <c r="I1523" t="s">
        <v>23</v>
      </c>
      <c r="J1523" t="s">
        <v>142</v>
      </c>
      <c r="K1523" t="s">
        <v>143</v>
      </c>
      <c r="L1523">
        <v>19140</v>
      </c>
      <c r="M1523" t="s">
        <v>144</v>
      </c>
      <c r="N1523" t="s">
        <v>5666</v>
      </c>
      <c r="O1523" t="s">
        <v>67</v>
      </c>
      <c r="P1523" t="s">
        <v>68</v>
      </c>
      <c r="Q1523" t="s">
        <v>5667</v>
      </c>
      <c r="R1523">
        <v>539.96400000000006</v>
      </c>
      <c r="S1523" t="str">
        <f>TEXT(sales_data[[#This Row],[Order Date]],"mm")</f>
        <v>11</v>
      </c>
      <c r="T1523">
        <f>YEAR(sales_data[[#This Row],[Order Date]])</f>
        <v>2015</v>
      </c>
      <c r="V1523" t="s">
        <v>5666</v>
      </c>
    </row>
    <row r="1524" spans="1:22" x14ac:dyDescent="0.35">
      <c r="A1524">
        <v>3329</v>
      </c>
      <c r="B1524" t="s">
        <v>5670</v>
      </c>
      <c r="C1524" s="1">
        <v>42319</v>
      </c>
      <c r="D1524" s="1">
        <v>42323</v>
      </c>
      <c r="E1524" t="s">
        <v>46</v>
      </c>
      <c r="F1524" t="s">
        <v>311</v>
      </c>
      <c r="G1524" t="s">
        <v>312</v>
      </c>
      <c r="H1524" t="s">
        <v>22</v>
      </c>
      <c r="I1524" t="s">
        <v>23</v>
      </c>
      <c r="J1524" t="s">
        <v>179</v>
      </c>
      <c r="K1524" t="s">
        <v>100</v>
      </c>
      <c r="L1524">
        <v>77095</v>
      </c>
      <c r="M1524" t="s">
        <v>101</v>
      </c>
      <c r="N1524" t="s">
        <v>5671</v>
      </c>
      <c r="O1524" t="s">
        <v>42</v>
      </c>
      <c r="P1524" t="s">
        <v>86</v>
      </c>
      <c r="Q1524" t="s">
        <v>5672</v>
      </c>
      <c r="R1524">
        <v>262.33600000000001</v>
      </c>
      <c r="S1524" t="str">
        <f>TEXT(sales_data[[#This Row],[Order Date]],"mm")</f>
        <v>11</v>
      </c>
      <c r="T1524">
        <f>YEAR(sales_data[[#This Row],[Order Date]])</f>
        <v>2015</v>
      </c>
      <c r="V1524" t="s">
        <v>5671</v>
      </c>
    </row>
    <row r="1525" spans="1:22" x14ac:dyDescent="0.35">
      <c r="A1525">
        <v>3332</v>
      </c>
      <c r="B1525" t="s">
        <v>5673</v>
      </c>
      <c r="C1525" s="1">
        <v>43448</v>
      </c>
      <c r="D1525" s="1">
        <v>43454</v>
      </c>
      <c r="E1525" t="s">
        <v>46</v>
      </c>
      <c r="F1525" t="s">
        <v>390</v>
      </c>
      <c r="G1525" t="s">
        <v>391</v>
      </c>
      <c r="H1525" t="s">
        <v>98</v>
      </c>
      <c r="I1525" t="s">
        <v>23</v>
      </c>
      <c r="J1525" t="s">
        <v>298</v>
      </c>
      <c r="K1525" t="s">
        <v>206</v>
      </c>
      <c r="L1525">
        <v>60653</v>
      </c>
      <c r="M1525" t="s">
        <v>101</v>
      </c>
      <c r="N1525" t="s">
        <v>5674</v>
      </c>
      <c r="O1525" t="s">
        <v>67</v>
      </c>
      <c r="P1525" t="s">
        <v>156</v>
      </c>
      <c r="Q1525" t="s">
        <v>5675</v>
      </c>
      <c r="R1525">
        <v>227.976</v>
      </c>
      <c r="S1525" t="str">
        <f>TEXT(sales_data[[#This Row],[Order Date]],"mm")</f>
        <v>12</v>
      </c>
      <c r="T1525">
        <f>YEAR(sales_data[[#This Row],[Order Date]])</f>
        <v>2018</v>
      </c>
      <c r="V1525" t="s">
        <v>5674</v>
      </c>
    </row>
    <row r="1526" spans="1:22" x14ac:dyDescent="0.35">
      <c r="A1526">
        <v>3334</v>
      </c>
      <c r="B1526" t="s">
        <v>5673</v>
      </c>
      <c r="C1526" s="1">
        <v>43448</v>
      </c>
      <c r="D1526" s="1">
        <v>43454</v>
      </c>
      <c r="E1526" t="s">
        <v>46</v>
      </c>
      <c r="F1526" t="s">
        <v>390</v>
      </c>
      <c r="G1526" t="s">
        <v>391</v>
      </c>
      <c r="H1526" t="s">
        <v>98</v>
      </c>
      <c r="I1526" t="s">
        <v>23</v>
      </c>
      <c r="J1526" t="s">
        <v>298</v>
      </c>
      <c r="K1526" t="s">
        <v>206</v>
      </c>
      <c r="L1526">
        <v>60653</v>
      </c>
      <c r="M1526" t="s">
        <v>101</v>
      </c>
      <c r="N1526" t="s">
        <v>5676</v>
      </c>
      <c r="O1526" t="s">
        <v>28</v>
      </c>
      <c r="P1526" t="s">
        <v>61</v>
      </c>
      <c r="Q1526" t="s">
        <v>5677</v>
      </c>
      <c r="R1526">
        <v>2.032</v>
      </c>
      <c r="S1526" t="str">
        <f>TEXT(sales_data[[#This Row],[Order Date]],"mm")</f>
        <v>12</v>
      </c>
      <c r="T1526">
        <f>YEAR(sales_data[[#This Row],[Order Date]])</f>
        <v>2018</v>
      </c>
      <c r="V1526" t="s">
        <v>5676</v>
      </c>
    </row>
    <row r="1527" spans="1:22" x14ac:dyDescent="0.35">
      <c r="A1527">
        <v>3337</v>
      </c>
      <c r="B1527" t="s">
        <v>5678</v>
      </c>
      <c r="C1527" s="1">
        <v>43333</v>
      </c>
      <c r="D1527" s="1">
        <v>43334</v>
      </c>
      <c r="E1527" t="s">
        <v>183</v>
      </c>
      <c r="F1527" t="s">
        <v>5679</v>
      </c>
      <c r="G1527" t="s">
        <v>5680</v>
      </c>
      <c r="H1527" t="s">
        <v>22</v>
      </c>
      <c r="I1527" t="s">
        <v>23</v>
      </c>
      <c r="J1527" t="s">
        <v>3098</v>
      </c>
      <c r="K1527" t="s">
        <v>39</v>
      </c>
      <c r="L1527">
        <v>94601</v>
      </c>
      <c r="M1527" t="s">
        <v>40</v>
      </c>
      <c r="N1527" t="s">
        <v>5681</v>
      </c>
      <c r="O1527" t="s">
        <v>28</v>
      </c>
      <c r="P1527" t="s">
        <v>61</v>
      </c>
      <c r="Q1527" t="s">
        <v>5682</v>
      </c>
      <c r="R1527">
        <v>129.91999999999999</v>
      </c>
      <c r="S1527" t="str">
        <f>TEXT(sales_data[[#This Row],[Order Date]],"mm")</f>
        <v>08</v>
      </c>
      <c r="T1527">
        <f>YEAR(sales_data[[#This Row],[Order Date]])</f>
        <v>2018</v>
      </c>
      <c r="V1527" t="s">
        <v>5681</v>
      </c>
    </row>
    <row r="1528" spans="1:22" x14ac:dyDescent="0.35">
      <c r="A1528">
        <v>3339</v>
      </c>
      <c r="B1528" t="s">
        <v>5678</v>
      </c>
      <c r="C1528" s="1">
        <v>43333</v>
      </c>
      <c r="D1528" s="1">
        <v>43334</v>
      </c>
      <c r="E1528" t="s">
        <v>183</v>
      </c>
      <c r="F1528" t="s">
        <v>5679</v>
      </c>
      <c r="G1528" t="s">
        <v>5680</v>
      </c>
      <c r="H1528" t="s">
        <v>22</v>
      </c>
      <c r="I1528" t="s">
        <v>23</v>
      </c>
      <c r="J1528" t="s">
        <v>3098</v>
      </c>
      <c r="K1528" t="s">
        <v>39</v>
      </c>
      <c r="L1528">
        <v>94601</v>
      </c>
      <c r="M1528" t="s">
        <v>40</v>
      </c>
      <c r="N1528" t="s">
        <v>5683</v>
      </c>
      <c r="O1528" t="s">
        <v>42</v>
      </c>
      <c r="P1528" t="s">
        <v>71</v>
      </c>
      <c r="Q1528" t="s">
        <v>5684</v>
      </c>
      <c r="R1528">
        <v>117.14400000000001</v>
      </c>
      <c r="S1528" t="str">
        <f>TEXT(sales_data[[#This Row],[Order Date]],"mm")</f>
        <v>08</v>
      </c>
      <c r="T1528">
        <f>YEAR(sales_data[[#This Row],[Order Date]])</f>
        <v>2018</v>
      </c>
      <c r="V1528" t="s">
        <v>5683</v>
      </c>
    </row>
    <row r="1529" spans="1:22" x14ac:dyDescent="0.35">
      <c r="A1529">
        <v>3340</v>
      </c>
      <c r="B1529" t="s">
        <v>5678</v>
      </c>
      <c r="C1529" s="1">
        <v>43333</v>
      </c>
      <c r="D1529" s="1">
        <v>43334</v>
      </c>
      <c r="E1529" t="s">
        <v>183</v>
      </c>
      <c r="F1529" t="s">
        <v>5679</v>
      </c>
      <c r="G1529" t="s">
        <v>5680</v>
      </c>
      <c r="H1529" t="s">
        <v>22</v>
      </c>
      <c r="I1529" t="s">
        <v>23</v>
      </c>
      <c r="J1529" t="s">
        <v>3098</v>
      </c>
      <c r="K1529" t="s">
        <v>39</v>
      </c>
      <c r="L1529">
        <v>94601</v>
      </c>
      <c r="M1529" t="s">
        <v>40</v>
      </c>
      <c r="N1529" t="s">
        <v>5685</v>
      </c>
      <c r="O1529" t="s">
        <v>42</v>
      </c>
      <c r="P1529" t="s">
        <v>74</v>
      </c>
      <c r="Q1529" t="s">
        <v>5686</v>
      </c>
      <c r="R1529">
        <v>203.52</v>
      </c>
      <c r="S1529" t="str">
        <f>TEXT(sales_data[[#This Row],[Order Date]],"mm")</f>
        <v>08</v>
      </c>
      <c r="T1529">
        <f>YEAR(sales_data[[#This Row],[Order Date]])</f>
        <v>2018</v>
      </c>
      <c r="V1529" t="s">
        <v>5685</v>
      </c>
    </row>
    <row r="1530" spans="1:22" x14ac:dyDescent="0.35">
      <c r="A1530">
        <v>3352</v>
      </c>
      <c r="B1530" t="s">
        <v>5687</v>
      </c>
      <c r="C1530" s="1">
        <v>42270</v>
      </c>
      <c r="D1530" s="1">
        <v>42275</v>
      </c>
      <c r="E1530" t="s">
        <v>46</v>
      </c>
      <c r="F1530" t="s">
        <v>2558</v>
      </c>
      <c r="G1530" t="s">
        <v>2559</v>
      </c>
      <c r="H1530" t="s">
        <v>37</v>
      </c>
      <c r="I1530" t="s">
        <v>23</v>
      </c>
      <c r="J1530" t="s">
        <v>940</v>
      </c>
      <c r="K1530" t="s">
        <v>39</v>
      </c>
      <c r="L1530">
        <v>92037</v>
      </c>
      <c r="M1530" t="s">
        <v>40</v>
      </c>
      <c r="N1530" t="s">
        <v>5688</v>
      </c>
      <c r="O1530" t="s">
        <v>28</v>
      </c>
      <c r="P1530" t="s">
        <v>29</v>
      </c>
      <c r="Q1530" t="s">
        <v>5689</v>
      </c>
      <c r="R1530">
        <v>435.99900000000002</v>
      </c>
      <c r="S1530" t="str">
        <f>TEXT(sales_data[[#This Row],[Order Date]],"mm")</f>
        <v>09</v>
      </c>
      <c r="T1530">
        <f>YEAR(sales_data[[#This Row],[Order Date]])</f>
        <v>2015</v>
      </c>
      <c r="V1530" t="s">
        <v>5688</v>
      </c>
    </row>
    <row r="1531" spans="1:22" x14ac:dyDescent="0.35">
      <c r="A1531">
        <v>3355</v>
      </c>
      <c r="B1531" t="s">
        <v>5690</v>
      </c>
      <c r="C1531" s="1">
        <v>42204</v>
      </c>
      <c r="D1531" s="1">
        <v>42209</v>
      </c>
      <c r="E1531" t="s">
        <v>46</v>
      </c>
      <c r="F1531" t="s">
        <v>998</v>
      </c>
      <c r="G1531" t="s">
        <v>999</v>
      </c>
      <c r="H1531" t="s">
        <v>37</v>
      </c>
      <c r="I1531" t="s">
        <v>23</v>
      </c>
      <c r="J1531" t="s">
        <v>510</v>
      </c>
      <c r="K1531" t="s">
        <v>740</v>
      </c>
      <c r="L1531">
        <v>6010</v>
      </c>
      <c r="M1531" t="s">
        <v>144</v>
      </c>
      <c r="N1531" t="s">
        <v>5691</v>
      </c>
      <c r="O1531" t="s">
        <v>28</v>
      </c>
      <c r="P1531" t="s">
        <v>52</v>
      </c>
      <c r="Q1531" t="s">
        <v>5692</v>
      </c>
      <c r="R1531">
        <v>70.56</v>
      </c>
      <c r="S1531" t="str">
        <f>TEXT(sales_data[[#This Row],[Order Date]],"mm")</f>
        <v>07</v>
      </c>
      <c r="T1531">
        <f>YEAR(sales_data[[#This Row],[Order Date]])</f>
        <v>2015</v>
      </c>
      <c r="V1531" t="s">
        <v>5691</v>
      </c>
    </row>
    <row r="1532" spans="1:22" x14ac:dyDescent="0.35">
      <c r="A1532">
        <v>3362</v>
      </c>
      <c r="B1532" t="s">
        <v>5693</v>
      </c>
      <c r="C1532" s="1">
        <v>42525</v>
      </c>
      <c r="D1532" s="1">
        <v>42529</v>
      </c>
      <c r="E1532" t="s">
        <v>19</v>
      </c>
      <c r="F1532" t="s">
        <v>3474</v>
      </c>
      <c r="G1532" t="s">
        <v>3475</v>
      </c>
      <c r="H1532" t="s">
        <v>98</v>
      </c>
      <c r="I1532" t="s">
        <v>23</v>
      </c>
      <c r="J1532" t="s">
        <v>261</v>
      </c>
      <c r="K1532" t="s">
        <v>262</v>
      </c>
      <c r="L1532">
        <v>10024</v>
      </c>
      <c r="M1532" t="s">
        <v>144</v>
      </c>
      <c r="N1532" t="s">
        <v>5694</v>
      </c>
      <c r="O1532" t="s">
        <v>28</v>
      </c>
      <c r="P1532" t="s">
        <v>61</v>
      </c>
      <c r="Q1532" t="s">
        <v>5695</v>
      </c>
      <c r="R1532">
        <v>35.28</v>
      </c>
      <c r="S1532" t="str">
        <f>TEXT(sales_data[[#This Row],[Order Date]],"mm")</f>
        <v>06</v>
      </c>
      <c r="T1532">
        <f>YEAR(sales_data[[#This Row],[Order Date]])</f>
        <v>2016</v>
      </c>
      <c r="V1532" t="s">
        <v>5694</v>
      </c>
    </row>
    <row r="1533" spans="1:22" x14ac:dyDescent="0.35">
      <c r="A1533">
        <v>3369</v>
      </c>
      <c r="B1533" t="s">
        <v>5697</v>
      </c>
      <c r="C1533" s="1">
        <v>42695</v>
      </c>
      <c r="D1533" s="1">
        <v>42699</v>
      </c>
      <c r="E1533" t="s">
        <v>46</v>
      </c>
      <c r="F1533" t="s">
        <v>4043</v>
      </c>
      <c r="G1533" t="s">
        <v>4044</v>
      </c>
      <c r="H1533" t="s">
        <v>22</v>
      </c>
      <c r="I1533" t="s">
        <v>23</v>
      </c>
      <c r="J1533" t="s">
        <v>1379</v>
      </c>
      <c r="K1533" t="s">
        <v>1380</v>
      </c>
      <c r="L1533">
        <v>89115</v>
      </c>
      <c r="M1533" t="s">
        <v>40</v>
      </c>
      <c r="N1533" t="s">
        <v>5698</v>
      </c>
      <c r="O1533" t="s">
        <v>28</v>
      </c>
      <c r="P1533" t="s">
        <v>29</v>
      </c>
      <c r="Q1533" t="s">
        <v>5699</v>
      </c>
      <c r="R1533">
        <v>141.96</v>
      </c>
      <c r="S1533" t="str">
        <f>TEXT(sales_data[[#This Row],[Order Date]],"mm")</f>
        <v>11</v>
      </c>
      <c r="T1533">
        <f>YEAR(sales_data[[#This Row],[Order Date]])</f>
        <v>2016</v>
      </c>
      <c r="V1533" t="s">
        <v>5698</v>
      </c>
    </row>
    <row r="1534" spans="1:22" x14ac:dyDescent="0.35">
      <c r="A1534">
        <v>3380</v>
      </c>
      <c r="B1534" t="s">
        <v>5701</v>
      </c>
      <c r="C1534" s="1">
        <v>43176</v>
      </c>
      <c r="D1534" s="1">
        <v>43180</v>
      </c>
      <c r="E1534" t="s">
        <v>46</v>
      </c>
      <c r="F1534" t="s">
        <v>1515</v>
      </c>
      <c r="G1534" t="s">
        <v>1516</v>
      </c>
      <c r="H1534" t="s">
        <v>98</v>
      </c>
      <c r="I1534" t="s">
        <v>23</v>
      </c>
      <c r="J1534" t="s">
        <v>179</v>
      </c>
      <c r="K1534" t="s">
        <v>100</v>
      </c>
      <c r="L1534">
        <v>77095</v>
      </c>
      <c r="M1534" t="s">
        <v>101</v>
      </c>
      <c r="N1534" t="s">
        <v>5702</v>
      </c>
      <c r="O1534" t="s">
        <v>42</v>
      </c>
      <c r="P1534" t="s">
        <v>86</v>
      </c>
      <c r="Q1534" t="s">
        <v>5703</v>
      </c>
      <c r="R1534">
        <v>10.272</v>
      </c>
      <c r="S1534" t="str">
        <f>TEXT(sales_data[[#This Row],[Order Date]],"mm")</f>
        <v>03</v>
      </c>
      <c r="T1534">
        <f>YEAR(sales_data[[#This Row],[Order Date]])</f>
        <v>2018</v>
      </c>
      <c r="V1534" t="s">
        <v>5702</v>
      </c>
    </row>
    <row r="1535" spans="1:22" x14ac:dyDescent="0.35">
      <c r="A1535">
        <v>3381</v>
      </c>
      <c r="B1535" t="s">
        <v>5704</v>
      </c>
      <c r="C1535" s="1">
        <v>43427</v>
      </c>
      <c r="D1535" s="1">
        <v>43428</v>
      </c>
      <c r="E1535" t="s">
        <v>183</v>
      </c>
      <c r="F1535" t="s">
        <v>1232</v>
      </c>
      <c r="G1535" t="s">
        <v>1233</v>
      </c>
      <c r="H1535" t="s">
        <v>22</v>
      </c>
      <c r="I1535" t="s">
        <v>23</v>
      </c>
      <c r="J1535" t="s">
        <v>142</v>
      </c>
      <c r="K1535" t="s">
        <v>143</v>
      </c>
      <c r="L1535">
        <v>19120</v>
      </c>
      <c r="M1535" t="s">
        <v>144</v>
      </c>
      <c r="N1535" t="s">
        <v>5705</v>
      </c>
      <c r="O1535" t="s">
        <v>28</v>
      </c>
      <c r="P1535" t="s">
        <v>61</v>
      </c>
      <c r="Q1535" t="s">
        <v>5706</v>
      </c>
      <c r="R1535">
        <v>24.047999999999998</v>
      </c>
      <c r="S1535" t="str">
        <f>TEXT(sales_data[[#This Row],[Order Date]],"mm")</f>
        <v>11</v>
      </c>
      <c r="T1535">
        <f>YEAR(sales_data[[#This Row],[Order Date]])</f>
        <v>2018</v>
      </c>
      <c r="V1535" t="s">
        <v>5705</v>
      </c>
    </row>
    <row r="1536" spans="1:22" x14ac:dyDescent="0.35">
      <c r="A1536">
        <v>3384</v>
      </c>
      <c r="B1536" t="s">
        <v>5707</v>
      </c>
      <c r="C1536" s="1">
        <v>42708</v>
      </c>
      <c r="D1536" s="1">
        <v>42713</v>
      </c>
      <c r="E1536" t="s">
        <v>19</v>
      </c>
      <c r="F1536" t="s">
        <v>2696</v>
      </c>
      <c r="G1536" t="s">
        <v>2697</v>
      </c>
      <c r="H1536" t="s">
        <v>22</v>
      </c>
      <c r="I1536" t="s">
        <v>23</v>
      </c>
      <c r="J1536" t="s">
        <v>261</v>
      </c>
      <c r="K1536" t="s">
        <v>262</v>
      </c>
      <c r="L1536">
        <v>10035</v>
      </c>
      <c r="M1536" t="s">
        <v>144</v>
      </c>
      <c r="N1536" t="s">
        <v>5708</v>
      </c>
      <c r="O1536" t="s">
        <v>28</v>
      </c>
      <c r="P1536" t="s">
        <v>32</v>
      </c>
      <c r="Q1536" t="s">
        <v>5709</v>
      </c>
      <c r="R1536">
        <v>384.17399999999998</v>
      </c>
      <c r="S1536" t="str">
        <f>TEXT(sales_data[[#This Row],[Order Date]],"mm")</f>
        <v>12</v>
      </c>
      <c r="T1536">
        <f>YEAR(sales_data[[#This Row],[Order Date]])</f>
        <v>2016</v>
      </c>
      <c r="V1536" t="s">
        <v>5708</v>
      </c>
    </row>
    <row r="1537" spans="1:22" x14ac:dyDescent="0.35">
      <c r="A1537">
        <v>3404</v>
      </c>
      <c r="B1537" t="s">
        <v>5711</v>
      </c>
      <c r="C1537" s="1">
        <v>43249</v>
      </c>
      <c r="D1537" s="1">
        <v>43256</v>
      </c>
      <c r="E1537" t="s">
        <v>46</v>
      </c>
      <c r="F1537" t="s">
        <v>4125</v>
      </c>
      <c r="G1537" t="s">
        <v>4126</v>
      </c>
      <c r="H1537" t="s">
        <v>22</v>
      </c>
      <c r="I1537" t="s">
        <v>23</v>
      </c>
      <c r="J1537" t="s">
        <v>179</v>
      </c>
      <c r="K1537" t="s">
        <v>100</v>
      </c>
      <c r="L1537">
        <v>77095</v>
      </c>
      <c r="M1537" t="s">
        <v>101</v>
      </c>
      <c r="N1537" t="s">
        <v>5712</v>
      </c>
      <c r="O1537" t="s">
        <v>28</v>
      </c>
      <c r="P1537" t="s">
        <v>61</v>
      </c>
      <c r="Q1537" t="s">
        <v>5713</v>
      </c>
      <c r="R1537">
        <v>65.424000000000007</v>
      </c>
      <c r="S1537" t="str">
        <f>TEXT(sales_data[[#This Row],[Order Date]],"mm")</f>
        <v>05</v>
      </c>
      <c r="T1537">
        <f>YEAR(sales_data[[#This Row],[Order Date]])</f>
        <v>2018</v>
      </c>
      <c r="V1537" t="s">
        <v>5712</v>
      </c>
    </row>
    <row r="1538" spans="1:22" x14ac:dyDescent="0.35">
      <c r="A1538">
        <v>3428</v>
      </c>
      <c r="B1538" t="s">
        <v>5714</v>
      </c>
      <c r="C1538" s="1">
        <v>43284</v>
      </c>
      <c r="D1538" s="1">
        <v>43287</v>
      </c>
      <c r="E1538" t="s">
        <v>19</v>
      </c>
      <c r="F1538" t="s">
        <v>3605</v>
      </c>
      <c r="G1538" t="s">
        <v>3606</v>
      </c>
      <c r="H1538" t="s">
        <v>98</v>
      </c>
      <c r="I1538" t="s">
        <v>23</v>
      </c>
      <c r="J1538" t="s">
        <v>2428</v>
      </c>
      <c r="K1538" t="s">
        <v>493</v>
      </c>
      <c r="L1538">
        <v>43130</v>
      </c>
      <c r="M1538" t="s">
        <v>144</v>
      </c>
      <c r="N1538" t="s">
        <v>5715</v>
      </c>
      <c r="O1538" t="s">
        <v>42</v>
      </c>
      <c r="P1538" t="s">
        <v>86</v>
      </c>
      <c r="Q1538" t="s">
        <v>5716</v>
      </c>
      <c r="R1538">
        <v>32.896000000000001</v>
      </c>
      <c r="S1538" t="str">
        <f>TEXT(sales_data[[#This Row],[Order Date]],"mm")</f>
        <v>07</v>
      </c>
      <c r="T1538">
        <f>YEAR(sales_data[[#This Row],[Order Date]])</f>
        <v>2018</v>
      </c>
      <c r="V1538" t="s">
        <v>5715</v>
      </c>
    </row>
    <row r="1539" spans="1:22" x14ac:dyDescent="0.35">
      <c r="A1539">
        <v>3432</v>
      </c>
      <c r="B1539" t="s">
        <v>5717</v>
      </c>
      <c r="C1539" s="1">
        <v>43442</v>
      </c>
      <c r="D1539" s="1">
        <v>43443</v>
      </c>
      <c r="E1539" t="s">
        <v>183</v>
      </c>
      <c r="F1539" t="s">
        <v>1405</v>
      </c>
      <c r="G1539" t="s">
        <v>1406</v>
      </c>
      <c r="H1539" t="s">
        <v>22</v>
      </c>
      <c r="I1539" t="s">
        <v>23</v>
      </c>
      <c r="J1539" t="s">
        <v>1020</v>
      </c>
      <c r="K1539" t="s">
        <v>39</v>
      </c>
      <c r="L1539">
        <v>90301</v>
      </c>
      <c r="M1539" t="s">
        <v>40</v>
      </c>
      <c r="N1539" t="s">
        <v>5718</v>
      </c>
      <c r="O1539" t="s">
        <v>28</v>
      </c>
      <c r="P1539" t="s">
        <v>61</v>
      </c>
      <c r="Q1539" t="s">
        <v>5719</v>
      </c>
      <c r="R1539">
        <v>128.9</v>
      </c>
      <c r="S1539" t="str">
        <f>TEXT(sales_data[[#This Row],[Order Date]],"mm")</f>
        <v>12</v>
      </c>
      <c r="T1539">
        <f>YEAR(sales_data[[#This Row],[Order Date]])</f>
        <v>2018</v>
      </c>
      <c r="V1539" t="s">
        <v>5718</v>
      </c>
    </row>
    <row r="1540" spans="1:22" x14ac:dyDescent="0.35">
      <c r="A1540">
        <v>3453</v>
      </c>
      <c r="B1540" t="s">
        <v>5724</v>
      </c>
      <c r="C1540" s="1">
        <v>42079</v>
      </c>
      <c r="D1540" s="1">
        <v>42084</v>
      </c>
      <c r="E1540" t="s">
        <v>19</v>
      </c>
      <c r="F1540" t="s">
        <v>4878</v>
      </c>
      <c r="G1540" t="s">
        <v>4879</v>
      </c>
      <c r="H1540" t="s">
        <v>98</v>
      </c>
      <c r="I1540" t="s">
        <v>23</v>
      </c>
      <c r="J1540" t="s">
        <v>4304</v>
      </c>
      <c r="K1540" t="s">
        <v>84</v>
      </c>
      <c r="L1540">
        <v>27604</v>
      </c>
      <c r="M1540" t="s">
        <v>26</v>
      </c>
      <c r="N1540" t="s">
        <v>5725</v>
      </c>
      <c r="O1540" t="s">
        <v>67</v>
      </c>
      <c r="P1540" t="s">
        <v>68</v>
      </c>
      <c r="Q1540" t="s">
        <v>5726</v>
      </c>
      <c r="R1540">
        <v>471.92</v>
      </c>
      <c r="S1540" t="str">
        <f>TEXT(sales_data[[#This Row],[Order Date]],"mm")</f>
        <v>03</v>
      </c>
      <c r="T1540">
        <f>YEAR(sales_data[[#This Row],[Order Date]])</f>
        <v>2015</v>
      </c>
      <c r="V1540" t="s">
        <v>5725</v>
      </c>
    </row>
    <row r="1541" spans="1:22" x14ac:dyDescent="0.35">
      <c r="A1541">
        <v>3455</v>
      </c>
      <c r="B1541" t="s">
        <v>5727</v>
      </c>
      <c r="C1541" s="1">
        <v>42560</v>
      </c>
      <c r="D1541" s="1">
        <v>42565</v>
      </c>
      <c r="E1541" t="s">
        <v>46</v>
      </c>
      <c r="F1541" t="s">
        <v>147</v>
      </c>
      <c r="G1541" t="s">
        <v>148</v>
      </c>
      <c r="H1541" t="s">
        <v>22</v>
      </c>
      <c r="I1541" t="s">
        <v>23</v>
      </c>
      <c r="J1541" t="s">
        <v>5118</v>
      </c>
      <c r="K1541" t="s">
        <v>330</v>
      </c>
      <c r="L1541">
        <v>37211</v>
      </c>
      <c r="M1541" t="s">
        <v>26</v>
      </c>
      <c r="N1541" t="s">
        <v>5728</v>
      </c>
      <c r="O1541" t="s">
        <v>42</v>
      </c>
      <c r="P1541" t="s">
        <v>64</v>
      </c>
      <c r="Q1541" t="s">
        <v>5729</v>
      </c>
      <c r="R1541">
        <v>5.16</v>
      </c>
      <c r="S1541" t="str">
        <f>TEXT(sales_data[[#This Row],[Order Date]],"mm")</f>
        <v>07</v>
      </c>
      <c r="T1541">
        <f>YEAR(sales_data[[#This Row],[Order Date]])</f>
        <v>2016</v>
      </c>
      <c r="V1541" t="s">
        <v>5728</v>
      </c>
    </row>
    <row r="1542" spans="1:22" x14ac:dyDescent="0.35">
      <c r="A1542">
        <v>3456</v>
      </c>
      <c r="B1542" t="s">
        <v>5730</v>
      </c>
      <c r="C1542" s="1">
        <v>42786</v>
      </c>
      <c r="D1542" s="1">
        <v>42793</v>
      </c>
      <c r="E1542" t="s">
        <v>46</v>
      </c>
      <c r="F1542" t="s">
        <v>982</v>
      </c>
      <c r="G1542" t="s">
        <v>983</v>
      </c>
      <c r="H1542" t="s">
        <v>22</v>
      </c>
      <c r="I1542" t="s">
        <v>23</v>
      </c>
      <c r="J1542" t="s">
        <v>5118</v>
      </c>
      <c r="K1542" t="s">
        <v>330</v>
      </c>
      <c r="L1542">
        <v>37211</v>
      </c>
      <c r="M1542" t="s">
        <v>26</v>
      </c>
      <c r="N1542" t="s">
        <v>5731</v>
      </c>
      <c r="O1542" t="s">
        <v>42</v>
      </c>
      <c r="P1542" t="s">
        <v>86</v>
      </c>
      <c r="Q1542" t="s">
        <v>5732</v>
      </c>
      <c r="R1542">
        <v>16.495999999999999</v>
      </c>
      <c r="S1542" t="str">
        <f>TEXT(sales_data[[#This Row],[Order Date]],"mm")</f>
        <v>02</v>
      </c>
      <c r="T1542">
        <f>YEAR(sales_data[[#This Row],[Order Date]])</f>
        <v>2017</v>
      </c>
      <c r="V1542" t="s">
        <v>5731</v>
      </c>
    </row>
    <row r="1543" spans="1:22" x14ac:dyDescent="0.35">
      <c r="A1543">
        <v>3480</v>
      </c>
      <c r="B1543" t="s">
        <v>5735</v>
      </c>
      <c r="C1543" s="1">
        <v>43077</v>
      </c>
      <c r="D1543" s="1">
        <v>43083</v>
      </c>
      <c r="E1543" t="s">
        <v>46</v>
      </c>
      <c r="F1543" t="s">
        <v>3308</v>
      </c>
      <c r="G1543" t="s">
        <v>3309</v>
      </c>
      <c r="H1543" t="s">
        <v>37</v>
      </c>
      <c r="I1543" t="s">
        <v>23</v>
      </c>
      <c r="J1543" t="s">
        <v>123</v>
      </c>
      <c r="K1543" t="s">
        <v>39</v>
      </c>
      <c r="L1543">
        <v>94110</v>
      </c>
      <c r="M1543" t="s">
        <v>40</v>
      </c>
      <c r="N1543" t="s">
        <v>5736</v>
      </c>
      <c r="O1543" t="s">
        <v>42</v>
      </c>
      <c r="P1543" t="s">
        <v>86</v>
      </c>
      <c r="Q1543" t="s">
        <v>5737</v>
      </c>
      <c r="R1543">
        <v>45.36</v>
      </c>
      <c r="S1543" t="str">
        <f>TEXT(sales_data[[#This Row],[Order Date]],"mm")</f>
        <v>12</v>
      </c>
      <c r="T1543">
        <f>YEAR(sales_data[[#This Row],[Order Date]])</f>
        <v>2017</v>
      </c>
      <c r="V1543" t="s">
        <v>5736</v>
      </c>
    </row>
    <row r="1544" spans="1:22" x14ac:dyDescent="0.35">
      <c r="A1544">
        <v>3494</v>
      </c>
      <c r="B1544" t="s">
        <v>5738</v>
      </c>
      <c r="C1544" s="1">
        <v>43367</v>
      </c>
      <c r="D1544" s="1">
        <v>43371</v>
      </c>
      <c r="E1544" t="s">
        <v>46</v>
      </c>
      <c r="F1544" t="s">
        <v>1784</v>
      </c>
      <c r="G1544" t="s">
        <v>1785</v>
      </c>
      <c r="H1544" t="s">
        <v>37</v>
      </c>
      <c r="I1544" t="s">
        <v>23</v>
      </c>
      <c r="J1544" t="s">
        <v>5739</v>
      </c>
      <c r="K1544" t="s">
        <v>224</v>
      </c>
      <c r="L1544">
        <v>56301</v>
      </c>
      <c r="M1544" t="s">
        <v>101</v>
      </c>
      <c r="N1544" t="s">
        <v>5740</v>
      </c>
      <c r="O1544" t="s">
        <v>67</v>
      </c>
      <c r="P1544" t="s">
        <v>156</v>
      </c>
      <c r="Q1544" t="s">
        <v>5741</v>
      </c>
      <c r="R1544">
        <v>72</v>
      </c>
      <c r="S1544" t="str">
        <f>TEXT(sales_data[[#This Row],[Order Date]],"mm")</f>
        <v>09</v>
      </c>
      <c r="T1544">
        <f>YEAR(sales_data[[#This Row],[Order Date]])</f>
        <v>2018</v>
      </c>
      <c r="V1544" t="s">
        <v>5740</v>
      </c>
    </row>
    <row r="1545" spans="1:22" x14ac:dyDescent="0.35">
      <c r="A1545">
        <v>3495</v>
      </c>
      <c r="B1545" t="s">
        <v>5738</v>
      </c>
      <c r="C1545" s="1">
        <v>43367</v>
      </c>
      <c r="D1545" s="1">
        <v>43371</v>
      </c>
      <c r="E1545" t="s">
        <v>46</v>
      </c>
      <c r="F1545" t="s">
        <v>1784</v>
      </c>
      <c r="G1545" t="s">
        <v>1785</v>
      </c>
      <c r="H1545" t="s">
        <v>37</v>
      </c>
      <c r="I1545" t="s">
        <v>23</v>
      </c>
      <c r="J1545" t="s">
        <v>5739</v>
      </c>
      <c r="K1545" t="s">
        <v>224</v>
      </c>
      <c r="L1545">
        <v>56301</v>
      </c>
      <c r="M1545" t="s">
        <v>101</v>
      </c>
      <c r="N1545" t="s">
        <v>5742</v>
      </c>
      <c r="O1545" t="s">
        <v>67</v>
      </c>
      <c r="P1545" t="s">
        <v>156</v>
      </c>
      <c r="Q1545" t="s">
        <v>5743</v>
      </c>
      <c r="R1545">
        <v>655.9</v>
      </c>
      <c r="S1545" t="str">
        <f>TEXT(sales_data[[#This Row],[Order Date]],"mm")</f>
        <v>09</v>
      </c>
      <c r="T1545">
        <f>YEAR(sales_data[[#This Row],[Order Date]])</f>
        <v>2018</v>
      </c>
      <c r="V1545" t="s">
        <v>5742</v>
      </c>
    </row>
    <row r="1546" spans="1:22" x14ac:dyDescent="0.35">
      <c r="A1546">
        <v>3508</v>
      </c>
      <c r="B1546" t="s">
        <v>5746</v>
      </c>
      <c r="C1546" s="1">
        <v>42175</v>
      </c>
      <c r="D1546" s="1">
        <v>42179</v>
      </c>
      <c r="E1546" t="s">
        <v>46</v>
      </c>
      <c r="F1546" t="s">
        <v>5747</v>
      </c>
      <c r="G1546" t="s">
        <v>5748</v>
      </c>
      <c r="H1546" t="s">
        <v>22</v>
      </c>
      <c r="I1546" t="s">
        <v>23</v>
      </c>
      <c r="J1546" t="s">
        <v>4104</v>
      </c>
      <c r="K1546" t="s">
        <v>100</v>
      </c>
      <c r="L1546">
        <v>75023</v>
      </c>
      <c r="M1546" t="s">
        <v>101</v>
      </c>
      <c r="N1546" t="s">
        <v>5749</v>
      </c>
      <c r="O1546" t="s">
        <v>28</v>
      </c>
      <c r="P1546" t="s">
        <v>29</v>
      </c>
      <c r="Q1546" t="s">
        <v>5750</v>
      </c>
      <c r="R1546">
        <v>193.06559999999999</v>
      </c>
      <c r="S1546" t="str">
        <f>TEXT(sales_data[[#This Row],[Order Date]],"mm")</f>
        <v>06</v>
      </c>
      <c r="T1546">
        <f>YEAR(sales_data[[#This Row],[Order Date]])</f>
        <v>2015</v>
      </c>
      <c r="V1546" t="s">
        <v>5749</v>
      </c>
    </row>
    <row r="1547" spans="1:22" x14ac:dyDescent="0.35">
      <c r="A1547">
        <v>3513</v>
      </c>
      <c r="B1547" t="s">
        <v>5751</v>
      </c>
      <c r="C1547" s="1">
        <v>43347</v>
      </c>
      <c r="D1547" s="1">
        <v>43349</v>
      </c>
      <c r="E1547" t="s">
        <v>183</v>
      </c>
      <c r="F1547" t="s">
        <v>2462</v>
      </c>
      <c r="G1547" t="s">
        <v>2463</v>
      </c>
      <c r="H1547" t="s">
        <v>37</v>
      </c>
      <c r="I1547" t="s">
        <v>23</v>
      </c>
      <c r="J1547" t="s">
        <v>298</v>
      </c>
      <c r="K1547" t="s">
        <v>206</v>
      </c>
      <c r="L1547">
        <v>60653</v>
      </c>
      <c r="M1547" t="s">
        <v>101</v>
      </c>
      <c r="N1547" t="s">
        <v>5752</v>
      </c>
      <c r="O1547" t="s">
        <v>28</v>
      </c>
      <c r="P1547" t="s">
        <v>29</v>
      </c>
      <c r="Q1547" t="s">
        <v>5753</v>
      </c>
      <c r="R1547">
        <v>825.17399999999998</v>
      </c>
      <c r="S1547" t="str">
        <f>TEXT(sales_data[[#This Row],[Order Date]],"mm")</f>
        <v>09</v>
      </c>
      <c r="T1547">
        <f>YEAR(sales_data[[#This Row],[Order Date]])</f>
        <v>2018</v>
      </c>
      <c r="V1547" t="s">
        <v>5752</v>
      </c>
    </row>
    <row r="1548" spans="1:22" x14ac:dyDescent="0.35">
      <c r="A1548">
        <v>3525</v>
      </c>
      <c r="B1548" t="s">
        <v>5754</v>
      </c>
      <c r="C1548" s="1">
        <v>43063</v>
      </c>
      <c r="D1548" s="1">
        <v>43067</v>
      </c>
      <c r="E1548" t="s">
        <v>46</v>
      </c>
      <c r="F1548" t="s">
        <v>5299</v>
      </c>
      <c r="G1548" t="s">
        <v>5300</v>
      </c>
      <c r="H1548" t="s">
        <v>22</v>
      </c>
      <c r="I1548" t="s">
        <v>23</v>
      </c>
      <c r="J1548" t="s">
        <v>807</v>
      </c>
      <c r="K1548" t="s">
        <v>100</v>
      </c>
      <c r="L1548">
        <v>75081</v>
      </c>
      <c r="M1548" t="s">
        <v>101</v>
      </c>
      <c r="N1548" t="s">
        <v>5755</v>
      </c>
      <c r="O1548" t="s">
        <v>67</v>
      </c>
      <c r="P1548" t="s">
        <v>68</v>
      </c>
      <c r="Q1548" t="s">
        <v>5756</v>
      </c>
      <c r="R1548">
        <v>657.55200000000002</v>
      </c>
      <c r="S1548" t="str">
        <f>TEXT(sales_data[[#This Row],[Order Date]],"mm")</f>
        <v>11</v>
      </c>
      <c r="T1548">
        <f>YEAR(sales_data[[#This Row],[Order Date]])</f>
        <v>2017</v>
      </c>
      <c r="V1548" t="s">
        <v>5755</v>
      </c>
    </row>
    <row r="1549" spans="1:22" x14ac:dyDescent="0.35">
      <c r="A1549">
        <v>3528</v>
      </c>
      <c r="B1549" t="s">
        <v>5757</v>
      </c>
      <c r="C1549" s="1">
        <v>43444</v>
      </c>
      <c r="D1549" s="1">
        <v>43449</v>
      </c>
      <c r="E1549" t="s">
        <v>19</v>
      </c>
      <c r="F1549" t="s">
        <v>5758</v>
      </c>
      <c r="G1549" t="s">
        <v>5759</v>
      </c>
      <c r="H1549" t="s">
        <v>98</v>
      </c>
      <c r="I1549" t="s">
        <v>23</v>
      </c>
      <c r="J1549" t="s">
        <v>323</v>
      </c>
      <c r="K1549" t="s">
        <v>1475</v>
      </c>
      <c r="L1549">
        <v>39212</v>
      </c>
      <c r="M1549" t="s">
        <v>26</v>
      </c>
      <c r="N1549" t="s">
        <v>5760</v>
      </c>
      <c r="O1549" t="s">
        <v>42</v>
      </c>
      <c r="P1549" t="s">
        <v>71</v>
      </c>
      <c r="Q1549" t="s">
        <v>5761</v>
      </c>
      <c r="R1549">
        <v>45.84</v>
      </c>
      <c r="S1549" t="str">
        <f>TEXT(sales_data[[#This Row],[Order Date]],"mm")</f>
        <v>12</v>
      </c>
      <c r="T1549">
        <f>YEAR(sales_data[[#This Row],[Order Date]])</f>
        <v>2018</v>
      </c>
      <c r="V1549" t="s">
        <v>5760</v>
      </c>
    </row>
    <row r="1550" spans="1:22" x14ac:dyDescent="0.35">
      <c r="A1550">
        <v>3533</v>
      </c>
      <c r="B1550" t="s">
        <v>5762</v>
      </c>
      <c r="C1550" s="1">
        <v>42112</v>
      </c>
      <c r="D1550" s="1">
        <v>42117</v>
      </c>
      <c r="E1550" t="s">
        <v>46</v>
      </c>
      <c r="F1550" t="s">
        <v>2091</v>
      </c>
      <c r="G1550" t="s">
        <v>2092</v>
      </c>
      <c r="H1550" t="s">
        <v>22</v>
      </c>
      <c r="I1550" t="s">
        <v>23</v>
      </c>
      <c r="J1550" t="s">
        <v>38</v>
      </c>
      <c r="K1550" t="s">
        <v>39</v>
      </c>
      <c r="L1550">
        <v>90049</v>
      </c>
      <c r="M1550" t="s">
        <v>40</v>
      </c>
      <c r="N1550" t="s">
        <v>5763</v>
      </c>
      <c r="O1550" t="s">
        <v>67</v>
      </c>
      <c r="P1550" t="s">
        <v>675</v>
      </c>
      <c r="Q1550" t="s">
        <v>5764</v>
      </c>
      <c r="R1550">
        <v>287.96800000000002</v>
      </c>
      <c r="S1550" t="str">
        <f>TEXT(sales_data[[#This Row],[Order Date]],"mm")</f>
        <v>04</v>
      </c>
      <c r="T1550">
        <f>YEAR(sales_data[[#This Row],[Order Date]])</f>
        <v>2015</v>
      </c>
      <c r="V1550" t="s">
        <v>5763</v>
      </c>
    </row>
    <row r="1551" spans="1:22" x14ac:dyDescent="0.35">
      <c r="A1551">
        <v>3546</v>
      </c>
      <c r="B1551" t="s">
        <v>5765</v>
      </c>
      <c r="C1551" s="1">
        <v>43457</v>
      </c>
      <c r="D1551" s="1">
        <v>43459</v>
      </c>
      <c r="E1551" t="s">
        <v>19</v>
      </c>
      <c r="F1551" t="s">
        <v>3715</v>
      </c>
      <c r="G1551" t="s">
        <v>3716</v>
      </c>
      <c r="H1551" t="s">
        <v>22</v>
      </c>
      <c r="I1551" t="s">
        <v>23</v>
      </c>
      <c r="J1551" t="s">
        <v>4690</v>
      </c>
      <c r="K1551" t="s">
        <v>100</v>
      </c>
      <c r="L1551">
        <v>77840</v>
      </c>
      <c r="M1551" t="s">
        <v>101</v>
      </c>
      <c r="N1551" t="s">
        <v>5766</v>
      </c>
      <c r="O1551" t="s">
        <v>42</v>
      </c>
      <c r="P1551" t="s">
        <v>74</v>
      </c>
      <c r="Q1551" t="s">
        <v>5767</v>
      </c>
      <c r="R1551">
        <v>29.312000000000001</v>
      </c>
      <c r="S1551" t="str">
        <f>TEXT(sales_data[[#This Row],[Order Date]],"mm")</f>
        <v>12</v>
      </c>
      <c r="T1551">
        <f>YEAR(sales_data[[#This Row],[Order Date]])</f>
        <v>2018</v>
      </c>
      <c r="V1551" t="s">
        <v>5766</v>
      </c>
    </row>
    <row r="1552" spans="1:22" x14ac:dyDescent="0.35">
      <c r="A1552">
        <v>3550</v>
      </c>
      <c r="B1552" t="s">
        <v>5768</v>
      </c>
      <c r="C1552" s="1">
        <v>43403</v>
      </c>
      <c r="D1552" s="1">
        <v>43405</v>
      </c>
      <c r="E1552" t="s">
        <v>183</v>
      </c>
      <c r="F1552" t="s">
        <v>2278</v>
      </c>
      <c r="G1552" t="s">
        <v>2279</v>
      </c>
      <c r="H1552" t="s">
        <v>98</v>
      </c>
      <c r="I1552" t="s">
        <v>23</v>
      </c>
      <c r="J1552" t="s">
        <v>1452</v>
      </c>
      <c r="K1552" t="s">
        <v>25</v>
      </c>
      <c r="L1552">
        <v>40475</v>
      </c>
      <c r="M1552" t="s">
        <v>26</v>
      </c>
      <c r="N1552" t="s">
        <v>5769</v>
      </c>
      <c r="O1552" t="s">
        <v>42</v>
      </c>
      <c r="P1552" t="s">
        <v>43</v>
      </c>
      <c r="Q1552" t="s">
        <v>5770</v>
      </c>
      <c r="R1552">
        <v>30</v>
      </c>
      <c r="S1552" t="str">
        <f>TEXT(sales_data[[#This Row],[Order Date]],"mm")</f>
        <v>10</v>
      </c>
      <c r="T1552">
        <f>YEAR(sales_data[[#This Row],[Order Date]])</f>
        <v>2018</v>
      </c>
      <c r="V1552" t="s">
        <v>5769</v>
      </c>
    </row>
    <row r="1553" spans="1:22" x14ac:dyDescent="0.35">
      <c r="A1553">
        <v>3556</v>
      </c>
      <c r="B1553" t="s">
        <v>5771</v>
      </c>
      <c r="C1553" s="1">
        <v>42086</v>
      </c>
      <c r="D1553" s="1">
        <v>42089</v>
      </c>
      <c r="E1553" t="s">
        <v>19</v>
      </c>
      <c r="F1553" t="s">
        <v>230</v>
      </c>
      <c r="G1553" t="s">
        <v>231</v>
      </c>
      <c r="H1553" t="s">
        <v>22</v>
      </c>
      <c r="I1553" t="s">
        <v>23</v>
      </c>
      <c r="J1553" t="s">
        <v>38</v>
      </c>
      <c r="K1553" t="s">
        <v>39</v>
      </c>
      <c r="L1553">
        <v>90036</v>
      </c>
      <c r="M1553" t="s">
        <v>40</v>
      </c>
      <c r="N1553" t="s">
        <v>5772</v>
      </c>
      <c r="O1553" t="s">
        <v>67</v>
      </c>
      <c r="P1553" t="s">
        <v>68</v>
      </c>
      <c r="Q1553" t="s">
        <v>5773</v>
      </c>
      <c r="R1553">
        <v>604.75199999999995</v>
      </c>
      <c r="S1553" t="str">
        <f>TEXT(sales_data[[#This Row],[Order Date]],"mm")</f>
        <v>03</v>
      </c>
      <c r="T1553">
        <f>YEAR(sales_data[[#This Row],[Order Date]])</f>
        <v>2015</v>
      </c>
      <c r="V1553" t="s">
        <v>5772</v>
      </c>
    </row>
    <row r="1554" spans="1:22" x14ac:dyDescent="0.35">
      <c r="A1554">
        <v>3564</v>
      </c>
      <c r="B1554" t="s">
        <v>5774</v>
      </c>
      <c r="C1554" s="1">
        <v>43347</v>
      </c>
      <c r="D1554" s="1">
        <v>43352</v>
      </c>
      <c r="E1554" t="s">
        <v>19</v>
      </c>
      <c r="F1554" t="s">
        <v>1689</v>
      </c>
      <c r="G1554" t="s">
        <v>1690</v>
      </c>
      <c r="H1554" t="s">
        <v>22</v>
      </c>
      <c r="I1554" t="s">
        <v>23</v>
      </c>
      <c r="J1554" t="s">
        <v>793</v>
      </c>
      <c r="K1554" t="s">
        <v>493</v>
      </c>
      <c r="L1554">
        <v>44312</v>
      </c>
      <c r="M1554" t="s">
        <v>144</v>
      </c>
      <c r="N1554" t="s">
        <v>5775</v>
      </c>
      <c r="O1554" t="s">
        <v>42</v>
      </c>
      <c r="P1554" t="s">
        <v>86</v>
      </c>
      <c r="Q1554" t="s">
        <v>5776</v>
      </c>
      <c r="R1554">
        <v>11.52</v>
      </c>
      <c r="S1554" t="str">
        <f>TEXT(sales_data[[#This Row],[Order Date]],"mm")</f>
        <v>09</v>
      </c>
      <c r="T1554">
        <f>YEAR(sales_data[[#This Row],[Order Date]])</f>
        <v>2018</v>
      </c>
      <c r="V1554" t="s">
        <v>5775</v>
      </c>
    </row>
    <row r="1555" spans="1:22" x14ac:dyDescent="0.35">
      <c r="A1555">
        <v>3565</v>
      </c>
      <c r="B1555" t="s">
        <v>5777</v>
      </c>
      <c r="C1555" s="1">
        <v>42919</v>
      </c>
      <c r="D1555" s="1">
        <v>42922</v>
      </c>
      <c r="E1555" t="s">
        <v>183</v>
      </c>
      <c r="F1555" t="s">
        <v>1288</v>
      </c>
      <c r="G1555" t="s">
        <v>1289</v>
      </c>
      <c r="H1555" t="s">
        <v>22</v>
      </c>
      <c r="I1555" t="s">
        <v>23</v>
      </c>
      <c r="J1555" t="s">
        <v>38</v>
      </c>
      <c r="K1555" t="s">
        <v>39</v>
      </c>
      <c r="L1555">
        <v>90049</v>
      </c>
      <c r="M1555" t="s">
        <v>40</v>
      </c>
      <c r="N1555" t="s">
        <v>5778</v>
      </c>
      <c r="O1555" t="s">
        <v>42</v>
      </c>
      <c r="P1555" t="s">
        <v>86</v>
      </c>
      <c r="Q1555" t="s">
        <v>5779</v>
      </c>
      <c r="R1555">
        <v>12.96</v>
      </c>
      <c r="S1555" t="str">
        <f>TEXT(sales_data[[#This Row],[Order Date]],"mm")</f>
        <v>07</v>
      </c>
      <c r="T1555">
        <f>YEAR(sales_data[[#This Row],[Order Date]])</f>
        <v>2017</v>
      </c>
      <c r="V1555" t="s">
        <v>5778</v>
      </c>
    </row>
    <row r="1556" spans="1:22" x14ac:dyDescent="0.35">
      <c r="A1556">
        <v>3575</v>
      </c>
      <c r="B1556" t="s">
        <v>5781</v>
      </c>
      <c r="C1556" s="1">
        <v>43319</v>
      </c>
      <c r="D1556" s="1">
        <v>43324</v>
      </c>
      <c r="E1556" t="s">
        <v>46</v>
      </c>
      <c r="F1556" t="s">
        <v>4194</v>
      </c>
      <c r="G1556" t="s">
        <v>4195</v>
      </c>
      <c r="H1556" t="s">
        <v>22</v>
      </c>
      <c r="I1556" t="s">
        <v>23</v>
      </c>
      <c r="J1556" t="s">
        <v>1166</v>
      </c>
      <c r="K1556" t="s">
        <v>262</v>
      </c>
      <c r="L1556">
        <v>11561</v>
      </c>
      <c r="M1556" t="s">
        <v>144</v>
      </c>
      <c r="N1556" t="s">
        <v>5782</v>
      </c>
      <c r="O1556" t="s">
        <v>42</v>
      </c>
      <c r="P1556" t="s">
        <v>64</v>
      </c>
      <c r="Q1556" t="s">
        <v>2947</v>
      </c>
      <c r="R1556">
        <v>104.8</v>
      </c>
      <c r="S1556" t="str">
        <f>TEXT(sales_data[[#This Row],[Order Date]],"mm")</f>
        <v>08</v>
      </c>
      <c r="T1556">
        <f>YEAR(sales_data[[#This Row],[Order Date]])</f>
        <v>2018</v>
      </c>
      <c r="V1556" t="s">
        <v>5782</v>
      </c>
    </row>
    <row r="1557" spans="1:22" x14ac:dyDescent="0.35">
      <c r="A1557">
        <v>3579</v>
      </c>
      <c r="B1557" t="s">
        <v>5784</v>
      </c>
      <c r="C1557" s="1">
        <v>42941</v>
      </c>
      <c r="D1557" s="1">
        <v>42945</v>
      </c>
      <c r="E1557" t="s">
        <v>46</v>
      </c>
      <c r="F1557" t="s">
        <v>2917</v>
      </c>
      <c r="G1557" t="s">
        <v>2918</v>
      </c>
      <c r="H1557" t="s">
        <v>22</v>
      </c>
      <c r="I1557" t="s">
        <v>23</v>
      </c>
      <c r="J1557" t="s">
        <v>323</v>
      </c>
      <c r="K1557" t="s">
        <v>1475</v>
      </c>
      <c r="L1557">
        <v>39212</v>
      </c>
      <c r="M1557" t="s">
        <v>26</v>
      </c>
      <c r="N1557" t="s">
        <v>5785</v>
      </c>
      <c r="O1557" t="s">
        <v>42</v>
      </c>
      <c r="P1557" t="s">
        <v>55</v>
      </c>
      <c r="Q1557" t="s">
        <v>5786</v>
      </c>
      <c r="R1557">
        <v>7.89</v>
      </c>
      <c r="S1557" t="str">
        <f>TEXT(sales_data[[#This Row],[Order Date]],"mm")</f>
        <v>07</v>
      </c>
      <c r="T1557">
        <f>YEAR(sales_data[[#This Row],[Order Date]])</f>
        <v>2017</v>
      </c>
      <c r="V1557" t="s">
        <v>5785</v>
      </c>
    </row>
    <row r="1558" spans="1:22" x14ac:dyDescent="0.35">
      <c r="A1558">
        <v>3598</v>
      </c>
      <c r="B1558" t="s">
        <v>5787</v>
      </c>
      <c r="C1558" s="1">
        <v>42256</v>
      </c>
      <c r="D1558" s="1">
        <v>42261</v>
      </c>
      <c r="E1558" t="s">
        <v>19</v>
      </c>
      <c r="F1558" t="s">
        <v>805</v>
      </c>
      <c r="G1558" t="s">
        <v>806</v>
      </c>
      <c r="H1558" t="s">
        <v>22</v>
      </c>
      <c r="I1558" t="s">
        <v>23</v>
      </c>
      <c r="J1558" t="s">
        <v>142</v>
      </c>
      <c r="K1558" t="s">
        <v>143</v>
      </c>
      <c r="L1558">
        <v>19140</v>
      </c>
      <c r="M1558" t="s">
        <v>144</v>
      </c>
      <c r="N1558" t="s">
        <v>5788</v>
      </c>
      <c r="O1558" t="s">
        <v>67</v>
      </c>
      <c r="P1558" t="s">
        <v>156</v>
      </c>
      <c r="Q1558" t="s">
        <v>5789</v>
      </c>
      <c r="R1558">
        <v>64.703999999999994</v>
      </c>
      <c r="S1558" t="str">
        <f>TEXT(sales_data[[#This Row],[Order Date]],"mm")</f>
        <v>09</v>
      </c>
      <c r="T1558">
        <f>YEAR(sales_data[[#This Row],[Order Date]])</f>
        <v>2015</v>
      </c>
      <c r="V1558" t="s">
        <v>5788</v>
      </c>
    </row>
    <row r="1559" spans="1:22" x14ac:dyDescent="0.35">
      <c r="A1559">
        <v>3622</v>
      </c>
      <c r="B1559" t="s">
        <v>5793</v>
      </c>
      <c r="C1559" s="1">
        <v>43000</v>
      </c>
      <c r="D1559" s="1">
        <v>43007</v>
      </c>
      <c r="E1559" t="s">
        <v>46</v>
      </c>
      <c r="F1559" t="s">
        <v>578</v>
      </c>
      <c r="G1559" t="s">
        <v>579</v>
      </c>
      <c r="H1559" t="s">
        <v>37</v>
      </c>
      <c r="I1559" t="s">
        <v>23</v>
      </c>
      <c r="J1559" t="s">
        <v>3636</v>
      </c>
      <c r="K1559" t="s">
        <v>330</v>
      </c>
      <c r="L1559">
        <v>37167</v>
      </c>
      <c r="M1559" t="s">
        <v>26</v>
      </c>
      <c r="N1559" t="s">
        <v>5794</v>
      </c>
      <c r="O1559" t="s">
        <v>67</v>
      </c>
      <c r="P1559" t="s">
        <v>68</v>
      </c>
      <c r="Q1559" t="s">
        <v>5795</v>
      </c>
      <c r="R1559">
        <v>63.936</v>
      </c>
      <c r="S1559" t="str">
        <f>TEXT(sales_data[[#This Row],[Order Date]],"mm")</f>
        <v>09</v>
      </c>
      <c r="T1559">
        <f>YEAR(sales_data[[#This Row],[Order Date]])</f>
        <v>2017</v>
      </c>
      <c r="V1559" t="s">
        <v>5794</v>
      </c>
    </row>
    <row r="1560" spans="1:22" x14ac:dyDescent="0.35">
      <c r="A1560">
        <v>3636</v>
      </c>
      <c r="B1560" t="s">
        <v>5797</v>
      </c>
      <c r="C1560" s="1">
        <v>43049</v>
      </c>
      <c r="D1560" s="1">
        <v>43053</v>
      </c>
      <c r="E1560" t="s">
        <v>46</v>
      </c>
      <c r="F1560" t="s">
        <v>3634</v>
      </c>
      <c r="G1560" t="s">
        <v>3635</v>
      </c>
      <c r="H1560" t="s">
        <v>98</v>
      </c>
      <c r="I1560" t="s">
        <v>23</v>
      </c>
      <c r="J1560" t="s">
        <v>313</v>
      </c>
      <c r="K1560" t="s">
        <v>493</v>
      </c>
      <c r="L1560">
        <v>45503</v>
      </c>
      <c r="M1560" t="s">
        <v>144</v>
      </c>
      <c r="N1560" t="s">
        <v>5798</v>
      </c>
      <c r="O1560" t="s">
        <v>42</v>
      </c>
      <c r="P1560" t="s">
        <v>86</v>
      </c>
      <c r="Q1560" t="s">
        <v>5799</v>
      </c>
      <c r="R1560">
        <v>89.567999999999998</v>
      </c>
      <c r="S1560" t="str">
        <f>TEXT(sales_data[[#This Row],[Order Date]],"mm")</f>
        <v>11</v>
      </c>
      <c r="T1560">
        <f>YEAR(sales_data[[#This Row],[Order Date]])</f>
        <v>2017</v>
      </c>
      <c r="V1560" t="s">
        <v>5798</v>
      </c>
    </row>
    <row r="1561" spans="1:22" x14ac:dyDescent="0.35">
      <c r="A1561">
        <v>3644</v>
      </c>
      <c r="B1561" t="s">
        <v>5800</v>
      </c>
      <c r="C1561" s="1">
        <v>42358</v>
      </c>
      <c r="D1561" s="1">
        <v>42361</v>
      </c>
      <c r="E1561" t="s">
        <v>19</v>
      </c>
      <c r="F1561" t="s">
        <v>2195</v>
      </c>
      <c r="G1561" t="s">
        <v>2196</v>
      </c>
      <c r="H1561" t="s">
        <v>22</v>
      </c>
      <c r="I1561" t="s">
        <v>23</v>
      </c>
      <c r="J1561" t="s">
        <v>38</v>
      </c>
      <c r="K1561" t="s">
        <v>39</v>
      </c>
      <c r="L1561">
        <v>90008</v>
      </c>
      <c r="M1561" t="s">
        <v>40</v>
      </c>
      <c r="N1561" t="s">
        <v>5801</v>
      </c>
      <c r="O1561" t="s">
        <v>42</v>
      </c>
      <c r="P1561" t="s">
        <v>64</v>
      </c>
      <c r="Q1561" t="s">
        <v>5802</v>
      </c>
      <c r="R1561">
        <v>47.3</v>
      </c>
      <c r="S1561" t="str">
        <f>TEXT(sales_data[[#This Row],[Order Date]],"mm")</f>
        <v>12</v>
      </c>
      <c r="T1561">
        <f>YEAR(sales_data[[#This Row],[Order Date]])</f>
        <v>2015</v>
      </c>
      <c r="V1561" t="s">
        <v>5801</v>
      </c>
    </row>
    <row r="1562" spans="1:22" x14ac:dyDescent="0.35">
      <c r="A1562">
        <v>3645</v>
      </c>
      <c r="B1562" t="s">
        <v>5800</v>
      </c>
      <c r="C1562" s="1">
        <v>42358</v>
      </c>
      <c r="D1562" s="1">
        <v>42361</v>
      </c>
      <c r="E1562" t="s">
        <v>19</v>
      </c>
      <c r="F1562" t="s">
        <v>2195</v>
      </c>
      <c r="G1562" t="s">
        <v>2196</v>
      </c>
      <c r="H1562" t="s">
        <v>22</v>
      </c>
      <c r="I1562" t="s">
        <v>23</v>
      </c>
      <c r="J1562" t="s">
        <v>38</v>
      </c>
      <c r="K1562" t="s">
        <v>39</v>
      </c>
      <c r="L1562">
        <v>90008</v>
      </c>
      <c r="M1562" t="s">
        <v>40</v>
      </c>
      <c r="N1562" t="s">
        <v>5803</v>
      </c>
      <c r="O1562" t="s">
        <v>42</v>
      </c>
      <c r="P1562" t="s">
        <v>64</v>
      </c>
      <c r="Q1562" t="s">
        <v>5804</v>
      </c>
      <c r="R1562">
        <v>4.13</v>
      </c>
      <c r="S1562" t="str">
        <f>TEXT(sales_data[[#This Row],[Order Date]],"mm")</f>
        <v>12</v>
      </c>
      <c r="T1562">
        <f>YEAR(sales_data[[#This Row],[Order Date]])</f>
        <v>2015</v>
      </c>
      <c r="V1562" t="s">
        <v>5803</v>
      </c>
    </row>
    <row r="1563" spans="1:22" x14ac:dyDescent="0.35">
      <c r="A1563">
        <v>3646</v>
      </c>
      <c r="B1563" t="s">
        <v>5800</v>
      </c>
      <c r="C1563" s="1">
        <v>42358</v>
      </c>
      <c r="D1563" s="1">
        <v>42361</v>
      </c>
      <c r="E1563" t="s">
        <v>19</v>
      </c>
      <c r="F1563" t="s">
        <v>2195</v>
      </c>
      <c r="G1563" t="s">
        <v>2196</v>
      </c>
      <c r="H1563" t="s">
        <v>22</v>
      </c>
      <c r="I1563" t="s">
        <v>23</v>
      </c>
      <c r="J1563" t="s">
        <v>38</v>
      </c>
      <c r="K1563" t="s">
        <v>39</v>
      </c>
      <c r="L1563">
        <v>90008</v>
      </c>
      <c r="M1563" t="s">
        <v>40</v>
      </c>
      <c r="N1563" t="s">
        <v>5805</v>
      </c>
      <c r="O1563" t="s">
        <v>42</v>
      </c>
      <c r="P1563" t="s">
        <v>71</v>
      </c>
      <c r="Q1563" t="s">
        <v>5806</v>
      </c>
      <c r="R1563">
        <v>155.12</v>
      </c>
      <c r="S1563" t="str">
        <f>TEXT(sales_data[[#This Row],[Order Date]],"mm")</f>
        <v>12</v>
      </c>
      <c r="T1563">
        <f>YEAR(sales_data[[#This Row],[Order Date]])</f>
        <v>2015</v>
      </c>
      <c r="V1563" t="s">
        <v>5805</v>
      </c>
    </row>
    <row r="1564" spans="1:22" x14ac:dyDescent="0.35">
      <c r="A1564">
        <v>3648</v>
      </c>
      <c r="B1564" t="s">
        <v>5807</v>
      </c>
      <c r="C1564" s="1">
        <v>42210</v>
      </c>
      <c r="D1564" s="1">
        <v>42212</v>
      </c>
      <c r="E1564" t="s">
        <v>19</v>
      </c>
      <c r="F1564" t="s">
        <v>5369</v>
      </c>
      <c r="G1564" t="s">
        <v>5370</v>
      </c>
      <c r="H1564" t="s">
        <v>98</v>
      </c>
      <c r="I1564" t="s">
        <v>23</v>
      </c>
      <c r="J1564" t="s">
        <v>38</v>
      </c>
      <c r="K1564" t="s">
        <v>39</v>
      </c>
      <c r="L1564">
        <v>90045</v>
      </c>
      <c r="M1564" t="s">
        <v>40</v>
      </c>
      <c r="N1564" t="s">
        <v>5808</v>
      </c>
      <c r="O1564" t="s">
        <v>42</v>
      </c>
      <c r="P1564" t="s">
        <v>573</v>
      </c>
      <c r="Q1564" t="s">
        <v>5809</v>
      </c>
      <c r="R1564">
        <v>15.52</v>
      </c>
      <c r="S1564" t="str">
        <f>TEXT(sales_data[[#This Row],[Order Date]],"mm")</f>
        <v>07</v>
      </c>
      <c r="T1564">
        <f>YEAR(sales_data[[#This Row],[Order Date]])</f>
        <v>2015</v>
      </c>
      <c r="V1564" t="s">
        <v>5808</v>
      </c>
    </row>
    <row r="1565" spans="1:22" x14ac:dyDescent="0.35">
      <c r="A1565">
        <v>3651</v>
      </c>
      <c r="B1565" t="s">
        <v>5810</v>
      </c>
      <c r="C1565" s="1">
        <v>43443</v>
      </c>
      <c r="D1565" s="1">
        <v>43445</v>
      </c>
      <c r="E1565" t="s">
        <v>19</v>
      </c>
      <c r="F1565" t="s">
        <v>1754</v>
      </c>
      <c r="G1565" t="s">
        <v>1755</v>
      </c>
      <c r="H1565" t="s">
        <v>22</v>
      </c>
      <c r="I1565" t="s">
        <v>23</v>
      </c>
      <c r="J1565" t="s">
        <v>872</v>
      </c>
      <c r="K1565" t="s">
        <v>233</v>
      </c>
      <c r="L1565">
        <v>48234</v>
      </c>
      <c r="M1565" t="s">
        <v>101</v>
      </c>
      <c r="N1565" t="s">
        <v>5811</v>
      </c>
      <c r="O1565" t="s">
        <v>67</v>
      </c>
      <c r="P1565" t="s">
        <v>156</v>
      </c>
      <c r="Q1565" t="s">
        <v>5812</v>
      </c>
      <c r="R1565">
        <v>104.88</v>
      </c>
      <c r="S1565" t="str">
        <f>TEXT(sales_data[[#This Row],[Order Date]],"mm")</f>
        <v>12</v>
      </c>
      <c r="T1565">
        <f>YEAR(sales_data[[#This Row],[Order Date]])</f>
        <v>2018</v>
      </c>
      <c r="V1565" t="s">
        <v>5811</v>
      </c>
    </row>
    <row r="1566" spans="1:22" x14ac:dyDescent="0.35">
      <c r="A1566">
        <v>3657</v>
      </c>
      <c r="B1566" t="s">
        <v>5813</v>
      </c>
      <c r="C1566" s="1">
        <v>43351</v>
      </c>
      <c r="D1566" s="1">
        <v>43357</v>
      </c>
      <c r="E1566" t="s">
        <v>46</v>
      </c>
      <c r="F1566" t="s">
        <v>4749</v>
      </c>
      <c r="G1566" t="s">
        <v>4750</v>
      </c>
      <c r="H1566" t="s">
        <v>37</v>
      </c>
      <c r="I1566" t="s">
        <v>23</v>
      </c>
      <c r="J1566" t="s">
        <v>858</v>
      </c>
      <c r="K1566" t="s">
        <v>493</v>
      </c>
      <c r="L1566">
        <v>43017</v>
      </c>
      <c r="M1566" t="s">
        <v>144</v>
      </c>
      <c r="N1566" t="s">
        <v>5814</v>
      </c>
      <c r="O1566" t="s">
        <v>67</v>
      </c>
      <c r="P1566" t="s">
        <v>156</v>
      </c>
      <c r="Q1566" t="s">
        <v>5815</v>
      </c>
      <c r="R1566">
        <v>9.0960000000000001</v>
      </c>
      <c r="S1566" t="str">
        <f>TEXT(sales_data[[#This Row],[Order Date]],"mm")</f>
        <v>09</v>
      </c>
      <c r="T1566">
        <f>YEAR(sales_data[[#This Row],[Order Date]])</f>
        <v>2018</v>
      </c>
      <c r="V1566" t="s">
        <v>5814</v>
      </c>
    </row>
    <row r="1567" spans="1:22" x14ac:dyDescent="0.35">
      <c r="A1567">
        <v>3660</v>
      </c>
      <c r="B1567" t="s">
        <v>5816</v>
      </c>
      <c r="C1567" s="1">
        <v>42441</v>
      </c>
      <c r="D1567" s="1">
        <v>42446</v>
      </c>
      <c r="E1567" t="s">
        <v>46</v>
      </c>
      <c r="F1567" t="s">
        <v>3920</v>
      </c>
      <c r="G1567" t="s">
        <v>3921</v>
      </c>
      <c r="H1567" t="s">
        <v>37</v>
      </c>
      <c r="I1567" t="s">
        <v>23</v>
      </c>
      <c r="J1567" t="s">
        <v>5817</v>
      </c>
      <c r="K1567" t="s">
        <v>50</v>
      </c>
      <c r="L1567">
        <v>33317</v>
      </c>
      <c r="M1567" t="s">
        <v>26</v>
      </c>
      <c r="N1567" t="s">
        <v>5818</v>
      </c>
      <c r="O1567" t="s">
        <v>28</v>
      </c>
      <c r="P1567" t="s">
        <v>61</v>
      </c>
      <c r="Q1567" t="s">
        <v>5819</v>
      </c>
      <c r="R1567">
        <v>6.4080000000000004</v>
      </c>
      <c r="S1567" t="str">
        <f>TEXT(sales_data[[#This Row],[Order Date]],"mm")</f>
        <v>03</v>
      </c>
      <c r="T1567">
        <f>YEAR(sales_data[[#This Row],[Order Date]])</f>
        <v>2016</v>
      </c>
      <c r="V1567" t="s">
        <v>5818</v>
      </c>
    </row>
    <row r="1568" spans="1:22" x14ac:dyDescent="0.35">
      <c r="A1568">
        <v>3661</v>
      </c>
      <c r="B1568" t="s">
        <v>5820</v>
      </c>
      <c r="C1568" s="1">
        <v>42934</v>
      </c>
      <c r="D1568" s="1">
        <v>42939</v>
      </c>
      <c r="E1568" t="s">
        <v>46</v>
      </c>
      <c r="F1568" t="s">
        <v>5560</v>
      </c>
      <c r="G1568" t="s">
        <v>5561</v>
      </c>
      <c r="H1568" t="s">
        <v>37</v>
      </c>
      <c r="I1568" t="s">
        <v>23</v>
      </c>
      <c r="J1568" t="s">
        <v>3760</v>
      </c>
      <c r="K1568" t="s">
        <v>305</v>
      </c>
      <c r="L1568">
        <v>85301</v>
      </c>
      <c r="M1568" t="s">
        <v>40</v>
      </c>
      <c r="N1568" t="s">
        <v>5821</v>
      </c>
      <c r="O1568" t="s">
        <v>42</v>
      </c>
      <c r="P1568" t="s">
        <v>573</v>
      </c>
      <c r="Q1568" t="s">
        <v>5822</v>
      </c>
      <c r="R1568">
        <v>33.799999999999997</v>
      </c>
      <c r="S1568" t="str">
        <f>TEXT(sales_data[[#This Row],[Order Date]],"mm")</f>
        <v>07</v>
      </c>
      <c r="T1568">
        <f>YEAR(sales_data[[#This Row],[Order Date]])</f>
        <v>2017</v>
      </c>
      <c r="V1568" t="s">
        <v>5821</v>
      </c>
    </row>
    <row r="1569" spans="1:22" x14ac:dyDescent="0.35">
      <c r="A1569">
        <v>3668</v>
      </c>
      <c r="B1569" t="s">
        <v>5823</v>
      </c>
      <c r="C1569" s="1">
        <v>42346</v>
      </c>
      <c r="D1569" s="1">
        <v>42351</v>
      </c>
      <c r="E1569" t="s">
        <v>46</v>
      </c>
      <c r="F1569" t="s">
        <v>5053</v>
      </c>
      <c r="G1569" t="s">
        <v>5054</v>
      </c>
      <c r="H1569" t="s">
        <v>22</v>
      </c>
      <c r="I1569" t="s">
        <v>23</v>
      </c>
      <c r="J1569" t="s">
        <v>1953</v>
      </c>
      <c r="K1569" t="s">
        <v>415</v>
      </c>
      <c r="L1569">
        <v>97301</v>
      </c>
      <c r="M1569" t="s">
        <v>40</v>
      </c>
      <c r="N1569" t="s">
        <v>5824</v>
      </c>
      <c r="O1569" t="s">
        <v>42</v>
      </c>
      <c r="P1569" t="s">
        <v>573</v>
      </c>
      <c r="Q1569" t="s">
        <v>5825</v>
      </c>
      <c r="R1569">
        <v>13.88</v>
      </c>
      <c r="S1569" t="str">
        <f>TEXT(sales_data[[#This Row],[Order Date]],"mm")</f>
        <v>12</v>
      </c>
      <c r="T1569">
        <f>YEAR(sales_data[[#This Row],[Order Date]])</f>
        <v>2015</v>
      </c>
      <c r="V1569" t="s">
        <v>5824</v>
      </c>
    </row>
    <row r="1570" spans="1:22" x14ac:dyDescent="0.35">
      <c r="A1570">
        <v>3670</v>
      </c>
      <c r="B1570" t="s">
        <v>5823</v>
      </c>
      <c r="C1570" s="1">
        <v>42346</v>
      </c>
      <c r="D1570" s="1">
        <v>42351</v>
      </c>
      <c r="E1570" t="s">
        <v>46</v>
      </c>
      <c r="F1570" t="s">
        <v>5053</v>
      </c>
      <c r="G1570" t="s">
        <v>5054</v>
      </c>
      <c r="H1570" t="s">
        <v>22</v>
      </c>
      <c r="I1570" t="s">
        <v>23</v>
      </c>
      <c r="J1570" t="s">
        <v>1953</v>
      </c>
      <c r="K1570" t="s">
        <v>415</v>
      </c>
      <c r="L1570">
        <v>97301</v>
      </c>
      <c r="M1570" t="s">
        <v>40</v>
      </c>
      <c r="N1570" t="s">
        <v>5826</v>
      </c>
      <c r="O1570" t="s">
        <v>42</v>
      </c>
      <c r="P1570" t="s">
        <v>43</v>
      </c>
      <c r="Q1570" t="s">
        <v>5827</v>
      </c>
      <c r="R1570">
        <v>11.52</v>
      </c>
      <c r="S1570" t="str">
        <f>TEXT(sales_data[[#This Row],[Order Date]],"mm")</f>
        <v>12</v>
      </c>
      <c r="T1570">
        <f>YEAR(sales_data[[#This Row],[Order Date]])</f>
        <v>2015</v>
      </c>
      <c r="V1570" t="s">
        <v>5826</v>
      </c>
    </row>
    <row r="1571" spans="1:22" x14ac:dyDescent="0.35">
      <c r="A1571">
        <v>3672</v>
      </c>
      <c r="B1571" t="s">
        <v>5823</v>
      </c>
      <c r="C1571" s="1">
        <v>42346</v>
      </c>
      <c r="D1571" s="1">
        <v>42351</v>
      </c>
      <c r="E1571" t="s">
        <v>46</v>
      </c>
      <c r="F1571" t="s">
        <v>5053</v>
      </c>
      <c r="G1571" t="s">
        <v>5054</v>
      </c>
      <c r="H1571" t="s">
        <v>22</v>
      </c>
      <c r="I1571" t="s">
        <v>23</v>
      </c>
      <c r="J1571" t="s">
        <v>1953</v>
      </c>
      <c r="K1571" t="s">
        <v>415</v>
      </c>
      <c r="L1571">
        <v>97301</v>
      </c>
      <c r="M1571" t="s">
        <v>40</v>
      </c>
      <c r="N1571" t="s">
        <v>5828</v>
      </c>
      <c r="O1571" t="s">
        <v>42</v>
      </c>
      <c r="P1571" t="s">
        <v>55</v>
      </c>
      <c r="Q1571" t="s">
        <v>5829</v>
      </c>
      <c r="R1571">
        <v>39.072000000000003</v>
      </c>
      <c r="S1571" t="str">
        <f>TEXT(sales_data[[#This Row],[Order Date]],"mm")</f>
        <v>12</v>
      </c>
      <c r="T1571">
        <f>YEAR(sales_data[[#This Row],[Order Date]])</f>
        <v>2015</v>
      </c>
      <c r="V1571" t="s">
        <v>5828</v>
      </c>
    </row>
    <row r="1572" spans="1:22" x14ac:dyDescent="0.35">
      <c r="A1572">
        <v>3681</v>
      </c>
      <c r="B1572" t="s">
        <v>5830</v>
      </c>
      <c r="C1572" s="1">
        <v>42560</v>
      </c>
      <c r="D1572" s="1">
        <v>42565</v>
      </c>
      <c r="E1572" t="s">
        <v>46</v>
      </c>
      <c r="F1572" t="s">
        <v>4275</v>
      </c>
      <c r="G1572" t="s">
        <v>4276</v>
      </c>
      <c r="H1572" t="s">
        <v>22</v>
      </c>
      <c r="I1572" t="s">
        <v>23</v>
      </c>
      <c r="J1572" t="s">
        <v>3112</v>
      </c>
      <c r="K1572" t="s">
        <v>2676</v>
      </c>
      <c r="L1572">
        <v>20735</v>
      </c>
      <c r="M1572" t="s">
        <v>144</v>
      </c>
      <c r="N1572" t="s">
        <v>5831</v>
      </c>
      <c r="O1572" t="s">
        <v>42</v>
      </c>
      <c r="P1572" t="s">
        <v>43</v>
      </c>
      <c r="Q1572" t="s">
        <v>5832</v>
      </c>
      <c r="R1572">
        <v>12.39</v>
      </c>
      <c r="S1572" t="str">
        <f>TEXT(sales_data[[#This Row],[Order Date]],"mm")</f>
        <v>07</v>
      </c>
      <c r="T1572">
        <f>YEAR(sales_data[[#This Row],[Order Date]])</f>
        <v>2016</v>
      </c>
      <c r="V1572" t="s">
        <v>5831</v>
      </c>
    </row>
    <row r="1573" spans="1:22" x14ac:dyDescent="0.35">
      <c r="A1573">
        <v>3683</v>
      </c>
      <c r="B1573" t="s">
        <v>5830</v>
      </c>
      <c r="C1573" s="1">
        <v>42560</v>
      </c>
      <c r="D1573" s="1">
        <v>42565</v>
      </c>
      <c r="E1573" t="s">
        <v>46</v>
      </c>
      <c r="F1573" t="s">
        <v>4275</v>
      </c>
      <c r="G1573" t="s">
        <v>4276</v>
      </c>
      <c r="H1573" t="s">
        <v>22</v>
      </c>
      <c r="I1573" t="s">
        <v>23</v>
      </c>
      <c r="J1573" t="s">
        <v>3112</v>
      </c>
      <c r="K1573" t="s">
        <v>2676</v>
      </c>
      <c r="L1573">
        <v>20735</v>
      </c>
      <c r="M1573" t="s">
        <v>144</v>
      </c>
      <c r="N1573" t="s">
        <v>5833</v>
      </c>
      <c r="O1573" t="s">
        <v>42</v>
      </c>
      <c r="P1573" t="s">
        <v>64</v>
      </c>
      <c r="Q1573" t="s">
        <v>5834</v>
      </c>
      <c r="R1573">
        <v>79.36</v>
      </c>
      <c r="S1573" t="str">
        <f>TEXT(sales_data[[#This Row],[Order Date]],"mm")</f>
        <v>07</v>
      </c>
      <c r="T1573">
        <f>YEAR(sales_data[[#This Row],[Order Date]])</f>
        <v>2016</v>
      </c>
      <c r="V1573" t="s">
        <v>5833</v>
      </c>
    </row>
    <row r="1574" spans="1:22" x14ac:dyDescent="0.35">
      <c r="A1574">
        <v>3692</v>
      </c>
      <c r="B1574" t="s">
        <v>5835</v>
      </c>
      <c r="C1574" s="1">
        <v>42673</v>
      </c>
      <c r="D1574" s="1">
        <v>42676</v>
      </c>
      <c r="E1574" t="s">
        <v>19</v>
      </c>
      <c r="F1574" t="s">
        <v>1164</v>
      </c>
      <c r="G1574" t="s">
        <v>1165</v>
      </c>
      <c r="H1574" t="s">
        <v>37</v>
      </c>
      <c r="I1574" t="s">
        <v>23</v>
      </c>
      <c r="J1574" t="s">
        <v>799</v>
      </c>
      <c r="K1574" t="s">
        <v>452</v>
      </c>
      <c r="L1574">
        <v>80219</v>
      </c>
      <c r="M1574" t="s">
        <v>40</v>
      </c>
      <c r="N1574" t="s">
        <v>5836</v>
      </c>
      <c r="O1574" t="s">
        <v>67</v>
      </c>
      <c r="P1574" t="s">
        <v>1209</v>
      </c>
      <c r="Q1574" t="s">
        <v>5837</v>
      </c>
      <c r="R1574">
        <v>439.99200000000002</v>
      </c>
      <c r="S1574" t="str">
        <f>TEXT(sales_data[[#This Row],[Order Date]],"mm")</f>
        <v>10</v>
      </c>
      <c r="T1574">
        <f>YEAR(sales_data[[#This Row],[Order Date]])</f>
        <v>2016</v>
      </c>
      <c r="V1574" t="s">
        <v>5836</v>
      </c>
    </row>
    <row r="1575" spans="1:22" x14ac:dyDescent="0.35">
      <c r="A1575">
        <v>3694</v>
      </c>
      <c r="B1575" t="s">
        <v>5835</v>
      </c>
      <c r="C1575" s="1">
        <v>42673</v>
      </c>
      <c r="D1575" s="1">
        <v>42676</v>
      </c>
      <c r="E1575" t="s">
        <v>19</v>
      </c>
      <c r="F1575" t="s">
        <v>1164</v>
      </c>
      <c r="G1575" t="s">
        <v>1165</v>
      </c>
      <c r="H1575" t="s">
        <v>37</v>
      </c>
      <c r="I1575" t="s">
        <v>23</v>
      </c>
      <c r="J1575" t="s">
        <v>799</v>
      </c>
      <c r="K1575" t="s">
        <v>452</v>
      </c>
      <c r="L1575">
        <v>80219</v>
      </c>
      <c r="M1575" t="s">
        <v>40</v>
      </c>
      <c r="N1575" t="s">
        <v>5838</v>
      </c>
      <c r="O1575" t="s">
        <v>28</v>
      </c>
      <c r="P1575" t="s">
        <v>61</v>
      </c>
      <c r="Q1575" t="s">
        <v>5839</v>
      </c>
      <c r="R1575">
        <v>15.488</v>
      </c>
      <c r="S1575" t="str">
        <f>TEXT(sales_data[[#This Row],[Order Date]],"mm")</f>
        <v>10</v>
      </c>
      <c r="T1575">
        <f>YEAR(sales_data[[#This Row],[Order Date]])</f>
        <v>2016</v>
      </c>
      <c r="V1575" t="s">
        <v>5838</v>
      </c>
    </row>
    <row r="1576" spans="1:22" x14ac:dyDescent="0.35">
      <c r="A1576">
        <v>3699</v>
      </c>
      <c r="B1576" t="s">
        <v>5840</v>
      </c>
      <c r="C1576" s="1">
        <v>42260</v>
      </c>
      <c r="D1576" s="1">
        <v>42264</v>
      </c>
      <c r="E1576" t="s">
        <v>46</v>
      </c>
      <c r="F1576" t="s">
        <v>221</v>
      </c>
      <c r="G1576" t="s">
        <v>222</v>
      </c>
      <c r="H1576" t="s">
        <v>37</v>
      </c>
      <c r="I1576" t="s">
        <v>23</v>
      </c>
      <c r="J1576" t="s">
        <v>3873</v>
      </c>
      <c r="K1576" t="s">
        <v>305</v>
      </c>
      <c r="L1576">
        <v>85281</v>
      </c>
      <c r="M1576" t="s">
        <v>40</v>
      </c>
      <c r="N1576" t="s">
        <v>5841</v>
      </c>
      <c r="O1576" t="s">
        <v>42</v>
      </c>
      <c r="P1576" t="s">
        <v>55</v>
      </c>
      <c r="Q1576" t="s">
        <v>5842</v>
      </c>
      <c r="R1576">
        <v>79.400000000000006</v>
      </c>
      <c r="S1576" t="str">
        <f>TEXT(sales_data[[#This Row],[Order Date]],"mm")</f>
        <v>09</v>
      </c>
      <c r="T1576">
        <f>YEAR(sales_data[[#This Row],[Order Date]])</f>
        <v>2015</v>
      </c>
      <c r="V1576" t="s">
        <v>5841</v>
      </c>
    </row>
    <row r="1577" spans="1:22" x14ac:dyDescent="0.35">
      <c r="A1577">
        <v>3713</v>
      </c>
      <c r="B1577" t="s">
        <v>5844</v>
      </c>
      <c r="C1577" s="1">
        <v>43211</v>
      </c>
      <c r="D1577" s="1">
        <v>43214</v>
      </c>
      <c r="E1577" t="s">
        <v>183</v>
      </c>
      <c r="F1577" t="s">
        <v>4194</v>
      </c>
      <c r="G1577" t="s">
        <v>4195</v>
      </c>
      <c r="H1577" t="s">
        <v>22</v>
      </c>
      <c r="I1577" t="s">
        <v>23</v>
      </c>
      <c r="J1577" t="s">
        <v>91</v>
      </c>
      <c r="K1577" t="s">
        <v>92</v>
      </c>
      <c r="L1577">
        <v>98103</v>
      </c>
      <c r="M1577" t="s">
        <v>40</v>
      </c>
      <c r="N1577" t="s">
        <v>5845</v>
      </c>
      <c r="O1577" t="s">
        <v>67</v>
      </c>
      <c r="P1577" t="s">
        <v>156</v>
      </c>
      <c r="Q1577" t="s">
        <v>5846</v>
      </c>
      <c r="R1577">
        <v>11.54</v>
      </c>
      <c r="S1577" t="str">
        <f>TEXT(sales_data[[#This Row],[Order Date]],"mm")</f>
        <v>04</v>
      </c>
      <c r="T1577">
        <f>YEAR(sales_data[[#This Row],[Order Date]])</f>
        <v>2018</v>
      </c>
      <c r="V1577" t="s">
        <v>5845</v>
      </c>
    </row>
    <row r="1578" spans="1:22" x14ac:dyDescent="0.35">
      <c r="A1578">
        <v>3718</v>
      </c>
      <c r="B1578" t="s">
        <v>5847</v>
      </c>
      <c r="C1578" s="1">
        <v>42997</v>
      </c>
      <c r="D1578" s="1">
        <v>43001</v>
      </c>
      <c r="E1578" t="s">
        <v>46</v>
      </c>
      <c r="F1578" t="s">
        <v>1974</v>
      </c>
      <c r="G1578" t="s">
        <v>1975</v>
      </c>
      <c r="H1578" t="s">
        <v>22</v>
      </c>
      <c r="I1578" t="s">
        <v>23</v>
      </c>
      <c r="J1578" t="s">
        <v>492</v>
      </c>
      <c r="K1578" t="s">
        <v>1261</v>
      </c>
      <c r="L1578">
        <v>31907</v>
      </c>
      <c r="M1578" t="s">
        <v>26</v>
      </c>
      <c r="N1578" t="s">
        <v>5848</v>
      </c>
      <c r="O1578" t="s">
        <v>42</v>
      </c>
      <c r="P1578" t="s">
        <v>573</v>
      </c>
      <c r="Q1578" t="s">
        <v>5849</v>
      </c>
      <c r="R1578">
        <v>5.04</v>
      </c>
      <c r="S1578" t="str">
        <f>TEXT(sales_data[[#This Row],[Order Date]],"mm")</f>
        <v>09</v>
      </c>
      <c r="T1578">
        <f>YEAR(sales_data[[#This Row],[Order Date]])</f>
        <v>2017</v>
      </c>
      <c r="V1578" t="s">
        <v>5848</v>
      </c>
    </row>
    <row r="1579" spans="1:22" x14ac:dyDescent="0.35">
      <c r="A1579">
        <v>3732</v>
      </c>
      <c r="B1579" t="s">
        <v>5850</v>
      </c>
      <c r="C1579" s="1">
        <v>42631</v>
      </c>
      <c r="D1579" s="1">
        <v>42636</v>
      </c>
      <c r="E1579" t="s">
        <v>46</v>
      </c>
      <c r="F1579" t="s">
        <v>1491</v>
      </c>
      <c r="G1579" t="s">
        <v>1492</v>
      </c>
      <c r="H1579" t="s">
        <v>37</v>
      </c>
      <c r="I1579" t="s">
        <v>23</v>
      </c>
      <c r="J1579" t="s">
        <v>3112</v>
      </c>
      <c r="K1579" t="s">
        <v>2676</v>
      </c>
      <c r="L1579">
        <v>20735</v>
      </c>
      <c r="M1579" t="s">
        <v>144</v>
      </c>
      <c r="N1579" t="s">
        <v>5851</v>
      </c>
      <c r="O1579" t="s">
        <v>67</v>
      </c>
      <c r="P1579" t="s">
        <v>68</v>
      </c>
      <c r="Q1579" t="s">
        <v>5852</v>
      </c>
      <c r="R1579">
        <v>499.99</v>
      </c>
      <c r="S1579" t="str">
        <f>TEXT(sales_data[[#This Row],[Order Date]],"mm")</f>
        <v>09</v>
      </c>
      <c r="T1579">
        <f>YEAR(sales_data[[#This Row],[Order Date]])</f>
        <v>2016</v>
      </c>
      <c r="V1579" t="s">
        <v>5851</v>
      </c>
    </row>
    <row r="1580" spans="1:22" x14ac:dyDescent="0.35">
      <c r="A1580">
        <v>3757</v>
      </c>
      <c r="B1580" t="s">
        <v>5855</v>
      </c>
      <c r="C1580" s="1">
        <v>42797</v>
      </c>
      <c r="D1580" s="1">
        <v>42800</v>
      </c>
      <c r="E1580" t="s">
        <v>183</v>
      </c>
      <c r="F1580" t="s">
        <v>5533</v>
      </c>
      <c r="G1580" t="s">
        <v>5534</v>
      </c>
      <c r="H1580" t="s">
        <v>37</v>
      </c>
      <c r="I1580" t="s">
        <v>23</v>
      </c>
      <c r="J1580" t="s">
        <v>5856</v>
      </c>
      <c r="K1580" t="s">
        <v>100</v>
      </c>
      <c r="L1580">
        <v>79762</v>
      </c>
      <c r="M1580" t="s">
        <v>101</v>
      </c>
      <c r="N1580" t="s">
        <v>5857</v>
      </c>
      <c r="O1580" t="s">
        <v>28</v>
      </c>
      <c r="P1580" t="s">
        <v>32</v>
      </c>
      <c r="Q1580" t="s">
        <v>5858</v>
      </c>
      <c r="R1580">
        <v>563.42999999999995</v>
      </c>
      <c r="S1580" t="str">
        <f>TEXT(sales_data[[#This Row],[Order Date]],"mm")</f>
        <v>03</v>
      </c>
      <c r="T1580">
        <f>YEAR(sales_data[[#This Row],[Order Date]])</f>
        <v>2017</v>
      </c>
      <c r="V1580" t="s">
        <v>5857</v>
      </c>
    </row>
    <row r="1581" spans="1:22" x14ac:dyDescent="0.35">
      <c r="A1581">
        <v>3774</v>
      </c>
      <c r="B1581" t="s">
        <v>5859</v>
      </c>
      <c r="C1581" s="1">
        <v>42105</v>
      </c>
      <c r="D1581" s="1">
        <v>42107</v>
      </c>
      <c r="E1581" t="s">
        <v>19</v>
      </c>
      <c r="F1581" t="s">
        <v>2235</v>
      </c>
      <c r="G1581" t="s">
        <v>2236</v>
      </c>
      <c r="H1581" t="s">
        <v>22</v>
      </c>
      <c r="I1581" t="s">
        <v>23</v>
      </c>
      <c r="J1581" t="s">
        <v>1407</v>
      </c>
      <c r="K1581" t="s">
        <v>50</v>
      </c>
      <c r="L1581">
        <v>33180</v>
      </c>
      <c r="M1581" t="s">
        <v>26</v>
      </c>
      <c r="N1581" t="s">
        <v>5860</v>
      </c>
      <c r="O1581" t="s">
        <v>42</v>
      </c>
      <c r="P1581" t="s">
        <v>264</v>
      </c>
      <c r="Q1581" t="s">
        <v>5861</v>
      </c>
      <c r="R1581">
        <v>6.9119999999999999</v>
      </c>
      <c r="S1581" t="str">
        <f>TEXT(sales_data[[#This Row],[Order Date]],"mm")</f>
        <v>04</v>
      </c>
      <c r="T1581">
        <f>YEAR(sales_data[[#This Row],[Order Date]])</f>
        <v>2015</v>
      </c>
      <c r="V1581" t="s">
        <v>5860</v>
      </c>
    </row>
    <row r="1582" spans="1:22" x14ac:dyDescent="0.35">
      <c r="A1582">
        <v>3777</v>
      </c>
      <c r="B1582" t="s">
        <v>5859</v>
      </c>
      <c r="C1582" s="1">
        <v>42105</v>
      </c>
      <c r="D1582" s="1">
        <v>42107</v>
      </c>
      <c r="E1582" t="s">
        <v>19</v>
      </c>
      <c r="F1582" t="s">
        <v>2235</v>
      </c>
      <c r="G1582" t="s">
        <v>2236</v>
      </c>
      <c r="H1582" t="s">
        <v>22</v>
      </c>
      <c r="I1582" t="s">
        <v>23</v>
      </c>
      <c r="J1582" t="s">
        <v>1407</v>
      </c>
      <c r="K1582" t="s">
        <v>50</v>
      </c>
      <c r="L1582">
        <v>33180</v>
      </c>
      <c r="M1582" t="s">
        <v>26</v>
      </c>
      <c r="N1582" t="s">
        <v>5862</v>
      </c>
      <c r="O1582" t="s">
        <v>67</v>
      </c>
      <c r="P1582" t="s">
        <v>156</v>
      </c>
      <c r="Q1582" t="s">
        <v>5863</v>
      </c>
      <c r="R1582">
        <v>335.94400000000002</v>
      </c>
      <c r="S1582" t="str">
        <f>TEXT(sales_data[[#This Row],[Order Date]],"mm")</f>
        <v>04</v>
      </c>
      <c r="T1582">
        <f>YEAR(sales_data[[#This Row],[Order Date]])</f>
        <v>2015</v>
      </c>
      <c r="V1582" t="s">
        <v>5862</v>
      </c>
    </row>
    <row r="1583" spans="1:22" x14ac:dyDescent="0.35">
      <c r="A1583">
        <v>3786</v>
      </c>
      <c r="B1583" t="s">
        <v>5865</v>
      </c>
      <c r="C1583" s="1">
        <v>43460</v>
      </c>
      <c r="D1583" s="1">
        <v>43464</v>
      </c>
      <c r="E1583" t="s">
        <v>46</v>
      </c>
      <c r="F1583" t="s">
        <v>3474</v>
      </c>
      <c r="G1583" t="s">
        <v>3475</v>
      </c>
      <c r="H1583" t="s">
        <v>98</v>
      </c>
      <c r="I1583" t="s">
        <v>23</v>
      </c>
      <c r="J1583" t="s">
        <v>492</v>
      </c>
      <c r="K1583" t="s">
        <v>493</v>
      </c>
      <c r="L1583">
        <v>43229</v>
      </c>
      <c r="M1583" t="s">
        <v>144</v>
      </c>
      <c r="N1583" t="s">
        <v>5866</v>
      </c>
      <c r="O1583" t="s">
        <v>42</v>
      </c>
      <c r="P1583" t="s">
        <v>71</v>
      </c>
      <c r="Q1583" t="s">
        <v>5867</v>
      </c>
      <c r="R1583">
        <v>3.1320000000000001</v>
      </c>
      <c r="S1583" t="str">
        <f>TEXT(sales_data[[#This Row],[Order Date]],"mm")</f>
        <v>12</v>
      </c>
      <c r="T1583">
        <f>YEAR(sales_data[[#This Row],[Order Date]])</f>
        <v>2018</v>
      </c>
      <c r="V1583" t="s">
        <v>5866</v>
      </c>
    </row>
    <row r="1584" spans="1:22" x14ac:dyDescent="0.35">
      <c r="A1584">
        <v>3796</v>
      </c>
      <c r="B1584" t="s">
        <v>5868</v>
      </c>
      <c r="C1584" s="1">
        <v>42031</v>
      </c>
      <c r="D1584" s="1">
        <v>42037</v>
      </c>
      <c r="E1584" t="s">
        <v>46</v>
      </c>
      <c r="F1584" t="s">
        <v>5869</v>
      </c>
      <c r="G1584" t="s">
        <v>5870</v>
      </c>
      <c r="H1584" t="s">
        <v>22</v>
      </c>
      <c r="I1584" t="s">
        <v>23</v>
      </c>
      <c r="J1584" t="s">
        <v>940</v>
      </c>
      <c r="K1584" t="s">
        <v>39</v>
      </c>
      <c r="L1584">
        <v>92037</v>
      </c>
      <c r="M1584" t="s">
        <v>40</v>
      </c>
      <c r="N1584" t="s">
        <v>5871</v>
      </c>
      <c r="O1584" t="s">
        <v>28</v>
      </c>
      <c r="P1584" t="s">
        <v>52</v>
      </c>
      <c r="Q1584" t="s">
        <v>5872</v>
      </c>
      <c r="R1584">
        <v>333</v>
      </c>
      <c r="S1584" t="str">
        <f>TEXT(sales_data[[#This Row],[Order Date]],"mm")</f>
        <v>01</v>
      </c>
      <c r="T1584">
        <f>YEAR(sales_data[[#This Row],[Order Date]])</f>
        <v>2015</v>
      </c>
      <c r="V1584" t="s">
        <v>5871</v>
      </c>
    </row>
    <row r="1585" spans="1:22" x14ac:dyDescent="0.35">
      <c r="A1585">
        <v>3797</v>
      </c>
      <c r="B1585" t="s">
        <v>5868</v>
      </c>
      <c r="C1585" s="1">
        <v>42031</v>
      </c>
      <c r="D1585" s="1">
        <v>42037</v>
      </c>
      <c r="E1585" t="s">
        <v>46</v>
      </c>
      <c r="F1585" t="s">
        <v>5869</v>
      </c>
      <c r="G1585" t="s">
        <v>5870</v>
      </c>
      <c r="H1585" t="s">
        <v>22</v>
      </c>
      <c r="I1585" t="s">
        <v>23</v>
      </c>
      <c r="J1585" t="s">
        <v>940</v>
      </c>
      <c r="K1585" t="s">
        <v>39</v>
      </c>
      <c r="L1585">
        <v>92037</v>
      </c>
      <c r="M1585" t="s">
        <v>40</v>
      </c>
      <c r="N1585" t="s">
        <v>5873</v>
      </c>
      <c r="O1585" t="s">
        <v>42</v>
      </c>
      <c r="P1585" t="s">
        <v>64</v>
      </c>
      <c r="Q1585" t="s">
        <v>5874</v>
      </c>
      <c r="R1585">
        <v>36.44</v>
      </c>
      <c r="S1585" t="str">
        <f>TEXT(sales_data[[#This Row],[Order Date]],"mm")</f>
        <v>01</v>
      </c>
      <c r="T1585">
        <f>YEAR(sales_data[[#This Row],[Order Date]])</f>
        <v>2015</v>
      </c>
      <c r="V1585" t="s">
        <v>5873</v>
      </c>
    </row>
    <row r="1586" spans="1:22" x14ac:dyDescent="0.35">
      <c r="A1586">
        <v>3801</v>
      </c>
      <c r="B1586" t="s">
        <v>5875</v>
      </c>
      <c r="C1586" s="1">
        <v>43022</v>
      </c>
      <c r="D1586" s="1">
        <v>43028</v>
      </c>
      <c r="E1586" t="s">
        <v>46</v>
      </c>
      <c r="F1586" t="s">
        <v>5876</v>
      </c>
      <c r="G1586" t="s">
        <v>5877</v>
      </c>
      <c r="H1586" t="s">
        <v>22</v>
      </c>
      <c r="I1586" t="s">
        <v>23</v>
      </c>
      <c r="J1586" t="s">
        <v>1509</v>
      </c>
      <c r="K1586" t="s">
        <v>84</v>
      </c>
      <c r="L1586">
        <v>28540</v>
      </c>
      <c r="M1586" t="s">
        <v>26</v>
      </c>
      <c r="N1586" t="s">
        <v>5878</v>
      </c>
      <c r="O1586" t="s">
        <v>28</v>
      </c>
      <c r="P1586" t="s">
        <v>32</v>
      </c>
      <c r="Q1586" t="s">
        <v>5879</v>
      </c>
      <c r="R1586">
        <v>102.592</v>
      </c>
      <c r="S1586" t="str">
        <f>TEXT(sales_data[[#This Row],[Order Date]],"mm")</f>
        <v>10</v>
      </c>
      <c r="T1586">
        <f>YEAR(sales_data[[#This Row],[Order Date]])</f>
        <v>2017</v>
      </c>
      <c r="V1586" t="s">
        <v>5878</v>
      </c>
    </row>
    <row r="1587" spans="1:22" x14ac:dyDescent="0.35">
      <c r="A1587">
        <v>3810</v>
      </c>
      <c r="B1587" t="s">
        <v>5880</v>
      </c>
      <c r="C1587" s="1">
        <v>42686</v>
      </c>
      <c r="D1587" s="1">
        <v>42693</v>
      </c>
      <c r="E1587" t="s">
        <v>46</v>
      </c>
      <c r="F1587" t="s">
        <v>5722</v>
      </c>
      <c r="G1587" t="s">
        <v>5723</v>
      </c>
      <c r="H1587" t="s">
        <v>37</v>
      </c>
      <c r="I1587" t="s">
        <v>23</v>
      </c>
      <c r="J1587" t="s">
        <v>5817</v>
      </c>
      <c r="K1587" t="s">
        <v>50</v>
      </c>
      <c r="L1587">
        <v>33317</v>
      </c>
      <c r="M1587" t="s">
        <v>26</v>
      </c>
      <c r="N1587" t="s">
        <v>5881</v>
      </c>
      <c r="O1587" t="s">
        <v>28</v>
      </c>
      <c r="P1587" t="s">
        <v>32</v>
      </c>
      <c r="Q1587" t="s">
        <v>5882</v>
      </c>
      <c r="R1587">
        <v>523.91999999999996</v>
      </c>
      <c r="S1587" t="str">
        <f>TEXT(sales_data[[#This Row],[Order Date]],"mm")</f>
        <v>11</v>
      </c>
      <c r="T1587">
        <f>YEAR(sales_data[[#This Row],[Order Date]])</f>
        <v>2016</v>
      </c>
      <c r="V1587" t="s">
        <v>5881</v>
      </c>
    </row>
    <row r="1588" spans="1:22" x14ac:dyDescent="0.35">
      <c r="A1588">
        <v>3813</v>
      </c>
      <c r="B1588" t="s">
        <v>5883</v>
      </c>
      <c r="C1588" s="1">
        <v>43164</v>
      </c>
      <c r="D1588" s="1">
        <v>43164</v>
      </c>
      <c r="E1588" t="s">
        <v>1277</v>
      </c>
      <c r="F1588" t="s">
        <v>107</v>
      </c>
      <c r="G1588" t="s">
        <v>108</v>
      </c>
      <c r="H1588" t="s">
        <v>22</v>
      </c>
      <c r="I1588" t="s">
        <v>23</v>
      </c>
      <c r="J1588" t="s">
        <v>2502</v>
      </c>
      <c r="K1588" t="s">
        <v>110</v>
      </c>
      <c r="L1588">
        <v>53209</v>
      </c>
      <c r="M1588" t="s">
        <v>101</v>
      </c>
      <c r="N1588" t="s">
        <v>5884</v>
      </c>
      <c r="O1588" t="s">
        <v>42</v>
      </c>
      <c r="P1588" t="s">
        <v>43</v>
      </c>
      <c r="Q1588" t="s">
        <v>5885</v>
      </c>
      <c r="R1588">
        <v>25.06</v>
      </c>
      <c r="S1588" t="str">
        <f>TEXT(sales_data[[#This Row],[Order Date]],"mm")</f>
        <v>03</v>
      </c>
      <c r="T1588">
        <f>YEAR(sales_data[[#This Row],[Order Date]])</f>
        <v>2018</v>
      </c>
      <c r="V1588" t="s">
        <v>5884</v>
      </c>
    </row>
    <row r="1589" spans="1:22" x14ac:dyDescent="0.35">
      <c r="A1589">
        <v>3822</v>
      </c>
      <c r="B1589" t="s">
        <v>5886</v>
      </c>
      <c r="C1589" s="1">
        <v>43382</v>
      </c>
      <c r="D1589" s="1">
        <v>43387</v>
      </c>
      <c r="E1589" t="s">
        <v>46</v>
      </c>
      <c r="F1589" t="s">
        <v>5388</v>
      </c>
      <c r="G1589" t="s">
        <v>5389</v>
      </c>
      <c r="H1589" t="s">
        <v>22</v>
      </c>
      <c r="I1589" t="s">
        <v>23</v>
      </c>
      <c r="J1589" t="s">
        <v>261</v>
      </c>
      <c r="K1589" t="s">
        <v>262</v>
      </c>
      <c r="L1589">
        <v>10024</v>
      </c>
      <c r="M1589" t="s">
        <v>144</v>
      </c>
      <c r="N1589" t="s">
        <v>5887</v>
      </c>
      <c r="O1589" t="s">
        <v>42</v>
      </c>
      <c r="P1589" t="s">
        <v>86</v>
      </c>
      <c r="Q1589" t="s">
        <v>5888</v>
      </c>
      <c r="R1589">
        <v>18.98</v>
      </c>
      <c r="S1589" t="str">
        <f>TEXT(sales_data[[#This Row],[Order Date]],"mm")</f>
        <v>10</v>
      </c>
      <c r="T1589">
        <f>YEAR(sales_data[[#This Row],[Order Date]])</f>
        <v>2018</v>
      </c>
      <c r="V1589" t="s">
        <v>5887</v>
      </c>
    </row>
    <row r="1590" spans="1:22" x14ac:dyDescent="0.35">
      <c r="A1590">
        <v>3837</v>
      </c>
      <c r="B1590" t="s">
        <v>5891</v>
      </c>
      <c r="C1590" s="1">
        <v>42102</v>
      </c>
      <c r="D1590" s="1">
        <v>42109</v>
      </c>
      <c r="E1590" t="s">
        <v>46</v>
      </c>
      <c r="F1590" t="s">
        <v>3882</v>
      </c>
      <c r="G1590" t="s">
        <v>3883</v>
      </c>
      <c r="H1590" t="s">
        <v>37</v>
      </c>
      <c r="I1590" t="s">
        <v>23</v>
      </c>
      <c r="J1590" t="s">
        <v>3760</v>
      </c>
      <c r="K1590" t="s">
        <v>305</v>
      </c>
      <c r="L1590">
        <v>85301</v>
      </c>
      <c r="M1590" t="s">
        <v>40</v>
      </c>
      <c r="N1590" t="s">
        <v>5892</v>
      </c>
      <c r="O1590" t="s">
        <v>42</v>
      </c>
      <c r="P1590" t="s">
        <v>86</v>
      </c>
      <c r="Q1590" t="s">
        <v>5893</v>
      </c>
      <c r="R1590">
        <v>19.007999999999999</v>
      </c>
      <c r="S1590" t="str">
        <f>TEXT(sales_data[[#This Row],[Order Date]],"mm")</f>
        <v>04</v>
      </c>
      <c r="T1590">
        <f>YEAR(sales_data[[#This Row],[Order Date]])</f>
        <v>2015</v>
      </c>
      <c r="V1590" t="s">
        <v>5892</v>
      </c>
    </row>
    <row r="1591" spans="1:22" x14ac:dyDescent="0.35">
      <c r="A1591">
        <v>3841</v>
      </c>
      <c r="B1591" t="s">
        <v>5894</v>
      </c>
      <c r="C1591" s="1">
        <v>42211</v>
      </c>
      <c r="D1591" s="1">
        <v>42218</v>
      </c>
      <c r="E1591" t="s">
        <v>46</v>
      </c>
      <c r="F1591" t="s">
        <v>285</v>
      </c>
      <c r="G1591" t="s">
        <v>286</v>
      </c>
      <c r="H1591" t="s">
        <v>22</v>
      </c>
      <c r="I1591" t="s">
        <v>23</v>
      </c>
      <c r="J1591" t="s">
        <v>3845</v>
      </c>
      <c r="K1591" t="s">
        <v>1380</v>
      </c>
      <c r="L1591">
        <v>89031</v>
      </c>
      <c r="M1591" t="s">
        <v>40</v>
      </c>
      <c r="N1591" t="s">
        <v>5895</v>
      </c>
      <c r="O1591" t="s">
        <v>67</v>
      </c>
      <c r="P1591" t="s">
        <v>156</v>
      </c>
      <c r="Q1591" t="s">
        <v>5896</v>
      </c>
      <c r="R1591">
        <v>170.97</v>
      </c>
      <c r="S1591" t="str">
        <f>TEXT(sales_data[[#This Row],[Order Date]],"mm")</f>
        <v>07</v>
      </c>
      <c r="T1591">
        <f>YEAR(sales_data[[#This Row],[Order Date]])</f>
        <v>2015</v>
      </c>
      <c r="V1591" t="s">
        <v>5895</v>
      </c>
    </row>
    <row r="1592" spans="1:22" x14ac:dyDescent="0.35">
      <c r="A1592">
        <v>3844</v>
      </c>
      <c r="B1592" t="s">
        <v>5899</v>
      </c>
      <c r="C1592" s="1">
        <v>42305</v>
      </c>
      <c r="D1592" s="1">
        <v>42308</v>
      </c>
      <c r="E1592" t="s">
        <v>183</v>
      </c>
      <c r="F1592" t="s">
        <v>3812</v>
      </c>
      <c r="G1592" t="s">
        <v>3813</v>
      </c>
      <c r="H1592" t="s">
        <v>37</v>
      </c>
      <c r="I1592" t="s">
        <v>23</v>
      </c>
      <c r="J1592" t="s">
        <v>38</v>
      </c>
      <c r="K1592" t="s">
        <v>39</v>
      </c>
      <c r="L1592">
        <v>90049</v>
      </c>
      <c r="M1592" t="s">
        <v>40</v>
      </c>
      <c r="N1592" t="s">
        <v>5900</v>
      </c>
      <c r="O1592" t="s">
        <v>42</v>
      </c>
      <c r="P1592" t="s">
        <v>573</v>
      </c>
      <c r="Q1592" t="s">
        <v>5901</v>
      </c>
      <c r="R1592">
        <v>6.28</v>
      </c>
      <c r="S1592" t="str">
        <f>TEXT(sales_data[[#This Row],[Order Date]],"mm")</f>
        <v>10</v>
      </c>
      <c r="T1592">
        <f>YEAR(sales_data[[#This Row],[Order Date]])</f>
        <v>2015</v>
      </c>
      <c r="V1592" t="s">
        <v>5900</v>
      </c>
    </row>
    <row r="1593" spans="1:22" x14ac:dyDescent="0.35">
      <c r="A1593">
        <v>3849</v>
      </c>
      <c r="B1593" t="s">
        <v>5902</v>
      </c>
      <c r="C1593" s="1">
        <v>43365</v>
      </c>
      <c r="D1593" s="1">
        <v>43366</v>
      </c>
      <c r="E1593" t="s">
        <v>183</v>
      </c>
      <c r="F1593" t="s">
        <v>327</v>
      </c>
      <c r="G1593" t="s">
        <v>328</v>
      </c>
      <c r="H1593" t="s">
        <v>22</v>
      </c>
      <c r="I1593" t="s">
        <v>23</v>
      </c>
      <c r="J1593" t="s">
        <v>1691</v>
      </c>
      <c r="K1593" t="s">
        <v>1692</v>
      </c>
      <c r="L1593">
        <v>72701</v>
      </c>
      <c r="M1593" t="s">
        <v>26</v>
      </c>
      <c r="N1593" t="s">
        <v>5903</v>
      </c>
      <c r="O1593" t="s">
        <v>42</v>
      </c>
      <c r="P1593" t="s">
        <v>71</v>
      </c>
      <c r="Q1593" t="s">
        <v>5904</v>
      </c>
      <c r="R1593">
        <v>691.96</v>
      </c>
      <c r="S1593" t="str">
        <f>TEXT(sales_data[[#This Row],[Order Date]],"mm")</f>
        <v>09</v>
      </c>
      <c r="T1593">
        <f>YEAR(sales_data[[#This Row],[Order Date]])</f>
        <v>2018</v>
      </c>
      <c r="V1593" t="s">
        <v>5903</v>
      </c>
    </row>
    <row r="1594" spans="1:22" x14ac:dyDescent="0.35">
      <c r="A1594">
        <v>3854</v>
      </c>
      <c r="B1594" t="s">
        <v>5906</v>
      </c>
      <c r="C1594" s="1">
        <v>43257</v>
      </c>
      <c r="D1594" s="1">
        <v>43261</v>
      </c>
      <c r="E1594" t="s">
        <v>46</v>
      </c>
      <c r="F1594" t="s">
        <v>5579</v>
      </c>
      <c r="G1594" t="s">
        <v>5580</v>
      </c>
      <c r="H1594" t="s">
        <v>98</v>
      </c>
      <c r="I1594" t="s">
        <v>23</v>
      </c>
      <c r="J1594" t="s">
        <v>123</v>
      </c>
      <c r="K1594" t="s">
        <v>39</v>
      </c>
      <c r="L1594">
        <v>94122</v>
      </c>
      <c r="M1594" t="s">
        <v>40</v>
      </c>
      <c r="N1594" t="s">
        <v>5907</v>
      </c>
      <c r="O1594" t="s">
        <v>28</v>
      </c>
      <c r="P1594" t="s">
        <v>61</v>
      </c>
      <c r="Q1594" t="s">
        <v>5908</v>
      </c>
      <c r="R1594">
        <v>4.95</v>
      </c>
      <c r="S1594" t="str">
        <f>TEXT(sales_data[[#This Row],[Order Date]],"mm")</f>
        <v>06</v>
      </c>
      <c r="T1594">
        <f>YEAR(sales_data[[#This Row],[Order Date]])</f>
        <v>2018</v>
      </c>
      <c r="V1594" t="s">
        <v>5907</v>
      </c>
    </row>
    <row r="1595" spans="1:22" x14ac:dyDescent="0.35">
      <c r="A1595">
        <v>3859</v>
      </c>
      <c r="B1595" t="s">
        <v>5909</v>
      </c>
      <c r="C1595" s="1">
        <v>42358</v>
      </c>
      <c r="D1595" s="1">
        <v>42358</v>
      </c>
      <c r="E1595" t="s">
        <v>1277</v>
      </c>
      <c r="F1595" t="s">
        <v>5223</v>
      </c>
      <c r="G1595" t="s">
        <v>5224</v>
      </c>
      <c r="H1595" t="s">
        <v>22</v>
      </c>
      <c r="I1595" t="s">
        <v>23</v>
      </c>
      <c r="J1595" t="s">
        <v>5910</v>
      </c>
      <c r="K1595" t="s">
        <v>452</v>
      </c>
      <c r="L1595">
        <v>80229</v>
      </c>
      <c r="M1595" t="s">
        <v>40</v>
      </c>
      <c r="N1595" t="s">
        <v>5911</v>
      </c>
      <c r="O1595" t="s">
        <v>67</v>
      </c>
      <c r="P1595" t="s">
        <v>156</v>
      </c>
      <c r="Q1595" t="s">
        <v>5912</v>
      </c>
      <c r="R1595">
        <v>447.94400000000002</v>
      </c>
      <c r="S1595" t="str">
        <f>TEXT(sales_data[[#This Row],[Order Date]],"mm")</f>
        <v>12</v>
      </c>
      <c r="T1595">
        <f>YEAR(sales_data[[#This Row],[Order Date]])</f>
        <v>2015</v>
      </c>
      <c r="V1595" t="s">
        <v>5911</v>
      </c>
    </row>
    <row r="1596" spans="1:22" x14ac:dyDescent="0.35">
      <c r="A1596">
        <v>3861</v>
      </c>
      <c r="B1596" t="s">
        <v>5913</v>
      </c>
      <c r="C1596" s="1">
        <v>43148</v>
      </c>
      <c r="D1596" s="1">
        <v>43153</v>
      </c>
      <c r="E1596" t="s">
        <v>46</v>
      </c>
      <c r="F1596" t="s">
        <v>3631</v>
      </c>
      <c r="G1596" t="s">
        <v>3632</v>
      </c>
      <c r="H1596" t="s">
        <v>98</v>
      </c>
      <c r="I1596" t="s">
        <v>23</v>
      </c>
      <c r="J1596" t="s">
        <v>298</v>
      </c>
      <c r="K1596" t="s">
        <v>206</v>
      </c>
      <c r="L1596">
        <v>60653</v>
      </c>
      <c r="M1596" t="s">
        <v>101</v>
      </c>
      <c r="N1596" t="s">
        <v>5914</v>
      </c>
      <c r="O1596" t="s">
        <v>67</v>
      </c>
      <c r="P1596" t="s">
        <v>68</v>
      </c>
      <c r="Q1596" t="s">
        <v>5915</v>
      </c>
      <c r="R1596">
        <v>124.792</v>
      </c>
      <c r="S1596" t="str">
        <f>TEXT(sales_data[[#This Row],[Order Date]],"mm")</f>
        <v>02</v>
      </c>
      <c r="T1596">
        <f>YEAR(sales_data[[#This Row],[Order Date]])</f>
        <v>2018</v>
      </c>
      <c r="V1596" t="s">
        <v>5914</v>
      </c>
    </row>
    <row r="1597" spans="1:22" x14ac:dyDescent="0.35">
      <c r="A1597">
        <v>3862</v>
      </c>
      <c r="B1597" t="s">
        <v>5916</v>
      </c>
      <c r="C1597" s="1">
        <v>42127</v>
      </c>
      <c r="D1597" s="1">
        <v>42134</v>
      </c>
      <c r="E1597" t="s">
        <v>46</v>
      </c>
      <c r="F1597" t="s">
        <v>5876</v>
      </c>
      <c r="G1597" t="s">
        <v>5877</v>
      </c>
      <c r="H1597" t="s">
        <v>22</v>
      </c>
      <c r="I1597" t="s">
        <v>23</v>
      </c>
      <c r="J1597" t="s">
        <v>3088</v>
      </c>
      <c r="K1597" t="s">
        <v>262</v>
      </c>
      <c r="L1597">
        <v>10701</v>
      </c>
      <c r="M1597" t="s">
        <v>144</v>
      </c>
      <c r="N1597" t="s">
        <v>5917</v>
      </c>
      <c r="O1597" t="s">
        <v>42</v>
      </c>
      <c r="P1597" t="s">
        <v>71</v>
      </c>
      <c r="Q1597" t="s">
        <v>5918</v>
      </c>
      <c r="R1597">
        <v>40.176000000000002</v>
      </c>
      <c r="S1597" t="str">
        <f>TEXT(sales_data[[#This Row],[Order Date]],"mm")</f>
        <v>05</v>
      </c>
      <c r="T1597">
        <f>YEAR(sales_data[[#This Row],[Order Date]])</f>
        <v>2015</v>
      </c>
      <c r="V1597" t="s">
        <v>5917</v>
      </c>
    </row>
    <row r="1598" spans="1:22" x14ac:dyDescent="0.35">
      <c r="A1598">
        <v>3864</v>
      </c>
      <c r="B1598" t="s">
        <v>5919</v>
      </c>
      <c r="C1598" s="1">
        <v>43390</v>
      </c>
      <c r="D1598" s="1">
        <v>43392</v>
      </c>
      <c r="E1598" t="s">
        <v>19</v>
      </c>
      <c r="F1598" t="s">
        <v>1672</v>
      </c>
      <c r="G1598" t="s">
        <v>1673</v>
      </c>
      <c r="H1598" t="s">
        <v>22</v>
      </c>
      <c r="I1598" t="s">
        <v>23</v>
      </c>
      <c r="J1598" t="s">
        <v>940</v>
      </c>
      <c r="K1598" t="s">
        <v>39</v>
      </c>
      <c r="L1598">
        <v>92037</v>
      </c>
      <c r="M1598" t="s">
        <v>40</v>
      </c>
      <c r="N1598" t="s">
        <v>5920</v>
      </c>
      <c r="O1598" t="s">
        <v>42</v>
      </c>
      <c r="P1598" t="s">
        <v>64</v>
      </c>
      <c r="Q1598" t="s">
        <v>5921</v>
      </c>
      <c r="R1598">
        <v>10.64</v>
      </c>
      <c r="S1598" t="str">
        <f>TEXT(sales_data[[#This Row],[Order Date]],"mm")</f>
        <v>10</v>
      </c>
      <c r="T1598">
        <f>YEAR(sales_data[[#This Row],[Order Date]])</f>
        <v>2018</v>
      </c>
      <c r="V1598" t="s">
        <v>5920</v>
      </c>
    </row>
    <row r="1599" spans="1:22" x14ac:dyDescent="0.35">
      <c r="A1599">
        <v>3865</v>
      </c>
      <c r="B1599" t="s">
        <v>5922</v>
      </c>
      <c r="C1599" s="1">
        <v>42702</v>
      </c>
      <c r="D1599" s="1">
        <v>42707</v>
      </c>
      <c r="E1599" t="s">
        <v>46</v>
      </c>
      <c r="F1599" t="s">
        <v>559</v>
      </c>
      <c r="G1599" t="s">
        <v>560</v>
      </c>
      <c r="H1599" t="s">
        <v>22</v>
      </c>
      <c r="I1599" t="s">
        <v>23</v>
      </c>
      <c r="J1599" t="s">
        <v>5923</v>
      </c>
      <c r="K1599" t="s">
        <v>206</v>
      </c>
      <c r="L1599">
        <v>61821</v>
      </c>
      <c r="M1599" t="s">
        <v>101</v>
      </c>
      <c r="N1599" t="s">
        <v>5924</v>
      </c>
      <c r="O1599" t="s">
        <v>28</v>
      </c>
      <c r="P1599" t="s">
        <v>61</v>
      </c>
      <c r="Q1599" t="s">
        <v>5925</v>
      </c>
      <c r="R1599">
        <v>151.96</v>
      </c>
      <c r="S1599" t="str">
        <f>TEXT(sales_data[[#This Row],[Order Date]],"mm")</f>
        <v>11</v>
      </c>
      <c r="T1599">
        <f>YEAR(sales_data[[#This Row],[Order Date]])</f>
        <v>2016</v>
      </c>
      <c r="V1599" t="s">
        <v>5924</v>
      </c>
    </row>
    <row r="1600" spans="1:22" x14ac:dyDescent="0.35">
      <c r="A1600">
        <v>3884</v>
      </c>
      <c r="B1600" t="s">
        <v>5926</v>
      </c>
      <c r="C1600" s="1">
        <v>42536</v>
      </c>
      <c r="D1600" s="1">
        <v>42541</v>
      </c>
      <c r="E1600" t="s">
        <v>46</v>
      </c>
      <c r="F1600" t="s">
        <v>5927</v>
      </c>
      <c r="G1600" t="s">
        <v>5928</v>
      </c>
      <c r="H1600" t="s">
        <v>22</v>
      </c>
      <c r="I1600" t="s">
        <v>23</v>
      </c>
      <c r="J1600" t="s">
        <v>304</v>
      </c>
      <c r="K1600" t="s">
        <v>305</v>
      </c>
      <c r="L1600">
        <v>85234</v>
      </c>
      <c r="M1600" t="s">
        <v>40</v>
      </c>
      <c r="N1600" t="s">
        <v>5929</v>
      </c>
      <c r="O1600" t="s">
        <v>28</v>
      </c>
      <c r="P1600" t="s">
        <v>61</v>
      </c>
      <c r="Q1600" t="s">
        <v>5930</v>
      </c>
      <c r="R1600">
        <v>40.256</v>
      </c>
      <c r="S1600" t="str">
        <f>TEXT(sales_data[[#This Row],[Order Date]],"mm")</f>
        <v>06</v>
      </c>
      <c r="T1600">
        <f>YEAR(sales_data[[#This Row],[Order Date]])</f>
        <v>2016</v>
      </c>
      <c r="V1600" t="s">
        <v>5929</v>
      </c>
    </row>
    <row r="1601" spans="1:22" x14ac:dyDescent="0.35">
      <c r="A1601">
        <v>3896</v>
      </c>
      <c r="B1601" t="s">
        <v>5931</v>
      </c>
      <c r="C1601" s="1">
        <v>43221</v>
      </c>
      <c r="D1601" s="1">
        <v>43225</v>
      </c>
      <c r="E1601" t="s">
        <v>46</v>
      </c>
      <c r="F1601" t="s">
        <v>2605</v>
      </c>
      <c r="G1601" t="s">
        <v>2606</v>
      </c>
      <c r="H1601" t="s">
        <v>98</v>
      </c>
      <c r="I1601" t="s">
        <v>23</v>
      </c>
      <c r="J1601" t="s">
        <v>5932</v>
      </c>
      <c r="K1601" t="s">
        <v>1692</v>
      </c>
      <c r="L1601">
        <v>71854</v>
      </c>
      <c r="M1601" t="s">
        <v>26</v>
      </c>
      <c r="N1601" t="s">
        <v>5933</v>
      </c>
      <c r="O1601" t="s">
        <v>67</v>
      </c>
      <c r="P1601" t="s">
        <v>156</v>
      </c>
      <c r="Q1601" t="s">
        <v>5934</v>
      </c>
      <c r="R1601">
        <v>48.9</v>
      </c>
      <c r="S1601" t="str">
        <f>TEXT(sales_data[[#This Row],[Order Date]],"mm")</f>
        <v>05</v>
      </c>
      <c r="T1601">
        <f>YEAR(sales_data[[#This Row],[Order Date]])</f>
        <v>2018</v>
      </c>
      <c r="V1601" t="s">
        <v>5933</v>
      </c>
    </row>
    <row r="1602" spans="1:22" x14ac:dyDescent="0.35">
      <c r="A1602">
        <v>3902</v>
      </c>
      <c r="B1602" t="s">
        <v>5935</v>
      </c>
      <c r="C1602" s="1">
        <v>42688</v>
      </c>
      <c r="D1602" s="1">
        <v>42694</v>
      </c>
      <c r="E1602" t="s">
        <v>46</v>
      </c>
      <c r="F1602" t="s">
        <v>597</v>
      </c>
      <c r="G1602" t="s">
        <v>598</v>
      </c>
      <c r="H1602" t="s">
        <v>98</v>
      </c>
      <c r="I1602" t="s">
        <v>23</v>
      </c>
      <c r="J1602" t="s">
        <v>142</v>
      </c>
      <c r="K1602" t="s">
        <v>143</v>
      </c>
      <c r="L1602">
        <v>19143</v>
      </c>
      <c r="M1602" t="s">
        <v>144</v>
      </c>
      <c r="N1602" t="s">
        <v>5936</v>
      </c>
      <c r="O1602" t="s">
        <v>67</v>
      </c>
      <c r="P1602" t="s">
        <v>156</v>
      </c>
      <c r="Q1602" t="s">
        <v>5937</v>
      </c>
      <c r="R1602">
        <v>47.984000000000002</v>
      </c>
      <c r="S1602" t="str">
        <f>TEXT(sales_data[[#This Row],[Order Date]],"mm")</f>
        <v>11</v>
      </c>
      <c r="T1602">
        <f>YEAR(sales_data[[#This Row],[Order Date]])</f>
        <v>2016</v>
      </c>
      <c r="V1602" t="s">
        <v>5936</v>
      </c>
    </row>
    <row r="1603" spans="1:22" x14ac:dyDescent="0.35">
      <c r="A1603">
        <v>3911</v>
      </c>
      <c r="B1603" t="s">
        <v>5938</v>
      </c>
      <c r="C1603" s="1">
        <v>42465</v>
      </c>
      <c r="D1603" s="1">
        <v>42470</v>
      </c>
      <c r="E1603" t="s">
        <v>46</v>
      </c>
      <c r="F1603" t="s">
        <v>5939</v>
      </c>
      <c r="G1603" t="s">
        <v>5940</v>
      </c>
      <c r="H1603" t="s">
        <v>98</v>
      </c>
      <c r="I1603" t="s">
        <v>23</v>
      </c>
      <c r="J1603" t="s">
        <v>142</v>
      </c>
      <c r="K1603" t="s">
        <v>143</v>
      </c>
      <c r="L1603">
        <v>19143</v>
      </c>
      <c r="M1603" t="s">
        <v>144</v>
      </c>
      <c r="N1603" t="s">
        <v>5941</v>
      </c>
      <c r="O1603" t="s">
        <v>28</v>
      </c>
      <c r="P1603" t="s">
        <v>29</v>
      </c>
      <c r="Q1603" t="s">
        <v>5942</v>
      </c>
      <c r="R1603">
        <v>352.45</v>
      </c>
      <c r="S1603" t="str">
        <f>TEXT(sales_data[[#This Row],[Order Date]],"mm")</f>
        <v>04</v>
      </c>
      <c r="T1603">
        <f>YEAR(sales_data[[#This Row],[Order Date]])</f>
        <v>2016</v>
      </c>
      <c r="V1603" t="s">
        <v>5941</v>
      </c>
    </row>
    <row r="1604" spans="1:22" x14ac:dyDescent="0.35">
      <c r="A1604">
        <v>3912</v>
      </c>
      <c r="B1604" t="s">
        <v>5943</v>
      </c>
      <c r="C1604" s="1">
        <v>43256</v>
      </c>
      <c r="D1604" s="1">
        <v>43257</v>
      </c>
      <c r="E1604" t="s">
        <v>183</v>
      </c>
      <c r="F1604" t="s">
        <v>3665</v>
      </c>
      <c r="G1604" t="s">
        <v>3666</v>
      </c>
      <c r="H1604" t="s">
        <v>22</v>
      </c>
      <c r="I1604" t="s">
        <v>23</v>
      </c>
      <c r="J1604" t="s">
        <v>5618</v>
      </c>
      <c r="K1604" t="s">
        <v>100</v>
      </c>
      <c r="L1604">
        <v>77581</v>
      </c>
      <c r="M1604" t="s">
        <v>101</v>
      </c>
      <c r="N1604" t="s">
        <v>5944</v>
      </c>
      <c r="O1604" t="s">
        <v>67</v>
      </c>
      <c r="P1604" t="s">
        <v>68</v>
      </c>
      <c r="Q1604" t="s">
        <v>5945</v>
      </c>
      <c r="R1604">
        <v>470.37599999999998</v>
      </c>
      <c r="S1604" t="str">
        <f>TEXT(sales_data[[#This Row],[Order Date]],"mm")</f>
        <v>06</v>
      </c>
      <c r="T1604">
        <f>YEAR(sales_data[[#This Row],[Order Date]])</f>
        <v>2018</v>
      </c>
      <c r="V1604" t="s">
        <v>5944</v>
      </c>
    </row>
    <row r="1605" spans="1:22" x14ac:dyDescent="0.35">
      <c r="A1605">
        <v>3917</v>
      </c>
      <c r="B1605" t="s">
        <v>5946</v>
      </c>
      <c r="C1605" s="1">
        <v>43299</v>
      </c>
      <c r="D1605" s="1">
        <v>43304</v>
      </c>
      <c r="E1605" t="s">
        <v>46</v>
      </c>
      <c r="F1605" t="s">
        <v>4737</v>
      </c>
      <c r="G1605" t="s">
        <v>4738</v>
      </c>
      <c r="H1605" t="s">
        <v>22</v>
      </c>
      <c r="I1605" t="s">
        <v>23</v>
      </c>
      <c r="J1605" t="s">
        <v>539</v>
      </c>
      <c r="K1605" t="s">
        <v>305</v>
      </c>
      <c r="L1605">
        <v>85023</v>
      </c>
      <c r="M1605" t="s">
        <v>40</v>
      </c>
      <c r="N1605" t="s">
        <v>5947</v>
      </c>
      <c r="O1605" t="s">
        <v>42</v>
      </c>
      <c r="P1605" t="s">
        <v>86</v>
      </c>
      <c r="Q1605" t="s">
        <v>5948</v>
      </c>
      <c r="R1605">
        <v>16.096</v>
      </c>
      <c r="S1605" t="str">
        <f>TEXT(sales_data[[#This Row],[Order Date]],"mm")</f>
        <v>07</v>
      </c>
      <c r="T1605">
        <f>YEAR(sales_data[[#This Row],[Order Date]])</f>
        <v>2018</v>
      </c>
      <c r="V1605" t="s">
        <v>5947</v>
      </c>
    </row>
    <row r="1606" spans="1:22" x14ac:dyDescent="0.35">
      <c r="A1606">
        <v>3924</v>
      </c>
      <c r="B1606" t="s">
        <v>5949</v>
      </c>
      <c r="C1606" s="1">
        <v>43340</v>
      </c>
      <c r="D1606" s="1">
        <v>43344</v>
      </c>
      <c r="E1606" t="s">
        <v>46</v>
      </c>
      <c r="F1606" t="s">
        <v>2098</v>
      </c>
      <c r="G1606" t="s">
        <v>2099</v>
      </c>
      <c r="H1606" t="s">
        <v>22</v>
      </c>
      <c r="I1606" t="s">
        <v>23</v>
      </c>
      <c r="J1606" t="s">
        <v>298</v>
      </c>
      <c r="K1606" t="s">
        <v>206</v>
      </c>
      <c r="L1606">
        <v>60623</v>
      </c>
      <c r="M1606" t="s">
        <v>101</v>
      </c>
      <c r="N1606" t="s">
        <v>5950</v>
      </c>
      <c r="O1606" t="s">
        <v>42</v>
      </c>
      <c r="P1606" t="s">
        <v>86</v>
      </c>
      <c r="Q1606" t="s">
        <v>5951</v>
      </c>
      <c r="R1606">
        <v>26.72</v>
      </c>
      <c r="S1606" t="str">
        <f>TEXT(sales_data[[#This Row],[Order Date]],"mm")</f>
        <v>08</v>
      </c>
      <c r="T1606">
        <f>YEAR(sales_data[[#This Row],[Order Date]])</f>
        <v>2018</v>
      </c>
      <c r="V1606" t="s">
        <v>5950</v>
      </c>
    </row>
    <row r="1607" spans="1:22" x14ac:dyDescent="0.35">
      <c r="A1607">
        <v>3932</v>
      </c>
      <c r="B1607" t="s">
        <v>5952</v>
      </c>
      <c r="C1607" s="1">
        <v>42973</v>
      </c>
      <c r="D1607" s="1">
        <v>42980</v>
      </c>
      <c r="E1607" t="s">
        <v>46</v>
      </c>
      <c r="F1607" t="s">
        <v>3966</v>
      </c>
      <c r="G1607" t="s">
        <v>3967</v>
      </c>
      <c r="H1607" t="s">
        <v>37</v>
      </c>
      <c r="I1607" t="s">
        <v>23</v>
      </c>
      <c r="J1607" t="s">
        <v>142</v>
      </c>
      <c r="K1607" t="s">
        <v>143</v>
      </c>
      <c r="L1607">
        <v>19140</v>
      </c>
      <c r="M1607" t="s">
        <v>144</v>
      </c>
      <c r="N1607" t="s">
        <v>5953</v>
      </c>
      <c r="O1607" t="s">
        <v>42</v>
      </c>
      <c r="P1607" t="s">
        <v>64</v>
      </c>
      <c r="Q1607" t="s">
        <v>5954</v>
      </c>
      <c r="R1607">
        <v>5.4720000000000004</v>
      </c>
      <c r="S1607" t="str">
        <f>TEXT(sales_data[[#This Row],[Order Date]],"mm")</f>
        <v>08</v>
      </c>
      <c r="T1607">
        <f>YEAR(sales_data[[#This Row],[Order Date]])</f>
        <v>2017</v>
      </c>
      <c r="V1607" t="s">
        <v>5953</v>
      </c>
    </row>
    <row r="1608" spans="1:22" x14ac:dyDescent="0.35">
      <c r="A1608">
        <v>3937</v>
      </c>
      <c r="B1608" t="s">
        <v>5955</v>
      </c>
      <c r="C1608" s="1">
        <v>42537</v>
      </c>
      <c r="D1608" s="1">
        <v>42541</v>
      </c>
      <c r="E1608" t="s">
        <v>46</v>
      </c>
      <c r="F1608" t="s">
        <v>5889</v>
      </c>
      <c r="G1608" t="s">
        <v>5890</v>
      </c>
      <c r="H1608" t="s">
        <v>22</v>
      </c>
      <c r="I1608" t="s">
        <v>23</v>
      </c>
      <c r="J1608" t="s">
        <v>751</v>
      </c>
      <c r="K1608" t="s">
        <v>100</v>
      </c>
      <c r="L1608">
        <v>75051</v>
      </c>
      <c r="M1608" t="s">
        <v>101</v>
      </c>
      <c r="N1608" t="s">
        <v>5956</v>
      </c>
      <c r="O1608" t="s">
        <v>42</v>
      </c>
      <c r="P1608" t="s">
        <v>168</v>
      </c>
      <c r="Q1608" t="s">
        <v>662</v>
      </c>
      <c r="R1608">
        <v>28.751999999999999</v>
      </c>
      <c r="S1608" t="str">
        <f>TEXT(sales_data[[#This Row],[Order Date]],"mm")</f>
        <v>06</v>
      </c>
      <c r="T1608">
        <f>YEAR(sales_data[[#This Row],[Order Date]])</f>
        <v>2016</v>
      </c>
      <c r="V1608" t="s">
        <v>5956</v>
      </c>
    </row>
    <row r="1609" spans="1:22" x14ac:dyDescent="0.35">
      <c r="A1609">
        <v>3953</v>
      </c>
      <c r="B1609" t="s">
        <v>5958</v>
      </c>
      <c r="C1609" s="1">
        <v>42795</v>
      </c>
      <c r="D1609" s="1">
        <v>42802</v>
      </c>
      <c r="E1609" t="s">
        <v>46</v>
      </c>
      <c r="F1609" t="s">
        <v>221</v>
      </c>
      <c r="G1609" t="s">
        <v>222</v>
      </c>
      <c r="H1609" t="s">
        <v>37</v>
      </c>
      <c r="I1609" t="s">
        <v>23</v>
      </c>
      <c r="J1609" t="s">
        <v>799</v>
      </c>
      <c r="K1609" t="s">
        <v>452</v>
      </c>
      <c r="L1609">
        <v>80219</v>
      </c>
      <c r="M1609" t="s">
        <v>40</v>
      </c>
      <c r="N1609" t="s">
        <v>5959</v>
      </c>
      <c r="O1609" t="s">
        <v>67</v>
      </c>
      <c r="P1609" t="s">
        <v>68</v>
      </c>
      <c r="Q1609" t="s">
        <v>5960</v>
      </c>
      <c r="R1609">
        <v>159.98400000000001</v>
      </c>
      <c r="S1609" t="str">
        <f>TEXT(sales_data[[#This Row],[Order Date]],"mm")</f>
        <v>03</v>
      </c>
      <c r="T1609">
        <f>YEAR(sales_data[[#This Row],[Order Date]])</f>
        <v>2017</v>
      </c>
      <c r="V1609" t="s">
        <v>5959</v>
      </c>
    </row>
    <row r="1610" spans="1:22" x14ac:dyDescent="0.35">
      <c r="A1610">
        <v>3960</v>
      </c>
      <c r="B1610" t="s">
        <v>5961</v>
      </c>
      <c r="C1610" s="1">
        <v>42884</v>
      </c>
      <c r="D1610" s="1">
        <v>42888</v>
      </c>
      <c r="E1610" t="s">
        <v>46</v>
      </c>
      <c r="F1610" t="s">
        <v>1546</v>
      </c>
      <c r="G1610" t="s">
        <v>1547</v>
      </c>
      <c r="H1610" t="s">
        <v>22</v>
      </c>
      <c r="I1610" t="s">
        <v>23</v>
      </c>
      <c r="J1610" t="s">
        <v>5118</v>
      </c>
      <c r="K1610" t="s">
        <v>330</v>
      </c>
      <c r="L1610">
        <v>37211</v>
      </c>
      <c r="M1610" t="s">
        <v>26</v>
      </c>
      <c r="N1610" t="s">
        <v>5962</v>
      </c>
      <c r="O1610" t="s">
        <v>28</v>
      </c>
      <c r="P1610" t="s">
        <v>61</v>
      </c>
      <c r="Q1610" t="s">
        <v>5963</v>
      </c>
      <c r="R1610">
        <v>44.76</v>
      </c>
      <c r="S1610" t="str">
        <f>TEXT(sales_data[[#This Row],[Order Date]],"mm")</f>
        <v>05</v>
      </c>
      <c r="T1610">
        <f>YEAR(sales_data[[#This Row],[Order Date]])</f>
        <v>2017</v>
      </c>
      <c r="V1610" t="s">
        <v>5962</v>
      </c>
    </row>
    <row r="1611" spans="1:22" x14ac:dyDescent="0.35">
      <c r="A1611">
        <v>3965</v>
      </c>
      <c r="B1611" t="s">
        <v>5964</v>
      </c>
      <c r="C1611" s="1">
        <v>43000</v>
      </c>
      <c r="D1611" s="1">
        <v>43006</v>
      </c>
      <c r="E1611" t="s">
        <v>46</v>
      </c>
      <c r="F1611" t="s">
        <v>5006</v>
      </c>
      <c r="G1611" t="s">
        <v>5007</v>
      </c>
      <c r="H1611" t="s">
        <v>22</v>
      </c>
      <c r="I1611" t="s">
        <v>23</v>
      </c>
      <c r="J1611" t="s">
        <v>142</v>
      </c>
      <c r="K1611" t="s">
        <v>143</v>
      </c>
      <c r="L1611">
        <v>19140</v>
      </c>
      <c r="M1611" t="s">
        <v>144</v>
      </c>
      <c r="N1611" t="s">
        <v>5965</v>
      </c>
      <c r="O1611" t="s">
        <v>42</v>
      </c>
      <c r="P1611" t="s">
        <v>64</v>
      </c>
      <c r="Q1611" t="s">
        <v>5966</v>
      </c>
      <c r="R1611">
        <v>7.8719999999999999</v>
      </c>
      <c r="S1611" t="str">
        <f>TEXT(sales_data[[#This Row],[Order Date]],"mm")</f>
        <v>09</v>
      </c>
      <c r="T1611">
        <f>YEAR(sales_data[[#This Row],[Order Date]])</f>
        <v>2017</v>
      </c>
      <c r="V1611" t="s">
        <v>5965</v>
      </c>
    </row>
    <row r="1612" spans="1:22" x14ac:dyDescent="0.35">
      <c r="A1612">
        <v>3970</v>
      </c>
      <c r="B1612" t="s">
        <v>5967</v>
      </c>
      <c r="C1612" s="1">
        <v>42522</v>
      </c>
      <c r="D1612" s="1">
        <v>42526</v>
      </c>
      <c r="E1612" t="s">
        <v>46</v>
      </c>
      <c r="F1612" t="s">
        <v>5897</v>
      </c>
      <c r="G1612" t="s">
        <v>5898</v>
      </c>
      <c r="H1612" t="s">
        <v>37</v>
      </c>
      <c r="I1612" t="s">
        <v>23</v>
      </c>
      <c r="J1612" t="s">
        <v>671</v>
      </c>
      <c r="K1612" t="s">
        <v>100</v>
      </c>
      <c r="L1612">
        <v>78207</v>
      </c>
      <c r="M1612" t="s">
        <v>101</v>
      </c>
      <c r="N1612" t="s">
        <v>5968</v>
      </c>
      <c r="O1612" t="s">
        <v>42</v>
      </c>
      <c r="P1612" t="s">
        <v>86</v>
      </c>
      <c r="Q1612" t="s">
        <v>5969</v>
      </c>
      <c r="R1612">
        <v>42.24</v>
      </c>
      <c r="S1612" t="str">
        <f>TEXT(sales_data[[#This Row],[Order Date]],"mm")</f>
        <v>06</v>
      </c>
      <c r="T1612">
        <f>YEAR(sales_data[[#This Row],[Order Date]])</f>
        <v>2016</v>
      </c>
      <c r="V1612" t="s">
        <v>5968</v>
      </c>
    </row>
    <row r="1613" spans="1:22" x14ac:dyDescent="0.35">
      <c r="A1613">
        <v>3977</v>
      </c>
      <c r="B1613" t="s">
        <v>5971</v>
      </c>
      <c r="C1613" s="1">
        <v>43030</v>
      </c>
      <c r="D1613" s="1">
        <v>43032</v>
      </c>
      <c r="E1613" t="s">
        <v>183</v>
      </c>
      <c r="F1613" t="s">
        <v>4108</v>
      </c>
      <c r="G1613" t="s">
        <v>4109</v>
      </c>
      <c r="H1613" t="s">
        <v>22</v>
      </c>
      <c r="I1613" t="s">
        <v>23</v>
      </c>
      <c r="J1613" t="s">
        <v>1452</v>
      </c>
      <c r="K1613" t="s">
        <v>314</v>
      </c>
      <c r="L1613">
        <v>23223</v>
      </c>
      <c r="M1613" t="s">
        <v>26</v>
      </c>
      <c r="N1613" t="s">
        <v>5972</v>
      </c>
      <c r="O1613" t="s">
        <v>28</v>
      </c>
      <c r="P1613" t="s">
        <v>61</v>
      </c>
      <c r="Q1613" t="s">
        <v>5973</v>
      </c>
      <c r="R1613">
        <v>39.92</v>
      </c>
      <c r="S1613" t="str">
        <f>TEXT(sales_data[[#This Row],[Order Date]],"mm")</f>
        <v>10</v>
      </c>
      <c r="T1613">
        <f>YEAR(sales_data[[#This Row],[Order Date]])</f>
        <v>2017</v>
      </c>
      <c r="V1613" t="s">
        <v>5972</v>
      </c>
    </row>
    <row r="1614" spans="1:22" x14ac:dyDescent="0.35">
      <c r="A1614">
        <v>3988</v>
      </c>
      <c r="B1614" t="s">
        <v>5974</v>
      </c>
      <c r="C1614" s="1">
        <v>43198</v>
      </c>
      <c r="D1614" s="1">
        <v>43204</v>
      </c>
      <c r="E1614" t="s">
        <v>46</v>
      </c>
      <c r="F1614" t="s">
        <v>4699</v>
      </c>
      <c r="G1614" t="s">
        <v>4700</v>
      </c>
      <c r="H1614" t="s">
        <v>98</v>
      </c>
      <c r="I1614" t="s">
        <v>23</v>
      </c>
      <c r="J1614" t="s">
        <v>2101</v>
      </c>
      <c r="K1614" t="s">
        <v>780</v>
      </c>
      <c r="L1614">
        <v>7060</v>
      </c>
      <c r="M1614" t="s">
        <v>144</v>
      </c>
      <c r="N1614" t="s">
        <v>5975</v>
      </c>
      <c r="O1614" t="s">
        <v>42</v>
      </c>
      <c r="P1614" t="s">
        <v>74</v>
      </c>
      <c r="Q1614" t="s">
        <v>5976</v>
      </c>
      <c r="R1614">
        <v>41.95</v>
      </c>
      <c r="S1614" t="str">
        <f>TEXT(sales_data[[#This Row],[Order Date]],"mm")</f>
        <v>04</v>
      </c>
      <c r="T1614">
        <f>YEAR(sales_data[[#This Row],[Order Date]])</f>
        <v>2018</v>
      </c>
      <c r="V1614" t="s">
        <v>5975</v>
      </c>
    </row>
    <row r="1615" spans="1:22" x14ac:dyDescent="0.35">
      <c r="A1615">
        <v>3989</v>
      </c>
      <c r="B1615" t="s">
        <v>5977</v>
      </c>
      <c r="C1615" s="1">
        <v>42842</v>
      </c>
      <c r="D1615" s="1">
        <v>42847</v>
      </c>
      <c r="E1615" t="s">
        <v>46</v>
      </c>
      <c r="F1615" t="s">
        <v>5978</v>
      </c>
      <c r="G1615" t="s">
        <v>5979</v>
      </c>
      <c r="H1615" t="s">
        <v>37</v>
      </c>
      <c r="I1615" t="s">
        <v>23</v>
      </c>
      <c r="J1615" t="s">
        <v>377</v>
      </c>
      <c r="K1615" t="s">
        <v>330</v>
      </c>
      <c r="L1615">
        <v>38401</v>
      </c>
      <c r="M1615" t="s">
        <v>26</v>
      </c>
      <c r="N1615" t="s">
        <v>5980</v>
      </c>
      <c r="O1615" t="s">
        <v>28</v>
      </c>
      <c r="P1615" t="s">
        <v>61</v>
      </c>
      <c r="Q1615" t="s">
        <v>5981</v>
      </c>
      <c r="R1615">
        <v>79.12</v>
      </c>
      <c r="S1615" t="str">
        <f>TEXT(sales_data[[#This Row],[Order Date]],"mm")</f>
        <v>04</v>
      </c>
      <c r="T1615">
        <f>YEAR(sales_data[[#This Row],[Order Date]])</f>
        <v>2017</v>
      </c>
      <c r="V1615" t="s">
        <v>5980</v>
      </c>
    </row>
    <row r="1616" spans="1:22" x14ac:dyDescent="0.35">
      <c r="A1616">
        <v>3998</v>
      </c>
      <c r="B1616" t="s">
        <v>5982</v>
      </c>
      <c r="C1616" s="1">
        <v>42437</v>
      </c>
      <c r="D1616" s="1">
        <v>42441</v>
      </c>
      <c r="E1616" t="s">
        <v>46</v>
      </c>
      <c r="F1616" t="s">
        <v>5983</v>
      </c>
      <c r="G1616" t="s">
        <v>5984</v>
      </c>
      <c r="H1616" t="s">
        <v>22</v>
      </c>
      <c r="I1616" t="s">
        <v>23</v>
      </c>
      <c r="J1616" t="s">
        <v>4241</v>
      </c>
      <c r="K1616" t="s">
        <v>110</v>
      </c>
      <c r="L1616">
        <v>53142</v>
      </c>
      <c r="M1616" t="s">
        <v>101</v>
      </c>
      <c r="N1616" t="s">
        <v>5985</v>
      </c>
      <c r="O1616" t="s">
        <v>42</v>
      </c>
      <c r="P1616" t="s">
        <v>64</v>
      </c>
      <c r="Q1616" t="s">
        <v>5986</v>
      </c>
      <c r="R1616">
        <v>14.98</v>
      </c>
      <c r="S1616" t="str">
        <f>TEXT(sales_data[[#This Row],[Order Date]],"mm")</f>
        <v>03</v>
      </c>
      <c r="T1616">
        <f>YEAR(sales_data[[#This Row],[Order Date]])</f>
        <v>2016</v>
      </c>
      <c r="V1616" t="s">
        <v>5985</v>
      </c>
    </row>
    <row r="1617" spans="1:22" x14ac:dyDescent="0.35">
      <c r="A1617">
        <v>4002</v>
      </c>
      <c r="B1617" t="s">
        <v>5987</v>
      </c>
      <c r="C1617" s="1">
        <v>42288</v>
      </c>
      <c r="D1617" s="1">
        <v>42293</v>
      </c>
      <c r="E1617" t="s">
        <v>46</v>
      </c>
      <c r="F1617" t="s">
        <v>5303</v>
      </c>
      <c r="G1617" t="s">
        <v>5304</v>
      </c>
      <c r="H1617" t="s">
        <v>98</v>
      </c>
      <c r="I1617" t="s">
        <v>23</v>
      </c>
      <c r="J1617" t="s">
        <v>91</v>
      </c>
      <c r="K1617" t="s">
        <v>92</v>
      </c>
      <c r="L1617">
        <v>98115</v>
      </c>
      <c r="M1617" t="s">
        <v>40</v>
      </c>
      <c r="N1617" t="s">
        <v>5988</v>
      </c>
      <c r="O1617" t="s">
        <v>67</v>
      </c>
      <c r="P1617" t="s">
        <v>156</v>
      </c>
      <c r="Q1617" t="s">
        <v>5989</v>
      </c>
      <c r="R1617">
        <v>345</v>
      </c>
      <c r="S1617" t="str">
        <f>TEXT(sales_data[[#This Row],[Order Date]],"mm")</f>
        <v>10</v>
      </c>
      <c r="T1617">
        <f>YEAR(sales_data[[#This Row],[Order Date]])</f>
        <v>2015</v>
      </c>
      <c r="V1617" t="s">
        <v>5988</v>
      </c>
    </row>
    <row r="1618" spans="1:22" x14ac:dyDescent="0.35">
      <c r="A1618">
        <v>4004</v>
      </c>
      <c r="B1618" t="s">
        <v>5990</v>
      </c>
      <c r="C1618" s="1">
        <v>42797</v>
      </c>
      <c r="D1618" s="1">
        <v>42802</v>
      </c>
      <c r="E1618" t="s">
        <v>46</v>
      </c>
      <c r="F1618" t="s">
        <v>3404</v>
      </c>
      <c r="G1618" t="s">
        <v>3405</v>
      </c>
      <c r="H1618" t="s">
        <v>22</v>
      </c>
      <c r="I1618" t="s">
        <v>23</v>
      </c>
      <c r="J1618" t="s">
        <v>671</v>
      </c>
      <c r="K1618" t="s">
        <v>100</v>
      </c>
      <c r="L1618">
        <v>78207</v>
      </c>
      <c r="M1618" t="s">
        <v>101</v>
      </c>
      <c r="N1618" t="s">
        <v>5991</v>
      </c>
      <c r="O1618" t="s">
        <v>67</v>
      </c>
      <c r="P1618" t="s">
        <v>675</v>
      </c>
      <c r="Q1618" t="s">
        <v>5992</v>
      </c>
      <c r="R1618">
        <v>287.91000000000003</v>
      </c>
      <c r="S1618" t="str">
        <f>TEXT(sales_data[[#This Row],[Order Date]],"mm")</f>
        <v>03</v>
      </c>
      <c r="T1618">
        <f>YEAR(sales_data[[#This Row],[Order Date]])</f>
        <v>2017</v>
      </c>
      <c r="V1618" t="s">
        <v>5991</v>
      </c>
    </row>
    <row r="1619" spans="1:22" x14ac:dyDescent="0.35">
      <c r="A1619">
        <v>4008</v>
      </c>
      <c r="B1619" t="s">
        <v>5993</v>
      </c>
      <c r="C1619" s="1">
        <v>42714</v>
      </c>
      <c r="D1619" s="1">
        <v>42720</v>
      </c>
      <c r="E1619" t="s">
        <v>46</v>
      </c>
      <c r="F1619" t="s">
        <v>5994</v>
      </c>
      <c r="G1619" t="s">
        <v>5995</v>
      </c>
      <c r="H1619" t="s">
        <v>22</v>
      </c>
      <c r="I1619" t="s">
        <v>23</v>
      </c>
      <c r="J1619" t="s">
        <v>3158</v>
      </c>
      <c r="K1619" t="s">
        <v>1261</v>
      </c>
      <c r="L1619">
        <v>30076</v>
      </c>
      <c r="M1619" t="s">
        <v>26</v>
      </c>
      <c r="N1619" t="s">
        <v>5996</v>
      </c>
      <c r="O1619" t="s">
        <v>67</v>
      </c>
      <c r="P1619" t="s">
        <v>156</v>
      </c>
      <c r="Q1619" t="s">
        <v>5997</v>
      </c>
      <c r="R1619">
        <v>101.94</v>
      </c>
      <c r="S1619" t="str">
        <f>TEXT(sales_data[[#This Row],[Order Date]],"mm")</f>
        <v>12</v>
      </c>
      <c r="T1619">
        <f>YEAR(sales_data[[#This Row],[Order Date]])</f>
        <v>2016</v>
      </c>
      <c r="V1619" t="s">
        <v>5996</v>
      </c>
    </row>
    <row r="1620" spans="1:22" x14ac:dyDescent="0.35">
      <c r="A1620">
        <v>4010</v>
      </c>
      <c r="B1620" t="s">
        <v>5998</v>
      </c>
      <c r="C1620" s="1">
        <v>43101</v>
      </c>
      <c r="D1620" s="1">
        <v>43105</v>
      </c>
      <c r="E1620" t="s">
        <v>46</v>
      </c>
      <c r="F1620" t="s">
        <v>514</v>
      </c>
      <c r="G1620" t="s">
        <v>515</v>
      </c>
      <c r="H1620" t="s">
        <v>22</v>
      </c>
      <c r="I1620" t="s">
        <v>23</v>
      </c>
      <c r="J1620" t="s">
        <v>38</v>
      </c>
      <c r="K1620" t="s">
        <v>39</v>
      </c>
      <c r="L1620">
        <v>90036</v>
      </c>
      <c r="M1620" t="s">
        <v>40</v>
      </c>
      <c r="N1620" t="s">
        <v>5999</v>
      </c>
      <c r="O1620" t="s">
        <v>28</v>
      </c>
      <c r="P1620" t="s">
        <v>61</v>
      </c>
      <c r="Q1620" t="s">
        <v>6000</v>
      </c>
      <c r="R1620">
        <v>474.43</v>
      </c>
      <c r="S1620" t="str">
        <f>TEXT(sales_data[[#This Row],[Order Date]],"mm")</f>
        <v>01</v>
      </c>
      <c r="T1620">
        <f>YEAR(sales_data[[#This Row],[Order Date]])</f>
        <v>2018</v>
      </c>
      <c r="V1620" t="s">
        <v>5999</v>
      </c>
    </row>
    <row r="1621" spans="1:22" x14ac:dyDescent="0.35">
      <c r="A1621">
        <v>4018</v>
      </c>
      <c r="B1621" t="s">
        <v>6001</v>
      </c>
      <c r="C1621" s="1">
        <v>42605</v>
      </c>
      <c r="D1621" s="1">
        <v>42610</v>
      </c>
      <c r="E1621" t="s">
        <v>46</v>
      </c>
      <c r="F1621" t="s">
        <v>5274</v>
      </c>
      <c r="G1621" t="s">
        <v>5275</v>
      </c>
      <c r="H1621" t="s">
        <v>22</v>
      </c>
      <c r="I1621" t="s">
        <v>23</v>
      </c>
      <c r="J1621" t="s">
        <v>1720</v>
      </c>
      <c r="K1621" t="s">
        <v>1261</v>
      </c>
      <c r="L1621">
        <v>30318</v>
      </c>
      <c r="M1621" t="s">
        <v>26</v>
      </c>
      <c r="N1621" t="s">
        <v>6002</v>
      </c>
      <c r="O1621" t="s">
        <v>42</v>
      </c>
      <c r="P1621" t="s">
        <v>86</v>
      </c>
      <c r="Q1621" t="s">
        <v>6003</v>
      </c>
      <c r="R1621">
        <v>97.88</v>
      </c>
      <c r="S1621" t="str">
        <f>TEXT(sales_data[[#This Row],[Order Date]],"mm")</f>
        <v>08</v>
      </c>
      <c r="T1621">
        <f>YEAR(sales_data[[#This Row],[Order Date]])</f>
        <v>2016</v>
      </c>
      <c r="V1621" t="s">
        <v>6002</v>
      </c>
    </row>
    <row r="1622" spans="1:22" x14ac:dyDescent="0.35">
      <c r="A1622">
        <v>4025</v>
      </c>
      <c r="B1622" t="s">
        <v>6006</v>
      </c>
      <c r="C1622" s="1">
        <v>43400</v>
      </c>
      <c r="D1622" s="1">
        <v>43401</v>
      </c>
      <c r="E1622" t="s">
        <v>183</v>
      </c>
      <c r="F1622" t="s">
        <v>5720</v>
      </c>
      <c r="G1622" t="s">
        <v>5721</v>
      </c>
      <c r="H1622" t="s">
        <v>37</v>
      </c>
      <c r="I1622" t="s">
        <v>23</v>
      </c>
      <c r="J1622" t="s">
        <v>123</v>
      </c>
      <c r="K1622" t="s">
        <v>39</v>
      </c>
      <c r="L1622">
        <v>94110</v>
      </c>
      <c r="M1622" t="s">
        <v>40</v>
      </c>
      <c r="N1622" t="s">
        <v>6007</v>
      </c>
      <c r="O1622" t="s">
        <v>67</v>
      </c>
      <c r="P1622" t="s">
        <v>68</v>
      </c>
      <c r="Q1622" t="s">
        <v>6008</v>
      </c>
      <c r="R1622">
        <v>95.84</v>
      </c>
      <c r="S1622" t="str">
        <f>TEXT(sales_data[[#This Row],[Order Date]],"mm")</f>
        <v>10</v>
      </c>
      <c r="T1622">
        <f>YEAR(sales_data[[#This Row],[Order Date]])</f>
        <v>2018</v>
      </c>
      <c r="V1622" t="s">
        <v>6007</v>
      </c>
    </row>
    <row r="1623" spans="1:22" x14ac:dyDescent="0.35">
      <c r="A1623">
        <v>4054</v>
      </c>
      <c r="B1623" t="s">
        <v>6009</v>
      </c>
      <c r="C1623" s="1">
        <v>42276</v>
      </c>
      <c r="D1623" s="1">
        <v>42280</v>
      </c>
      <c r="E1623" t="s">
        <v>46</v>
      </c>
      <c r="F1623" t="s">
        <v>3399</v>
      </c>
      <c r="G1623" t="s">
        <v>3400</v>
      </c>
      <c r="H1623" t="s">
        <v>37</v>
      </c>
      <c r="I1623" t="s">
        <v>23</v>
      </c>
      <c r="J1623" t="s">
        <v>142</v>
      </c>
      <c r="K1623" t="s">
        <v>143</v>
      </c>
      <c r="L1623">
        <v>19134</v>
      </c>
      <c r="M1623" t="s">
        <v>144</v>
      </c>
      <c r="N1623" t="s">
        <v>6010</v>
      </c>
      <c r="O1623" t="s">
        <v>42</v>
      </c>
      <c r="P1623" t="s">
        <v>43</v>
      </c>
      <c r="Q1623" t="s">
        <v>6011</v>
      </c>
      <c r="R1623">
        <v>55.44</v>
      </c>
      <c r="S1623" t="str">
        <f>TEXT(sales_data[[#This Row],[Order Date]],"mm")</f>
        <v>09</v>
      </c>
      <c r="T1623">
        <f>YEAR(sales_data[[#This Row],[Order Date]])</f>
        <v>2015</v>
      </c>
      <c r="V1623" t="s">
        <v>6010</v>
      </c>
    </row>
    <row r="1624" spans="1:22" x14ac:dyDescent="0.35">
      <c r="A1624">
        <v>4064</v>
      </c>
      <c r="B1624" t="s">
        <v>6012</v>
      </c>
      <c r="C1624" s="1">
        <v>42178</v>
      </c>
      <c r="D1624" s="1">
        <v>42181</v>
      </c>
      <c r="E1624" t="s">
        <v>183</v>
      </c>
      <c r="F1624" t="s">
        <v>5331</v>
      </c>
      <c r="G1624" t="s">
        <v>5332</v>
      </c>
      <c r="H1624" t="s">
        <v>22</v>
      </c>
      <c r="I1624" t="s">
        <v>23</v>
      </c>
      <c r="J1624" t="s">
        <v>83</v>
      </c>
      <c r="K1624" t="s">
        <v>84</v>
      </c>
      <c r="L1624">
        <v>28027</v>
      </c>
      <c r="M1624" t="s">
        <v>26</v>
      </c>
      <c r="N1624" t="s">
        <v>6013</v>
      </c>
      <c r="O1624" t="s">
        <v>42</v>
      </c>
      <c r="P1624" t="s">
        <v>64</v>
      </c>
      <c r="Q1624" t="s">
        <v>3998</v>
      </c>
      <c r="R1624">
        <v>20.015999999999998</v>
      </c>
      <c r="S1624" t="str">
        <f>TEXT(sales_data[[#This Row],[Order Date]],"mm")</f>
        <v>06</v>
      </c>
      <c r="T1624">
        <f>YEAR(sales_data[[#This Row],[Order Date]])</f>
        <v>2015</v>
      </c>
      <c r="V1624" t="s">
        <v>6013</v>
      </c>
    </row>
    <row r="1625" spans="1:22" x14ac:dyDescent="0.35">
      <c r="A1625">
        <v>4069</v>
      </c>
      <c r="B1625" t="s">
        <v>6014</v>
      </c>
      <c r="C1625" s="1">
        <v>42309</v>
      </c>
      <c r="D1625" s="1">
        <v>42313</v>
      </c>
      <c r="E1625" t="s">
        <v>46</v>
      </c>
      <c r="F1625" t="s">
        <v>1491</v>
      </c>
      <c r="G1625" t="s">
        <v>1492</v>
      </c>
      <c r="H1625" t="s">
        <v>37</v>
      </c>
      <c r="I1625" t="s">
        <v>23</v>
      </c>
      <c r="J1625" t="s">
        <v>462</v>
      </c>
      <c r="K1625" t="s">
        <v>84</v>
      </c>
      <c r="L1625">
        <v>28205</v>
      </c>
      <c r="M1625" t="s">
        <v>26</v>
      </c>
      <c r="N1625" t="s">
        <v>6015</v>
      </c>
      <c r="O1625" t="s">
        <v>67</v>
      </c>
      <c r="P1625" t="s">
        <v>68</v>
      </c>
      <c r="Q1625" t="s">
        <v>6016</v>
      </c>
      <c r="R1625">
        <v>978.84</v>
      </c>
      <c r="S1625" t="str">
        <f>TEXT(sales_data[[#This Row],[Order Date]],"mm")</f>
        <v>11</v>
      </c>
      <c r="T1625">
        <f>YEAR(sales_data[[#This Row],[Order Date]])</f>
        <v>2015</v>
      </c>
      <c r="V1625" t="s">
        <v>6015</v>
      </c>
    </row>
    <row r="1626" spans="1:22" x14ac:dyDescent="0.35">
      <c r="A1626">
        <v>4089</v>
      </c>
      <c r="B1626" t="s">
        <v>6017</v>
      </c>
      <c r="C1626" s="1">
        <v>42235</v>
      </c>
      <c r="D1626" s="1">
        <v>42242</v>
      </c>
      <c r="E1626" t="s">
        <v>46</v>
      </c>
      <c r="F1626" t="s">
        <v>237</v>
      </c>
      <c r="G1626" t="s">
        <v>238</v>
      </c>
      <c r="H1626" t="s">
        <v>22</v>
      </c>
      <c r="I1626" t="s">
        <v>23</v>
      </c>
      <c r="J1626" t="s">
        <v>3162</v>
      </c>
      <c r="K1626" t="s">
        <v>1692</v>
      </c>
      <c r="L1626">
        <v>72401</v>
      </c>
      <c r="M1626" t="s">
        <v>26</v>
      </c>
      <c r="N1626" t="s">
        <v>6018</v>
      </c>
      <c r="O1626" t="s">
        <v>28</v>
      </c>
      <c r="P1626" t="s">
        <v>29</v>
      </c>
      <c r="Q1626" t="s">
        <v>6019</v>
      </c>
      <c r="R1626">
        <v>638.82000000000005</v>
      </c>
      <c r="S1626" t="str">
        <f>TEXT(sales_data[[#This Row],[Order Date]],"mm")</f>
        <v>08</v>
      </c>
      <c r="T1626">
        <f>YEAR(sales_data[[#This Row],[Order Date]])</f>
        <v>2015</v>
      </c>
      <c r="V1626" t="s">
        <v>6018</v>
      </c>
    </row>
    <row r="1627" spans="1:22" x14ac:dyDescent="0.35">
      <c r="A1627">
        <v>4099</v>
      </c>
      <c r="B1627" t="s">
        <v>6020</v>
      </c>
      <c r="C1627" s="1">
        <v>42270</v>
      </c>
      <c r="D1627" s="1">
        <v>42275</v>
      </c>
      <c r="E1627" t="s">
        <v>46</v>
      </c>
      <c r="F1627" t="s">
        <v>1571</v>
      </c>
      <c r="G1627" t="s">
        <v>1572</v>
      </c>
      <c r="H1627" t="s">
        <v>22</v>
      </c>
      <c r="I1627" t="s">
        <v>23</v>
      </c>
      <c r="J1627" t="s">
        <v>404</v>
      </c>
      <c r="K1627" t="s">
        <v>224</v>
      </c>
      <c r="L1627">
        <v>55407</v>
      </c>
      <c r="M1627" t="s">
        <v>101</v>
      </c>
      <c r="N1627" t="s">
        <v>6021</v>
      </c>
      <c r="O1627" t="s">
        <v>42</v>
      </c>
      <c r="P1627" t="s">
        <v>71</v>
      </c>
      <c r="Q1627" t="s">
        <v>6022</v>
      </c>
      <c r="R1627">
        <v>9449.9500000000007</v>
      </c>
      <c r="S1627" t="str">
        <f>TEXT(sales_data[[#This Row],[Order Date]],"mm")</f>
        <v>09</v>
      </c>
      <c r="T1627">
        <f>YEAR(sales_data[[#This Row],[Order Date]])</f>
        <v>2015</v>
      </c>
      <c r="V1627" t="s">
        <v>6021</v>
      </c>
    </row>
    <row r="1628" spans="1:22" x14ac:dyDescent="0.35">
      <c r="A1628">
        <v>4101</v>
      </c>
      <c r="B1628" t="s">
        <v>6023</v>
      </c>
      <c r="C1628" s="1">
        <v>43270</v>
      </c>
      <c r="D1628" s="1">
        <v>43274</v>
      </c>
      <c r="E1628" t="s">
        <v>46</v>
      </c>
      <c r="F1628" t="s">
        <v>1951</v>
      </c>
      <c r="G1628" t="s">
        <v>1952</v>
      </c>
      <c r="H1628" t="s">
        <v>22</v>
      </c>
      <c r="I1628" t="s">
        <v>23</v>
      </c>
      <c r="J1628" t="s">
        <v>179</v>
      </c>
      <c r="K1628" t="s">
        <v>100</v>
      </c>
      <c r="L1628">
        <v>77095</v>
      </c>
      <c r="M1628" t="s">
        <v>101</v>
      </c>
      <c r="N1628" t="s">
        <v>6024</v>
      </c>
      <c r="O1628" t="s">
        <v>42</v>
      </c>
      <c r="P1628" t="s">
        <v>74</v>
      </c>
      <c r="Q1628" t="s">
        <v>6025</v>
      </c>
      <c r="R1628">
        <v>2.2639999999999998</v>
      </c>
      <c r="S1628" t="str">
        <f>TEXT(sales_data[[#This Row],[Order Date]],"mm")</f>
        <v>06</v>
      </c>
      <c r="T1628">
        <f>YEAR(sales_data[[#This Row],[Order Date]])</f>
        <v>2018</v>
      </c>
      <c r="V1628" t="s">
        <v>6024</v>
      </c>
    </row>
    <row r="1629" spans="1:22" x14ac:dyDescent="0.35">
      <c r="A1629">
        <v>4111</v>
      </c>
      <c r="B1629" t="s">
        <v>6028</v>
      </c>
      <c r="C1629" s="1">
        <v>42729</v>
      </c>
      <c r="D1629" s="1">
        <v>42736</v>
      </c>
      <c r="E1629" t="s">
        <v>46</v>
      </c>
      <c r="F1629" t="s">
        <v>3153</v>
      </c>
      <c r="G1629" t="s">
        <v>3154</v>
      </c>
      <c r="H1629" t="s">
        <v>37</v>
      </c>
      <c r="I1629" t="s">
        <v>23</v>
      </c>
      <c r="J1629" t="s">
        <v>872</v>
      </c>
      <c r="K1629" t="s">
        <v>233</v>
      </c>
      <c r="L1629">
        <v>48227</v>
      </c>
      <c r="M1629" t="s">
        <v>101</v>
      </c>
      <c r="N1629" t="s">
        <v>6029</v>
      </c>
      <c r="O1629" t="s">
        <v>28</v>
      </c>
      <c r="P1629" t="s">
        <v>29</v>
      </c>
      <c r="Q1629" t="s">
        <v>6030</v>
      </c>
      <c r="R1629">
        <v>160.97999999999999</v>
      </c>
      <c r="S1629" t="str">
        <f>TEXT(sales_data[[#This Row],[Order Date]],"mm")</f>
        <v>12</v>
      </c>
      <c r="T1629">
        <f>YEAR(sales_data[[#This Row],[Order Date]])</f>
        <v>2016</v>
      </c>
      <c r="V1629" t="s">
        <v>6029</v>
      </c>
    </row>
    <row r="1630" spans="1:22" x14ac:dyDescent="0.35">
      <c r="A1630">
        <v>4121</v>
      </c>
      <c r="B1630" t="s">
        <v>6031</v>
      </c>
      <c r="C1630" s="1">
        <v>43347</v>
      </c>
      <c r="D1630" s="1">
        <v>43353</v>
      </c>
      <c r="E1630" t="s">
        <v>46</v>
      </c>
      <c r="F1630" t="s">
        <v>3715</v>
      </c>
      <c r="G1630" t="s">
        <v>3716</v>
      </c>
      <c r="H1630" t="s">
        <v>22</v>
      </c>
      <c r="I1630" t="s">
        <v>23</v>
      </c>
      <c r="J1630" t="s">
        <v>142</v>
      </c>
      <c r="K1630" t="s">
        <v>143</v>
      </c>
      <c r="L1630">
        <v>19120</v>
      </c>
      <c r="M1630" t="s">
        <v>144</v>
      </c>
      <c r="N1630" t="s">
        <v>6032</v>
      </c>
      <c r="O1630" t="s">
        <v>67</v>
      </c>
      <c r="P1630" t="s">
        <v>156</v>
      </c>
      <c r="Q1630" t="s">
        <v>6033</v>
      </c>
      <c r="R1630">
        <v>19.04</v>
      </c>
      <c r="S1630" t="str">
        <f>TEXT(sales_data[[#This Row],[Order Date]],"mm")</f>
        <v>09</v>
      </c>
      <c r="T1630">
        <f>YEAR(sales_data[[#This Row],[Order Date]])</f>
        <v>2018</v>
      </c>
      <c r="V1630" t="s">
        <v>6032</v>
      </c>
    </row>
    <row r="1631" spans="1:22" x14ac:dyDescent="0.35">
      <c r="A1631">
        <v>4129</v>
      </c>
      <c r="B1631" t="s">
        <v>6034</v>
      </c>
      <c r="C1631" s="1">
        <v>42266</v>
      </c>
      <c r="D1631" s="1">
        <v>42271</v>
      </c>
      <c r="E1631" t="s">
        <v>46</v>
      </c>
      <c r="F1631" t="s">
        <v>2091</v>
      </c>
      <c r="G1631" t="s">
        <v>2092</v>
      </c>
      <c r="H1631" t="s">
        <v>22</v>
      </c>
      <c r="I1631" t="s">
        <v>23</v>
      </c>
      <c r="J1631" t="s">
        <v>462</v>
      </c>
      <c r="K1631" t="s">
        <v>84</v>
      </c>
      <c r="L1631">
        <v>28205</v>
      </c>
      <c r="M1631" t="s">
        <v>26</v>
      </c>
      <c r="N1631" t="s">
        <v>6035</v>
      </c>
      <c r="O1631" t="s">
        <v>67</v>
      </c>
      <c r="P1631" t="s">
        <v>675</v>
      </c>
      <c r="Q1631" t="s">
        <v>6036</v>
      </c>
      <c r="R1631">
        <v>2624.9850000000001</v>
      </c>
      <c r="S1631" t="str">
        <f>TEXT(sales_data[[#This Row],[Order Date]],"mm")</f>
        <v>09</v>
      </c>
      <c r="T1631">
        <f>YEAR(sales_data[[#This Row],[Order Date]])</f>
        <v>2015</v>
      </c>
      <c r="V1631" t="s">
        <v>6035</v>
      </c>
    </row>
    <row r="1632" spans="1:22" x14ac:dyDescent="0.35">
      <c r="A1632">
        <v>4145</v>
      </c>
      <c r="B1632" t="s">
        <v>6038</v>
      </c>
      <c r="C1632" s="1">
        <v>43130</v>
      </c>
      <c r="D1632" s="1">
        <v>43137</v>
      </c>
      <c r="E1632" t="s">
        <v>46</v>
      </c>
      <c r="F1632" t="s">
        <v>2134</v>
      </c>
      <c r="G1632" t="s">
        <v>2135</v>
      </c>
      <c r="H1632" t="s">
        <v>98</v>
      </c>
      <c r="I1632" t="s">
        <v>23</v>
      </c>
      <c r="J1632" t="s">
        <v>123</v>
      </c>
      <c r="K1632" t="s">
        <v>39</v>
      </c>
      <c r="L1632">
        <v>94110</v>
      </c>
      <c r="M1632" t="s">
        <v>40</v>
      </c>
      <c r="N1632" t="s">
        <v>6039</v>
      </c>
      <c r="O1632" t="s">
        <v>42</v>
      </c>
      <c r="P1632" t="s">
        <v>64</v>
      </c>
      <c r="Q1632" t="s">
        <v>6040</v>
      </c>
      <c r="R1632">
        <v>8.82</v>
      </c>
      <c r="S1632" t="str">
        <f>TEXT(sales_data[[#This Row],[Order Date]],"mm")</f>
        <v>01</v>
      </c>
      <c r="T1632">
        <f>YEAR(sales_data[[#This Row],[Order Date]])</f>
        <v>2018</v>
      </c>
      <c r="V1632" t="s">
        <v>6039</v>
      </c>
    </row>
    <row r="1633" spans="1:22" x14ac:dyDescent="0.35">
      <c r="A1633">
        <v>4169</v>
      </c>
      <c r="B1633" t="s">
        <v>6043</v>
      </c>
      <c r="C1633" s="1">
        <v>42288</v>
      </c>
      <c r="D1633" s="1">
        <v>42290</v>
      </c>
      <c r="E1633" t="s">
        <v>183</v>
      </c>
      <c r="F1633" t="s">
        <v>593</v>
      </c>
      <c r="G1633" t="s">
        <v>594</v>
      </c>
      <c r="H1633" t="s">
        <v>22</v>
      </c>
      <c r="I1633" t="s">
        <v>23</v>
      </c>
      <c r="J1633" t="s">
        <v>595</v>
      </c>
      <c r="K1633" t="s">
        <v>39</v>
      </c>
      <c r="L1633">
        <v>91104</v>
      </c>
      <c r="M1633" t="s">
        <v>40</v>
      </c>
      <c r="N1633" t="s">
        <v>6044</v>
      </c>
      <c r="O1633" t="s">
        <v>28</v>
      </c>
      <c r="P1633" t="s">
        <v>32</v>
      </c>
      <c r="Q1633" t="s">
        <v>6045</v>
      </c>
      <c r="R1633">
        <v>433.56799999999998</v>
      </c>
      <c r="S1633" t="str">
        <f>TEXT(sales_data[[#This Row],[Order Date]],"mm")</f>
        <v>10</v>
      </c>
      <c r="T1633">
        <f>YEAR(sales_data[[#This Row],[Order Date]])</f>
        <v>2015</v>
      </c>
      <c r="V1633" t="s">
        <v>6044</v>
      </c>
    </row>
    <row r="1634" spans="1:22" x14ac:dyDescent="0.35">
      <c r="A1634">
        <v>4185</v>
      </c>
      <c r="B1634" t="s">
        <v>6049</v>
      </c>
      <c r="C1634" s="1">
        <v>43074</v>
      </c>
      <c r="D1634" s="1">
        <v>43076</v>
      </c>
      <c r="E1634" t="s">
        <v>183</v>
      </c>
      <c r="F1634" t="s">
        <v>5165</v>
      </c>
      <c r="G1634" t="s">
        <v>5166</v>
      </c>
      <c r="H1634" t="s">
        <v>37</v>
      </c>
      <c r="I1634" t="s">
        <v>23</v>
      </c>
      <c r="J1634" t="s">
        <v>605</v>
      </c>
      <c r="K1634" t="s">
        <v>1235</v>
      </c>
      <c r="L1634">
        <v>2038</v>
      </c>
      <c r="M1634" t="s">
        <v>144</v>
      </c>
      <c r="N1634" t="s">
        <v>6050</v>
      </c>
      <c r="O1634" t="s">
        <v>28</v>
      </c>
      <c r="P1634" t="s">
        <v>29</v>
      </c>
      <c r="Q1634" t="s">
        <v>6051</v>
      </c>
      <c r="R1634">
        <v>81.94</v>
      </c>
      <c r="S1634" t="str">
        <f>TEXT(sales_data[[#This Row],[Order Date]],"mm")</f>
        <v>12</v>
      </c>
      <c r="T1634">
        <f>YEAR(sales_data[[#This Row],[Order Date]])</f>
        <v>2017</v>
      </c>
      <c r="V1634" t="s">
        <v>6050</v>
      </c>
    </row>
    <row r="1635" spans="1:22" x14ac:dyDescent="0.35">
      <c r="A1635">
        <v>4190</v>
      </c>
      <c r="B1635" t="s">
        <v>6053</v>
      </c>
      <c r="C1635" s="1">
        <v>43004</v>
      </c>
      <c r="D1635" s="1">
        <v>43009</v>
      </c>
      <c r="E1635" t="s">
        <v>19</v>
      </c>
      <c r="F1635" t="s">
        <v>5978</v>
      </c>
      <c r="G1635" t="s">
        <v>5979</v>
      </c>
      <c r="H1635" t="s">
        <v>37</v>
      </c>
      <c r="I1635" t="s">
        <v>23</v>
      </c>
      <c r="J1635" t="s">
        <v>6054</v>
      </c>
      <c r="K1635" t="s">
        <v>484</v>
      </c>
      <c r="L1635">
        <v>52240</v>
      </c>
      <c r="M1635" t="s">
        <v>101</v>
      </c>
      <c r="N1635" t="s">
        <v>6055</v>
      </c>
      <c r="O1635" t="s">
        <v>42</v>
      </c>
      <c r="P1635" t="s">
        <v>86</v>
      </c>
      <c r="Q1635" t="s">
        <v>6056</v>
      </c>
      <c r="R1635">
        <v>9.99</v>
      </c>
      <c r="S1635" t="str">
        <f>TEXT(sales_data[[#This Row],[Order Date]],"mm")</f>
        <v>09</v>
      </c>
      <c r="T1635">
        <f>YEAR(sales_data[[#This Row],[Order Date]])</f>
        <v>2017</v>
      </c>
      <c r="V1635" t="s">
        <v>6055</v>
      </c>
    </row>
    <row r="1636" spans="1:22" x14ac:dyDescent="0.35">
      <c r="A1636">
        <v>4192</v>
      </c>
      <c r="B1636" t="s">
        <v>6057</v>
      </c>
      <c r="C1636" s="1">
        <v>42559</v>
      </c>
      <c r="D1636" s="1">
        <v>42559</v>
      </c>
      <c r="E1636" t="s">
        <v>1277</v>
      </c>
      <c r="F1636" t="s">
        <v>5346</v>
      </c>
      <c r="G1636" t="s">
        <v>5347</v>
      </c>
      <c r="H1636" t="s">
        <v>22</v>
      </c>
      <c r="I1636" t="s">
        <v>23</v>
      </c>
      <c r="J1636" t="s">
        <v>179</v>
      </c>
      <c r="K1636" t="s">
        <v>100</v>
      </c>
      <c r="L1636">
        <v>77070</v>
      </c>
      <c r="M1636" t="s">
        <v>101</v>
      </c>
      <c r="N1636" t="s">
        <v>6058</v>
      </c>
      <c r="O1636" t="s">
        <v>42</v>
      </c>
      <c r="P1636" t="s">
        <v>86</v>
      </c>
      <c r="Q1636" t="s">
        <v>6059</v>
      </c>
      <c r="R1636">
        <v>21.12</v>
      </c>
      <c r="S1636" t="str">
        <f>TEXT(sales_data[[#This Row],[Order Date]],"mm")</f>
        <v>07</v>
      </c>
      <c r="T1636">
        <f>YEAR(sales_data[[#This Row],[Order Date]])</f>
        <v>2016</v>
      </c>
      <c r="V1636" t="s">
        <v>6058</v>
      </c>
    </row>
    <row r="1637" spans="1:22" x14ac:dyDescent="0.35">
      <c r="A1637">
        <v>4214</v>
      </c>
      <c r="B1637" t="s">
        <v>6061</v>
      </c>
      <c r="C1637" s="1">
        <v>42129</v>
      </c>
      <c r="D1637" s="1">
        <v>42133</v>
      </c>
      <c r="E1637" t="s">
        <v>19</v>
      </c>
      <c r="F1637" t="s">
        <v>5927</v>
      </c>
      <c r="G1637" t="s">
        <v>5928</v>
      </c>
      <c r="H1637" t="s">
        <v>22</v>
      </c>
      <c r="I1637" t="s">
        <v>23</v>
      </c>
      <c r="J1637" t="s">
        <v>1452</v>
      </c>
      <c r="K1637" t="s">
        <v>25</v>
      </c>
      <c r="L1637">
        <v>40475</v>
      </c>
      <c r="M1637" t="s">
        <v>26</v>
      </c>
      <c r="N1637" t="s">
        <v>6062</v>
      </c>
      <c r="O1637" t="s">
        <v>42</v>
      </c>
      <c r="P1637" t="s">
        <v>86</v>
      </c>
      <c r="Q1637" t="s">
        <v>6063</v>
      </c>
      <c r="R1637">
        <v>24.56</v>
      </c>
      <c r="S1637" t="str">
        <f>TEXT(sales_data[[#This Row],[Order Date]],"mm")</f>
        <v>05</v>
      </c>
      <c r="T1637">
        <f>YEAR(sales_data[[#This Row],[Order Date]])</f>
        <v>2015</v>
      </c>
      <c r="V1637" t="s">
        <v>6062</v>
      </c>
    </row>
    <row r="1638" spans="1:22" x14ac:dyDescent="0.35">
      <c r="A1638">
        <v>4215</v>
      </c>
      <c r="B1638" t="s">
        <v>6064</v>
      </c>
      <c r="C1638" s="1">
        <v>42798</v>
      </c>
      <c r="D1638" s="1">
        <v>42802</v>
      </c>
      <c r="E1638" t="s">
        <v>46</v>
      </c>
      <c r="F1638" t="s">
        <v>3975</v>
      </c>
      <c r="G1638" t="s">
        <v>3976</v>
      </c>
      <c r="H1638" t="s">
        <v>22</v>
      </c>
      <c r="I1638" t="s">
        <v>23</v>
      </c>
      <c r="J1638" t="s">
        <v>5061</v>
      </c>
      <c r="K1638" t="s">
        <v>249</v>
      </c>
      <c r="L1638">
        <v>46544</v>
      </c>
      <c r="M1638" t="s">
        <v>101</v>
      </c>
      <c r="N1638" t="s">
        <v>6065</v>
      </c>
      <c r="O1638" t="s">
        <v>42</v>
      </c>
      <c r="P1638" t="s">
        <v>71</v>
      </c>
      <c r="Q1638" t="s">
        <v>6066</v>
      </c>
      <c r="R1638">
        <v>128.4</v>
      </c>
      <c r="S1638" t="str">
        <f>TEXT(sales_data[[#This Row],[Order Date]],"mm")</f>
        <v>03</v>
      </c>
      <c r="T1638">
        <f>YEAR(sales_data[[#This Row],[Order Date]])</f>
        <v>2017</v>
      </c>
      <c r="V1638" t="s">
        <v>6065</v>
      </c>
    </row>
    <row r="1639" spans="1:22" x14ac:dyDescent="0.35">
      <c r="A1639">
        <v>4216</v>
      </c>
      <c r="B1639" t="s">
        <v>6067</v>
      </c>
      <c r="C1639" s="1">
        <v>42338</v>
      </c>
      <c r="D1639" s="1">
        <v>42342</v>
      </c>
      <c r="E1639" t="s">
        <v>46</v>
      </c>
      <c r="F1639" t="s">
        <v>1248</v>
      </c>
      <c r="G1639" t="s">
        <v>1249</v>
      </c>
      <c r="H1639" t="s">
        <v>22</v>
      </c>
      <c r="I1639" t="s">
        <v>23</v>
      </c>
      <c r="J1639" t="s">
        <v>2263</v>
      </c>
      <c r="K1639" t="s">
        <v>262</v>
      </c>
      <c r="L1639">
        <v>10550</v>
      </c>
      <c r="M1639" t="s">
        <v>144</v>
      </c>
      <c r="N1639" t="s">
        <v>6068</v>
      </c>
      <c r="O1639" t="s">
        <v>42</v>
      </c>
      <c r="P1639" t="s">
        <v>168</v>
      </c>
      <c r="Q1639" t="s">
        <v>6069</v>
      </c>
      <c r="R1639">
        <v>62.28</v>
      </c>
      <c r="S1639" t="str">
        <f>TEXT(sales_data[[#This Row],[Order Date]],"mm")</f>
        <v>11</v>
      </c>
      <c r="T1639">
        <f>YEAR(sales_data[[#This Row],[Order Date]])</f>
        <v>2015</v>
      </c>
      <c r="V1639" t="s">
        <v>6068</v>
      </c>
    </row>
    <row r="1640" spans="1:22" x14ac:dyDescent="0.35">
      <c r="A1640">
        <v>4218</v>
      </c>
      <c r="B1640" t="s">
        <v>6070</v>
      </c>
      <c r="C1640" s="1">
        <v>43191</v>
      </c>
      <c r="D1640" s="1">
        <v>43193</v>
      </c>
      <c r="E1640" t="s">
        <v>183</v>
      </c>
      <c r="F1640" t="s">
        <v>5791</v>
      </c>
      <c r="G1640" t="s">
        <v>5792</v>
      </c>
      <c r="H1640" t="s">
        <v>37</v>
      </c>
      <c r="I1640" t="s">
        <v>23</v>
      </c>
      <c r="J1640" t="s">
        <v>123</v>
      </c>
      <c r="K1640" t="s">
        <v>39</v>
      </c>
      <c r="L1640">
        <v>94110</v>
      </c>
      <c r="M1640" t="s">
        <v>40</v>
      </c>
      <c r="N1640" t="s">
        <v>6071</v>
      </c>
      <c r="O1640" t="s">
        <v>28</v>
      </c>
      <c r="P1640" t="s">
        <v>29</v>
      </c>
      <c r="Q1640" t="s">
        <v>6072</v>
      </c>
      <c r="R1640">
        <v>482.66399999999999</v>
      </c>
      <c r="S1640" t="str">
        <f>TEXT(sales_data[[#This Row],[Order Date]],"mm")</f>
        <v>04</v>
      </c>
      <c r="T1640">
        <f>YEAR(sales_data[[#This Row],[Order Date]])</f>
        <v>2018</v>
      </c>
      <c r="V1640" t="s">
        <v>6071</v>
      </c>
    </row>
    <row r="1641" spans="1:22" x14ac:dyDescent="0.35">
      <c r="A1641">
        <v>4222</v>
      </c>
      <c r="B1641" t="s">
        <v>6073</v>
      </c>
      <c r="C1641" s="1">
        <v>43262</v>
      </c>
      <c r="D1641" s="1">
        <v>43264</v>
      </c>
      <c r="E1641" t="s">
        <v>19</v>
      </c>
      <c r="F1641" t="s">
        <v>3846</v>
      </c>
      <c r="G1641" t="s">
        <v>3847</v>
      </c>
      <c r="H1641" t="s">
        <v>22</v>
      </c>
      <c r="I1641" t="s">
        <v>23</v>
      </c>
      <c r="J1641" t="s">
        <v>91</v>
      </c>
      <c r="K1641" t="s">
        <v>92</v>
      </c>
      <c r="L1641">
        <v>98103</v>
      </c>
      <c r="M1641" t="s">
        <v>40</v>
      </c>
      <c r="N1641" t="s">
        <v>6074</v>
      </c>
      <c r="O1641" t="s">
        <v>67</v>
      </c>
      <c r="P1641" t="s">
        <v>675</v>
      </c>
      <c r="Q1641" t="s">
        <v>6075</v>
      </c>
      <c r="R1641">
        <v>385.8</v>
      </c>
      <c r="S1641" t="str">
        <f>TEXT(sales_data[[#This Row],[Order Date]],"mm")</f>
        <v>06</v>
      </c>
      <c r="T1641">
        <f>YEAR(sales_data[[#This Row],[Order Date]])</f>
        <v>2018</v>
      </c>
      <c r="V1641" t="s">
        <v>6074</v>
      </c>
    </row>
    <row r="1642" spans="1:22" x14ac:dyDescent="0.35">
      <c r="A1642">
        <v>4226</v>
      </c>
      <c r="B1642" t="s">
        <v>6076</v>
      </c>
      <c r="C1642" s="1">
        <v>42351</v>
      </c>
      <c r="D1642" s="1">
        <v>42355</v>
      </c>
      <c r="E1642" t="s">
        <v>46</v>
      </c>
      <c r="F1642" t="s">
        <v>1900</v>
      </c>
      <c r="G1642" t="s">
        <v>1901</v>
      </c>
      <c r="H1642" t="s">
        <v>37</v>
      </c>
      <c r="I1642" t="s">
        <v>23</v>
      </c>
      <c r="J1642" t="s">
        <v>298</v>
      </c>
      <c r="K1642" t="s">
        <v>206</v>
      </c>
      <c r="L1642">
        <v>60623</v>
      </c>
      <c r="M1642" t="s">
        <v>101</v>
      </c>
      <c r="N1642" t="s">
        <v>6077</v>
      </c>
      <c r="O1642" t="s">
        <v>28</v>
      </c>
      <c r="P1642" t="s">
        <v>61</v>
      </c>
      <c r="Q1642" t="s">
        <v>6078</v>
      </c>
      <c r="R1642">
        <v>94.427999999999997</v>
      </c>
      <c r="S1642" t="str">
        <f>TEXT(sales_data[[#This Row],[Order Date]],"mm")</f>
        <v>12</v>
      </c>
      <c r="T1642">
        <f>YEAR(sales_data[[#This Row],[Order Date]])</f>
        <v>2015</v>
      </c>
      <c r="V1642" t="s">
        <v>6077</v>
      </c>
    </row>
    <row r="1643" spans="1:22" x14ac:dyDescent="0.35">
      <c r="A1643">
        <v>4232</v>
      </c>
      <c r="B1643" t="s">
        <v>6079</v>
      </c>
      <c r="C1643" s="1">
        <v>43286</v>
      </c>
      <c r="D1643" s="1">
        <v>43291</v>
      </c>
      <c r="E1643" t="s">
        <v>46</v>
      </c>
      <c r="F1643" t="s">
        <v>2627</v>
      </c>
      <c r="G1643" t="s">
        <v>2628</v>
      </c>
      <c r="H1643" t="s">
        <v>37</v>
      </c>
      <c r="I1643" t="s">
        <v>23</v>
      </c>
      <c r="J1643" t="s">
        <v>807</v>
      </c>
      <c r="K1643" t="s">
        <v>100</v>
      </c>
      <c r="L1643">
        <v>75220</v>
      </c>
      <c r="M1643" t="s">
        <v>101</v>
      </c>
      <c r="N1643" t="s">
        <v>6080</v>
      </c>
      <c r="O1643" t="s">
        <v>42</v>
      </c>
      <c r="P1643" t="s">
        <v>86</v>
      </c>
      <c r="Q1643" t="s">
        <v>6081</v>
      </c>
      <c r="R1643">
        <v>15.552</v>
      </c>
      <c r="S1643" t="str">
        <f>TEXT(sales_data[[#This Row],[Order Date]],"mm")</f>
        <v>07</v>
      </c>
      <c r="T1643">
        <f>YEAR(sales_data[[#This Row],[Order Date]])</f>
        <v>2018</v>
      </c>
      <c r="V1643" t="s">
        <v>6080</v>
      </c>
    </row>
    <row r="1644" spans="1:22" x14ac:dyDescent="0.35">
      <c r="A1644">
        <v>4238</v>
      </c>
      <c r="B1644" t="s">
        <v>6083</v>
      </c>
      <c r="C1644" s="1">
        <v>43341</v>
      </c>
      <c r="D1644" s="1">
        <v>43346</v>
      </c>
      <c r="E1644" t="s">
        <v>19</v>
      </c>
      <c r="F1644" t="s">
        <v>4424</v>
      </c>
      <c r="G1644" t="s">
        <v>4425</v>
      </c>
      <c r="H1644" t="s">
        <v>37</v>
      </c>
      <c r="I1644" t="s">
        <v>23</v>
      </c>
      <c r="J1644" t="s">
        <v>142</v>
      </c>
      <c r="K1644" t="s">
        <v>143</v>
      </c>
      <c r="L1644">
        <v>19134</v>
      </c>
      <c r="M1644" t="s">
        <v>144</v>
      </c>
      <c r="N1644" t="s">
        <v>6084</v>
      </c>
      <c r="O1644" t="s">
        <v>42</v>
      </c>
      <c r="P1644" t="s">
        <v>64</v>
      </c>
      <c r="Q1644" t="s">
        <v>6085</v>
      </c>
      <c r="R1644">
        <v>9.4079999999999995</v>
      </c>
      <c r="S1644" t="str">
        <f>TEXT(sales_data[[#This Row],[Order Date]],"mm")</f>
        <v>08</v>
      </c>
      <c r="T1644">
        <f>YEAR(sales_data[[#This Row],[Order Date]])</f>
        <v>2018</v>
      </c>
      <c r="V1644" t="s">
        <v>6084</v>
      </c>
    </row>
    <row r="1645" spans="1:22" x14ac:dyDescent="0.35">
      <c r="A1645">
        <v>4239</v>
      </c>
      <c r="B1645" t="s">
        <v>6086</v>
      </c>
      <c r="C1645" s="1">
        <v>43185</v>
      </c>
      <c r="D1645" s="1">
        <v>43187</v>
      </c>
      <c r="E1645" t="s">
        <v>183</v>
      </c>
      <c r="F1645" t="s">
        <v>4808</v>
      </c>
      <c r="G1645" t="s">
        <v>4809</v>
      </c>
      <c r="H1645" t="s">
        <v>98</v>
      </c>
      <c r="I1645" t="s">
        <v>23</v>
      </c>
      <c r="J1645" t="s">
        <v>91</v>
      </c>
      <c r="K1645" t="s">
        <v>92</v>
      </c>
      <c r="L1645">
        <v>98105</v>
      </c>
      <c r="M1645" t="s">
        <v>40</v>
      </c>
      <c r="N1645" t="s">
        <v>6087</v>
      </c>
      <c r="O1645" t="s">
        <v>42</v>
      </c>
      <c r="P1645" t="s">
        <v>64</v>
      </c>
      <c r="Q1645" t="s">
        <v>6088</v>
      </c>
      <c r="R1645">
        <v>19.829999999999998</v>
      </c>
      <c r="S1645" t="str">
        <f>TEXT(sales_data[[#This Row],[Order Date]],"mm")</f>
        <v>03</v>
      </c>
      <c r="T1645">
        <f>YEAR(sales_data[[#This Row],[Order Date]])</f>
        <v>2018</v>
      </c>
      <c r="V1645" t="s">
        <v>6087</v>
      </c>
    </row>
    <row r="1646" spans="1:22" x14ac:dyDescent="0.35">
      <c r="A1646">
        <v>4241</v>
      </c>
      <c r="B1646" t="s">
        <v>6089</v>
      </c>
      <c r="C1646" s="1">
        <v>42267</v>
      </c>
      <c r="D1646" s="1">
        <v>42273</v>
      </c>
      <c r="E1646" t="s">
        <v>46</v>
      </c>
      <c r="F1646" t="s">
        <v>5436</v>
      </c>
      <c r="G1646" t="s">
        <v>5437</v>
      </c>
      <c r="H1646" t="s">
        <v>98</v>
      </c>
      <c r="I1646" t="s">
        <v>23</v>
      </c>
      <c r="J1646" t="s">
        <v>38</v>
      </c>
      <c r="K1646" t="s">
        <v>39</v>
      </c>
      <c r="L1646">
        <v>90004</v>
      </c>
      <c r="M1646" t="s">
        <v>40</v>
      </c>
      <c r="N1646" t="s">
        <v>6090</v>
      </c>
      <c r="O1646" t="s">
        <v>42</v>
      </c>
      <c r="P1646" t="s">
        <v>74</v>
      </c>
      <c r="Q1646" t="s">
        <v>1417</v>
      </c>
      <c r="R1646">
        <v>43.92</v>
      </c>
      <c r="S1646" t="str">
        <f>TEXT(sales_data[[#This Row],[Order Date]],"mm")</f>
        <v>09</v>
      </c>
      <c r="T1646">
        <f>YEAR(sales_data[[#This Row],[Order Date]])</f>
        <v>2015</v>
      </c>
      <c r="V1646" t="s">
        <v>6090</v>
      </c>
    </row>
    <row r="1647" spans="1:22" x14ac:dyDescent="0.35">
      <c r="A1647">
        <v>4264</v>
      </c>
      <c r="B1647" t="s">
        <v>6093</v>
      </c>
      <c r="C1647" s="1">
        <v>43407</v>
      </c>
      <c r="D1647" s="1">
        <v>43412</v>
      </c>
      <c r="E1647" t="s">
        <v>46</v>
      </c>
      <c r="F1647" t="s">
        <v>5346</v>
      </c>
      <c r="G1647" t="s">
        <v>5347</v>
      </c>
      <c r="H1647" t="s">
        <v>22</v>
      </c>
      <c r="I1647" t="s">
        <v>23</v>
      </c>
      <c r="J1647" t="s">
        <v>142</v>
      </c>
      <c r="K1647" t="s">
        <v>143</v>
      </c>
      <c r="L1647">
        <v>19143</v>
      </c>
      <c r="M1647" t="s">
        <v>144</v>
      </c>
      <c r="N1647" t="s">
        <v>6094</v>
      </c>
      <c r="O1647" t="s">
        <v>42</v>
      </c>
      <c r="P1647" t="s">
        <v>71</v>
      </c>
      <c r="Q1647" t="s">
        <v>6095</v>
      </c>
      <c r="R1647">
        <v>11.673</v>
      </c>
      <c r="S1647" t="str">
        <f>TEXT(sales_data[[#This Row],[Order Date]],"mm")</f>
        <v>11</v>
      </c>
      <c r="T1647">
        <f>YEAR(sales_data[[#This Row],[Order Date]])</f>
        <v>2018</v>
      </c>
      <c r="V1647" t="s">
        <v>6094</v>
      </c>
    </row>
    <row r="1648" spans="1:22" x14ac:dyDescent="0.35">
      <c r="A1648">
        <v>4278</v>
      </c>
      <c r="B1648" t="s">
        <v>6097</v>
      </c>
      <c r="C1648" s="1">
        <v>42841</v>
      </c>
      <c r="D1648" s="1">
        <v>42845</v>
      </c>
      <c r="E1648" t="s">
        <v>46</v>
      </c>
      <c r="F1648" t="s">
        <v>6091</v>
      </c>
      <c r="G1648" t="s">
        <v>6092</v>
      </c>
      <c r="H1648" t="s">
        <v>37</v>
      </c>
      <c r="I1648" t="s">
        <v>23</v>
      </c>
      <c r="J1648" t="s">
        <v>1112</v>
      </c>
      <c r="K1648" t="s">
        <v>780</v>
      </c>
      <c r="L1648">
        <v>8701</v>
      </c>
      <c r="M1648" t="s">
        <v>144</v>
      </c>
      <c r="N1648" t="s">
        <v>6098</v>
      </c>
      <c r="O1648" t="s">
        <v>67</v>
      </c>
      <c r="P1648" t="s">
        <v>675</v>
      </c>
      <c r="Q1648" t="s">
        <v>6099</v>
      </c>
      <c r="R1648">
        <v>9099.93</v>
      </c>
      <c r="S1648" t="str">
        <f>TEXT(sales_data[[#This Row],[Order Date]],"mm")</f>
        <v>04</v>
      </c>
      <c r="T1648">
        <f>YEAR(sales_data[[#This Row],[Order Date]])</f>
        <v>2017</v>
      </c>
      <c r="V1648" t="s">
        <v>6098</v>
      </c>
    </row>
    <row r="1649" spans="1:22" x14ac:dyDescent="0.35">
      <c r="A1649">
        <v>4283</v>
      </c>
      <c r="B1649" t="s">
        <v>6100</v>
      </c>
      <c r="C1649" s="1">
        <v>42358</v>
      </c>
      <c r="D1649" s="1">
        <v>42361</v>
      </c>
      <c r="E1649" t="s">
        <v>183</v>
      </c>
      <c r="F1649" t="s">
        <v>3665</v>
      </c>
      <c r="G1649" t="s">
        <v>3666</v>
      </c>
      <c r="H1649" t="s">
        <v>22</v>
      </c>
      <c r="I1649" t="s">
        <v>23</v>
      </c>
      <c r="J1649" t="s">
        <v>4124</v>
      </c>
      <c r="K1649" t="s">
        <v>249</v>
      </c>
      <c r="L1649">
        <v>46203</v>
      </c>
      <c r="M1649" t="s">
        <v>101</v>
      </c>
      <c r="N1649" t="s">
        <v>6101</v>
      </c>
      <c r="O1649" t="s">
        <v>42</v>
      </c>
      <c r="P1649" t="s">
        <v>43</v>
      </c>
      <c r="Q1649" t="s">
        <v>6102</v>
      </c>
      <c r="R1649">
        <v>3.69</v>
      </c>
      <c r="S1649" t="str">
        <f>TEXT(sales_data[[#This Row],[Order Date]],"mm")</f>
        <v>12</v>
      </c>
      <c r="T1649">
        <f>YEAR(sales_data[[#This Row],[Order Date]])</f>
        <v>2015</v>
      </c>
      <c r="V1649" t="s">
        <v>6101</v>
      </c>
    </row>
    <row r="1650" spans="1:22" x14ac:dyDescent="0.35">
      <c r="A1650">
        <v>4313</v>
      </c>
      <c r="B1650" t="s">
        <v>6103</v>
      </c>
      <c r="C1650" s="1">
        <v>42312</v>
      </c>
      <c r="D1650" s="1">
        <v>42319</v>
      </c>
      <c r="E1650" t="s">
        <v>46</v>
      </c>
      <c r="F1650" t="s">
        <v>4671</v>
      </c>
      <c r="G1650" t="s">
        <v>4672</v>
      </c>
      <c r="H1650" t="s">
        <v>22</v>
      </c>
      <c r="I1650" t="s">
        <v>23</v>
      </c>
      <c r="J1650" t="s">
        <v>38</v>
      </c>
      <c r="K1650" t="s">
        <v>39</v>
      </c>
      <c r="L1650">
        <v>90045</v>
      </c>
      <c r="M1650" t="s">
        <v>40</v>
      </c>
      <c r="N1650" t="s">
        <v>6104</v>
      </c>
      <c r="O1650" t="s">
        <v>67</v>
      </c>
      <c r="P1650" t="s">
        <v>675</v>
      </c>
      <c r="Q1650" t="s">
        <v>6105</v>
      </c>
      <c r="R1650">
        <v>447.96800000000002</v>
      </c>
      <c r="S1650" t="str">
        <f>TEXT(sales_data[[#This Row],[Order Date]],"mm")</f>
        <v>11</v>
      </c>
      <c r="T1650">
        <f>YEAR(sales_data[[#This Row],[Order Date]])</f>
        <v>2015</v>
      </c>
      <c r="V1650" t="s">
        <v>6104</v>
      </c>
    </row>
    <row r="1651" spans="1:22" x14ac:dyDescent="0.35">
      <c r="A1651">
        <v>4319</v>
      </c>
      <c r="B1651" t="s">
        <v>6106</v>
      </c>
      <c r="C1651" s="1">
        <v>43441</v>
      </c>
      <c r="D1651" s="1">
        <v>43445</v>
      </c>
      <c r="E1651" t="s">
        <v>46</v>
      </c>
      <c r="F1651" t="s">
        <v>2365</v>
      </c>
      <c r="G1651" t="s">
        <v>2366</v>
      </c>
      <c r="H1651" t="s">
        <v>22</v>
      </c>
      <c r="I1651" t="s">
        <v>23</v>
      </c>
      <c r="J1651" t="s">
        <v>1452</v>
      </c>
      <c r="K1651" t="s">
        <v>314</v>
      </c>
      <c r="L1651">
        <v>23223</v>
      </c>
      <c r="M1651" t="s">
        <v>26</v>
      </c>
      <c r="N1651" t="s">
        <v>6107</v>
      </c>
      <c r="O1651" t="s">
        <v>28</v>
      </c>
      <c r="P1651" t="s">
        <v>61</v>
      </c>
      <c r="Q1651" t="s">
        <v>6108</v>
      </c>
      <c r="R1651">
        <v>82.38</v>
      </c>
      <c r="S1651" t="str">
        <f>TEXT(sales_data[[#This Row],[Order Date]],"mm")</f>
        <v>12</v>
      </c>
      <c r="T1651">
        <f>YEAR(sales_data[[#This Row],[Order Date]])</f>
        <v>2018</v>
      </c>
      <c r="V1651" t="s">
        <v>6107</v>
      </c>
    </row>
    <row r="1652" spans="1:22" x14ac:dyDescent="0.35">
      <c r="A1652">
        <v>4330</v>
      </c>
      <c r="B1652" t="s">
        <v>6109</v>
      </c>
      <c r="C1652" s="1">
        <v>43376</v>
      </c>
      <c r="D1652" s="1">
        <v>43382</v>
      </c>
      <c r="E1652" t="s">
        <v>46</v>
      </c>
      <c r="F1652" t="s">
        <v>1182</v>
      </c>
      <c r="G1652" t="s">
        <v>1183</v>
      </c>
      <c r="H1652" t="s">
        <v>22</v>
      </c>
      <c r="I1652" t="s">
        <v>23</v>
      </c>
      <c r="J1652" t="s">
        <v>2295</v>
      </c>
      <c r="K1652" t="s">
        <v>50</v>
      </c>
      <c r="L1652">
        <v>33012</v>
      </c>
      <c r="M1652" t="s">
        <v>26</v>
      </c>
      <c r="N1652" t="s">
        <v>6110</v>
      </c>
      <c r="O1652" t="s">
        <v>42</v>
      </c>
      <c r="P1652" t="s">
        <v>86</v>
      </c>
      <c r="Q1652" t="s">
        <v>6111</v>
      </c>
      <c r="R1652">
        <v>15.552</v>
      </c>
      <c r="S1652" t="str">
        <f>TEXT(sales_data[[#This Row],[Order Date]],"mm")</f>
        <v>10</v>
      </c>
      <c r="T1652">
        <f>YEAR(sales_data[[#This Row],[Order Date]])</f>
        <v>2018</v>
      </c>
      <c r="V1652" t="s">
        <v>6110</v>
      </c>
    </row>
    <row r="1653" spans="1:22" x14ac:dyDescent="0.35">
      <c r="A1653">
        <v>4334</v>
      </c>
      <c r="B1653" t="s">
        <v>6112</v>
      </c>
      <c r="C1653" s="1">
        <v>42725</v>
      </c>
      <c r="D1653" s="1">
        <v>42731</v>
      </c>
      <c r="E1653" t="s">
        <v>46</v>
      </c>
      <c r="F1653" t="s">
        <v>6113</v>
      </c>
      <c r="G1653" t="s">
        <v>6114</v>
      </c>
      <c r="H1653" t="s">
        <v>22</v>
      </c>
      <c r="I1653" t="s">
        <v>23</v>
      </c>
      <c r="J1653" t="s">
        <v>6115</v>
      </c>
      <c r="K1653" t="s">
        <v>50</v>
      </c>
      <c r="L1653">
        <v>32114</v>
      </c>
      <c r="M1653" t="s">
        <v>26</v>
      </c>
      <c r="N1653" t="s">
        <v>6116</v>
      </c>
      <c r="O1653" t="s">
        <v>67</v>
      </c>
      <c r="P1653" t="s">
        <v>156</v>
      </c>
      <c r="Q1653" t="s">
        <v>6117</v>
      </c>
      <c r="R1653">
        <v>50.88</v>
      </c>
      <c r="S1653" t="str">
        <f>TEXT(sales_data[[#This Row],[Order Date]],"mm")</f>
        <v>12</v>
      </c>
      <c r="T1653">
        <f>YEAR(sales_data[[#This Row],[Order Date]])</f>
        <v>2016</v>
      </c>
      <c r="V1653" t="s">
        <v>6116</v>
      </c>
    </row>
    <row r="1654" spans="1:22" x14ac:dyDescent="0.35">
      <c r="A1654">
        <v>4336</v>
      </c>
      <c r="B1654" t="s">
        <v>6118</v>
      </c>
      <c r="C1654" s="1">
        <v>42724</v>
      </c>
      <c r="D1654" s="1">
        <v>42728</v>
      </c>
      <c r="E1654" t="s">
        <v>46</v>
      </c>
      <c r="F1654" t="s">
        <v>444</v>
      </c>
      <c r="G1654" t="s">
        <v>445</v>
      </c>
      <c r="H1654" t="s">
        <v>22</v>
      </c>
      <c r="I1654" t="s">
        <v>23</v>
      </c>
      <c r="J1654" t="s">
        <v>6119</v>
      </c>
      <c r="K1654" t="s">
        <v>305</v>
      </c>
      <c r="L1654">
        <v>86442</v>
      </c>
      <c r="M1654" t="s">
        <v>40</v>
      </c>
      <c r="N1654" t="s">
        <v>6120</v>
      </c>
      <c r="O1654" t="s">
        <v>42</v>
      </c>
      <c r="P1654" t="s">
        <v>168</v>
      </c>
      <c r="Q1654" t="s">
        <v>6121</v>
      </c>
      <c r="R1654">
        <v>7.92</v>
      </c>
      <c r="S1654" t="str">
        <f>TEXT(sales_data[[#This Row],[Order Date]],"mm")</f>
        <v>12</v>
      </c>
      <c r="T1654">
        <f>YEAR(sales_data[[#This Row],[Order Date]])</f>
        <v>2016</v>
      </c>
      <c r="V1654" t="s">
        <v>6120</v>
      </c>
    </row>
    <row r="1655" spans="1:22" x14ac:dyDescent="0.35">
      <c r="A1655">
        <v>4348</v>
      </c>
      <c r="B1655" t="s">
        <v>6122</v>
      </c>
      <c r="C1655" s="1">
        <v>42996</v>
      </c>
      <c r="D1655" s="1">
        <v>43003</v>
      </c>
      <c r="E1655" t="s">
        <v>46</v>
      </c>
      <c r="F1655" t="s">
        <v>4625</v>
      </c>
      <c r="G1655" t="s">
        <v>4626</v>
      </c>
      <c r="H1655" t="s">
        <v>22</v>
      </c>
      <c r="I1655" t="s">
        <v>23</v>
      </c>
      <c r="J1655" t="s">
        <v>1487</v>
      </c>
      <c r="K1655" t="s">
        <v>262</v>
      </c>
      <c r="L1655">
        <v>10801</v>
      </c>
      <c r="M1655" t="s">
        <v>144</v>
      </c>
      <c r="N1655" t="s">
        <v>6123</v>
      </c>
      <c r="O1655" t="s">
        <v>28</v>
      </c>
      <c r="P1655" t="s">
        <v>61</v>
      </c>
      <c r="Q1655" t="s">
        <v>6124</v>
      </c>
      <c r="R1655">
        <v>60.72</v>
      </c>
      <c r="S1655" t="str">
        <f>TEXT(sales_data[[#This Row],[Order Date]],"mm")</f>
        <v>09</v>
      </c>
      <c r="T1655">
        <f>YEAR(sales_data[[#This Row],[Order Date]])</f>
        <v>2017</v>
      </c>
      <c r="V1655" t="s">
        <v>6123</v>
      </c>
    </row>
    <row r="1656" spans="1:22" x14ac:dyDescent="0.35">
      <c r="A1656">
        <v>4361</v>
      </c>
      <c r="B1656" t="s">
        <v>6127</v>
      </c>
      <c r="C1656" s="1">
        <v>42876</v>
      </c>
      <c r="D1656" s="1">
        <v>42878</v>
      </c>
      <c r="E1656" t="s">
        <v>183</v>
      </c>
      <c r="F1656" t="s">
        <v>2367</v>
      </c>
      <c r="G1656" t="s">
        <v>2368</v>
      </c>
      <c r="H1656" t="s">
        <v>37</v>
      </c>
      <c r="I1656" t="s">
        <v>23</v>
      </c>
      <c r="J1656" t="s">
        <v>1386</v>
      </c>
      <c r="K1656" t="s">
        <v>1387</v>
      </c>
      <c r="L1656">
        <v>2886</v>
      </c>
      <c r="M1656" t="s">
        <v>144</v>
      </c>
      <c r="N1656" t="s">
        <v>6128</v>
      </c>
      <c r="O1656" t="s">
        <v>42</v>
      </c>
      <c r="P1656" t="s">
        <v>86</v>
      </c>
      <c r="Q1656" t="s">
        <v>181</v>
      </c>
      <c r="R1656">
        <v>111.96</v>
      </c>
      <c r="S1656" t="str">
        <f>TEXT(sales_data[[#This Row],[Order Date]],"mm")</f>
        <v>05</v>
      </c>
      <c r="T1656">
        <f>YEAR(sales_data[[#This Row],[Order Date]])</f>
        <v>2017</v>
      </c>
      <c r="V1656" t="s">
        <v>6128</v>
      </c>
    </row>
    <row r="1657" spans="1:22" x14ac:dyDescent="0.35">
      <c r="A1657">
        <v>4372</v>
      </c>
      <c r="B1657" t="s">
        <v>6131</v>
      </c>
      <c r="C1657" s="1">
        <v>43044</v>
      </c>
      <c r="D1657" s="1">
        <v>43049</v>
      </c>
      <c r="E1657" t="s">
        <v>46</v>
      </c>
      <c r="F1657" t="s">
        <v>5436</v>
      </c>
      <c r="G1657" t="s">
        <v>5437</v>
      </c>
      <c r="H1657" t="s">
        <v>98</v>
      </c>
      <c r="I1657" t="s">
        <v>23</v>
      </c>
      <c r="J1657" t="s">
        <v>1467</v>
      </c>
      <c r="K1657" t="s">
        <v>249</v>
      </c>
      <c r="L1657">
        <v>46226</v>
      </c>
      <c r="M1657" t="s">
        <v>101</v>
      </c>
      <c r="N1657" t="s">
        <v>6132</v>
      </c>
      <c r="O1657" t="s">
        <v>42</v>
      </c>
      <c r="P1657" t="s">
        <v>43</v>
      </c>
      <c r="Q1657" t="s">
        <v>6133</v>
      </c>
      <c r="R1657">
        <v>51.75</v>
      </c>
      <c r="S1657" t="str">
        <f>TEXT(sales_data[[#This Row],[Order Date]],"mm")</f>
        <v>11</v>
      </c>
      <c r="T1657">
        <f>YEAR(sales_data[[#This Row],[Order Date]])</f>
        <v>2017</v>
      </c>
      <c r="V1657" t="s">
        <v>6132</v>
      </c>
    </row>
    <row r="1658" spans="1:22" x14ac:dyDescent="0.35">
      <c r="A1658">
        <v>4375</v>
      </c>
      <c r="B1658" t="s">
        <v>6134</v>
      </c>
      <c r="C1658" s="1">
        <v>43057</v>
      </c>
      <c r="D1658" s="1">
        <v>43063</v>
      </c>
      <c r="E1658" t="s">
        <v>46</v>
      </c>
      <c r="F1658" t="s">
        <v>972</v>
      </c>
      <c r="G1658" t="s">
        <v>973</v>
      </c>
      <c r="H1658" t="s">
        <v>37</v>
      </c>
      <c r="I1658" t="s">
        <v>23</v>
      </c>
      <c r="J1658" t="s">
        <v>4028</v>
      </c>
      <c r="K1658" t="s">
        <v>493</v>
      </c>
      <c r="L1658">
        <v>44240</v>
      </c>
      <c r="M1658" t="s">
        <v>144</v>
      </c>
      <c r="N1658" t="s">
        <v>6135</v>
      </c>
      <c r="O1658" t="s">
        <v>42</v>
      </c>
      <c r="P1658" t="s">
        <v>74</v>
      </c>
      <c r="Q1658" t="s">
        <v>6136</v>
      </c>
      <c r="R1658">
        <v>103.968</v>
      </c>
      <c r="S1658" t="str">
        <f>TEXT(sales_data[[#This Row],[Order Date]],"mm")</f>
        <v>11</v>
      </c>
      <c r="T1658">
        <f>YEAR(sales_data[[#This Row],[Order Date]])</f>
        <v>2017</v>
      </c>
      <c r="V1658" t="s">
        <v>6135</v>
      </c>
    </row>
    <row r="1659" spans="1:22" x14ac:dyDescent="0.35">
      <c r="A1659">
        <v>4384</v>
      </c>
      <c r="B1659" t="s">
        <v>6137</v>
      </c>
      <c r="C1659" s="1">
        <v>42571</v>
      </c>
      <c r="D1659" s="1">
        <v>42578</v>
      </c>
      <c r="E1659" t="s">
        <v>46</v>
      </c>
      <c r="F1659" t="s">
        <v>1317</v>
      </c>
      <c r="G1659" t="s">
        <v>1318</v>
      </c>
      <c r="H1659" t="s">
        <v>22</v>
      </c>
      <c r="I1659" t="s">
        <v>23</v>
      </c>
      <c r="J1659" t="s">
        <v>5395</v>
      </c>
      <c r="K1659" t="s">
        <v>206</v>
      </c>
      <c r="L1659">
        <v>60035</v>
      </c>
      <c r="M1659" t="s">
        <v>101</v>
      </c>
      <c r="N1659" t="s">
        <v>6138</v>
      </c>
      <c r="O1659" t="s">
        <v>28</v>
      </c>
      <c r="P1659" t="s">
        <v>29</v>
      </c>
      <c r="Q1659" t="s">
        <v>6139</v>
      </c>
      <c r="R1659">
        <v>384.94400000000002</v>
      </c>
      <c r="S1659" t="str">
        <f>TEXT(sales_data[[#This Row],[Order Date]],"mm")</f>
        <v>07</v>
      </c>
      <c r="T1659">
        <f>YEAR(sales_data[[#This Row],[Order Date]])</f>
        <v>2016</v>
      </c>
      <c r="V1659" t="s">
        <v>6138</v>
      </c>
    </row>
    <row r="1660" spans="1:22" x14ac:dyDescent="0.35">
      <c r="A1660">
        <v>4403</v>
      </c>
      <c r="B1660" t="s">
        <v>6140</v>
      </c>
      <c r="C1660" s="1">
        <v>43095</v>
      </c>
      <c r="D1660" s="1">
        <v>43096</v>
      </c>
      <c r="E1660" t="s">
        <v>183</v>
      </c>
      <c r="F1660" t="s">
        <v>977</v>
      </c>
      <c r="G1660" t="s">
        <v>978</v>
      </c>
      <c r="H1660" t="s">
        <v>22</v>
      </c>
      <c r="I1660" t="s">
        <v>23</v>
      </c>
      <c r="J1660" t="s">
        <v>1074</v>
      </c>
      <c r="K1660" t="s">
        <v>452</v>
      </c>
      <c r="L1660">
        <v>80906</v>
      </c>
      <c r="M1660" t="s">
        <v>40</v>
      </c>
      <c r="N1660" t="s">
        <v>6141</v>
      </c>
      <c r="O1660" t="s">
        <v>42</v>
      </c>
      <c r="P1660" t="s">
        <v>64</v>
      </c>
      <c r="Q1660" t="s">
        <v>6142</v>
      </c>
      <c r="R1660">
        <v>11.327999999999999</v>
      </c>
      <c r="S1660" t="str">
        <f>TEXT(sales_data[[#This Row],[Order Date]],"mm")</f>
        <v>12</v>
      </c>
      <c r="T1660">
        <f>YEAR(sales_data[[#This Row],[Order Date]])</f>
        <v>2017</v>
      </c>
      <c r="V1660" t="s">
        <v>6141</v>
      </c>
    </row>
    <row r="1661" spans="1:22" x14ac:dyDescent="0.35">
      <c r="A1661">
        <v>4424</v>
      </c>
      <c r="B1661" t="s">
        <v>6143</v>
      </c>
      <c r="C1661" s="1">
        <v>43238</v>
      </c>
      <c r="D1661" s="1">
        <v>43239</v>
      </c>
      <c r="E1661" t="s">
        <v>183</v>
      </c>
      <c r="F1661" t="s">
        <v>3458</v>
      </c>
      <c r="G1661" t="s">
        <v>3459</v>
      </c>
      <c r="H1661" t="s">
        <v>37</v>
      </c>
      <c r="I1661" t="s">
        <v>23</v>
      </c>
      <c r="J1661" t="s">
        <v>6144</v>
      </c>
      <c r="K1661" t="s">
        <v>1261</v>
      </c>
      <c r="L1661">
        <v>30328</v>
      </c>
      <c r="M1661" t="s">
        <v>26</v>
      </c>
      <c r="N1661" t="s">
        <v>6145</v>
      </c>
      <c r="O1661" t="s">
        <v>28</v>
      </c>
      <c r="P1661" t="s">
        <v>29</v>
      </c>
      <c r="Q1661" t="s">
        <v>6146</v>
      </c>
      <c r="R1661">
        <v>302.94</v>
      </c>
      <c r="S1661" t="str">
        <f>TEXT(sales_data[[#This Row],[Order Date]],"mm")</f>
        <v>05</v>
      </c>
      <c r="T1661">
        <f>YEAR(sales_data[[#This Row],[Order Date]])</f>
        <v>2018</v>
      </c>
      <c r="V1661" t="s">
        <v>6145</v>
      </c>
    </row>
    <row r="1662" spans="1:22" x14ac:dyDescent="0.35">
      <c r="A1662">
        <v>4435</v>
      </c>
      <c r="B1662" t="s">
        <v>6147</v>
      </c>
      <c r="C1662" s="1">
        <v>43042</v>
      </c>
      <c r="D1662" s="1">
        <v>43047</v>
      </c>
      <c r="E1662" t="s">
        <v>19</v>
      </c>
      <c r="F1662" t="s">
        <v>2255</v>
      </c>
      <c r="G1662" t="s">
        <v>2256</v>
      </c>
      <c r="H1662" t="s">
        <v>22</v>
      </c>
      <c r="I1662" t="s">
        <v>23</v>
      </c>
      <c r="J1662" t="s">
        <v>24</v>
      </c>
      <c r="K1662" t="s">
        <v>25</v>
      </c>
      <c r="L1662">
        <v>42420</v>
      </c>
      <c r="M1662" t="s">
        <v>26</v>
      </c>
      <c r="N1662" t="s">
        <v>6148</v>
      </c>
      <c r="O1662" t="s">
        <v>28</v>
      </c>
      <c r="P1662" t="s">
        <v>52</v>
      </c>
      <c r="Q1662" t="s">
        <v>6149</v>
      </c>
      <c r="R1662">
        <v>842.94</v>
      </c>
      <c r="S1662" t="str">
        <f>TEXT(sales_data[[#This Row],[Order Date]],"mm")</f>
        <v>11</v>
      </c>
      <c r="T1662">
        <f>YEAR(sales_data[[#This Row],[Order Date]])</f>
        <v>2017</v>
      </c>
      <c r="V1662" t="s">
        <v>6148</v>
      </c>
    </row>
    <row r="1663" spans="1:22" x14ac:dyDescent="0.35">
      <c r="A1663">
        <v>4437</v>
      </c>
      <c r="B1663" t="s">
        <v>6150</v>
      </c>
      <c r="C1663" s="1">
        <v>42858</v>
      </c>
      <c r="D1663" s="1">
        <v>42863</v>
      </c>
      <c r="E1663" t="s">
        <v>46</v>
      </c>
      <c r="F1663" t="s">
        <v>4528</v>
      </c>
      <c r="G1663" t="s">
        <v>4529</v>
      </c>
      <c r="H1663" t="s">
        <v>22</v>
      </c>
      <c r="I1663" t="s">
        <v>23</v>
      </c>
      <c r="J1663" t="s">
        <v>298</v>
      </c>
      <c r="K1663" t="s">
        <v>206</v>
      </c>
      <c r="L1663">
        <v>60653</v>
      </c>
      <c r="M1663" t="s">
        <v>101</v>
      </c>
      <c r="N1663" t="s">
        <v>6151</v>
      </c>
      <c r="O1663" t="s">
        <v>42</v>
      </c>
      <c r="P1663" t="s">
        <v>64</v>
      </c>
      <c r="Q1663" t="s">
        <v>6152</v>
      </c>
      <c r="R1663">
        <v>27.384</v>
      </c>
      <c r="S1663" t="str">
        <f>TEXT(sales_data[[#This Row],[Order Date]],"mm")</f>
        <v>05</v>
      </c>
      <c r="T1663">
        <f>YEAR(sales_data[[#This Row],[Order Date]])</f>
        <v>2017</v>
      </c>
      <c r="V1663" t="s">
        <v>6151</v>
      </c>
    </row>
    <row r="1664" spans="1:22" x14ac:dyDescent="0.35">
      <c r="A1664">
        <v>4442</v>
      </c>
      <c r="B1664" t="s">
        <v>6153</v>
      </c>
      <c r="C1664" s="1">
        <v>42938</v>
      </c>
      <c r="D1664" s="1">
        <v>42942</v>
      </c>
      <c r="E1664" t="s">
        <v>46</v>
      </c>
      <c r="F1664" t="s">
        <v>4754</v>
      </c>
      <c r="G1664" t="s">
        <v>4755</v>
      </c>
      <c r="H1664" t="s">
        <v>22</v>
      </c>
      <c r="I1664" t="s">
        <v>23</v>
      </c>
      <c r="J1664" t="s">
        <v>232</v>
      </c>
      <c r="K1664" t="s">
        <v>233</v>
      </c>
      <c r="L1664">
        <v>48185</v>
      </c>
      <c r="M1664" t="s">
        <v>101</v>
      </c>
      <c r="N1664" t="s">
        <v>6154</v>
      </c>
      <c r="O1664" t="s">
        <v>42</v>
      </c>
      <c r="P1664" t="s">
        <v>55</v>
      </c>
      <c r="Q1664" t="s">
        <v>6155</v>
      </c>
      <c r="R1664">
        <v>965.85</v>
      </c>
      <c r="S1664" t="str">
        <f>TEXT(sales_data[[#This Row],[Order Date]],"mm")</f>
        <v>07</v>
      </c>
      <c r="T1664">
        <f>YEAR(sales_data[[#This Row],[Order Date]])</f>
        <v>2017</v>
      </c>
      <c r="V1664" t="s">
        <v>6154</v>
      </c>
    </row>
    <row r="1665" spans="1:22" x14ac:dyDescent="0.35">
      <c r="A1665">
        <v>4443</v>
      </c>
      <c r="B1665" t="s">
        <v>6153</v>
      </c>
      <c r="C1665" s="1">
        <v>42938</v>
      </c>
      <c r="D1665" s="1">
        <v>42942</v>
      </c>
      <c r="E1665" t="s">
        <v>46</v>
      </c>
      <c r="F1665" t="s">
        <v>4754</v>
      </c>
      <c r="G1665" t="s">
        <v>4755</v>
      </c>
      <c r="H1665" t="s">
        <v>22</v>
      </c>
      <c r="I1665" t="s">
        <v>23</v>
      </c>
      <c r="J1665" t="s">
        <v>232</v>
      </c>
      <c r="K1665" t="s">
        <v>233</v>
      </c>
      <c r="L1665">
        <v>48185</v>
      </c>
      <c r="M1665" t="s">
        <v>101</v>
      </c>
      <c r="N1665" t="s">
        <v>6156</v>
      </c>
      <c r="O1665" t="s">
        <v>42</v>
      </c>
      <c r="P1665" t="s">
        <v>64</v>
      </c>
      <c r="Q1665" t="s">
        <v>6157</v>
      </c>
      <c r="R1665">
        <v>29.2</v>
      </c>
      <c r="S1665" t="str">
        <f>TEXT(sales_data[[#This Row],[Order Date]],"mm")</f>
        <v>07</v>
      </c>
      <c r="T1665">
        <f>YEAR(sales_data[[#This Row],[Order Date]])</f>
        <v>2017</v>
      </c>
      <c r="V1665" t="s">
        <v>6156</v>
      </c>
    </row>
    <row r="1666" spans="1:22" x14ac:dyDescent="0.35">
      <c r="A1666">
        <v>4453</v>
      </c>
      <c r="B1666" t="s">
        <v>6158</v>
      </c>
      <c r="C1666" s="1">
        <v>42920</v>
      </c>
      <c r="D1666" s="1">
        <v>42922</v>
      </c>
      <c r="E1666" t="s">
        <v>183</v>
      </c>
      <c r="F1666" t="s">
        <v>6004</v>
      </c>
      <c r="G1666" t="s">
        <v>6005</v>
      </c>
      <c r="H1666" t="s">
        <v>22</v>
      </c>
      <c r="I1666" t="s">
        <v>23</v>
      </c>
      <c r="J1666" t="s">
        <v>123</v>
      </c>
      <c r="K1666" t="s">
        <v>39</v>
      </c>
      <c r="L1666">
        <v>94109</v>
      </c>
      <c r="M1666" t="s">
        <v>40</v>
      </c>
      <c r="N1666" t="s">
        <v>6159</v>
      </c>
      <c r="O1666" t="s">
        <v>42</v>
      </c>
      <c r="P1666" t="s">
        <v>168</v>
      </c>
      <c r="Q1666" t="s">
        <v>6160</v>
      </c>
      <c r="R1666">
        <v>43.96</v>
      </c>
      <c r="S1666" t="str">
        <f>TEXT(sales_data[[#This Row],[Order Date]],"mm")</f>
        <v>07</v>
      </c>
      <c r="T1666">
        <f>YEAR(sales_data[[#This Row],[Order Date]])</f>
        <v>2017</v>
      </c>
      <c r="V1666" t="s">
        <v>6159</v>
      </c>
    </row>
    <row r="1667" spans="1:22" x14ac:dyDescent="0.35">
      <c r="A1667">
        <v>4464</v>
      </c>
      <c r="B1667" t="s">
        <v>6161</v>
      </c>
      <c r="C1667" s="1">
        <v>43371</v>
      </c>
      <c r="D1667" s="1">
        <v>43374</v>
      </c>
      <c r="E1667" t="s">
        <v>183</v>
      </c>
      <c r="F1667" t="s">
        <v>2316</v>
      </c>
      <c r="G1667" t="s">
        <v>2317</v>
      </c>
      <c r="H1667" t="s">
        <v>98</v>
      </c>
      <c r="I1667" t="s">
        <v>23</v>
      </c>
      <c r="J1667" t="s">
        <v>451</v>
      </c>
      <c r="K1667" t="s">
        <v>452</v>
      </c>
      <c r="L1667">
        <v>80013</v>
      </c>
      <c r="M1667" t="s">
        <v>40</v>
      </c>
      <c r="N1667" t="s">
        <v>6162</v>
      </c>
      <c r="O1667" t="s">
        <v>42</v>
      </c>
      <c r="P1667" t="s">
        <v>86</v>
      </c>
      <c r="Q1667" t="s">
        <v>6163</v>
      </c>
      <c r="R1667">
        <v>14.352</v>
      </c>
      <c r="S1667" t="str">
        <f>TEXT(sales_data[[#This Row],[Order Date]],"mm")</f>
        <v>09</v>
      </c>
      <c r="T1667">
        <f>YEAR(sales_data[[#This Row],[Order Date]])</f>
        <v>2018</v>
      </c>
      <c r="V1667" t="s">
        <v>6162</v>
      </c>
    </row>
    <row r="1668" spans="1:22" x14ac:dyDescent="0.35">
      <c r="A1668">
        <v>4474</v>
      </c>
      <c r="B1668" t="s">
        <v>6164</v>
      </c>
      <c r="C1668" s="1">
        <v>43372</v>
      </c>
      <c r="D1668" s="1">
        <v>43372</v>
      </c>
      <c r="E1668" t="s">
        <v>1277</v>
      </c>
      <c r="F1668" t="s">
        <v>597</v>
      </c>
      <c r="G1668" t="s">
        <v>598</v>
      </c>
      <c r="H1668" t="s">
        <v>98</v>
      </c>
      <c r="I1668" t="s">
        <v>23</v>
      </c>
      <c r="J1668" t="s">
        <v>6165</v>
      </c>
      <c r="K1668" t="s">
        <v>493</v>
      </c>
      <c r="L1668">
        <v>44060</v>
      </c>
      <c r="M1668" t="s">
        <v>144</v>
      </c>
      <c r="N1668" t="s">
        <v>6166</v>
      </c>
      <c r="O1668" t="s">
        <v>28</v>
      </c>
      <c r="P1668" t="s">
        <v>52</v>
      </c>
      <c r="Q1668" t="s">
        <v>6167</v>
      </c>
      <c r="R1668">
        <v>344.22</v>
      </c>
      <c r="S1668" t="str">
        <f>TEXT(sales_data[[#This Row],[Order Date]],"mm")</f>
        <v>09</v>
      </c>
      <c r="T1668">
        <f>YEAR(sales_data[[#This Row],[Order Date]])</f>
        <v>2018</v>
      </c>
      <c r="V1668" t="s">
        <v>6166</v>
      </c>
    </row>
    <row r="1669" spans="1:22" x14ac:dyDescent="0.35">
      <c r="A1669">
        <v>4478</v>
      </c>
      <c r="B1669" t="s">
        <v>6168</v>
      </c>
      <c r="C1669" s="1">
        <v>43395</v>
      </c>
      <c r="D1669" s="1">
        <v>43395</v>
      </c>
      <c r="E1669" t="s">
        <v>1277</v>
      </c>
      <c r="F1669" t="s">
        <v>3052</v>
      </c>
      <c r="G1669" t="s">
        <v>3053</v>
      </c>
      <c r="H1669" t="s">
        <v>22</v>
      </c>
      <c r="I1669" t="s">
        <v>23</v>
      </c>
      <c r="J1669" t="s">
        <v>6169</v>
      </c>
      <c r="K1669" t="s">
        <v>641</v>
      </c>
      <c r="L1669">
        <v>73505</v>
      </c>
      <c r="M1669" t="s">
        <v>101</v>
      </c>
      <c r="N1669" t="s">
        <v>6170</v>
      </c>
      <c r="O1669" t="s">
        <v>42</v>
      </c>
      <c r="P1669" t="s">
        <v>55</v>
      </c>
      <c r="Q1669" t="s">
        <v>6171</v>
      </c>
      <c r="R1669">
        <v>333.09</v>
      </c>
      <c r="S1669" t="str">
        <f>TEXT(sales_data[[#This Row],[Order Date]],"mm")</f>
        <v>10</v>
      </c>
      <c r="T1669">
        <f>YEAR(sales_data[[#This Row],[Order Date]])</f>
        <v>2018</v>
      </c>
      <c r="V1669" t="s">
        <v>6170</v>
      </c>
    </row>
    <row r="1670" spans="1:22" x14ac:dyDescent="0.35">
      <c r="A1670">
        <v>4480</v>
      </c>
      <c r="B1670" t="s">
        <v>6172</v>
      </c>
      <c r="C1670" s="1">
        <v>42087</v>
      </c>
      <c r="D1670" s="1">
        <v>42091</v>
      </c>
      <c r="E1670" t="s">
        <v>46</v>
      </c>
      <c r="F1670" t="s">
        <v>2459</v>
      </c>
      <c r="G1670" t="s">
        <v>2460</v>
      </c>
      <c r="H1670" t="s">
        <v>22</v>
      </c>
      <c r="I1670" t="s">
        <v>23</v>
      </c>
      <c r="J1670" t="s">
        <v>261</v>
      </c>
      <c r="K1670" t="s">
        <v>262</v>
      </c>
      <c r="L1670">
        <v>10024</v>
      </c>
      <c r="M1670" t="s">
        <v>144</v>
      </c>
      <c r="N1670" t="s">
        <v>6173</v>
      </c>
      <c r="O1670" t="s">
        <v>42</v>
      </c>
      <c r="P1670" t="s">
        <v>86</v>
      </c>
      <c r="Q1670" t="s">
        <v>6174</v>
      </c>
      <c r="R1670">
        <v>24.9</v>
      </c>
      <c r="S1670" t="str">
        <f>TEXT(sales_data[[#This Row],[Order Date]],"mm")</f>
        <v>03</v>
      </c>
      <c r="T1670">
        <f>YEAR(sales_data[[#This Row],[Order Date]])</f>
        <v>2015</v>
      </c>
      <c r="V1670" t="s">
        <v>6173</v>
      </c>
    </row>
    <row r="1671" spans="1:22" x14ac:dyDescent="0.35">
      <c r="A1671">
        <v>4484</v>
      </c>
      <c r="B1671" t="s">
        <v>6175</v>
      </c>
      <c r="C1671" s="1">
        <v>43042</v>
      </c>
      <c r="D1671" s="1">
        <v>43047</v>
      </c>
      <c r="E1671" t="s">
        <v>46</v>
      </c>
      <c r="F1671" t="s">
        <v>1640</v>
      </c>
      <c r="G1671" t="s">
        <v>1641</v>
      </c>
      <c r="H1671" t="s">
        <v>22</v>
      </c>
      <c r="I1671" t="s">
        <v>23</v>
      </c>
      <c r="J1671" t="s">
        <v>38</v>
      </c>
      <c r="K1671" t="s">
        <v>39</v>
      </c>
      <c r="L1671">
        <v>90049</v>
      </c>
      <c r="M1671" t="s">
        <v>40</v>
      </c>
      <c r="N1671" t="s">
        <v>6176</v>
      </c>
      <c r="O1671" t="s">
        <v>42</v>
      </c>
      <c r="P1671" t="s">
        <v>86</v>
      </c>
      <c r="Q1671" t="s">
        <v>6177</v>
      </c>
      <c r="R1671">
        <v>116.28</v>
      </c>
      <c r="S1671" t="str">
        <f>TEXT(sales_data[[#This Row],[Order Date]],"mm")</f>
        <v>11</v>
      </c>
      <c r="T1671">
        <f>YEAR(sales_data[[#This Row],[Order Date]])</f>
        <v>2017</v>
      </c>
      <c r="V1671" t="s">
        <v>6176</v>
      </c>
    </row>
    <row r="1672" spans="1:22" x14ac:dyDescent="0.35">
      <c r="A1672">
        <v>4504</v>
      </c>
      <c r="B1672" t="s">
        <v>6179</v>
      </c>
      <c r="C1672" s="1">
        <v>42362</v>
      </c>
      <c r="D1672" s="1">
        <v>42367</v>
      </c>
      <c r="E1672" t="s">
        <v>46</v>
      </c>
      <c r="F1672" t="s">
        <v>3317</v>
      </c>
      <c r="G1672" t="s">
        <v>3318</v>
      </c>
      <c r="H1672" t="s">
        <v>98</v>
      </c>
      <c r="I1672" t="s">
        <v>23</v>
      </c>
      <c r="J1672" t="s">
        <v>38</v>
      </c>
      <c r="K1672" t="s">
        <v>39</v>
      </c>
      <c r="L1672">
        <v>90045</v>
      </c>
      <c r="M1672" t="s">
        <v>40</v>
      </c>
      <c r="N1672" t="s">
        <v>6180</v>
      </c>
      <c r="O1672" t="s">
        <v>67</v>
      </c>
      <c r="P1672" t="s">
        <v>68</v>
      </c>
      <c r="Q1672" t="s">
        <v>6181</v>
      </c>
      <c r="R1672">
        <v>173.65600000000001</v>
      </c>
      <c r="S1672" t="str">
        <f>TEXT(sales_data[[#This Row],[Order Date]],"mm")</f>
        <v>12</v>
      </c>
      <c r="T1672">
        <f>YEAR(sales_data[[#This Row],[Order Date]])</f>
        <v>2015</v>
      </c>
      <c r="V1672" t="s">
        <v>6180</v>
      </c>
    </row>
    <row r="1673" spans="1:22" x14ac:dyDescent="0.35">
      <c r="A1673">
        <v>4517</v>
      </c>
      <c r="B1673" t="s">
        <v>6183</v>
      </c>
      <c r="C1673" s="1">
        <v>42993</v>
      </c>
      <c r="D1673" s="1">
        <v>42998</v>
      </c>
      <c r="E1673" t="s">
        <v>46</v>
      </c>
      <c r="F1673" t="s">
        <v>2163</v>
      </c>
      <c r="G1673" t="s">
        <v>2164</v>
      </c>
      <c r="H1673" t="s">
        <v>22</v>
      </c>
      <c r="I1673" t="s">
        <v>23</v>
      </c>
      <c r="J1673" t="s">
        <v>91</v>
      </c>
      <c r="K1673" t="s">
        <v>92</v>
      </c>
      <c r="L1673">
        <v>98105</v>
      </c>
      <c r="M1673" t="s">
        <v>40</v>
      </c>
      <c r="N1673" t="s">
        <v>6184</v>
      </c>
      <c r="O1673" t="s">
        <v>42</v>
      </c>
      <c r="P1673" t="s">
        <v>86</v>
      </c>
      <c r="Q1673" t="s">
        <v>6185</v>
      </c>
      <c r="R1673">
        <v>21.4</v>
      </c>
      <c r="S1673" t="str">
        <f>TEXT(sales_data[[#This Row],[Order Date]],"mm")</f>
        <v>09</v>
      </c>
      <c r="T1673">
        <f>YEAR(sales_data[[#This Row],[Order Date]])</f>
        <v>2017</v>
      </c>
      <c r="V1673" t="s">
        <v>6184</v>
      </c>
    </row>
    <row r="1674" spans="1:22" x14ac:dyDescent="0.35">
      <c r="A1674">
        <v>4520</v>
      </c>
      <c r="B1674" t="s">
        <v>6186</v>
      </c>
      <c r="C1674" s="1">
        <v>43261</v>
      </c>
      <c r="D1674" s="1">
        <v>43265</v>
      </c>
      <c r="E1674" t="s">
        <v>46</v>
      </c>
      <c r="F1674" t="s">
        <v>4307</v>
      </c>
      <c r="G1674" t="s">
        <v>4308</v>
      </c>
      <c r="H1674" t="s">
        <v>37</v>
      </c>
      <c r="I1674" t="s">
        <v>23</v>
      </c>
      <c r="J1674" t="s">
        <v>1509</v>
      </c>
      <c r="K1674" t="s">
        <v>50</v>
      </c>
      <c r="L1674">
        <v>32216</v>
      </c>
      <c r="M1674" t="s">
        <v>26</v>
      </c>
      <c r="N1674" t="s">
        <v>6187</v>
      </c>
      <c r="O1674" t="s">
        <v>42</v>
      </c>
      <c r="P1674" t="s">
        <v>55</v>
      </c>
      <c r="Q1674" t="s">
        <v>6188</v>
      </c>
      <c r="R1674">
        <v>1347.52</v>
      </c>
      <c r="S1674" t="str">
        <f>TEXT(sales_data[[#This Row],[Order Date]],"mm")</f>
        <v>06</v>
      </c>
      <c r="T1674">
        <f>YEAR(sales_data[[#This Row],[Order Date]])</f>
        <v>2018</v>
      </c>
      <c r="V1674" t="s">
        <v>6187</v>
      </c>
    </row>
    <row r="1675" spans="1:22" x14ac:dyDescent="0.35">
      <c r="A1675">
        <v>4527</v>
      </c>
      <c r="B1675" t="s">
        <v>6189</v>
      </c>
      <c r="C1675" s="1">
        <v>43298</v>
      </c>
      <c r="D1675" s="1">
        <v>43304</v>
      </c>
      <c r="E1675" t="s">
        <v>46</v>
      </c>
      <c r="F1675" t="s">
        <v>2727</v>
      </c>
      <c r="G1675" t="s">
        <v>2728</v>
      </c>
      <c r="H1675" t="s">
        <v>98</v>
      </c>
      <c r="I1675" t="s">
        <v>23</v>
      </c>
      <c r="J1675" t="s">
        <v>6190</v>
      </c>
      <c r="K1675" t="s">
        <v>262</v>
      </c>
      <c r="L1675">
        <v>13440</v>
      </c>
      <c r="M1675" t="s">
        <v>144</v>
      </c>
      <c r="N1675" t="s">
        <v>6191</v>
      </c>
      <c r="O1675" t="s">
        <v>42</v>
      </c>
      <c r="P1675" t="s">
        <v>86</v>
      </c>
      <c r="Q1675" t="s">
        <v>6192</v>
      </c>
      <c r="R1675">
        <v>99.9</v>
      </c>
      <c r="S1675" t="str">
        <f>TEXT(sales_data[[#This Row],[Order Date]],"mm")</f>
        <v>07</v>
      </c>
      <c r="T1675">
        <f>YEAR(sales_data[[#This Row],[Order Date]])</f>
        <v>2018</v>
      </c>
      <c r="V1675" t="s">
        <v>6191</v>
      </c>
    </row>
    <row r="1676" spans="1:22" x14ac:dyDescent="0.35">
      <c r="A1676">
        <v>4543</v>
      </c>
      <c r="B1676" t="s">
        <v>6193</v>
      </c>
      <c r="C1676" s="1">
        <v>43189</v>
      </c>
      <c r="D1676" s="1">
        <v>43190</v>
      </c>
      <c r="E1676" t="s">
        <v>183</v>
      </c>
      <c r="F1676" t="s">
        <v>6194</v>
      </c>
      <c r="G1676" t="s">
        <v>6195</v>
      </c>
      <c r="H1676" t="s">
        <v>22</v>
      </c>
      <c r="I1676" t="s">
        <v>23</v>
      </c>
      <c r="J1676" t="s">
        <v>4525</v>
      </c>
      <c r="K1676" t="s">
        <v>641</v>
      </c>
      <c r="L1676">
        <v>73120</v>
      </c>
      <c r="M1676" t="s">
        <v>101</v>
      </c>
      <c r="N1676" t="s">
        <v>6196</v>
      </c>
      <c r="O1676" t="s">
        <v>42</v>
      </c>
      <c r="P1676" t="s">
        <v>168</v>
      </c>
      <c r="Q1676" t="s">
        <v>6197</v>
      </c>
      <c r="R1676">
        <v>325.86</v>
      </c>
      <c r="S1676" t="str">
        <f>TEXT(sales_data[[#This Row],[Order Date]],"mm")</f>
        <v>03</v>
      </c>
      <c r="T1676">
        <f>YEAR(sales_data[[#This Row],[Order Date]])</f>
        <v>2018</v>
      </c>
      <c r="V1676" t="s">
        <v>6196</v>
      </c>
    </row>
    <row r="1677" spans="1:22" x14ac:dyDescent="0.35">
      <c r="A1677">
        <v>4551</v>
      </c>
      <c r="B1677" t="s">
        <v>6198</v>
      </c>
      <c r="C1677" s="1">
        <v>43220</v>
      </c>
      <c r="D1677" s="1">
        <v>43222</v>
      </c>
      <c r="E1677" t="s">
        <v>183</v>
      </c>
      <c r="F1677" t="s">
        <v>3135</v>
      </c>
      <c r="G1677" t="s">
        <v>3136</v>
      </c>
      <c r="H1677" t="s">
        <v>22</v>
      </c>
      <c r="I1677" t="s">
        <v>23</v>
      </c>
      <c r="J1677" t="s">
        <v>1280</v>
      </c>
      <c r="K1677" t="s">
        <v>740</v>
      </c>
      <c r="L1677">
        <v>6040</v>
      </c>
      <c r="M1677" t="s">
        <v>144</v>
      </c>
      <c r="N1677" t="s">
        <v>6199</v>
      </c>
      <c r="O1677" t="s">
        <v>42</v>
      </c>
      <c r="P1677" t="s">
        <v>43</v>
      </c>
      <c r="Q1677" t="s">
        <v>6200</v>
      </c>
      <c r="R1677">
        <v>5.76</v>
      </c>
      <c r="S1677" t="str">
        <f>TEXT(sales_data[[#This Row],[Order Date]],"mm")</f>
        <v>04</v>
      </c>
      <c r="T1677">
        <f>YEAR(sales_data[[#This Row],[Order Date]])</f>
        <v>2018</v>
      </c>
      <c r="V1677" t="s">
        <v>6199</v>
      </c>
    </row>
    <row r="1678" spans="1:22" x14ac:dyDescent="0.35">
      <c r="A1678">
        <v>4562</v>
      </c>
      <c r="B1678" t="s">
        <v>6201</v>
      </c>
      <c r="C1678" s="1">
        <v>42708</v>
      </c>
      <c r="D1678" s="1">
        <v>42713</v>
      </c>
      <c r="E1678" t="s">
        <v>19</v>
      </c>
      <c r="F1678" t="s">
        <v>3592</v>
      </c>
      <c r="G1678" t="s">
        <v>3593</v>
      </c>
      <c r="H1678" t="s">
        <v>37</v>
      </c>
      <c r="I1678" t="s">
        <v>23</v>
      </c>
      <c r="J1678" t="s">
        <v>38</v>
      </c>
      <c r="K1678" t="s">
        <v>39</v>
      </c>
      <c r="L1678">
        <v>90049</v>
      </c>
      <c r="M1678" t="s">
        <v>40</v>
      </c>
      <c r="N1678" t="s">
        <v>6202</v>
      </c>
      <c r="O1678" t="s">
        <v>67</v>
      </c>
      <c r="P1678" t="s">
        <v>68</v>
      </c>
      <c r="Q1678" t="s">
        <v>6203</v>
      </c>
      <c r="R1678">
        <v>110.352</v>
      </c>
      <c r="S1678" t="str">
        <f>TEXT(sales_data[[#This Row],[Order Date]],"mm")</f>
        <v>12</v>
      </c>
      <c r="T1678">
        <f>YEAR(sales_data[[#This Row],[Order Date]])</f>
        <v>2016</v>
      </c>
      <c r="V1678" t="s">
        <v>6202</v>
      </c>
    </row>
    <row r="1679" spans="1:22" x14ac:dyDescent="0.35">
      <c r="A1679">
        <v>4563</v>
      </c>
      <c r="B1679" t="s">
        <v>6201</v>
      </c>
      <c r="C1679" s="1">
        <v>42708</v>
      </c>
      <c r="D1679" s="1">
        <v>42713</v>
      </c>
      <c r="E1679" t="s">
        <v>19</v>
      </c>
      <c r="F1679" t="s">
        <v>3592</v>
      </c>
      <c r="G1679" t="s">
        <v>3593</v>
      </c>
      <c r="H1679" t="s">
        <v>37</v>
      </c>
      <c r="I1679" t="s">
        <v>23</v>
      </c>
      <c r="J1679" t="s">
        <v>38</v>
      </c>
      <c r="K1679" t="s">
        <v>39</v>
      </c>
      <c r="L1679">
        <v>90049</v>
      </c>
      <c r="M1679" t="s">
        <v>40</v>
      </c>
      <c r="N1679" t="s">
        <v>6204</v>
      </c>
      <c r="O1679" t="s">
        <v>28</v>
      </c>
      <c r="P1679" t="s">
        <v>61</v>
      </c>
      <c r="Q1679" t="s">
        <v>6205</v>
      </c>
      <c r="R1679">
        <v>36.4</v>
      </c>
      <c r="S1679" t="str">
        <f>TEXT(sales_data[[#This Row],[Order Date]],"mm")</f>
        <v>12</v>
      </c>
      <c r="T1679">
        <f>YEAR(sales_data[[#This Row],[Order Date]])</f>
        <v>2016</v>
      </c>
      <c r="V1679" t="s">
        <v>6204</v>
      </c>
    </row>
    <row r="1680" spans="1:22" x14ac:dyDescent="0.35">
      <c r="A1680">
        <v>4577</v>
      </c>
      <c r="B1680" t="s">
        <v>6206</v>
      </c>
      <c r="C1680" s="1">
        <v>43081</v>
      </c>
      <c r="D1680" s="1">
        <v>43087</v>
      </c>
      <c r="E1680" t="s">
        <v>46</v>
      </c>
      <c r="F1680" t="s">
        <v>3037</v>
      </c>
      <c r="G1680" t="s">
        <v>3038</v>
      </c>
      <c r="H1680" t="s">
        <v>98</v>
      </c>
      <c r="I1680" t="s">
        <v>23</v>
      </c>
      <c r="J1680" t="s">
        <v>323</v>
      </c>
      <c r="K1680" t="s">
        <v>233</v>
      </c>
      <c r="L1680">
        <v>49201</v>
      </c>
      <c r="M1680" t="s">
        <v>101</v>
      </c>
      <c r="N1680" t="s">
        <v>6207</v>
      </c>
      <c r="O1680" t="s">
        <v>42</v>
      </c>
      <c r="P1680" t="s">
        <v>55</v>
      </c>
      <c r="Q1680" t="s">
        <v>6208</v>
      </c>
      <c r="R1680">
        <v>26.86</v>
      </c>
      <c r="S1680" t="str">
        <f>TEXT(sales_data[[#This Row],[Order Date]],"mm")</f>
        <v>12</v>
      </c>
      <c r="T1680">
        <f>YEAR(sales_data[[#This Row],[Order Date]])</f>
        <v>2017</v>
      </c>
      <c r="V1680" t="s">
        <v>6207</v>
      </c>
    </row>
    <row r="1681" spans="1:22" x14ac:dyDescent="0.35">
      <c r="A1681">
        <v>4580</v>
      </c>
      <c r="B1681" t="s">
        <v>6209</v>
      </c>
      <c r="C1681" s="1">
        <v>42212</v>
      </c>
      <c r="D1681" s="1">
        <v>42218</v>
      </c>
      <c r="E1681" t="s">
        <v>46</v>
      </c>
      <c r="F1681" t="s">
        <v>3557</v>
      </c>
      <c r="G1681" t="s">
        <v>3558</v>
      </c>
      <c r="H1681" t="s">
        <v>37</v>
      </c>
      <c r="I1681" t="s">
        <v>23</v>
      </c>
      <c r="J1681" t="s">
        <v>261</v>
      </c>
      <c r="K1681" t="s">
        <v>262</v>
      </c>
      <c r="L1681">
        <v>10035</v>
      </c>
      <c r="M1681" t="s">
        <v>144</v>
      </c>
      <c r="N1681" t="s">
        <v>6210</v>
      </c>
      <c r="O1681" t="s">
        <v>42</v>
      </c>
      <c r="P1681" t="s">
        <v>86</v>
      </c>
      <c r="Q1681" t="s">
        <v>6211</v>
      </c>
      <c r="R1681">
        <v>65.78</v>
      </c>
      <c r="S1681" t="str">
        <f>TEXT(sales_data[[#This Row],[Order Date]],"mm")</f>
        <v>07</v>
      </c>
      <c r="T1681">
        <f>YEAR(sales_data[[#This Row],[Order Date]])</f>
        <v>2015</v>
      </c>
      <c r="V1681" t="s">
        <v>6210</v>
      </c>
    </row>
    <row r="1682" spans="1:22" x14ac:dyDescent="0.35">
      <c r="A1682">
        <v>4582</v>
      </c>
      <c r="B1682" t="s">
        <v>6212</v>
      </c>
      <c r="C1682" s="1">
        <v>42997</v>
      </c>
      <c r="D1682" s="1">
        <v>43000</v>
      </c>
      <c r="E1682" t="s">
        <v>183</v>
      </c>
      <c r="F1682" t="s">
        <v>3229</v>
      </c>
      <c r="G1682" t="s">
        <v>3230</v>
      </c>
      <c r="H1682" t="s">
        <v>98</v>
      </c>
      <c r="I1682" t="s">
        <v>23</v>
      </c>
      <c r="J1682" t="s">
        <v>142</v>
      </c>
      <c r="K1682" t="s">
        <v>143</v>
      </c>
      <c r="L1682">
        <v>19140</v>
      </c>
      <c r="M1682" t="s">
        <v>144</v>
      </c>
      <c r="N1682" t="s">
        <v>6213</v>
      </c>
      <c r="O1682" t="s">
        <v>28</v>
      </c>
      <c r="P1682" t="s">
        <v>61</v>
      </c>
      <c r="Q1682" t="s">
        <v>6214</v>
      </c>
      <c r="R1682">
        <v>25.632000000000001</v>
      </c>
      <c r="S1682" t="str">
        <f>TEXT(sales_data[[#This Row],[Order Date]],"mm")</f>
        <v>09</v>
      </c>
      <c r="T1682">
        <f>YEAR(sales_data[[#This Row],[Order Date]])</f>
        <v>2017</v>
      </c>
      <c r="V1682" t="s">
        <v>6213</v>
      </c>
    </row>
    <row r="1683" spans="1:22" x14ac:dyDescent="0.35">
      <c r="A1683">
        <v>4587</v>
      </c>
      <c r="B1683" t="s">
        <v>6216</v>
      </c>
      <c r="C1683" s="1">
        <v>43406</v>
      </c>
      <c r="D1683" s="1">
        <v>43408</v>
      </c>
      <c r="E1683" t="s">
        <v>19</v>
      </c>
      <c r="F1683" t="s">
        <v>5214</v>
      </c>
      <c r="G1683" t="s">
        <v>5215</v>
      </c>
      <c r="H1683" t="s">
        <v>98</v>
      </c>
      <c r="I1683" t="s">
        <v>23</v>
      </c>
      <c r="J1683" t="s">
        <v>6217</v>
      </c>
      <c r="K1683" t="s">
        <v>39</v>
      </c>
      <c r="L1683">
        <v>94526</v>
      </c>
      <c r="M1683" t="s">
        <v>40</v>
      </c>
      <c r="N1683" t="s">
        <v>6218</v>
      </c>
      <c r="O1683" t="s">
        <v>42</v>
      </c>
      <c r="P1683" t="s">
        <v>71</v>
      </c>
      <c r="Q1683" t="s">
        <v>6219</v>
      </c>
      <c r="R1683">
        <v>590.35199999999998</v>
      </c>
      <c r="S1683" t="str">
        <f>TEXT(sales_data[[#This Row],[Order Date]],"mm")</f>
        <v>11</v>
      </c>
      <c r="T1683">
        <f>YEAR(sales_data[[#This Row],[Order Date]])</f>
        <v>2018</v>
      </c>
      <c r="V1683" t="s">
        <v>6218</v>
      </c>
    </row>
    <row r="1684" spans="1:22" x14ac:dyDescent="0.35">
      <c r="A1684">
        <v>4589</v>
      </c>
      <c r="B1684" t="s">
        <v>6216</v>
      </c>
      <c r="C1684" s="1">
        <v>43406</v>
      </c>
      <c r="D1684" s="1">
        <v>43408</v>
      </c>
      <c r="E1684" t="s">
        <v>19</v>
      </c>
      <c r="F1684" t="s">
        <v>5214</v>
      </c>
      <c r="G1684" t="s">
        <v>5215</v>
      </c>
      <c r="H1684" t="s">
        <v>98</v>
      </c>
      <c r="I1684" t="s">
        <v>23</v>
      </c>
      <c r="J1684" t="s">
        <v>6217</v>
      </c>
      <c r="K1684" t="s">
        <v>39</v>
      </c>
      <c r="L1684">
        <v>94526</v>
      </c>
      <c r="M1684" t="s">
        <v>40</v>
      </c>
      <c r="N1684" t="s">
        <v>6220</v>
      </c>
      <c r="O1684" t="s">
        <v>28</v>
      </c>
      <c r="P1684" t="s">
        <v>61</v>
      </c>
      <c r="Q1684" t="s">
        <v>6221</v>
      </c>
      <c r="R1684">
        <v>25.02</v>
      </c>
      <c r="S1684" t="str">
        <f>TEXT(sales_data[[#This Row],[Order Date]],"mm")</f>
        <v>11</v>
      </c>
      <c r="T1684">
        <f>YEAR(sales_data[[#This Row],[Order Date]])</f>
        <v>2018</v>
      </c>
      <c r="V1684" t="s">
        <v>6220</v>
      </c>
    </row>
    <row r="1685" spans="1:22" x14ac:dyDescent="0.35">
      <c r="A1685">
        <v>4594</v>
      </c>
      <c r="B1685" t="s">
        <v>6222</v>
      </c>
      <c r="C1685" s="1">
        <v>43095</v>
      </c>
      <c r="D1685" s="1">
        <v>43100</v>
      </c>
      <c r="E1685" t="s">
        <v>46</v>
      </c>
      <c r="F1685" t="s">
        <v>2470</v>
      </c>
      <c r="G1685" t="s">
        <v>2471</v>
      </c>
      <c r="H1685" t="s">
        <v>37</v>
      </c>
      <c r="I1685" t="s">
        <v>23</v>
      </c>
      <c r="J1685" t="s">
        <v>38</v>
      </c>
      <c r="K1685" t="s">
        <v>39</v>
      </c>
      <c r="L1685">
        <v>90004</v>
      </c>
      <c r="M1685" t="s">
        <v>40</v>
      </c>
      <c r="N1685" t="s">
        <v>6223</v>
      </c>
      <c r="O1685" t="s">
        <v>42</v>
      </c>
      <c r="P1685" t="s">
        <v>74</v>
      </c>
      <c r="Q1685" t="s">
        <v>6224</v>
      </c>
      <c r="R1685">
        <v>7.9</v>
      </c>
      <c r="S1685" t="str">
        <f>TEXT(sales_data[[#This Row],[Order Date]],"mm")</f>
        <v>12</v>
      </c>
      <c r="T1685">
        <f>YEAR(sales_data[[#This Row],[Order Date]])</f>
        <v>2017</v>
      </c>
      <c r="V1685" t="s">
        <v>6223</v>
      </c>
    </row>
    <row r="1686" spans="1:22" x14ac:dyDescent="0.35">
      <c r="A1686">
        <v>4604</v>
      </c>
      <c r="B1686" t="s">
        <v>6225</v>
      </c>
      <c r="C1686" s="1">
        <v>42516</v>
      </c>
      <c r="D1686" s="1">
        <v>42519</v>
      </c>
      <c r="E1686" t="s">
        <v>19</v>
      </c>
      <c r="F1686" t="s">
        <v>3317</v>
      </c>
      <c r="G1686" t="s">
        <v>3318</v>
      </c>
      <c r="H1686" t="s">
        <v>98</v>
      </c>
      <c r="I1686" t="s">
        <v>23</v>
      </c>
      <c r="J1686" t="s">
        <v>1509</v>
      </c>
      <c r="K1686" t="s">
        <v>84</v>
      </c>
      <c r="L1686">
        <v>28540</v>
      </c>
      <c r="M1686" t="s">
        <v>26</v>
      </c>
      <c r="N1686" t="s">
        <v>6226</v>
      </c>
      <c r="O1686" t="s">
        <v>42</v>
      </c>
      <c r="P1686" t="s">
        <v>86</v>
      </c>
      <c r="Q1686" t="s">
        <v>6227</v>
      </c>
      <c r="R1686">
        <v>153.72800000000001</v>
      </c>
      <c r="S1686" t="str">
        <f>TEXT(sales_data[[#This Row],[Order Date]],"mm")</f>
        <v>05</v>
      </c>
      <c r="T1686">
        <f>YEAR(sales_data[[#This Row],[Order Date]])</f>
        <v>2016</v>
      </c>
      <c r="V1686" t="s">
        <v>6226</v>
      </c>
    </row>
    <row r="1687" spans="1:22" x14ac:dyDescent="0.35">
      <c r="A1687">
        <v>4631</v>
      </c>
      <c r="B1687" t="s">
        <v>6228</v>
      </c>
      <c r="C1687" s="1">
        <v>42658</v>
      </c>
      <c r="D1687" s="1">
        <v>42658</v>
      </c>
      <c r="E1687" t="s">
        <v>1277</v>
      </c>
      <c r="F1687" t="s">
        <v>2577</v>
      </c>
      <c r="G1687" t="s">
        <v>2578</v>
      </c>
      <c r="H1687" t="s">
        <v>22</v>
      </c>
      <c r="I1687" t="s">
        <v>23</v>
      </c>
      <c r="J1687" t="s">
        <v>5449</v>
      </c>
      <c r="K1687" t="s">
        <v>233</v>
      </c>
      <c r="L1687">
        <v>48858</v>
      </c>
      <c r="M1687" t="s">
        <v>101</v>
      </c>
      <c r="N1687" t="s">
        <v>6229</v>
      </c>
      <c r="O1687" t="s">
        <v>28</v>
      </c>
      <c r="P1687" t="s">
        <v>61</v>
      </c>
      <c r="Q1687" t="s">
        <v>6230</v>
      </c>
      <c r="R1687">
        <v>17.14</v>
      </c>
      <c r="S1687" t="str">
        <f>TEXT(sales_data[[#This Row],[Order Date]],"mm")</f>
        <v>10</v>
      </c>
      <c r="T1687">
        <f>YEAR(sales_data[[#This Row],[Order Date]])</f>
        <v>2016</v>
      </c>
      <c r="V1687" t="s">
        <v>6229</v>
      </c>
    </row>
    <row r="1688" spans="1:22" x14ac:dyDescent="0.35">
      <c r="A1688">
        <v>4634</v>
      </c>
      <c r="B1688" t="s">
        <v>6231</v>
      </c>
      <c r="C1688" s="1">
        <v>42603</v>
      </c>
      <c r="D1688" s="1">
        <v>42608</v>
      </c>
      <c r="E1688" t="s">
        <v>46</v>
      </c>
      <c r="F1688" t="s">
        <v>870</v>
      </c>
      <c r="G1688" t="s">
        <v>871</v>
      </c>
      <c r="H1688" t="s">
        <v>37</v>
      </c>
      <c r="I1688" t="s">
        <v>23</v>
      </c>
      <c r="J1688" t="s">
        <v>123</v>
      </c>
      <c r="K1688" t="s">
        <v>39</v>
      </c>
      <c r="L1688">
        <v>94122</v>
      </c>
      <c r="M1688" t="s">
        <v>40</v>
      </c>
      <c r="N1688" t="s">
        <v>6232</v>
      </c>
      <c r="O1688" t="s">
        <v>28</v>
      </c>
      <c r="P1688" t="s">
        <v>29</v>
      </c>
      <c r="Q1688" t="s">
        <v>6233</v>
      </c>
      <c r="R1688">
        <v>586.39800000000002</v>
      </c>
      <c r="S1688" t="str">
        <f>TEXT(sales_data[[#This Row],[Order Date]],"mm")</f>
        <v>08</v>
      </c>
      <c r="T1688">
        <f>YEAR(sales_data[[#This Row],[Order Date]])</f>
        <v>2016</v>
      </c>
      <c r="V1688" t="s">
        <v>6232</v>
      </c>
    </row>
    <row r="1689" spans="1:22" x14ac:dyDescent="0.35">
      <c r="A1689">
        <v>4640</v>
      </c>
      <c r="B1689" t="s">
        <v>6234</v>
      </c>
      <c r="C1689" s="1">
        <v>42989</v>
      </c>
      <c r="D1689" s="1">
        <v>42994</v>
      </c>
      <c r="E1689" t="s">
        <v>46</v>
      </c>
      <c r="F1689" t="s">
        <v>4257</v>
      </c>
      <c r="G1689" t="s">
        <v>4258</v>
      </c>
      <c r="H1689" t="s">
        <v>22</v>
      </c>
      <c r="I1689" t="s">
        <v>23</v>
      </c>
      <c r="J1689" t="s">
        <v>5023</v>
      </c>
      <c r="K1689" t="s">
        <v>314</v>
      </c>
      <c r="L1689">
        <v>23602</v>
      </c>
      <c r="M1689" t="s">
        <v>26</v>
      </c>
      <c r="N1689" t="s">
        <v>6235</v>
      </c>
      <c r="O1689" t="s">
        <v>67</v>
      </c>
      <c r="P1689" t="s">
        <v>1209</v>
      </c>
      <c r="Q1689" t="s">
        <v>6236</v>
      </c>
      <c r="R1689">
        <v>1599.92</v>
      </c>
      <c r="S1689" t="str">
        <f>TEXT(sales_data[[#This Row],[Order Date]],"mm")</f>
        <v>09</v>
      </c>
      <c r="T1689">
        <f>YEAR(sales_data[[#This Row],[Order Date]])</f>
        <v>2017</v>
      </c>
      <c r="V1689" t="s">
        <v>6235</v>
      </c>
    </row>
    <row r="1690" spans="1:22" x14ac:dyDescent="0.35">
      <c r="A1690">
        <v>4643</v>
      </c>
      <c r="B1690" t="s">
        <v>6237</v>
      </c>
      <c r="C1690" s="1">
        <v>43395</v>
      </c>
      <c r="D1690" s="1">
        <v>43397</v>
      </c>
      <c r="E1690" t="s">
        <v>19</v>
      </c>
      <c r="F1690" t="s">
        <v>3668</v>
      </c>
      <c r="G1690" t="s">
        <v>3669</v>
      </c>
      <c r="H1690" t="s">
        <v>22</v>
      </c>
      <c r="I1690" t="s">
        <v>23</v>
      </c>
      <c r="J1690" t="s">
        <v>4880</v>
      </c>
      <c r="K1690" t="s">
        <v>452</v>
      </c>
      <c r="L1690">
        <v>80525</v>
      </c>
      <c r="M1690" t="s">
        <v>40</v>
      </c>
      <c r="N1690" t="s">
        <v>6238</v>
      </c>
      <c r="O1690" t="s">
        <v>28</v>
      </c>
      <c r="P1690" t="s">
        <v>32</v>
      </c>
      <c r="Q1690" t="s">
        <v>6239</v>
      </c>
      <c r="R1690">
        <v>579.13599999999997</v>
      </c>
      <c r="S1690" t="str">
        <f>TEXT(sales_data[[#This Row],[Order Date]],"mm")</f>
        <v>10</v>
      </c>
      <c r="T1690">
        <f>YEAR(sales_data[[#This Row],[Order Date]])</f>
        <v>2018</v>
      </c>
      <c r="V1690" t="s">
        <v>6238</v>
      </c>
    </row>
    <row r="1691" spans="1:22" x14ac:dyDescent="0.35">
      <c r="A1691">
        <v>4649</v>
      </c>
      <c r="B1691" t="s">
        <v>6241</v>
      </c>
      <c r="C1691" s="1">
        <v>43234</v>
      </c>
      <c r="D1691" s="1">
        <v>43239</v>
      </c>
      <c r="E1691" t="s">
        <v>46</v>
      </c>
      <c r="F1691" t="s">
        <v>131</v>
      </c>
      <c r="G1691" t="s">
        <v>132</v>
      </c>
      <c r="H1691" t="s">
        <v>37</v>
      </c>
      <c r="I1691" t="s">
        <v>23</v>
      </c>
      <c r="J1691" t="s">
        <v>91</v>
      </c>
      <c r="K1691" t="s">
        <v>92</v>
      </c>
      <c r="L1691">
        <v>98103</v>
      </c>
      <c r="M1691" t="s">
        <v>40</v>
      </c>
      <c r="N1691" t="s">
        <v>6242</v>
      </c>
      <c r="O1691" t="s">
        <v>42</v>
      </c>
      <c r="P1691" t="s">
        <v>86</v>
      </c>
      <c r="Q1691" t="s">
        <v>6243</v>
      </c>
      <c r="R1691">
        <v>440.19</v>
      </c>
      <c r="S1691" t="str">
        <f>TEXT(sales_data[[#This Row],[Order Date]],"mm")</f>
        <v>05</v>
      </c>
      <c r="T1691">
        <f>YEAR(sales_data[[#This Row],[Order Date]])</f>
        <v>2018</v>
      </c>
      <c r="V1691" t="s">
        <v>6242</v>
      </c>
    </row>
    <row r="1692" spans="1:22" x14ac:dyDescent="0.35">
      <c r="A1692">
        <v>4661</v>
      </c>
      <c r="B1692" t="s">
        <v>6244</v>
      </c>
      <c r="C1692" s="1">
        <v>42493</v>
      </c>
      <c r="D1692" s="1">
        <v>42497</v>
      </c>
      <c r="E1692" t="s">
        <v>46</v>
      </c>
      <c r="F1692" t="s">
        <v>5225</v>
      </c>
      <c r="G1692" t="s">
        <v>5226</v>
      </c>
      <c r="H1692" t="s">
        <v>22</v>
      </c>
      <c r="I1692" t="s">
        <v>23</v>
      </c>
      <c r="J1692" t="s">
        <v>142</v>
      </c>
      <c r="K1692" t="s">
        <v>143</v>
      </c>
      <c r="L1692">
        <v>19140</v>
      </c>
      <c r="M1692" t="s">
        <v>144</v>
      </c>
      <c r="N1692" t="s">
        <v>6245</v>
      </c>
      <c r="O1692" t="s">
        <v>67</v>
      </c>
      <c r="P1692" t="s">
        <v>156</v>
      </c>
      <c r="Q1692" t="s">
        <v>6246</v>
      </c>
      <c r="R1692">
        <v>27.552</v>
      </c>
      <c r="S1692" t="str">
        <f>TEXT(sales_data[[#This Row],[Order Date]],"mm")</f>
        <v>05</v>
      </c>
      <c r="T1692">
        <f>YEAR(sales_data[[#This Row],[Order Date]])</f>
        <v>2016</v>
      </c>
      <c r="V1692" t="s">
        <v>6245</v>
      </c>
    </row>
    <row r="1693" spans="1:22" x14ac:dyDescent="0.35">
      <c r="A1693">
        <v>4679</v>
      </c>
      <c r="B1693" t="s">
        <v>6247</v>
      </c>
      <c r="C1693" s="1">
        <v>42077</v>
      </c>
      <c r="D1693" s="1">
        <v>42082</v>
      </c>
      <c r="E1693" t="s">
        <v>46</v>
      </c>
      <c r="F1693" t="s">
        <v>5182</v>
      </c>
      <c r="G1693" t="s">
        <v>5183</v>
      </c>
      <c r="H1693" t="s">
        <v>22</v>
      </c>
      <c r="I1693" t="s">
        <v>23</v>
      </c>
      <c r="J1693" t="s">
        <v>6248</v>
      </c>
      <c r="K1693" t="s">
        <v>117</v>
      </c>
      <c r="L1693">
        <v>84321</v>
      </c>
      <c r="M1693" t="s">
        <v>40</v>
      </c>
      <c r="N1693" t="s">
        <v>6249</v>
      </c>
      <c r="O1693" t="s">
        <v>67</v>
      </c>
      <c r="P1693" t="s">
        <v>156</v>
      </c>
      <c r="Q1693" t="s">
        <v>6250</v>
      </c>
      <c r="R1693">
        <v>82.8</v>
      </c>
      <c r="S1693" t="str">
        <f>TEXT(sales_data[[#This Row],[Order Date]],"mm")</f>
        <v>03</v>
      </c>
      <c r="T1693">
        <f>YEAR(sales_data[[#This Row],[Order Date]])</f>
        <v>2015</v>
      </c>
      <c r="V1693" t="s">
        <v>6249</v>
      </c>
    </row>
    <row r="1694" spans="1:22" x14ac:dyDescent="0.35">
      <c r="A1694">
        <v>4688</v>
      </c>
      <c r="B1694" t="s">
        <v>6251</v>
      </c>
      <c r="C1694" s="1">
        <v>42910</v>
      </c>
      <c r="D1694" s="1">
        <v>42916</v>
      </c>
      <c r="E1694" t="s">
        <v>46</v>
      </c>
      <c r="F1694" t="s">
        <v>2693</v>
      </c>
      <c r="G1694" t="s">
        <v>2694</v>
      </c>
      <c r="H1694" t="s">
        <v>22</v>
      </c>
      <c r="I1694" t="s">
        <v>23</v>
      </c>
      <c r="J1694" t="s">
        <v>1452</v>
      </c>
      <c r="K1694" t="s">
        <v>249</v>
      </c>
      <c r="L1694">
        <v>47374</v>
      </c>
      <c r="M1694" t="s">
        <v>101</v>
      </c>
      <c r="N1694" t="s">
        <v>6252</v>
      </c>
      <c r="O1694" t="s">
        <v>67</v>
      </c>
      <c r="P1694" t="s">
        <v>68</v>
      </c>
      <c r="Q1694" t="s">
        <v>6253</v>
      </c>
      <c r="R1694">
        <v>440.91</v>
      </c>
      <c r="S1694" t="str">
        <f>TEXT(sales_data[[#This Row],[Order Date]],"mm")</f>
        <v>06</v>
      </c>
      <c r="T1694">
        <f>YEAR(sales_data[[#This Row],[Order Date]])</f>
        <v>2017</v>
      </c>
      <c r="V1694" t="s">
        <v>6252</v>
      </c>
    </row>
    <row r="1695" spans="1:22" x14ac:dyDescent="0.35">
      <c r="A1695">
        <v>4721</v>
      </c>
      <c r="B1695" t="s">
        <v>6254</v>
      </c>
      <c r="C1695" s="1">
        <v>42478</v>
      </c>
      <c r="D1695" s="1">
        <v>42480</v>
      </c>
      <c r="E1695" t="s">
        <v>19</v>
      </c>
      <c r="F1695" t="s">
        <v>2961</v>
      </c>
      <c r="G1695" t="s">
        <v>2962</v>
      </c>
      <c r="H1695" t="s">
        <v>98</v>
      </c>
      <c r="I1695" t="s">
        <v>23</v>
      </c>
      <c r="J1695" t="s">
        <v>38</v>
      </c>
      <c r="K1695" t="s">
        <v>39</v>
      </c>
      <c r="L1695">
        <v>90004</v>
      </c>
      <c r="M1695" t="s">
        <v>40</v>
      </c>
      <c r="N1695" t="s">
        <v>6255</v>
      </c>
      <c r="O1695" t="s">
        <v>42</v>
      </c>
      <c r="P1695" t="s">
        <v>86</v>
      </c>
      <c r="Q1695" t="s">
        <v>6256</v>
      </c>
      <c r="R1695">
        <v>61.96</v>
      </c>
      <c r="S1695" t="str">
        <f>TEXT(sales_data[[#This Row],[Order Date]],"mm")</f>
        <v>04</v>
      </c>
      <c r="T1695">
        <f>YEAR(sales_data[[#This Row],[Order Date]])</f>
        <v>2016</v>
      </c>
      <c r="V1695" t="s">
        <v>6255</v>
      </c>
    </row>
    <row r="1696" spans="1:22" x14ac:dyDescent="0.35">
      <c r="A1696">
        <v>4730</v>
      </c>
      <c r="B1696" t="s">
        <v>6259</v>
      </c>
      <c r="C1696" s="1">
        <v>42934</v>
      </c>
      <c r="D1696" s="1">
        <v>42939</v>
      </c>
      <c r="E1696" t="s">
        <v>19</v>
      </c>
      <c r="F1696" t="s">
        <v>4863</v>
      </c>
      <c r="G1696" t="s">
        <v>4864</v>
      </c>
      <c r="H1696" t="s">
        <v>22</v>
      </c>
      <c r="I1696" t="s">
        <v>23</v>
      </c>
      <c r="J1696" t="s">
        <v>807</v>
      </c>
      <c r="K1696" t="s">
        <v>100</v>
      </c>
      <c r="L1696">
        <v>75217</v>
      </c>
      <c r="M1696" t="s">
        <v>101</v>
      </c>
      <c r="N1696" t="s">
        <v>6260</v>
      </c>
      <c r="O1696" t="s">
        <v>67</v>
      </c>
      <c r="P1696" t="s">
        <v>156</v>
      </c>
      <c r="Q1696" t="s">
        <v>6261</v>
      </c>
      <c r="R1696">
        <v>15.576000000000001</v>
      </c>
      <c r="S1696" t="str">
        <f>TEXT(sales_data[[#This Row],[Order Date]],"mm")</f>
        <v>07</v>
      </c>
      <c r="T1696">
        <f>YEAR(sales_data[[#This Row],[Order Date]])</f>
        <v>2017</v>
      </c>
      <c r="V1696" t="s">
        <v>6260</v>
      </c>
    </row>
    <row r="1697" spans="1:22" x14ac:dyDescent="0.35">
      <c r="A1697">
        <v>4754</v>
      </c>
      <c r="B1697" t="s">
        <v>6262</v>
      </c>
      <c r="C1697" s="1">
        <v>42716</v>
      </c>
      <c r="D1697" s="1">
        <v>42720</v>
      </c>
      <c r="E1697" t="s">
        <v>46</v>
      </c>
      <c r="F1697" t="s">
        <v>856</v>
      </c>
      <c r="G1697" t="s">
        <v>857</v>
      </c>
      <c r="H1697" t="s">
        <v>22</v>
      </c>
      <c r="I1697" t="s">
        <v>23</v>
      </c>
      <c r="J1697" t="s">
        <v>1229</v>
      </c>
      <c r="K1697" t="s">
        <v>100</v>
      </c>
      <c r="L1697">
        <v>78745</v>
      </c>
      <c r="M1697" t="s">
        <v>101</v>
      </c>
      <c r="N1697" t="s">
        <v>6263</v>
      </c>
      <c r="O1697" t="s">
        <v>67</v>
      </c>
      <c r="P1697" t="s">
        <v>156</v>
      </c>
      <c r="Q1697" t="s">
        <v>6264</v>
      </c>
      <c r="R1697">
        <v>22.367999999999999</v>
      </c>
      <c r="S1697" t="str">
        <f>TEXT(sales_data[[#This Row],[Order Date]],"mm")</f>
        <v>12</v>
      </c>
      <c r="T1697">
        <f>YEAR(sales_data[[#This Row],[Order Date]])</f>
        <v>2016</v>
      </c>
      <c r="V1697" t="s">
        <v>6263</v>
      </c>
    </row>
    <row r="1698" spans="1:22" x14ac:dyDescent="0.35">
      <c r="A1698">
        <v>4756</v>
      </c>
      <c r="B1698" t="s">
        <v>6265</v>
      </c>
      <c r="C1698" s="1">
        <v>43134</v>
      </c>
      <c r="D1698" s="1">
        <v>43139</v>
      </c>
      <c r="E1698" t="s">
        <v>46</v>
      </c>
      <c r="F1698" t="s">
        <v>5020</v>
      </c>
      <c r="G1698" t="s">
        <v>5021</v>
      </c>
      <c r="H1698" t="s">
        <v>22</v>
      </c>
      <c r="I1698" t="s">
        <v>23</v>
      </c>
      <c r="J1698" t="s">
        <v>1340</v>
      </c>
      <c r="K1698" t="s">
        <v>50</v>
      </c>
      <c r="L1698">
        <v>33024</v>
      </c>
      <c r="M1698" t="s">
        <v>26</v>
      </c>
      <c r="N1698" t="s">
        <v>6266</v>
      </c>
      <c r="O1698" t="s">
        <v>42</v>
      </c>
      <c r="P1698" t="s">
        <v>86</v>
      </c>
      <c r="Q1698" t="s">
        <v>6267</v>
      </c>
      <c r="R1698">
        <v>115.29600000000001</v>
      </c>
      <c r="S1698" t="str">
        <f>TEXT(sales_data[[#This Row],[Order Date]],"mm")</f>
        <v>02</v>
      </c>
      <c r="T1698">
        <f>YEAR(sales_data[[#This Row],[Order Date]])</f>
        <v>2018</v>
      </c>
      <c r="V1698" t="s">
        <v>6266</v>
      </c>
    </row>
    <row r="1699" spans="1:22" x14ac:dyDescent="0.35">
      <c r="A1699">
        <v>4764</v>
      </c>
      <c r="B1699" t="s">
        <v>6268</v>
      </c>
      <c r="C1699" s="1">
        <v>42264</v>
      </c>
      <c r="D1699" s="1">
        <v>42268</v>
      </c>
      <c r="E1699" t="s">
        <v>46</v>
      </c>
      <c r="F1699" t="s">
        <v>6257</v>
      </c>
      <c r="G1699" t="s">
        <v>6258</v>
      </c>
      <c r="H1699" t="s">
        <v>22</v>
      </c>
      <c r="I1699" t="s">
        <v>23</v>
      </c>
      <c r="J1699" t="s">
        <v>5864</v>
      </c>
      <c r="K1699" t="s">
        <v>39</v>
      </c>
      <c r="L1699">
        <v>91911</v>
      </c>
      <c r="M1699" t="s">
        <v>40</v>
      </c>
      <c r="N1699" t="s">
        <v>6269</v>
      </c>
      <c r="O1699" t="s">
        <v>42</v>
      </c>
      <c r="P1699" t="s">
        <v>168</v>
      </c>
      <c r="Q1699" t="s">
        <v>6270</v>
      </c>
      <c r="R1699">
        <v>182.94</v>
      </c>
      <c r="S1699" t="str">
        <f>TEXT(sales_data[[#This Row],[Order Date]],"mm")</f>
        <v>09</v>
      </c>
      <c r="T1699">
        <f>YEAR(sales_data[[#This Row],[Order Date]])</f>
        <v>2015</v>
      </c>
      <c r="V1699" t="s">
        <v>6269</v>
      </c>
    </row>
    <row r="1700" spans="1:22" x14ac:dyDescent="0.35">
      <c r="A1700">
        <v>4771</v>
      </c>
      <c r="B1700" t="s">
        <v>6272</v>
      </c>
      <c r="C1700" s="1">
        <v>42997</v>
      </c>
      <c r="D1700" s="1">
        <v>43002</v>
      </c>
      <c r="E1700" t="s">
        <v>19</v>
      </c>
      <c r="F1700" t="s">
        <v>2105</v>
      </c>
      <c r="G1700" t="s">
        <v>2106</v>
      </c>
      <c r="H1700" t="s">
        <v>98</v>
      </c>
      <c r="I1700" t="s">
        <v>23</v>
      </c>
      <c r="J1700" t="s">
        <v>123</v>
      </c>
      <c r="K1700" t="s">
        <v>39</v>
      </c>
      <c r="L1700">
        <v>94109</v>
      </c>
      <c r="M1700" t="s">
        <v>40</v>
      </c>
      <c r="N1700" t="s">
        <v>6273</v>
      </c>
      <c r="O1700" t="s">
        <v>42</v>
      </c>
      <c r="P1700" t="s">
        <v>573</v>
      </c>
      <c r="Q1700" t="s">
        <v>6274</v>
      </c>
      <c r="R1700">
        <v>6.24</v>
      </c>
      <c r="S1700" t="str">
        <f>TEXT(sales_data[[#This Row],[Order Date]],"mm")</f>
        <v>09</v>
      </c>
      <c r="T1700">
        <f>YEAR(sales_data[[#This Row],[Order Date]])</f>
        <v>2017</v>
      </c>
      <c r="V1700" t="s">
        <v>6273</v>
      </c>
    </row>
    <row r="1701" spans="1:22" x14ac:dyDescent="0.35">
      <c r="A1701">
        <v>4782</v>
      </c>
      <c r="B1701" t="s">
        <v>6275</v>
      </c>
      <c r="C1701" s="1">
        <v>42315</v>
      </c>
      <c r="D1701" s="1">
        <v>42320</v>
      </c>
      <c r="E1701" t="s">
        <v>46</v>
      </c>
      <c r="F1701" t="s">
        <v>514</v>
      </c>
      <c r="G1701" t="s">
        <v>515</v>
      </c>
      <c r="H1701" t="s">
        <v>22</v>
      </c>
      <c r="I1701" t="s">
        <v>23</v>
      </c>
      <c r="J1701" t="s">
        <v>179</v>
      </c>
      <c r="K1701" t="s">
        <v>100</v>
      </c>
      <c r="L1701">
        <v>77070</v>
      </c>
      <c r="M1701" t="s">
        <v>101</v>
      </c>
      <c r="N1701" t="s">
        <v>6276</v>
      </c>
      <c r="O1701" t="s">
        <v>42</v>
      </c>
      <c r="P1701" t="s">
        <v>71</v>
      </c>
      <c r="Q1701" t="s">
        <v>6277</v>
      </c>
      <c r="R1701">
        <v>1.476</v>
      </c>
      <c r="S1701" t="str">
        <f>TEXT(sales_data[[#This Row],[Order Date]],"mm")</f>
        <v>11</v>
      </c>
      <c r="T1701">
        <f>YEAR(sales_data[[#This Row],[Order Date]])</f>
        <v>2015</v>
      </c>
      <c r="V1701" t="s">
        <v>6276</v>
      </c>
    </row>
    <row r="1702" spans="1:22" x14ac:dyDescent="0.35">
      <c r="A1702">
        <v>4788</v>
      </c>
      <c r="B1702" t="s">
        <v>6278</v>
      </c>
      <c r="C1702" s="1">
        <v>42715</v>
      </c>
      <c r="D1702" s="1">
        <v>42720</v>
      </c>
      <c r="E1702" t="s">
        <v>46</v>
      </c>
      <c r="F1702" t="s">
        <v>89</v>
      </c>
      <c r="G1702" t="s">
        <v>90</v>
      </c>
      <c r="H1702" t="s">
        <v>22</v>
      </c>
      <c r="I1702" t="s">
        <v>23</v>
      </c>
      <c r="J1702" t="s">
        <v>1074</v>
      </c>
      <c r="K1702" t="s">
        <v>452</v>
      </c>
      <c r="L1702">
        <v>80906</v>
      </c>
      <c r="M1702" t="s">
        <v>40</v>
      </c>
      <c r="N1702" t="s">
        <v>6279</v>
      </c>
      <c r="O1702" t="s">
        <v>67</v>
      </c>
      <c r="P1702" t="s">
        <v>156</v>
      </c>
      <c r="Q1702" t="s">
        <v>6280</v>
      </c>
      <c r="R1702">
        <v>58.08</v>
      </c>
      <c r="S1702" t="str">
        <f>TEXT(sales_data[[#This Row],[Order Date]],"mm")</f>
        <v>12</v>
      </c>
      <c r="T1702">
        <f>YEAR(sales_data[[#This Row],[Order Date]])</f>
        <v>2016</v>
      </c>
      <c r="V1702" t="s">
        <v>6279</v>
      </c>
    </row>
    <row r="1703" spans="1:22" x14ac:dyDescent="0.35">
      <c r="A1703">
        <v>4801</v>
      </c>
      <c r="B1703" t="s">
        <v>6282</v>
      </c>
      <c r="C1703" s="1">
        <v>42869</v>
      </c>
      <c r="D1703" s="1">
        <v>42874</v>
      </c>
      <c r="E1703" t="s">
        <v>46</v>
      </c>
      <c r="F1703" t="s">
        <v>1278</v>
      </c>
      <c r="G1703" t="s">
        <v>1279</v>
      </c>
      <c r="H1703" t="s">
        <v>37</v>
      </c>
      <c r="I1703" t="s">
        <v>23</v>
      </c>
      <c r="J1703" t="s">
        <v>1509</v>
      </c>
      <c r="K1703" t="s">
        <v>50</v>
      </c>
      <c r="L1703">
        <v>32216</v>
      </c>
      <c r="M1703" t="s">
        <v>26</v>
      </c>
      <c r="N1703" t="s">
        <v>6283</v>
      </c>
      <c r="O1703" t="s">
        <v>42</v>
      </c>
      <c r="P1703" t="s">
        <v>64</v>
      </c>
      <c r="Q1703" t="s">
        <v>6284</v>
      </c>
      <c r="R1703">
        <v>4.7679999999999998</v>
      </c>
      <c r="S1703" t="str">
        <f>TEXT(sales_data[[#This Row],[Order Date]],"mm")</f>
        <v>05</v>
      </c>
      <c r="T1703">
        <f>YEAR(sales_data[[#This Row],[Order Date]])</f>
        <v>2017</v>
      </c>
      <c r="V1703" t="s">
        <v>6283</v>
      </c>
    </row>
    <row r="1704" spans="1:22" x14ac:dyDescent="0.35">
      <c r="A1704">
        <v>4814</v>
      </c>
      <c r="B1704" t="s">
        <v>6285</v>
      </c>
      <c r="C1704" s="1">
        <v>43053</v>
      </c>
      <c r="D1704" s="1">
        <v>43058</v>
      </c>
      <c r="E1704" t="s">
        <v>19</v>
      </c>
      <c r="F1704" t="s">
        <v>5554</v>
      </c>
      <c r="G1704" t="s">
        <v>5555</v>
      </c>
      <c r="H1704" t="s">
        <v>22</v>
      </c>
      <c r="I1704" t="s">
        <v>23</v>
      </c>
      <c r="J1704" t="s">
        <v>142</v>
      </c>
      <c r="K1704" t="s">
        <v>143</v>
      </c>
      <c r="L1704">
        <v>19134</v>
      </c>
      <c r="M1704" t="s">
        <v>144</v>
      </c>
      <c r="N1704" t="s">
        <v>6286</v>
      </c>
      <c r="O1704" t="s">
        <v>28</v>
      </c>
      <c r="P1704" t="s">
        <v>61</v>
      </c>
      <c r="Q1704" t="s">
        <v>6287</v>
      </c>
      <c r="R1704">
        <v>48.576000000000001</v>
      </c>
      <c r="S1704" t="str">
        <f>TEXT(sales_data[[#This Row],[Order Date]],"mm")</f>
        <v>11</v>
      </c>
      <c r="T1704">
        <f>YEAR(sales_data[[#This Row],[Order Date]])</f>
        <v>2017</v>
      </c>
      <c r="V1704" t="s">
        <v>6286</v>
      </c>
    </row>
    <row r="1705" spans="1:22" x14ac:dyDescent="0.35">
      <c r="A1705">
        <v>4824</v>
      </c>
      <c r="B1705" t="s">
        <v>6289</v>
      </c>
      <c r="C1705" s="1">
        <v>43060</v>
      </c>
      <c r="D1705" s="1">
        <v>43065</v>
      </c>
      <c r="E1705" t="s">
        <v>46</v>
      </c>
      <c r="F1705" t="s">
        <v>1979</v>
      </c>
      <c r="G1705" t="s">
        <v>1980</v>
      </c>
      <c r="H1705" t="s">
        <v>22</v>
      </c>
      <c r="I1705" t="s">
        <v>23</v>
      </c>
      <c r="J1705" t="s">
        <v>492</v>
      </c>
      <c r="K1705" t="s">
        <v>493</v>
      </c>
      <c r="L1705">
        <v>43229</v>
      </c>
      <c r="M1705" t="s">
        <v>144</v>
      </c>
      <c r="N1705" t="s">
        <v>6290</v>
      </c>
      <c r="O1705" t="s">
        <v>67</v>
      </c>
      <c r="P1705" t="s">
        <v>675</v>
      </c>
      <c r="Q1705" t="s">
        <v>6291</v>
      </c>
      <c r="R1705">
        <v>30.344999999999999</v>
      </c>
      <c r="S1705" t="str">
        <f>TEXT(sales_data[[#This Row],[Order Date]],"mm")</f>
        <v>11</v>
      </c>
      <c r="T1705">
        <f>YEAR(sales_data[[#This Row],[Order Date]])</f>
        <v>2017</v>
      </c>
      <c r="V1705" t="s">
        <v>6290</v>
      </c>
    </row>
    <row r="1706" spans="1:22" x14ac:dyDescent="0.35">
      <c r="A1706">
        <v>4859</v>
      </c>
      <c r="B1706" t="s">
        <v>6292</v>
      </c>
      <c r="C1706" s="1">
        <v>42382</v>
      </c>
      <c r="D1706" s="1">
        <v>42386</v>
      </c>
      <c r="E1706" t="s">
        <v>46</v>
      </c>
      <c r="F1706" t="s">
        <v>1447</v>
      </c>
      <c r="G1706" t="s">
        <v>1448</v>
      </c>
      <c r="H1706" t="s">
        <v>22</v>
      </c>
      <c r="I1706" t="s">
        <v>23</v>
      </c>
      <c r="J1706" t="s">
        <v>38</v>
      </c>
      <c r="K1706" t="s">
        <v>39</v>
      </c>
      <c r="L1706">
        <v>90004</v>
      </c>
      <c r="M1706" t="s">
        <v>40</v>
      </c>
      <c r="N1706" t="s">
        <v>6293</v>
      </c>
      <c r="O1706" t="s">
        <v>28</v>
      </c>
      <c r="P1706" t="s">
        <v>61</v>
      </c>
      <c r="Q1706" t="s">
        <v>6294</v>
      </c>
      <c r="R1706">
        <v>464.85</v>
      </c>
      <c r="S1706" t="str">
        <f>TEXT(sales_data[[#This Row],[Order Date]],"mm")</f>
        <v>01</v>
      </c>
      <c r="T1706">
        <f>YEAR(sales_data[[#This Row],[Order Date]])</f>
        <v>2016</v>
      </c>
      <c r="V1706" t="s">
        <v>6293</v>
      </c>
    </row>
    <row r="1707" spans="1:22" x14ac:dyDescent="0.35">
      <c r="A1707">
        <v>4872</v>
      </c>
      <c r="B1707" t="s">
        <v>6295</v>
      </c>
      <c r="C1707" s="1">
        <v>43243</v>
      </c>
      <c r="D1707" s="1">
        <v>43247</v>
      </c>
      <c r="E1707" t="s">
        <v>46</v>
      </c>
      <c r="F1707" t="s">
        <v>908</v>
      </c>
      <c r="G1707" t="s">
        <v>909</v>
      </c>
      <c r="H1707" t="s">
        <v>22</v>
      </c>
      <c r="I1707" t="s">
        <v>23</v>
      </c>
      <c r="J1707" t="s">
        <v>179</v>
      </c>
      <c r="K1707" t="s">
        <v>100</v>
      </c>
      <c r="L1707">
        <v>77095</v>
      </c>
      <c r="M1707" t="s">
        <v>101</v>
      </c>
      <c r="N1707" t="s">
        <v>6296</v>
      </c>
      <c r="O1707" t="s">
        <v>42</v>
      </c>
      <c r="P1707" t="s">
        <v>264</v>
      </c>
      <c r="Q1707" t="s">
        <v>6297</v>
      </c>
      <c r="R1707">
        <v>1.8240000000000001</v>
      </c>
      <c r="S1707" t="str">
        <f>TEXT(sales_data[[#This Row],[Order Date]],"mm")</f>
        <v>05</v>
      </c>
      <c r="T1707">
        <f>YEAR(sales_data[[#This Row],[Order Date]])</f>
        <v>2018</v>
      </c>
      <c r="V1707" t="s">
        <v>6296</v>
      </c>
    </row>
    <row r="1708" spans="1:22" x14ac:dyDescent="0.35">
      <c r="A1708">
        <v>4893</v>
      </c>
      <c r="B1708" t="s">
        <v>6298</v>
      </c>
      <c r="C1708" s="1">
        <v>43092</v>
      </c>
      <c r="D1708" s="1">
        <v>43099</v>
      </c>
      <c r="E1708" t="s">
        <v>46</v>
      </c>
      <c r="F1708" t="s">
        <v>4452</v>
      </c>
      <c r="G1708" t="s">
        <v>4453</v>
      </c>
      <c r="H1708" t="s">
        <v>37</v>
      </c>
      <c r="I1708" t="s">
        <v>23</v>
      </c>
      <c r="J1708" t="s">
        <v>91</v>
      </c>
      <c r="K1708" t="s">
        <v>92</v>
      </c>
      <c r="L1708">
        <v>98103</v>
      </c>
      <c r="M1708" t="s">
        <v>40</v>
      </c>
      <c r="N1708" t="s">
        <v>6299</v>
      </c>
      <c r="O1708" t="s">
        <v>42</v>
      </c>
      <c r="P1708" t="s">
        <v>64</v>
      </c>
      <c r="Q1708" t="s">
        <v>6300</v>
      </c>
      <c r="R1708">
        <v>4.2</v>
      </c>
      <c r="S1708" t="str">
        <f>TEXT(sales_data[[#This Row],[Order Date]],"mm")</f>
        <v>12</v>
      </c>
      <c r="T1708">
        <f>YEAR(sales_data[[#This Row],[Order Date]])</f>
        <v>2017</v>
      </c>
      <c r="V1708" t="s">
        <v>6299</v>
      </c>
    </row>
    <row r="1709" spans="1:22" x14ac:dyDescent="0.35">
      <c r="A1709">
        <v>4909</v>
      </c>
      <c r="B1709" t="s">
        <v>6301</v>
      </c>
      <c r="C1709" s="1">
        <v>42326</v>
      </c>
      <c r="D1709" s="1">
        <v>42331</v>
      </c>
      <c r="E1709" t="s">
        <v>19</v>
      </c>
      <c r="F1709" t="s">
        <v>5285</v>
      </c>
      <c r="G1709" t="s">
        <v>5286</v>
      </c>
      <c r="H1709" t="s">
        <v>22</v>
      </c>
      <c r="I1709" t="s">
        <v>23</v>
      </c>
      <c r="J1709" t="s">
        <v>739</v>
      </c>
      <c r="K1709" t="s">
        <v>493</v>
      </c>
      <c r="L1709">
        <v>45014</v>
      </c>
      <c r="M1709" t="s">
        <v>144</v>
      </c>
      <c r="N1709" t="s">
        <v>6302</v>
      </c>
      <c r="O1709" t="s">
        <v>67</v>
      </c>
      <c r="P1709" t="s">
        <v>68</v>
      </c>
      <c r="Q1709" t="s">
        <v>6303</v>
      </c>
      <c r="R1709">
        <v>9.5879999999999992</v>
      </c>
      <c r="S1709" t="str">
        <f>TEXT(sales_data[[#This Row],[Order Date]],"mm")</f>
        <v>11</v>
      </c>
      <c r="T1709">
        <f>YEAR(sales_data[[#This Row],[Order Date]])</f>
        <v>2015</v>
      </c>
      <c r="V1709" t="s">
        <v>6302</v>
      </c>
    </row>
    <row r="1710" spans="1:22" x14ac:dyDescent="0.35">
      <c r="A1710">
        <v>4918</v>
      </c>
      <c r="B1710" t="s">
        <v>6304</v>
      </c>
      <c r="C1710" s="1">
        <v>43382</v>
      </c>
      <c r="D1710" s="1">
        <v>43384</v>
      </c>
      <c r="E1710" t="s">
        <v>19</v>
      </c>
      <c r="F1710" t="s">
        <v>791</v>
      </c>
      <c r="G1710" t="s">
        <v>792</v>
      </c>
      <c r="H1710" t="s">
        <v>22</v>
      </c>
      <c r="I1710" t="s">
        <v>23</v>
      </c>
      <c r="J1710" t="s">
        <v>6305</v>
      </c>
      <c r="K1710" t="s">
        <v>100</v>
      </c>
      <c r="L1710">
        <v>77573</v>
      </c>
      <c r="M1710" t="s">
        <v>101</v>
      </c>
      <c r="N1710" t="s">
        <v>6306</v>
      </c>
      <c r="O1710" t="s">
        <v>28</v>
      </c>
      <c r="P1710" t="s">
        <v>32</v>
      </c>
      <c r="Q1710" t="s">
        <v>6307</v>
      </c>
      <c r="R1710">
        <v>254.05799999999999</v>
      </c>
      <c r="S1710" t="str">
        <f>TEXT(sales_data[[#This Row],[Order Date]],"mm")</f>
        <v>10</v>
      </c>
      <c r="T1710">
        <f>YEAR(sales_data[[#This Row],[Order Date]])</f>
        <v>2018</v>
      </c>
      <c r="V1710" t="s">
        <v>6306</v>
      </c>
    </row>
    <row r="1711" spans="1:22" x14ac:dyDescent="0.35">
      <c r="A1711">
        <v>4936</v>
      </c>
      <c r="B1711" t="s">
        <v>6309</v>
      </c>
      <c r="C1711" s="1">
        <v>42444</v>
      </c>
      <c r="D1711" s="1">
        <v>42450</v>
      </c>
      <c r="E1711" t="s">
        <v>46</v>
      </c>
      <c r="F1711" t="s">
        <v>6310</v>
      </c>
      <c r="G1711" t="s">
        <v>6311</v>
      </c>
      <c r="H1711" t="s">
        <v>37</v>
      </c>
      <c r="I1711" t="s">
        <v>23</v>
      </c>
      <c r="J1711" t="s">
        <v>6312</v>
      </c>
      <c r="K1711" t="s">
        <v>117</v>
      </c>
      <c r="L1711">
        <v>84043</v>
      </c>
      <c r="M1711" t="s">
        <v>40</v>
      </c>
      <c r="N1711" t="s">
        <v>6313</v>
      </c>
      <c r="O1711" t="s">
        <v>67</v>
      </c>
      <c r="P1711" t="s">
        <v>68</v>
      </c>
      <c r="Q1711" t="s">
        <v>6314</v>
      </c>
      <c r="R1711">
        <v>16.776</v>
      </c>
      <c r="S1711" t="str">
        <f>TEXT(sales_data[[#This Row],[Order Date]],"mm")</f>
        <v>03</v>
      </c>
      <c r="T1711">
        <f>YEAR(sales_data[[#This Row],[Order Date]])</f>
        <v>2016</v>
      </c>
      <c r="V1711" t="s">
        <v>6313</v>
      </c>
    </row>
    <row r="1712" spans="1:22" x14ac:dyDescent="0.35">
      <c r="A1712">
        <v>4953</v>
      </c>
      <c r="B1712" t="s">
        <v>6315</v>
      </c>
      <c r="C1712" s="1">
        <v>43442</v>
      </c>
      <c r="D1712" s="1">
        <v>43446</v>
      </c>
      <c r="E1712" t="s">
        <v>19</v>
      </c>
      <c r="F1712" t="s">
        <v>1101</v>
      </c>
      <c r="G1712" t="s">
        <v>1102</v>
      </c>
      <c r="H1712" t="s">
        <v>37</v>
      </c>
      <c r="I1712" t="s">
        <v>23</v>
      </c>
      <c r="J1712" t="s">
        <v>123</v>
      </c>
      <c r="K1712" t="s">
        <v>39</v>
      </c>
      <c r="L1712">
        <v>94109</v>
      </c>
      <c r="M1712" t="s">
        <v>40</v>
      </c>
      <c r="N1712" t="s">
        <v>6316</v>
      </c>
      <c r="O1712" t="s">
        <v>42</v>
      </c>
      <c r="P1712" t="s">
        <v>74</v>
      </c>
      <c r="Q1712" t="s">
        <v>6317</v>
      </c>
      <c r="R1712">
        <v>69.48</v>
      </c>
      <c r="S1712" t="str">
        <f>TEXT(sales_data[[#This Row],[Order Date]],"mm")</f>
        <v>12</v>
      </c>
      <c r="T1712">
        <f>YEAR(sales_data[[#This Row],[Order Date]])</f>
        <v>2018</v>
      </c>
      <c r="V1712" t="s">
        <v>6316</v>
      </c>
    </row>
    <row r="1713" spans="1:22" x14ac:dyDescent="0.35">
      <c r="A1713">
        <v>4959</v>
      </c>
      <c r="B1713" t="s">
        <v>6318</v>
      </c>
      <c r="C1713" s="1">
        <v>42449</v>
      </c>
      <c r="D1713" s="1">
        <v>42455</v>
      </c>
      <c r="E1713" t="s">
        <v>46</v>
      </c>
      <c r="F1713" t="s">
        <v>2442</v>
      </c>
      <c r="G1713" t="s">
        <v>2443</v>
      </c>
      <c r="H1713" t="s">
        <v>22</v>
      </c>
      <c r="I1713" t="s">
        <v>23</v>
      </c>
      <c r="J1713" t="s">
        <v>3988</v>
      </c>
      <c r="K1713" t="s">
        <v>100</v>
      </c>
      <c r="L1713">
        <v>75007</v>
      </c>
      <c r="M1713" t="s">
        <v>101</v>
      </c>
      <c r="N1713" t="s">
        <v>6319</v>
      </c>
      <c r="O1713" t="s">
        <v>42</v>
      </c>
      <c r="P1713" t="s">
        <v>264</v>
      </c>
      <c r="Q1713" t="s">
        <v>557</v>
      </c>
      <c r="R1713">
        <v>18.864000000000001</v>
      </c>
      <c r="S1713" t="str">
        <f>TEXT(sales_data[[#This Row],[Order Date]],"mm")</f>
        <v>03</v>
      </c>
      <c r="T1713">
        <f>YEAR(sales_data[[#This Row],[Order Date]])</f>
        <v>2016</v>
      </c>
      <c r="V1713" t="s">
        <v>6319</v>
      </c>
    </row>
    <row r="1714" spans="1:22" x14ac:dyDescent="0.35">
      <c r="A1714">
        <v>4997</v>
      </c>
      <c r="B1714" t="s">
        <v>6321</v>
      </c>
      <c r="C1714" s="1">
        <v>43169</v>
      </c>
      <c r="D1714" s="1">
        <v>43174</v>
      </c>
      <c r="E1714" t="s">
        <v>46</v>
      </c>
      <c r="F1714" t="s">
        <v>6310</v>
      </c>
      <c r="G1714" t="s">
        <v>6311</v>
      </c>
      <c r="H1714" t="s">
        <v>37</v>
      </c>
      <c r="I1714" t="s">
        <v>23</v>
      </c>
      <c r="J1714" t="s">
        <v>4304</v>
      </c>
      <c r="K1714" t="s">
        <v>84</v>
      </c>
      <c r="L1714">
        <v>27604</v>
      </c>
      <c r="M1714" t="s">
        <v>26</v>
      </c>
      <c r="N1714" t="s">
        <v>6322</v>
      </c>
      <c r="O1714" t="s">
        <v>42</v>
      </c>
      <c r="P1714" t="s">
        <v>74</v>
      </c>
      <c r="Q1714" t="s">
        <v>6323</v>
      </c>
      <c r="R1714">
        <v>48.783999999999999</v>
      </c>
      <c r="S1714" t="str">
        <f>TEXT(sales_data[[#This Row],[Order Date]],"mm")</f>
        <v>03</v>
      </c>
      <c r="T1714">
        <f>YEAR(sales_data[[#This Row],[Order Date]])</f>
        <v>2018</v>
      </c>
      <c r="V1714" t="s">
        <v>6322</v>
      </c>
    </row>
    <row r="1715" spans="1:22" x14ac:dyDescent="0.35">
      <c r="A1715">
        <v>5000</v>
      </c>
      <c r="B1715" t="s">
        <v>6324</v>
      </c>
      <c r="C1715" s="1">
        <v>42766</v>
      </c>
      <c r="D1715" s="1">
        <v>42770</v>
      </c>
      <c r="E1715" t="s">
        <v>46</v>
      </c>
      <c r="F1715" t="s">
        <v>2735</v>
      </c>
      <c r="G1715" t="s">
        <v>2736</v>
      </c>
      <c r="H1715" t="s">
        <v>98</v>
      </c>
      <c r="I1715" t="s">
        <v>23</v>
      </c>
      <c r="J1715" t="s">
        <v>38</v>
      </c>
      <c r="K1715" t="s">
        <v>39</v>
      </c>
      <c r="L1715">
        <v>90045</v>
      </c>
      <c r="M1715" t="s">
        <v>40</v>
      </c>
      <c r="N1715" t="s">
        <v>6325</v>
      </c>
      <c r="O1715" t="s">
        <v>42</v>
      </c>
      <c r="P1715" t="s">
        <v>86</v>
      </c>
      <c r="Q1715" t="s">
        <v>181</v>
      </c>
      <c r="R1715">
        <v>56.7</v>
      </c>
      <c r="S1715" t="str">
        <f>TEXT(sales_data[[#This Row],[Order Date]],"mm")</f>
        <v>01</v>
      </c>
      <c r="T1715">
        <f>YEAR(sales_data[[#This Row],[Order Date]])</f>
        <v>2017</v>
      </c>
      <c r="V1715" t="s">
        <v>6325</v>
      </c>
    </row>
    <row r="1716" spans="1:22" x14ac:dyDescent="0.35">
      <c r="A1716">
        <v>5004</v>
      </c>
      <c r="B1716" t="s">
        <v>6326</v>
      </c>
      <c r="C1716" s="1">
        <v>43015</v>
      </c>
      <c r="D1716" s="1">
        <v>43020</v>
      </c>
      <c r="E1716" t="s">
        <v>46</v>
      </c>
      <c r="F1716" t="s">
        <v>5627</v>
      </c>
      <c r="G1716" t="s">
        <v>5628</v>
      </c>
      <c r="H1716" t="s">
        <v>22</v>
      </c>
      <c r="I1716" t="s">
        <v>23</v>
      </c>
      <c r="J1716" t="s">
        <v>38</v>
      </c>
      <c r="K1716" t="s">
        <v>39</v>
      </c>
      <c r="L1716">
        <v>90032</v>
      </c>
      <c r="M1716" t="s">
        <v>40</v>
      </c>
      <c r="N1716" t="s">
        <v>6327</v>
      </c>
      <c r="O1716" t="s">
        <v>42</v>
      </c>
      <c r="P1716" t="s">
        <v>86</v>
      </c>
      <c r="Q1716" t="s">
        <v>6328</v>
      </c>
      <c r="R1716">
        <v>10.56</v>
      </c>
      <c r="S1716" t="str">
        <f>TEXT(sales_data[[#This Row],[Order Date]],"mm")</f>
        <v>10</v>
      </c>
      <c r="T1716">
        <f>YEAR(sales_data[[#This Row],[Order Date]])</f>
        <v>2017</v>
      </c>
      <c r="V1716" t="s">
        <v>6327</v>
      </c>
    </row>
    <row r="1717" spans="1:22" x14ac:dyDescent="0.35">
      <c r="A1717">
        <v>5007</v>
      </c>
      <c r="B1717" t="s">
        <v>6329</v>
      </c>
      <c r="C1717" s="1">
        <v>42683</v>
      </c>
      <c r="D1717" s="1">
        <v>42688</v>
      </c>
      <c r="E1717" t="s">
        <v>46</v>
      </c>
      <c r="F1717" t="s">
        <v>5303</v>
      </c>
      <c r="G1717" t="s">
        <v>5304</v>
      </c>
      <c r="H1717" t="s">
        <v>98</v>
      </c>
      <c r="I1717" t="s">
        <v>23</v>
      </c>
      <c r="J1717" t="s">
        <v>261</v>
      </c>
      <c r="K1717" t="s">
        <v>262</v>
      </c>
      <c r="L1717">
        <v>10035</v>
      </c>
      <c r="M1717" t="s">
        <v>144</v>
      </c>
      <c r="N1717" t="s">
        <v>6330</v>
      </c>
      <c r="O1717" t="s">
        <v>67</v>
      </c>
      <c r="P1717" t="s">
        <v>675</v>
      </c>
      <c r="Q1717" t="s">
        <v>6331</v>
      </c>
      <c r="R1717">
        <v>2321.9</v>
      </c>
      <c r="S1717" t="str">
        <f>TEXT(sales_data[[#This Row],[Order Date]],"mm")</f>
        <v>11</v>
      </c>
      <c r="T1717">
        <f>YEAR(sales_data[[#This Row],[Order Date]])</f>
        <v>2016</v>
      </c>
      <c r="V1717" t="s">
        <v>6330</v>
      </c>
    </row>
    <row r="1718" spans="1:22" x14ac:dyDescent="0.35">
      <c r="A1718">
        <v>5014</v>
      </c>
      <c r="B1718" t="s">
        <v>6334</v>
      </c>
      <c r="C1718" s="1">
        <v>43302</v>
      </c>
      <c r="D1718" s="1">
        <v>43307</v>
      </c>
      <c r="E1718" t="s">
        <v>46</v>
      </c>
      <c r="F1718" t="s">
        <v>5504</v>
      </c>
      <c r="G1718" t="s">
        <v>5505</v>
      </c>
      <c r="H1718" t="s">
        <v>98</v>
      </c>
      <c r="I1718" t="s">
        <v>23</v>
      </c>
      <c r="J1718" t="s">
        <v>2151</v>
      </c>
      <c r="K1718" t="s">
        <v>493</v>
      </c>
      <c r="L1718">
        <v>44105</v>
      </c>
      <c r="M1718" t="s">
        <v>144</v>
      </c>
      <c r="N1718" t="s">
        <v>6335</v>
      </c>
      <c r="O1718" t="s">
        <v>42</v>
      </c>
      <c r="P1718" t="s">
        <v>55</v>
      </c>
      <c r="Q1718" t="s">
        <v>6336</v>
      </c>
      <c r="R1718">
        <v>222.32</v>
      </c>
      <c r="S1718" t="str">
        <f>TEXT(sales_data[[#This Row],[Order Date]],"mm")</f>
        <v>07</v>
      </c>
      <c r="T1718">
        <f>YEAR(sales_data[[#This Row],[Order Date]])</f>
        <v>2018</v>
      </c>
      <c r="V1718" t="s">
        <v>6335</v>
      </c>
    </row>
    <row r="1719" spans="1:22" x14ac:dyDescent="0.35">
      <c r="A1719">
        <v>5015</v>
      </c>
      <c r="B1719" t="s">
        <v>6334</v>
      </c>
      <c r="C1719" s="1">
        <v>43302</v>
      </c>
      <c r="D1719" s="1">
        <v>43307</v>
      </c>
      <c r="E1719" t="s">
        <v>46</v>
      </c>
      <c r="F1719" t="s">
        <v>5504</v>
      </c>
      <c r="G1719" t="s">
        <v>5505</v>
      </c>
      <c r="H1719" t="s">
        <v>98</v>
      </c>
      <c r="I1719" t="s">
        <v>23</v>
      </c>
      <c r="J1719" t="s">
        <v>2151</v>
      </c>
      <c r="K1719" t="s">
        <v>493</v>
      </c>
      <c r="L1719">
        <v>44105</v>
      </c>
      <c r="M1719" t="s">
        <v>144</v>
      </c>
      <c r="N1719" t="s">
        <v>6337</v>
      </c>
      <c r="O1719" t="s">
        <v>67</v>
      </c>
      <c r="P1719" t="s">
        <v>68</v>
      </c>
      <c r="Q1719" t="s">
        <v>6338</v>
      </c>
      <c r="R1719">
        <v>210.56399999999999</v>
      </c>
      <c r="S1719" t="str">
        <f>TEXT(sales_data[[#This Row],[Order Date]],"mm")</f>
        <v>07</v>
      </c>
      <c r="T1719">
        <f>YEAR(sales_data[[#This Row],[Order Date]])</f>
        <v>2018</v>
      </c>
      <c r="V1719" t="s">
        <v>6337</v>
      </c>
    </row>
    <row r="1720" spans="1:22" x14ac:dyDescent="0.35">
      <c r="A1720">
        <v>5017</v>
      </c>
      <c r="B1720" t="s">
        <v>6339</v>
      </c>
      <c r="C1720" s="1">
        <v>42332</v>
      </c>
      <c r="D1720" s="1">
        <v>42337</v>
      </c>
      <c r="E1720" t="s">
        <v>46</v>
      </c>
      <c r="F1720" t="s">
        <v>4082</v>
      </c>
      <c r="G1720" t="s">
        <v>4083</v>
      </c>
      <c r="H1720" t="s">
        <v>22</v>
      </c>
      <c r="I1720" t="s">
        <v>23</v>
      </c>
      <c r="J1720" t="s">
        <v>2766</v>
      </c>
      <c r="K1720" t="s">
        <v>493</v>
      </c>
      <c r="L1720">
        <v>43615</v>
      </c>
      <c r="M1720" t="s">
        <v>144</v>
      </c>
      <c r="N1720" t="s">
        <v>6340</v>
      </c>
      <c r="O1720" t="s">
        <v>67</v>
      </c>
      <c r="P1720" t="s">
        <v>68</v>
      </c>
      <c r="Q1720" t="s">
        <v>6341</v>
      </c>
      <c r="R1720">
        <v>1502.376</v>
      </c>
      <c r="S1720" t="str">
        <f>TEXT(sales_data[[#This Row],[Order Date]],"mm")</f>
        <v>11</v>
      </c>
      <c r="T1720">
        <f>YEAR(sales_data[[#This Row],[Order Date]])</f>
        <v>2015</v>
      </c>
      <c r="V1720" t="s">
        <v>6340</v>
      </c>
    </row>
    <row r="1721" spans="1:22" x14ac:dyDescent="0.35">
      <c r="A1721">
        <v>5028</v>
      </c>
      <c r="B1721" t="s">
        <v>6343</v>
      </c>
      <c r="C1721" s="1">
        <v>43310</v>
      </c>
      <c r="D1721" s="1">
        <v>43315</v>
      </c>
      <c r="E1721" t="s">
        <v>46</v>
      </c>
      <c r="F1721" t="s">
        <v>2348</v>
      </c>
      <c r="G1721" t="s">
        <v>2349</v>
      </c>
      <c r="H1721" t="s">
        <v>22</v>
      </c>
      <c r="I1721" t="s">
        <v>23</v>
      </c>
      <c r="J1721" t="s">
        <v>4525</v>
      </c>
      <c r="K1721" t="s">
        <v>641</v>
      </c>
      <c r="L1721">
        <v>73120</v>
      </c>
      <c r="M1721" t="s">
        <v>101</v>
      </c>
      <c r="N1721" t="s">
        <v>6344</v>
      </c>
      <c r="O1721" t="s">
        <v>28</v>
      </c>
      <c r="P1721" t="s">
        <v>32</v>
      </c>
      <c r="Q1721" t="s">
        <v>6345</v>
      </c>
      <c r="R1721">
        <v>302.67</v>
      </c>
      <c r="S1721" t="str">
        <f>TEXT(sales_data[[#This Row],[Order Date]],"mm")</f>
        <v>07</v>
      </c>
      <c r="T1721">
        <f>YEAR(sales_data[[#This Row],[Order Date]])</f>
        <v>2018</v>
      </c>
      <c r="V1721" t="s">
        <v>6344</v>
      </c>
    </row>
    <row r="1722" spans="1:22" x14ac:dyDescent="0.35">
      <c r="A1722">
        <v>5087</v>
      </c>
      <c r="B1722" t="s">
        <v>6348</v>
      </c>
      <c r="C1722" s="1">
        <v>42434</v>
      </c>
      <c r="D1722" s="1">
        <v>42438</v>
      </c>
      <c r="E1722" t="s">
        <v>46</v>
      </c>
      <c r="F1722" t="s">
        <v>3769</v>
      </c>
      <c r="G1722" t="s">
        <v>3770</v>
      </c>
      <c r="H1722" t="s">
        <v>37</v>
      </c>
      <c r="I1722" t="s">
        <v>23</v>
      </c>
      <c r="J1722" t="s">
        <v>142</v>
      </c>
      <c r="K1722" t="s">
        <v>143</v>
      </c>
      <c r="L1722">
        <v>19120</v>
      </c>
      <c r="M1722" t="s">
        <v>144</v>
      </c>
      <c r="N1722" t="s">
        <v>6349</v>
      </c>
      <c r="O1722" t="s">
        <v>67</v>
      </c>
      <c r="P1722" t="s">
        <v>68</v>
      </c>
      <c r="Q1722" t="s">
        <v>6350</v>
      </c>
      <c r="R1722">
        <v>466.15800000000002</v>
      </c>
      <c r="S1722" t="str">
        <f>TEXT(sales_data[[#This Row],[Order Date]],"mm")</f>
        <v>03</v>
      </c>
      <c r="T1722">
        <f>YEAR(sales_data[[#This Row],[Order Date]])</f>
        <v>2016</v>
      </c>
      <c r="V1722" t="s">
        <v>6349</v>
      </c>
    </row>
    <row r="1723" spans="1:22" x14ac:dyDescent="0.35">
      <c r="A1723">
        <v>5113</v>
      </c>
      <c r="B1723" t="s">
        <v>6351</v>
      </c>
      <c r="C1723" s="1">
        <v>42687</v>
      </c>
      <c r="D1723" s="1">
        <v>42687</v>
      </c>
      <c r="E1723" t="s">
        <v>1277</v>
      </c>
      <c r="F1723" t="s">
        <v>3668</v>
      </c>
      <c r="G1723" t="s">
        <v>3669</v>
      </c>
      <c r="H1723" t="s">
        <v>22</v>
      </c>
      <c r="I1723" t="s">
        <v>23</v>
      </c>
      <c r="J1723" t="s">
        <v>298</v>
      </c>
      <c r="K1723" t="s">
        <v>206</v>
      </c>
      <c r="L1723">
        <v>60610</v>
      </c>
      <c r="M1723" t="s">
        <v>101</v>
      </c>
      <c r="N1723" t="s">
        <v>6352</v>
      </c>
      <c r="O1723" t="s">
        <v>28</v>
      </c>
      <c r="P1723" t="s">
        <v>61</v>
      </c>
      <c r="Q1723" t="s">
        <v>6353</v>
      </c>
      <c r="R1723">
        <v>17.495999999999999</v>
      </c>
      <c r="S1723" t="str">
        <f>TEXT(sales_data[[#This Row],[Order Date]],"mm")</f>
        <v>11</v>
      </c>
      <c r="T1723">
        <f>YEAR(sales_data[[#This Row],[Order Date]])</f>
        <v>2016</v>
      </c>
      <c r="V1723" t="s">
        <v>6352</v>
      </c>
    </row>
    <row r="1724" spans="1:22" x14ac:dyDescent="0.35">
      <c r="A1724">
        <v>5116</v>
      </c>
      <c r="B1724" t="s">
        <v>6354</v>
      </c>
      <c r="C1724" s="1">
        <v>43306</v>
      </c>
      <c r="D1724" s="1">
        <v>43310</v>
      </c>
      <c r="E1724" t="s">
        <v>46</v>
      </c>
      <c r="F1724" t="s">
        <v>6026</v>
      </c>
      <c r="G1724" t="s">
        <v>6027</v>
      </c>
      <c r="H1724" t="s">
        <v>22</v>
      </c>
      <c r="I1724" t="s">
        <v>23</v>
      </c>
      <c r="J1724" t="s">
        <v>142</v>
      </c>
      <c r="K1724" t="s">
        <v>143</v>
      </c>
      <c r="L1724">
        <v>19134</v>
      </c>
      <c r="M1724" t="s">
        <v>144</v>
      </c>
      <c r="N1724" t="s">
        <v>6355</v>
      </c>
      <c r="O1724" t="s">
        <v>42</v>
      </c>
      <c r="P1724" t="s">
        <v>43</v>
      </c>
      <c r="Q1724" t="s">
        <v>6356</v>
      </c>
      <c r="R1724">
        <v>3.3039999999999998</v>
      </c>
      <c r="S1724" t="str">
        <f>TEXT(sales_data[[#This Row],[Order Date]],"mm")</f>
        <v>07</v>
      </c>
      <c r="T1724">
        <f>YEAR(sales_data[[#This Row],[Order Date]])</f>
        <v>2018</v>
      </c>
      <c r="V1724" t="s">
        <v>6355</v>
      </c>
    </row>
    <row r="1725" spans="1:22" x14ac:dyDescent="0.35">
      <c r="A1725">
        <v>5123</v>
      </c>
      <c r="B1725" t="s">
        <v>6357</v>
      </c>
      <c r="C1725" s="1">
        <v>42098</v>
      </c>
      <c r="D1725" s="1">
        <v>42102</v>
      </c>
      <c r="E1725" t="s">
        <v>46</v>
      </c>
      <c r="F1725" t="s">
        <v>131</v>
      </c>
      <c r="G1725" t="s">
        <v>132</v>
      </c>
      <c r="H1725" t="s">
        <v>37</v>
      </c>
      <c r="I1725" t="s">
        <v>23</v>
      </c>
      <c r="J1725" t="s">
        <v>4035</v>
      </c>
      <c r="K1725" t="s">
        <v>729</v>
      </c>
      <c r="L1725">
        <v>70506</v>
      </c>
      <c r="M1725" t="s">
        <v>26</v>
      </c>
      <c r="N1725" t="s">
        <v>6358</v>
      </c>
      <c r="O1725" t="s">
        <v>42</v>
      </c>
      <c r="P1725" t="s">
        <v>86</v>
      </c>
      <c r="Q1725" t="s">
        <v>6359</v>
      </c>
      <c r="R1725">
        <v>19.440000000000001</v>
      </c>
      <c r="S1725" t="str">
        <f>TEXT(sales_data[[#This Row],[Order Date]],"mm")</f>
        <v>04</v>
      </c>
      <c r="T1725">
        <f>YEAR(sales_data[[#This Row],[Order Date]])</f>
        <v>2015</v>
      </c>
      <c r="V1725" t="s">
        <v>6358</v>
      </c>
    </row>
    <row r="1726" spans="1:22" x14ac:dyDescent="0.35">
      <c r="A1726">
        <v>5192</v>
      </c>
      <c r="B1726" t="s">
        <v>6360</v>
      </c>
      <c r="C1726" s="1">
        <v>43225</v>
      </c>
      <c r="D1726" s="1">
        <v>43229</v>
      </c>
      <c r="E1726" t="s">
        <v>46</v>
      </c>
      <c r="F1726" t="s">
        <v>1814</v>
      </c>
      <c r="G1726" t="s">
        <v>1815</v>
      </c>
      <c r="H1726" t="s">
        <v>22</v>
      </c>
      <c r="I1726" t="s">
        <v>23</v>
      </c>
      <c r="J1726" t="s">
        <v>123</v>
      </c>
      <c r="K1726" t="s">
        <v>39</v>
      </c>
      <c r="L1726">
        <v>94122</v>
      </c>
      <c r="M1726" t="s">
        <v>40</v>
      </c>
      <c r="N1726" t="s">
        <v>6361</v>
      </c>
      <c r="O1726" t="s">
        <v>42</v>
      </c>
      <c r="P1726" t="s">
        <v>168</v>
      </c>
      <c r="Q1726" t="s">
        <v>6362</v>
      </c>
      <c r="R1726">
        <v>23.16</v>
      </c>
      <c r="S1726" t="str">
        <f>TEXT(sales_data[[#This Row],[Order Date]],"mm")</f>
        <v>05</v>
      </c>
      <c r="T1726">
        <f>YEAR(sales_data[[#This Row],[Order Date]])</f>
        <v>2018</v>
      </c>
      <c r="V1726" t="s">
        <v>6361</v>
      </c>
    </row>
    <row r="1727" spans="1:22" x14ac:dyDescent="0.35">
      <c r="A1727">
        <v>5222</v>
      </c>
      <c r="B1727" t="s">
        <v>6363</v>
      </c>
      <c r="C1727" s="1">
        <v>43238</v>
      </c>
      <c r="D1727" s="1">
        <v>43242</v>
      </c>
      <c r="E1727" t="s">
        <v>19</v>
      </c>
      <c r="F1727" t="s">
        <v>3634</v>
      </c>
      <c r="G1727" t="s">
        <v>3635</v>
      </c>
      <c r="H1727" t="s">
        <v>98</v>
      </c>
      <c r="I1727" t="s">
        <v>23</v>
      </c>
      <c r="J1727" t="s">
        <v>313</v>
      </c>
      <c r="K1727" t="s">
        <v>590</v>
      </c>
      <c r="L1727">
        <v>65807</v>
      </c>
      <c r="M1727" t="s">
        <v>101</v>
      </c>
      <c r="N1727" t="s">
        <v>6364</v>
      </c>
      <c r="O1727" t="s">
        <v>42</v>
      </c>
      <c r="P1727" t="s">
        <v>74</v>
      </c>
      <c r="Q1727" t="s">
        <v>6365</v>
      </c>
      <c r="R1727">
        <v>706.86</v>
      </c>
      <c r="S1727" t="str">
        <f>TEXT(sales_data[[#This Row],[Order Date]],"mm")</f>
        <v>05</v>
      </c>
      <c r="T1727">
        <f>YEAR(sales_data[[#This Row],[Order Date]])</f>
        <v>2018</v>
      </c>
      <c r="V1727" t="s">
        <v>6364</v>
      </c>
    </row>
    <row r="1728" spans="1:22" x14ac:dyDescent="0.35">
      <c r="A1728">
        <v>5242</v>
      </c>
      <c r="B1728" t="s">
        <v>6366</v>
      </c>
      <c r="C1728" s="1">
        <v>43001</v>
      </c>
      <c r="D1728" s="1">
        <v>43004</v>
      </c>
      <c r="E1728" t="s">
        <v>19</v>
      </c>
      <c r="F1728" t="s">
        <v>5646</v>
      </c>
      <c r="G1728" t="s">
        <v>5647</v>
      </c>
      <c r="H1728" t="s">
        <v>37</v>
      </c>
      <c r="I1728" t="s">
        <v>23</v>
      </c>
      <c r="J1728" t="s">
        <v>91</v>
      </c>
      <c r="K1728" t="s">
        <v>92</v>
      </c>
      <c r="L1728">
        <v>98115</v>
      </c>
      <c r="M1728" t="s">
        <v>40</v>
      </c>
      <c r="N1728" t="s">
        <v>6367</v>
      </c>
      <c r="O1728" t="s">
        <v>42</v>
      </c>
      <c r="P1728" t="s">
        <v>573</v>
      </c>
      <c r="Q1728" t="s">
        <v>6368</v>
      </c>
      <c r="R1728">
        <v>13.68</v>
      </c>
      <c r="S1728" t="str">
        <f>TEXT(sales_data[[#This Row],[Order Date]],"mm")</f>
        <v>09</v>
      </c>
      <c r="T1728">
        <f>YEAR(sales_data[[#This Row],[Order Date]])</f>
        <v>2017</v>
      </c>
      <c r="V1728" t="s">
        <v>6367</v>
      </c>
    </row>
    <row r="1729" spans="1:22" x14ac:dyDescent="0.35">
      <c r="A1729">
        <v>5245</v>
      </c>
      <c r="B1729" t="s">
        <v>6369</v>
      </c>
      <c r="C1729" s="1">
        <v>42949</v>
      </c>
      <c r="D1729" s="1">
        <v>42951</v>
      </c>
      <c r="E1729" t="s">
        <v>19</v>
      </c>
      <c r="F1729" t="s">
        <v>2369</v>
      </c>
      <c r="G1729" t="s">
        <v>2370</v>
      </c>
      <c r="H1729" t="s">
        <v>37</v>
      </c>
      <c r="I1729" t="s">
        <v>23</v>
      </c>
      <c r="J1729" t="s">
        <v>38</v>
      </c>
      <c r="K1729" t="s">
        <v>39</v>
      </c>
      <c r="L1729">
        <v>90032</v>
      </c>
      <c r="M1729" t="s">
        <v>40</v>
      </c>
      <c r="N1729" t="s">
        <v>6370</v>
      </c>
      <c r="O1729" t="s">
        <v>28</v>
      </c>
      <c r="P1729" t="s">
        <v>52</v>
      </c>
      <c r="Q1729" t="s">
        <v>6371</v>
      </c>
      <c r="R1729">
        <v>136.464</v>
      </c>
      <c r="S1729" t="str">
        <f>TEXT(sales_data[[#This Row],[Order Date]],"mm")</f>
        <v>08</v>
      </c>
      <c r="T1729">
        <f>YEAR(sales_data[[#This Row],[Order Date]])</f>
        <v>2017</v>
      </c>
      <c r="V1729" t="s">
        <v>6370</v>
      </c>
    </row>
    <row r="1730" spans="1:22" x14ac:dyDescent="0.35">
      <c r="A1730">
        <v>5269</v>
      </c>
      <c r="B1730" t="s">
        <v>6372</v>
      </c>
      <c r="C1730" s="1">
        <v>43420</v>
      </c>
      <c r="D1730" s="1">
        <v>43425</v>
      </c>
      <c r="E1730" t="s">
        <v>46</v>
      </c>
      <c r="F1730" t="s">
        <v>3384</v>
      </c>
      <c r="G1730" t="s">
        <v>3385</v>
      </c>
      <c r="H1730" t="s">
        <v>98</v>
      </c>
      <c r="I1730" t="s">
        <v>23</v>
      </c>
      <c r="J1730" t="s">
        <v>3088</v>
      </c>
      <c r="K1730" t="s">
        <v>262</v>
      </c>
      <c r="L1730">
        <v>10701</v>
      </c>
      <c r="M1730" t="s">
        <v>144</v>
      </c>
      <c r="N1730" t="s">
        <v>6373</v>
      </c>
      <c r="O1730" t="s">
        <v>67</v>
      </c>
      <c r="P1730" t="s">
        <v>675</v>
      </c>
      <c r="Q1730" t="s">
        <v>6374</v>
      </c>
      <c r="R1730">
        <v>52.44</v>
      </c>
      <c r="S1730" t="str">
        <f>TEXT(sales_data[[#This Row],[Order Date]],"mm")</f>
        <v>11</v>
      </c>
      <c r="T1730">
        <f>YEAR(sales_data[[#This Row],[Order Date]])</f>
        <v>2018</v>
      </c>
      <c r="V1730" t="s">
        <v>6373</v>
      </c>
    </row>
    <row r="1731" spans="1:22" x14ac:dyDescent="0.35">
      <c r="A1731">
        <v>5295</v>
      </c>
      <c r="B1731" t="s">
        <v>6375</v>
      </c>
      <c r="C1731" s="1">
        <v>43327</v>
      </c>
      <c r="D1731" s="1">
        <v>43331</v>
      </c>
      <c r="E1731" t="s">
        <v>46</v>
      </c>
      <c r="F1731" t="s">
        <v>5163</v>
      </c>
      <c r="G1731" t="s">
        <v>5164</v>
      </c>
      <c r="H1731" t="s">
        <v>37</v>
      </c>
      <c r="I1731" t="s">
        <v>23</v>
      </c>
      <c r="J1731" t="s">
        <v>561</v>
      </c>
      <c r="K1731" t="s">
        <v>224</v>
      </c>
      <c r="L1731">
        <v>55113</v>
      </c>
      <c r="M1731" t="s">
        <v>101</v>
      </c>
      <c r="N1731" t="s">
        <v>6376</v>
      </c>
      <c r="O1731" t="s">
        <v>42</v>
      </c>
      <c r="P1731" t="s">
        <v>43</v>
      </c>
      <c r="Q1731" t="s">
        <v>6377</v>
      </c>
      <c r="R1731">
        <v>50.4</v>
      </c>
      <c r="S1731" t="str">
        <f>TEXT(sales_data[[#This Row],[Order Date]],"mm")</f>
        <v>08</v>
      </c>
      <c r="T1731">
        <f>YEAR(sales_data[[#This Row],[Order Date]])</f>
        <v>2018</v>
      </c>
      <c r="V1731" t="s">
        <v>6376</v>
      </c>
    </row>
    <row r="1732" spans="1:22" x14ac:dyDescent="0.35">
      <c r="A1732">
        <v>5308</v>
      </c>
      <c r="B1732" t="s">
        <v>6378</v>
      </c>
      <c r="C1732" s="1">
        <v>42787</v>
      </c>
      <c r="D1732" s="1">
        <v>42792</v>
      </c>
      <c r="E1732" t="s">
        <v>46</v>
      </c>
      <c r="F1732" t="s">
        <v>2397</v>
      </c>
      <c r="G1732" t="s">
        <v>2398</v>
      </c>
      <c r="H1732" t="s">
        <v>37</v>
      </c>
      <c r="I1732" t="s">
        <v>23</v>
      </c>
      <c r="J1732" t="s">
        <v>2308</v>
      </c>
      <c r="K1732" t="s">
        <v>262</v>
      </c>
      <c r="L1732">
        <v>11572</v>
      </c>
      <c r="M1732" t="s">
        <v>144</v>
      </c>
      <c r="N1732" t="s">
        <v>6379</v>
      </c>
      <c r="O1732" t="s">
        <v>67</v>
      </c>
      <c r="P1732" t="s">
        <v>68</v>
      </c>
      <c r="Q1732" t="s">
        <v>6380</v>
      </c>
      <c r="R1732">
        <v>39.979999999999997</v>
      </c>
      <c r="S1732" t="str">
        <f>TEXT(sales_data[[#This Row],[Order Date]],"mm")</f>
        <v>02</v>
      </c>
      <c r="T1732">
        <f>YEAR(sales_data[[#This Row],[Order Date]])</f>
        <v>2017</v>
      </c>
      <c r="V1732" t="s">
        <v>6379</v>
      </c>
    </row>
    <row r="1733" spans="1:22" x14ac:dyDescent="0.35">
      <c r="A1733">
        <v>5310</v>
      </c>
      <c r="B1733" t="s">
        <v>6381</v>
      </c>
      <c r="C1733" s="1">
        <v>43423</v>
      </c>
      <c r="D1733" s="1">
        <v>43425</v>
      </c>
      <c r="E1733" t="s">
        <v>183</v>
      </c>
      <c r="F1733" t="s">
        <v>5876</v>
      </c>
      <c r="G1733" t="s">
        <v>5877</v>
      </c>
      <c r="H1733" t="s">
        <v>22</v>
      </c>
      <c r="I1733" t="s">
        <v>23</v>
      </c>
      <c r="J1733" t="s">
        <v>179</v>
      </c>
      <c r="K1733" t="s">
        <v>100</v>
      </c>
      <c r="L1733">
        <v>77095</v>
      </c>
      <c r="M1733" t="s">
        <v>101</v>
      </c>
      <c r="N1733" t="s">
        <v>6382</v>
      </c>
      <c r="O1733" t="s">
        <v>42</v>
      </c>
      <c r="P1733" t="s">
        <v>64</v>
      </c>
      <c r="Q1733" t="s">
        <v>6383</v>
      </c>
      <c r="R1733">
        <v>13.04</v>
      </c>
      <c r="S1733" t="str">
        <f>TEXT(sales_data[[#This Row],[Order Date]],"mm")</f>
        <v>11</v>
      </c>
      <c r="T1733">
        <f>YEAR(sales_data[[#This Row],[Order Date]])</f>
        <v>2018</v>
      </c>
      <c r="V1733" t="s">
        <v>6382</v>
      </c>
    </row>
    <row r="1734" spans="1:22" x14ac:dyDescent="0.35">
      <c r="A1734">
        <v>5356</v>
      </c>
      <c r="B1734" t="s">
        <v>6385</v>
      </c>
      <c r="C1734" s="1">
        <v>42137</v>
      </c>
      <c r="D1734" s="1">
        <v>42143</v>
      </c>
      <c r="E1734" t="s">
        <v>46</v>
      </c>
      <c r="F1734" t="s">
        <v>5610</v>
      </c>
      <c r="G1734" t="s">
        <v>5611</v>
      </c>
      <c r="H1734" t="s">
        <v>37</v>
      </c>
      <c r="I1734" t="s">
        <v>23</v>
      </c>
      <c r="J1734" t="s">
        <v>38</v>
      </c>
      <c r="K1734" t="s">
        <v>39</v>
      </c>
      <c r="L1734">
        <v>90004</v>
      </c>
      <c r="M1734" t="s">
        <v>40</v>
      </c>
      <c r="N1734" t="s">
        <v>6386</v>
      </c>
      <c r="O1734" t="s">
        <v>42</v>
      </c>
      <c r="P1734" t="s">
        <v>86</v>
      </c>
      <c r="Q1734" t="s">
        <v>6387</v>
      </c>
      <c r="R1734">
        <v>8</v>
      </c>
      <c r="S1734" t="str">
        <f>TEXT(sales_data[[#This Row],[Order Date]],"mm")</f>
        <v>05</v>
      </c>
      <c r="T1734">
        <f>YEAR(sales_data[[#This Row],[Order Date]])</f>
        <v>2015</v>
      </c>
      <c r="V1734" t="s">
        <v>6386</v>
      </c>
    </row>
    <row r="1735" spans="1:22" x14ac:dyDescent="0.35">
      <c r="A1735">
        <v>5370</v>
      </c>
      <c r="B1735" t="s">
        <v>6388</v>
      </c>
      <c r="C1735" s="1">
        <v>43353</v>
      </c>
      <c r="D1735" s="1">
        <v>43356</v>
      </c>
      <c r="E1735" t="s">
        <v>183</v>
      </c>
      <c r="F1735" t="s">
        <v>1491</v>
      </c>
      <c r="G1735" t="s">
        <v>1492</v>
      </c>
      <c r="H1735" t="s">
        <v>37</v>
      </c>
      <c r="I1735" t="s">
        <v>23</v>
      </c>
      <c r="J1735" t="s">
        <v>793</v>
      </c>
      <c r="K1735" t="s">
        <v>493</v>
      </c>
      <c r="L1735">
        <v>44312</v>
      </c>
      <c r="M1735" t="s">
        <v>144</v>
      </c>
      <c r="N1735" t="s">
        <v>6389</v>
      </c>
      <c r="O1735" t="s">
        <v>42</v>
      </c>
      <c r="P1735" t="s">
        <v>86</v>
      </c>
      <c r="Q1735" t="s">
        <v>6390</v>
      </c>
      <c r="R1735">
        <v>85.055999999999997</v>
      </c>
      <c r="S1735" t="str">
        <f>TEXT(sales_data[[#This Row],[Order Date]],"mm")</f>
        <v>09</v>
      </c>
      <c r="T1735">
        <f>YEAR(sales_data[[#This Row],[Order Date]])</f>
        <v>2018</v>
      </c>
      <c r="V1735" t="s">
        <v>6389</v>
      </c>
    </row>
    <row r="1736" spans="1:22" x14ac:dyDescent="0.35">
      <c r="A1736">
        <v>5381</v>
      </c>
      <c r="B1736" t="s">
        <v>6391</v>
      </c>
      <c r="C1736" s="1">
        <v>42961</v>
      </c>
      <c r="D1736" s="1">
        <v>42965</v>
      </c>
      <c r="E1736" t="s">
        <v>46</v>
      </c>
      <c r="F1736" t="s">
        <v>6346</v>
      </c>
      <c r="G1736" t="s">
        <v>6347</v>
      </c>
      <c r="H1736" t="s">
        <v>22</v>
      </c>
      <c r="I1736" t="s">
        <v>23</v>
      </c>
      <c r="J1736" t="s">
        <v>38</v>
      </c>
      <c r="K1736" t="s">
        <v>39</v>
      </c>
      <c r="L1736">
        <v>90045</v>
      </c>
      <c r="M1736" t="s">
        <v>40</v>
      </c>
      <c r="N1736" t="s">
        <v>6392</v>
      </c>
      <c r="O1736" t="s">
        <v>67</v>
      </c>
      <c r="P1736" t="s">
        <v>675</v>
      </c>
      <c r="Q1736" t="s">
        <v>6393</v>
      </c>
      <c r="R1736">
        <v>105.55200000000001</v>
      </c>
      <c r="S1736" t="str">
        <f>TEXT(sales_data[[#This Row],[Order Date]],"mm")</f>
        <v>08</v>
      </c>
      <c r="T1736">
        <f>YEAR(sales_data[[#This Row],[Order Date]])</f>
        <v>2017</v>
      </c>
      <c r="V1736" t="s">
        <v>6392</v>
      </c>
    </row>
    <row r="1737" spans="1:22" x14ac:dyDescent="0.35">
      <c r="A1737">
        <v>5413</v>
      </c>
      <c r="B1737" t="s">
        <v>6397</v>
      </c>
      <c r="C1737" s="1">
        <v>43361</v>
      </c>
      <c r="D1737" s="1">
        <v>43365</v>
      </c>
      <c r="E1737" t="s">
        <v>46</v>
      </c>
      <c r="F1737" t="s">
        <v>5668</v>
      </c>
      <c r="G1737" t="s">
        <v>5669</v>
      </c>
      <c r="H1737" t="s">
        <v>22</v>
      </c>
      <c r="I1737" t="s">
        <v>23</v>
      </c>
      <c r="J1737" t="s">
        <v>6398</v>
      </c>
      <c r="K1737" t="s">
        <v>660</v>
      </c>
      <c r="L1737">
        <v>88101</v>
      </c>
      <c r="M1737" t="s">
        <v>40</v>
      </c>
      <c r="N1737" t="s">
        <v>6399</v>
      </c>
      <c r="O1737" t="s">
        <v>67</v>
      </c>
      <c r="P1737" t="s">
        <v>156</v>
      </c>
      <c r="Q1737" t="s">
        <v>6400</v>
      </c>
      <c r="R1737">
        <v>101.34</v>
      </c>
      <c r="S1737" t="str">
        <f>TEXT(sales_data[[#This Row],[Order Date]],"mm")</f>
        <v>09</v>
      </c>
      <c r="T1737">
        <f>YEAR(sales_data[[#This Row],[Order Date]])</f>
        <v>2018</v>
      </c>
      <c r="V1737" t="s">
        <v>6399</v>
      </c>
    </row>
    <row r="1738" spans="1:22" x14ac:dyDescent="0.35">
      <c r="A1738">
        <v>5418</v>
      </c>
      <c r="B1738" t="s">
        <v>6401</v>
      </c>
      <c r="C1738" s="1">
        <v>42283</v>
      </c>
      <c r="D1738" s="1">
        <v>42285</v>
      </c>
      <c r="E1738" t="s">
        <v>19</v>
      </c>
      <c r="F1738" t="s">
        <v>749</v>
      </c>
      <c r="G1738" t="s">
        <v>750</v>
      </c>
      <c r="H1738" t="s">
        <v>37</v>
      </c>
      <c r="I1738" t="s">
        <v>23</v>
      </c>
      <c r="J1738" t="s">
        <v>2485</v>
      </c>
      <c r="K1738" t="s">
        <v>134</v>
      </c>
      <c r="L1738">
        <v>68104</v>
      </c>
      <c r="M1738" t="s">
        <v>101</v>
      </c>
      <c r="N1738" t="s">
        <v>6402</v>
      </c>
      <c r="O1738" t="s">
        <v>42</v>
      </c>
      <c r="P1738" t="s">
        <v>71</v>
      </c>
      <c r="Q1738" t="s">
        <v>6403</v>
      </c>
      <c r="R1738">
        <v>15.36</v>
      </c>
      <c r="S1738" t="str">
        <f>TEXT(sales_data[[#This Row],[Order Date]],"mm")</f>
        <v>10</v>
      </c>
      <c r="T1738">
        <f>YEAR(sales_data[[#This Row],[Order Date]])</f>
        <v>2015</v>
      </c>
      <c r="V1738" t="s">
        <v>6402</v>
      </c>
    </row>
    <row r="1739" spans="1:22" x14ac:dyDescent="0.35">
      <c r="A1739">
        <v>5424</v>
      </c>
      <c r="B1739" t="s">
        <v>6404</v>
      </c>
      <c r="C1739" s="1">
        <v>43407</v>
      </c>
      <c r="D1739" s="1">
        <v>43409</v>
      </c>
      <c r="E1739" t="s">
        <v>19</v>
      </c>
      <c r="F1739" t="s">
        <v>4845</v>
      </c>
      <c r="G1739" t="s">
        <v>4846</v>
      </c>
      <c r="H1739" t="s">
        <v>37</v>
      </c>
      <c r="I1739" t="s">
        <v>23</v>
      </c>
      <c r="J1739" t="s">
        <v>1452</v>
      </c>
      <c r="K1739" t="s">
        <v>25</v>
      </c>
      <c r="L1739">
        <v>40475</v>
      </c>
      <c r="M1739" t="s">
        <v>26</v>
      </c>
      <c r="N1739" t="s">
        <v>6405</v>
      </c>
      <c r="O1739" t="s">
        <v>42</v>
      </c>
      <c r="P1739" t="s">
        <v>86</v>
      </c>
      <c r="Q1739" t="s">
        <v>6406</v>
      </c>
      <c r="R1739">
        <v>26.4</v>
      </c>
      <c r="S1739" t="str">
        <f>TEXT(sales_data[[#This Row],[Order Date]],"mm")</f>
        <v>11</v>
      </c>
      <c r="T1739">
        <f>YEAR(sales_data[[#This Row],[Order Date]])</f>
        <v>2018</v>
      </c>
      <c r="V1739" t="s">
        <v>6405</v>
      </c>
    </row>
    <row r="1740" spans="1:22" x14ac:dyDescent="0.35">
      <c r="A1740">
        <v>5426</v>
      </c>
      <c r="B1740" t="s">
        <v>6407</v>
      </c>
      <c r="C1740" s="1">
        <v>43072</v>
      </c>
      <c r="D1740" s="1">
        <v>43075</v>
      </c>
      <c r="E1740" t="s">
        <v>183</v>
      </c>
      <c r="F1740" t="s">
        <v>3135</v>
      </c>
      <c r="G1740" t="s">
        <v>3136</v>
      </c>
      <c r="H1740" t="s">
        <v>22</v>
      </c>
      <c r="I1740" t="s">
        <v>23</v>
      </c>
      <c r="J1740" t="s">
        <v>38</v>
      </c>
      <c r="K1740" t="s">
        <v>39</v>
      </c>
      <c r="L1740">
        <v>90045</v>
      </c>
      <c r="M1740" t="s">
        <v>40</v>
      </c>
      <c r="N1740" t="s">
        <v>6408</v>
      </c>
      <c r="O1740" t="s">
        <v>67</v>
      </c>
      <c r="P1740" t="s">
        <v>156</v>
      </c>
      <c r="Q1740" t="s">
        <v>6409</v>
      </c>
      <c r="R1740">
        <v>1649.95</v>
      </c>
      <c r="S1740" t="str">
        <f>TEXT(sales_data[[#This Row],[Order Date]],"mm")</f>
        <v>12</v>
      </c>
      <c r="T1740">
        <f>YEAR(sales_data[[#This Row],[Order Date]])</f>
        <v>2017</v>
      </c>
      <c r="V1740" t="s">
        <v>6408</v>
      </c>
    </row>
    <row r="1741" spans="1:22" x14ac:dyDescent="0.35">
      <c r="A1741">
        <v>5435</v>
      </c>
      <c r="B1741" t="s">
        <v>6412</v>
      </c>
      <c r="C1741" s="1">
        <v>42662</v>
      </c>
      <c r="D1741" s="1">
        <v>42667</v>
      </c>
      <c r="E1741" t="s">
        <v>46</v>
      </c>
      <c r="F1741" t="s">
        <v>726</v>
      </c>
      <c r="G1741" t="s">
        <v>727</v>
      </c>
      <c r="H1741" t="s">
        <v>98</v>
      </c>
      <c r="I1741" t="s">
        <v>23</v>
      </c>
      <c r="J1741" t="s">
        <v>38</v>
      </c>
      <c r="K1741" t="s">
        <v>39</v>
      </c>
      <c r="L1741">
        <v>90008</v>
      </c>
      <c r="M1741" t="s">
        <v>40</v>
      </c>
      <c r="N1741" t="s">
        <v>6413</v>
      </c>
      <c r="O1741" t="s">
        <v>42</v>
      </c>
      <c r="P1741" t="s">
        <v>74</v>
      </c>
      <c r="Q1741" t="s">
        <v>6414</v>
      </c>
      <c r="R1741">
        <v>1640.7</v>
      </c>
      <c r="S1741" t="str">
        <f>TEXT(sales_data[[#This Row],[Order Date]],"mm")</f>
        <v>10</v>
      </c>
      <c r="T1741">
        <f>YEAR(sales_data[[#This Row],[Order Date]])</f>
        <v>2016</v>
      </c>
      <c r="V1741" t="s">
        <v>6413</v>
      </c>
    </row>
    <row r="1742" spans="1:22" x14ac:dyDescent="0.35">
      <c r="A1742">
        <v>5439</v>
      </c>
      <c r="B1742" t="s">
        <v>6415</v>
      </c>
      <c r="C1742" s="1">
        <v>42190</v>
      </c>
      <c r="D1742" s="1">
        <v>42193</v>
      </c>
      <c r="E1742" t="s">
        <v>183</v>
      </c>
      <c r="F1742" t="s">
        <v>6394</v>
      </c>
      <c r="G1742" t="s">
        <v>6395</v>
      </c>
      <c r="H1742" t="s">
        <v>37</v>
      </c>
      <c r="I1742" t="s">
        <v>23</v>
      </c>
      <c r="J1742" t="s">
        <v>2257</v>
      </c>
      <c r="K1742" t="s">
        <v>50</v>
      </c>
      <c r="L1742">
        <v>32137</v>
      </c>
      <c r="M1742" t="s">
        <v>26</v>
      </c>
      <c r="N1742" t="s">
        <v>6416</v>
      </c>
      <c r="O1742" t="s">
        <v>28</v>
      </c>
      <c r="P1742" t="s">
        <v>61</v>
      </c>
      <c r="Q1742" t="s">
        <v>6417</v>
      </c>
      <c r="R1742">
        <v>213.21600000000001</v>
      </c>
      <c r="S1742" t="str">
        <f>TEXT(sales_data[[#This Row],[Order Date]],"mm")</f>
        <v>07</v>
      </c>
      <c r="T1742">
        <f>YEAR(sales_data[[#This Row],[Order Date]])</f>
        <v>2015</v>
      </c>
      <c r="V1742" t="s">
        <v>6416</v>
      </c>
    </row>
    <row r="1743" spans="1:22" x14ac:dyDescent="0.35">
      <c r="A1743">
        <v>5442</v>
      </c>
      <c r="B1743" t="s">
        <v>6418</v>
      </c>
      <c r="C1743" s="1">
        <v>43352</v>
      </c>
      <c r="D1743" s="1">
        <v>43356</v>
      </c>
      <c r="E1743" t="s">
        <v>46</v>
      </c>
      <c r="F1743" t="s">
        <v>3843</v>
      </c>
      <c r="G1743" t="s">
        <v>3844</v>
      </c>
      <c r="H1743" t="s">
        <v>22</v>
      </c>
      <c r="I1743" t="s">
        <v>23</v>
      </c>
      <c r="J1743" t="s">
        <v>3760</v>
      </c>
      <c r="K1743" t="s">
        <v>305</v>
      </c>
      <c r="L1743">
        <v>85301</v>
      </c>
      <c r="M1743" t="s">
        <v>40</v>
      </c>
      <c r="N1743" t="s">
        <v>6419</v>
      </c>
      <c r="O1743" t="s">
        <v>42</v>
      </c>
      <c r="P1743" t="s">
        <v>86</v>
      </c>
      <c r="Q1743" t="s">
        <v>6420</v>
      </c>
      <c r="R1743">
        <v>6.3680000000000003</v>
      </c>
      <c r="S1743" t="str">
        <f>TEXT(sales_data[[#This Row],[Order Date]],"mm")</f>
        <v>09</v>
      </c>
      <c r="T1743">
        <f>YEAR(sales_data[[#This Row],[Order Date]])</f>
        <v>2018</v>
      </c>
      <c r="V1743" t="s">
        <v>6419</v>
      </c>
    </row>
    <row r="1744" spans="1:22" x14ac:dyDescent="0.35">
      <c r="A1744">
        <v>5445</v>
      </c>
      <c r="B1744" t="s">
        <v>6421</v>
      </c>
      <c r="C1744" s="1">
        <v>42477</v>
      </c>
      <c r="D1744" s="1">
        <v>42483</v>
      </c>
      <c r="E1744" t="s">
        <v>46</v>
      </c>
      <c r="F1744" t="s">
        <v>2758</v>
      </c>
      <c r="G1744" t="s">
        <v>2759</v>
      </c>
      <c r="H1744" t="s">
        <v>22</v>
      </c>
      <c r="I1744" t="s">
        <v>23</v>
      </c>
      <c r="J1744" t="s">
        <v>261</v>
      </c>
      <c r="K1744" t="s">
        <v>262</v>
      </c>
      <c r="L1744">
        <v>10035</v>
      </c>
      <c r="M1744" t="s">
        <v>144</v>
      </c>
      <c r="N1744" t="s">
        <v>6422</v>
      </c>
      <c r="O1744" t="s">
        <v>42</v>
      </c>
      <c r="P1744" t="s">
        <v>64</v>
      </c>
      <c r="Q1744" t="s">
        <v>6423</v>
      </c>
      <c r="R1744">
        <v>10.71</v>
      </c>
      <c r="S1744" t="str">
        <f>TEXT(sales_data[[#This Row],[Order Date]],"mm")</f>
        <v>04</v>
      </c>
      <c r="T1744">
        <f>YEAR(sales_data[[#This Row],[Order Date]])</f>
        <v>2016</v>
      </c>
      <c r="V1744" t="s">
        <v>6422</v>
      </c>
    </row>
    <row r="1745" spans="1:22" x14ac:dyDescent="0.35">
      <c r="A1745">
        <v>5457</v>
      </c>
      <c r="B1745" t="s">
        <v>6424</v>
      </c>
      <c r="C1745" s="1">
        <v>43463</v>
      </c>
      <c r="D1745" s="1">
        <v>43467</v>
      </c>
      <c r="E1745" t="s">
        <v>46</v>
      </c>
      <c r="F1745" t="s">
        <v>797</v>
      </c>
      <c r="G1745" t="s">
        <v>798</v>
      </c>
      <c r="H1745" t="s">
        <v>22</v>
      </c>
      <c r="I1745" t="s">
        <v>23</v>
      </c>
      <c r="J1745" t="s">
        <v>2489</v>
      </c>
      <c r="K1745" t="s">
        <v>92</v>
      </c>
      <c r="L1745">
        <v>98026</v>
      </c>
      <c r="M1745" t="s">
        <v>40</v>
      </c>
      <c r="N1745" t="s">
        <v>6425</v>
      </c>
      <c r="O1745" t="s">
        <v>42</v>
      </c>
      <c r="P1745" t="s">
        <v>264</v>
      </c>
      <c r="Q1745" t="s">
        <v>6426</v>
      </c>
      <c r="R1745">
        <v>19.600000000000001</v>
      </c>
      <c r="S1745" t="str">
        <f>TEXT(sales_data[[#This Row],[Order Date]],"mm")</f>
        <v>12</v>
      </c>
      <c r="T1745">
        <f>YEAR(sales_data[[#This Row],[Order Date]])</f>
        <v>2018</v>
      </c>
      <c r="V1745" t="s">
        <v>6425</v>
      </c>
    </row>
    <row r="1746" spans="1:22" x14ac:dyDescent="0.35">
      <c r="A1746">
        <v>5460</v>
      </c>
      <c r="B1746" t="s">
        <v>6427</v>
      </c>
      <c r="C1746" s="1">
        <v>43347</v>
      </c>
      <c r="D1746" s="1">
        <v>43349</v>
      </c>
      <c r="E1746" t="s">
        <v>19</v>
      </c>
      <c r="F1746" t="s">
        <v>107</v>
      </c>
      <c r="G1746" t="s">
        <v>108</v>
      </c>
      <c r="H1746" t="s">
        <v>22</v>
      </c>
      <c r="I1746" t="s">
        <v>23</v>
      </c>
      <c r="J1746" t="s">
        <v>123</v>
      </c>
      <c r="K1746" t="s">
        <v>39</v>
      </c>
      <c r="L1746">
        <v>94122</v>
      </c>
      <c r="M1746" t="s">
        <v>40</v>
      </c>
      <c r="N1746" t="s">
        <v>6428</v>
      </c>
      <c r="O1746" t="s">
        <v>28</v>
      </c>
      <c r="P1746" t="s">
        <v>52</v>
      </c>
      <c r="Q1746" t="s">
        <v>6429</v>
      </c>
      <c r="R1746">
        <v>1478.2719999999999</v>
      </c>
      <c r="S1746" t="str">
        <f>TEXT(sales_data[[#This Row],[Order Date]],"mm")</f>
        <v>09</v>
      </c>
      <c r="T1746">
        <f>YEAR(sales_data[[#This Row],[Order Date]])</f>
        <v>2018</v>
      </c>
      <c r="V1746" t="s">
        <v>6428</v>
      </c>
    </row>
    <row r="1747" spans="1:22" x14ac:dyDescent="0.35">
      <c r="A1747">
        <v>5485</v>
      </c>
      <c r="B1747" t="s">
        <v>6430</v>
      </c>
      <c r="C1747" s="1">
        <v>43130</v>
      </c>
      <c r="D1747" s="1">
        <v>43135</v>
      </c>
      <c r="E1747" t="s">
        <v>46</v>
      </c>
      <c r="F1747" t="s">
        <v>147</v>
      </c>
      <c r="G1747" t="s">
        <v>148</v>
      </c>
      <c r="H1747" t="s">
        <v>22</v>
      </c>
      <c r="I1747" t="s">
        <v>23</v>
      </c>
      <c r="J1747" t="s">
        <v>1407</v>
      </c>
      <c r="K1747" t="s">
        <v>50</v>
      </c>
      <c r="L1747">
        <v>33142</v>
      </c>
      <c r="M1747" t="s">
        <v>26</v>
      </c>
      <c r="N1747" t="s">
        <v>6431</v>
      </c>
      <c r="O1747" t="s">
        <v>28</v>
      </c>
      <c r="P1747" t="s">
        <v>32</v>
      </c>
      <c r="Q1747" t="s">
        <v>6432</v>
      </c>
      <c r="R1747">
        <v>419.13600000000002</v>
      </c>
      <c r="S1747" t="str">
        <f>TEXT(sales_data[[#This Row],[Order Date]],"mm")</f>
        <v>01</v>
      </c>
      <c r="T1747">
        <f>YEAR(sales_data[[#This Row],[Order Date]])</f>
        <v>2018</v>
      </c>
      <c r="V1747" t="s">
        <v>6431</v>
      </c>
    </row>
    <row r="1748" spans="1:22" x14ac:dyDescent="0.35">
      <c r="A1748">
        <v>5543</v>
      </c>
      <c r="B1748" t="s">
        <v>6435</v>
      </c>
      <c r="C1748" s="1">
        <v>43088</v>
      </c>
      <c r="D1748" s="1">
        <v>43094</v>
      </c>
      <c r="E1748" t="s">
        <v>46</v>
      </c>
      <c r="F1748" t="s">
        <v>215</v>
      </c>
      <c r="G1748" t="s">
        <v>216</v>
      </c>
      <c r="H1748" t="s">
        <v>37</v>
      </c>
      <c r="I1748" t="s">
        <v>23</v>
      </c>
      <c r="J1748" t="s">
        <v>1298</v>
      </c>
      <c r="K1748" t="s">
        <v>305</v>
      </c>
      <c r="L1748">
        <v>85705</v>
      </c>
      <c r="M1748" t="s">
        <v>40</v>
      </c>
      <c r="N1748" t="s">
        <v>6436</v>
      </c>
      <c r="O1748" t="s">
        <v>28</v>
      </c>
      <c r="P1748" t="s">
        <v>52</v>
      </c>
      <c r="Q1748" t="s">
        <v>6437</v>
      </c>
      <c r="R1748">
        <v>455.97</v>
      </c>
      <c r="S1748" t="str">
        <f>TEXT(sales_data[[#This Row],[Order Date]],"mm")</f>
        <v>12</v>
      </c>
      <c r="T1748">
        <f>YEAR(sales_data[[#This Row],[Order Date]])</f>
        <v>2017</v>
      </c>
      <c r="V1748" t="s">
        <v>6436</v>
      </c>
    </row>
    <row r="1749" spans="1:22" x14ac:dyDescent="0.35">
      <c r="A1749">
        <v>5559</v>
      </c>
      <c r="B1749" t="s">
        <v>6438</v>
      </c>
      <c r="C1749" s="1">
        <v>42710</v>
      </c>
      <c r="D1749" s="1">
        <v>42714</v>
      </c>
      <c r="E1749" t="s">
        <v>46</v>
      </c>
      <c r="F1749" t="s">
        <v>4707</v>
      </c>
      <c r="G1749" t="s">
        <v>4708</v>
      </c>
      <c r="H1749" t="s">
        <v>22</v>
      </c>
      <c r="I1749" t="s">
        <v>23</v>
      </c>
      <c r="J1749" t="s">
        <v>3845</v>
      </c>
      <c r="K1749" t="s">
        <v>1380</v>
      </c>
      <c r="L1749">
        <v>89031</v>
      </c>
      <c r="M1749" t="s">
        <v>40</v>
      </c>
      <c r="N1749" t="s">
        <v>6439</v>
      </c>
      <c r="O1749" t="s">
        <v>42</v>
      </c>
      <c r="P1749" t="s">
        <v>86</v>
      </c>
      <c r="Q1749" t="s">
        <v>6440</v>
      </c>
      <c r="R1749">
        <v>6.48</v>
      </c>
      <c r="S1749" t="str">
        <f>TEXT(sales_data[[#This Row],[Order Date]],"mm")</f>
        <v>12</v>
      </c>
      <c r="T1749">
        <f>YEAR(sales_data[[#This Row],[Order Date]])</f>
        <v>2016</v>
      </c>
      <c r="V1749" t="s">
        <v>6439</v>
      </c>
    </row>
    <row r="1750" spans="1:22" x14ac:dyDescent="0.35">
      <c r="A1750">
        <v>5566</v>
      </c>
      <c r="B1750" t="s">
        <v>6441</v>
      </c>
      <c r="C1750" s="1">
        <v>43172</v>
      </c>
      <c r="D1750" s="1">
        <v>43172</v>
      </c>
      <c r="E1750" t="s">
        <v>1277</v>
      </c>
      <c r="F1750" t="s">
        <v>5758</v>
      </c>
      <c r="G1750" t="s">
        <v>5759</v>
      </c>
      <c r="H1750" t="s">
        <v>98</v>
      </c>
      <c r="I1750" t="s">
        <v>23</v>
      </c>
      <c r="J1750" t="s">
        <v>298</v>
      </c>
      <c r="K1750" t="s">
        <v>206</v>
      </c>
      <c r="L1750">
        <v>60610</v>
      </c>
      <c r="M1750" t="s">
        <v>101</v>
      </c>
      <c r="N1750" t="s">
        <v>6442</v>
      </c>
      <c r="O1750" t="s">
        <v>67</v>
      </c>
      <c r="P1750" t="s">
        <v>675</v>
      </c>
      <c r="Q1750" t="s">
        <v>6443</v>
      </c>
      <c r="R1750">
        <v>209.98599999999999</v>
      </c>
      <c r="S1750" t="str">
        <f>TEXT(sales_data[[#This Row],[Order Date]],"mm")</f>
        <v>03</v>
      </c>
      <c r="T1750">
        <f>YEAR(sales_data[[#This Row],[Order Date]])</f>
        <v>2018</v>
      </c>
      <c r="V1750" t="s">
        <v>6442</v>
      </c>
    </row>
    <row r="1751" spans="1:22" x14ac:dyDescent="0.35">
      <c r="A1751">
        <v>5574</v>
      </c>
      <c r="B1751" t="s">
        <v>6444</v>
      </c>
      <c r="C1751" s="1">
        <v>42343</v>
      </c>
      <c r="D1751" s="1">
        <v>42347</v>
      </c>
      <c r="E1751" t="s">
        <v>46</v>
      </c>
      <c r="F1751" t="s">
        <v>887</v>
      </c>
      <c r="G1751" t="s">
        <v>888</v>
      </c>
      <c r="H1751" t="s">
        <v>37</v>
      </c>
      <c r="I1751" t="s">
        <v>23</v>
      </c>
      <c r="J1751" t="s">
        <v>492</v>
      </c>
      <c r="K1751" t="s">
        <v>493</v>
      </c>
      <c r="L1751">
        <v>43229</v>
      </c>
      <c r="M1751" t="s">
        <v>144</v>
      </c>
      <c r="N1751" t="s">
        <v>6445</v>
      </c>
      <c r="O1751" t="s">
        <v>42</v>
      </c>
      <c r="P1751" t="s">
        <v>86</v>
      </c>
      <c r="Q1751" t="s">
        <v>6446</v>
      </c>
      <c r="R1751">
        <v>17.472000000000001</v>
      </c>
      <c r="S1751" t="str">
        <f>TEXT(sales_data[[#This Row],[Order Date]],"mm")</f>
        <v>12</v>
      </c>
      <c r="T1751">
        <f>YEAR(sales_data[[#This Row],[Order Date]])</f>
        <v>2015</v>
      </c>
      <c r="V1751" t="s">
        <v>6445</v>
      </c>
    </row>
    <row r="1752" spans="1:22" x14ac:dyDescent="0.35">
      <c r="A1752">
        <v>5575</v>
      </c>
      <c r="B1752" t="s">
        <v>6444</v>
      </c>
      <c r="C1752" s="1">
        <v>42343</v>
      </c>
      <c r="D1752" s="1">
        <v>42347</v>
      </c>
      <c r="E1752" t="s">
        <v>46</v>
      </c>
      <c r="F1752" t="s">
        <v>887</v>
      </c>
      <c r="G1752" t="s">
        <v>888</v>
      </c>
      <c r="H1752" t="s">
        <v>37</v>
      </c>
      <c r="I1752" t="s">
        <v>23</v>
      </c>
      <c r="J1752" t="s">
        <v>492</v>
      </c>
      <c r="K1752" t="s">
        <v>493</v>
      </c>
      <c r="L1752">
        <v>43229</v>
      </c>
      <c r="M1752" t="s">
        <v>144</v>
      </c>
      <c r="N1752" t="s">
        <v>6447</v>
      </c>
      <c r="O1752" t="s">
        <v>67</v>
      </c>
      <c r="P1752" t="s">
        <v>68</v>
      </c>
      <c r="Q1752" t="s">
        <v>6448</v>
      </c>
      <c r="R1752">
        <v>36.738</v>
      </c>
      <c r="S1752" t="str">
        <f>TEXT(sales_data[[#This Row],[Order Date]],"mm")</f>
        <v>12</v>
      </c>
      <c r="T1752">
        <f>YEAR(sales_data[[#This Row],[Order Date]])</f>
        <v>2015</v>
      </c>
      <c r="V1752" t="s">
        <v>6447</v>
      </c>
    </row>
    <row r="1753" spans="1:22" x14ac:dyDescent="0.35">
      <c r="A1753">
        <v>5585</v>
      </c>
      <c r="B1753" t="s">
        <v>6449</v>
      </c>
      <c r="C1753" s="1">
        <v>43434</v>
      </c>
      <c r="D1753" s="1">
        <v>43438</v>
      </c>
      <c r="E1753" t="s">
        <v>46</v>
      </c>
      <c r="F1753" t="s">
        <v>1377</v>
      </c>
      <c r="G1753" t="s">
        <v>1378</v>
      </c>
      <c r="H1753" t="s">
        <v>98</v>
      </c>
      <c r="I1753" t="s">
        <v>23</v>
      </c>
      <c r="J1753" t="s">
        <v>261</v>
      </c>
      <c r="K1753" t="s">
        <v>262</v>
      </c>
      <c r="L1753">
        <v>10011</v>
      </c>
      <c r="M1753" t="s">
        <v>144</v>
      </c>
      <c r="N1753" t="s">
        <v>6450</v>
      </c>
      <c r="O1753" t="s">
        <v>42</v>
      </c>
      <c r="P1753" t="s">
        <v>55</v>
      </c>
      <c r="Q1753" t="s">
        <v>6451</v>
      </c>
      <c r="R1753">
        <v>83.56</v>
      </c>
      <c r="S1753" t="str">
        <f>TEXT(sales_data[[#This Row],[Order Date]],"mm")</f>
        <v>11</v>
      </c>
      <c r="T1753">
        <f>YEAR(sales_data[[#This Row],[Order Date]])</f>
        <v>2018</v>
      </c>
      <c r="V1753" t="s">
        <v>6450</v>
      </c>
    </row>
    <row r="1754" spans="1:22" x14ac:dyDescent="0.35">
      <c r="A1754">
        <v>5586</v>
      </c>
      <c r="B1754" t="s">
        <v>6449</v>
      </c>
      <c r="C1754" s="1">
        <v>43434</v>
      </c>
      <c r="D1754" s="1">
        <v>43438</v>
      </c>
      <c r="E1754" t="s">
        <v>46</v>
      </c>
      <c r="F1754" t="s">
        <v>1377</v>
      </c>
      <c r="G1754" t="s">
        <v>1378</v>
      </c>
      <c r="H1754" t="s">
        <v>98</v>
      </c>
      <c r="I1754" t="s">
        <v>23</v>
      </c>
      <c r="J1754" t="s">
        <v>261</v>
      </c>
      <c r="K1754" t="s">
        <v>262</v>
      </c>
      <c r="L1754">
        <v>10011</v>
      </c>
      <c r="M1754" t="s">
        <v>144</v>
      </c>
      <c r="N1754" t="s">
        <v>6452</v>
      </c>
      <c r="O1754" t="s">
        <v>67</v>
      </c>
      <c r="P1754" t="s">
        <v>68</v>
      </c>
      <c r="Q1754" t="s">
        <v>6453</v>
      </c>
      <c r="R1754">
        <v>546.05999999999995</v>
      </c>
      <c r="S1754" t="str">
        <f>TEXT(sales_data[[#This Row],[Order Date]],"mm")</f>
        <v>11</v>
      </c>
      <c r="T1754">
        <f>YEAR(sales_data[[#This Row],[Order Date]])</f>
        <v>2018</v>
      </c>
      <c r="V1754" t="s">
        <v>6452</v>
      </c>
    </row>
    <row r="1755" spans="1:22" x14ac:dyDescent="0.35">
      <c r="A1755">
        <v>5600</v>
      </c>
      <c r="B1755" t="s">
        <v>6455</v>
      </c>
      <c r="C1755" s="1">
        <v>42280</v>
      </c>
      <c r="D1755" s="1">
        <v>42280</v>
      </c>
      <c r="E1755" t="s">
        <v>1277</v>
      </c>
      <c r="F1755" t="s">
        <v>1338</v>
      </c>
      <c r="G1755" t="s">
        <v>1339</v>
      </c>
      <c r="H1755" t="s">
        <v>22</v>
      </c>
      <c r="I1755" t="s">
        <v>23</v>
      </c>
      <c r="J1755" t="s">
        <v>492</v>
      </c>
      <c r="K1755" t="s">
        <v>493</v>
      </c>
      <c r="L1755">
        <v>43229</v>
      </c>
      <c r="M1755" t="s">
        <v>144</v>
      </c>
      <c r="N1755" t="s">
        <v>6456</v>
      </c>
      <c r="O1755" t="s">
        <v>42</v>
      </c>
      <c r="P1755" t="s">
        <v>64</v>
      </c>
      <c r="Q1755" t="s">
        <v>6457</v>
      </c>
      <c r="R1755">
        <v>55.984000000000002</v>
      </c>
      <c r="S1755" t="str">
        <f>TEXT(sales_data[[#This Row],[Order Date]],"mm")</f>
        <v>10</v>
      </c>
      <c r="T1755">
        <f>YEAR(sales_data[[#This Row],[Order Date]])</f>
        <v>2015</v>
      </c>
      <c r="V1755" t="s">
        <v>6456</v>
      </c>
    </row>
    <row r="1756" spans="1:22" x14ac:dyDescent="0.35">
      <c r="A1756">
        <v>5603</v>
      </c>
      <c r="B1756" t="s">
        <v>6458</v>
      </c>
      <c r="C1756" s="1">
        <v>42974</v>
      </c>
      <c r="D1756" s="1">
        <v>42976</v>
      </c>
      <c r="E1756" t="s">
        <v>19</v>
      </c>
      <c r="F1756" t="s">
        <v>3458</v>
      </c>
      <c r="G1756" t="s">
        <v>3459</v>
      </c>
      <c r="H1756" t="s">
        <v>37</v>
      </c>
      <c r="I1756" t="s">
        <v>23</v>
      </c>
      <c r="J1756" t="s">
        <v>179</v>
      </c>
      <c r="K1756" t="s">
        <v>100</v>
      </c>
      <c r="L1756">
        <v>77041</v>
      </c>
      <c r="M1756" t="s">
        <v>101</v>
      </c>
      <c r="N1756" t="s">
        <v>6459</v>
      </c>
      <c r="O1756" t="s">
        <v>42</v>
      </c>
      <c r="P1756" t="s">
        <v>55</v>
      </c>
      <c r="Q1756" t="s">
        <v>6460</v>
      </c>
      <c r="R1756">
        <v>14.16</v>
      </c>
      <c r="S1756" t="str">
        <f>TEXT(sales_data[[#This Row],[Order Date]],"mm")</f>
        <v>08</v>
      </c>
      <c r="T1756">
        <f>YEAR(sales_data[[#This Row],[Order Date]])</f>
        <v>2017</v>
      </c>
      <c r="V1756" t="s">
        <v>6459</v>
      </c>
    </row>
    <row r="1757" spans="1:22" x14ac:dyDescent="0.35">
      <c r="A1757">
        <v>5614</v>
      </c>
      <c r="B1757" t="s">
        <v>6462</v>
      </c>
      <c r="C1757" s="1">
        <v>42768</v>
      </c>
      <c r="D1757" s="1">
        <v>42773</v>
      </c>
      <c r="E1757" t="s">
        <v>46</v>
      </c>
      <c r="F1757" t="s">
        <v>3665</v>
      </c>
      <c r="G1757" t="s">
        <v>3666</v>
      </c>
      <c r="H1757" t="s">
        <v>22</v>
      </c>
      <c r="I1757" t="s">
        <v>23</v>
      </c>
      <c r="J1757" t="s">
        <v>261</v>
      </c>
      <c r="K1757" t="s">
        <v>262</v>
      </c>
      <c r="L1757">
        <v>10011</v>
      </c>
      <c r="M1757" t="s">
        <v>144</v>
      </c>
      <c r="N1757" t="s">
        <v>6463</v>
      </c>
      <c r="O1757" t="s">
        <v>42</v>
      </c>
      <c r="P1757" t="s">
        <v>55</v>
      </c>
      <c r="Q1757" t="s">
        <v>6464</v>
      </c>
      <c r="R1757">
        <v>117.96</v>
      </c>
      <c r="S1757" t="str">
        <f>TEXT(sales_data[[#This Row],[Order Date]],"mm")</f>
        <v>02</v>
      </c>
      <c r="T1757">
        <f>YEAR(sales_data[[#This Row],[Order Date]])</f>
        <v>2017</v>
      </c>
      <c r="V1757" t="s">
        <v>6463</v>
      </c>
    </row>
    <row r="1758" spans="1:22" x14ac:dyDescent="0.35">
      <c r="A1758">
        <v>5629</v>
      </c>
      <c r="B1758" t="s">
        <v>6465</v>
      </c>
      <c r="C1758" s="1">
        <v>43277</v>
      </c>
      <c r="D1758" s="1">
        <v>43282</v>
      </c>
      <c r="E1758" t="s">
        <v>46</v>
      </c>
      <c r="F1758" t="s">
        <v>951</v>
      </c>
      <c r="G1758" t="s">
        <v>952</v>
      </c>
      <c r="H1758" t="s">
        <v>37</v>
      </c>
      <c r="I1758" t="s">
        <v>23</v>
      </c>
      <c r="J1758" t="s">
        <v>1407</v>
      </c>
      <c r="K1758" t="s">
        <v>50</v>
      </c>
      <c r="L1758">
        <v>33180</v>
      </c>
      <c r="M1758" t="s">
        <v>26</v>
      </c>
      <c r="N1758" t="s">
        <v>6466</v>
      </c>
      <c r="O1758" t="s">
        <v>28</v>
      </c>
      <c r="P1758" t="s">
        <v>32</v>
      </c>
      <c r="Q1758" t="s">
        <v>6467</v>
      </c>
      <c r="R1758">
        <v>273.55200000000002</v>
      </c>
      <c r="S1758" t="str">
        <f>TEXT(sales_data[[#This Row],[Order Date]],"mm")</f>
        <v>06</v>
      </c>
      <c r="T1758">
        <f>YEAR(sales_data[[#This Row],[Order Date]])</f>
        <v>2018</v>
      </c>
      <c r="V1758" t="s">
        <v>6466</v>
      </c>
    </row>
    <row r="1759" spans="1:22" x14ac:dyDescent="0.35">
      <c r="A1759">
        <v>5638</v>
      </c>
      <c r="B1759" t="s">
        <v>6468</v>
      </c>
      <c r="C1759" s="1">
        <v>43185</v>
      </c>
      <c r="D1759" s="1">
        <v>43192</v>
      </c>
      <c r="E1759" t="s">
        <v>46</v>
      </c>
      <c r="F1759" t="s">
        <v>4977</v>
      </c>
      <c r="G1759" t="s">
        <v>4978</v>
      </c>
      <c r="H1759" t="s">
        <v>37</v>
      </c>
      <c r="I1759" t="s">
        <v>23</v>
      </c>
      <c r="J1759" t="s">
        <v>2036</v>
      </c>
      <c r="K1759" t="s">
        <v>233</v>
      </c>
      <c r="L1759">
        <v>48126</v>
      </c>
      <c r="M1759" t="s">
        <v>101</v>
      </c>
      <c r="N1759" t="s">
        <v>6469</v>
      </c>
      <c r="O1759" t="s">
        <v>28</v>
      </c>
      <c r="P1759" t="s">
        <v>61</v>
      </c>
      <c r="Q1759" t="s">
        <v>6470</v>
      </c>
      <c r="R1759">
        <v>60.84</v>
      </c>
      <c r="S1759" t="str">
        <f>TEXT(sales_data[[#This Row],[Order Date]],"mm")</f>
        <v>03</v>
      </c>
      <c r="T1759">
        <f>YEAR(sales_data[[#This Row],[Order Date]])</f>
        <v>2018</v>
      </c>
      <c r="V1759" t="s">
        <v>6469</v>
      </c>
    </row>
    <row r="1760" spans="1:22" x14ac:dyDescent="0.35">
      <c r="A1760">
        <v>5650</v>
      </c>
      <c r="B1760" t="s">
        <v>6471</v>
      </c>
      <c r="C1760" s="1">
        <v>43298</v>
      </c>
      <c r="D1760" s="1">
        <v>43300</v>
      </c>
      <c r="E1760" t="s">
        <v>19</v>
      </c>
      <c r="F1760" t="s">
        <v>2389</v>
      </c>
      <c r="G1760" t="s">
        <v>2390</v>
      </c>
      <c r="H1760" t="s">
        <v>37</v>
      </c>
      <c r="I1760" t="s">
        <v>23</v>
      </c>
      <c r="J1760" t="s">
        <v>5415</v>
      </c>
      <c r="K1760" t="s">
        <v>39</v>
      </c>
      <c r="L1760">
        <v>92307</v>
      </c>
      <c r="M1760" t="s">
        <v>40</v>
      </c>
      <c r="N1760" t="s">
        <v>6472</v>
      </c>
      <c r="O1760" t="s">
        <v>42</v>
      </c>
      <c r="P1760" t="s">
        <v>168</v>
      </c>
      <c r="Q1760" t="s">
        <v>6362</v>
      </c>
      <c r="R1760">
        <v>57.9</v>
      </c>
      <c r="S1760" t="str">
        <f>TEXT(sales_data[[#This Row],[Order Date]],"mm")</f>
        <v>07</v>
      </c>
      <c r="T1760">
        <f>YEAR(sales_data[[#This Row],[Order Date]])</f>
        <v>2018</v>
      </c>
      <c r="V1760" t="s">
        <v>6472</v>
      </c>
    </row>
    <row r="1761" spans="1:22" x14ac:dyDescent="0.35">
      <c r="A1761">
        <v>5664</v>
      </c>
      <c r="B1761" t="s">
        <v>6473</v>
      </c>
      <c r="C1761" s="1">
        <v>42937</v>
      </c>
      <c r="D1761" s="1">
        <v>42937</v>
      </c>
      <c r="E1761" t="s">
        <v>1277</v>
      </c>
      <c r="F1761" t="s">
        <v>5533</v>
      </c>
      <c r="G1761" t="s">
        <v>5534</v>
      </c>
      <c r="H1761" t="s">
        <v>37</v>
      </c>
      <c r="I1761" t="s">
        <v>23</v>
      </c>
      <c r="J1761" t="s">
        <v>599</v>
      </c>
      <c r="K1761" t="s">
        <v>493</v>
      </c>
      <c r="L1761">
        <v>43055</v>
      </c>
      <c r="M1761" t="s">
        <v>144</v>
      </c>
      <c r="N1761" t="s">
        <v>6474</v>
      </c>
      <c r="O1761" t="s">
        <v>42</v>
      </c>
      <c r="P1761" t="s">
        <v>64</v>
      </c>
      <c r="Q1761" t="s">
        <v>6475</v>
      </c>
      <c r="R1761">
        <v>18.655999999999999</v>
      </c>
      <c r="S1761" t="str">
        <f>TEXT(sales_data[[#This Row],[Order Date]],"mm")</f>
        <v>07</v>
      </c>
      <c r="T1761">
        <f>YEAR(sales_data[[#This Row],[Order Date]])</f>
        <v>2017</v>
      </c>
      <c r="V1761" t="s">
        <v>6474</v>
      </c>
    </row>
    <row r="1762" spans="1:22" x14ac:dyDescent="0.35">
      <c r="A1762">
        <v>5752</v>
      </c>
      <c r="B1762" t="s">
        <v>6476</v>
      </c>
      <c r="C1762" s="1">
        <v>42757</v>
      </c>
      <c r="D1762" s="1">
        <v>42763</v>
      </c>
      <c r="E1762" t="s">
        <v>46</v>
      </c>
      <c r="F1762" t="s">
        <v>1895</v>
      </c>
      <c r="G1762" t="s">
        <v>1896</v>
      </c>
      <c r="H1762" t="s">
        <v>22</v>
      </c>
      <c r="I1762" t="s">
        <v>23</v>
      </c>
      <c r="J1762" t="s">
        <v>940</v>
      </c>
      <c r="K1762" t="s">
        <v>39</v>
      </c>
      <c r="L1762">
        <v>92037</v>
      </c>
      <c r="M1762" t="s">
        <v>40</v>
      </c>
      <c r="N1762" t="s">
        <v>6477</v>
      </c>
      <c r="O1762" t="s">
        <v>42</v>
      </c>
      <c r="P1762" t="s">
        <v>43</v>
      </c>
      <c r="Q1762" t="s">
        <v>6478</v>
      </c>
      <c r="R1762">
        <v>44.4</v>
      </c>
      <c r="S1762" t="str">
        <f>TEXT(sales_data[[#This Row],[Order Date]],"mm")</f>
        <v>01</v>
      </c>
      <c r="T1762">
        <f>YEAR(sales_data[[#This Row],[Order Date]])</f>
        <v>2017</v>
      </c>
      <c r="V1762" t="s">
        <v>6477</v>
      </c>
    </row>
    <row r="1763" spans="1:22" x14ac:dyDescent="0.35">
      <c r="A1763">
        <v>5781</v>
      </c>
      <c r="B1763" t="s">
        <v>6480</v>
      </c>
      <c r="C1763" s="1">
        <v>42462</v>
      </c>
      <c r="D1763" s="1">
        <v>42469</v>
      </c>
      <c r="E1763" t="s">
        <v>46</v>
      </c>
      <c r="F1763" t="s">
        <v>3818</v>
      </c>
      <c r="G1763" t="s">
        <v>3819</v>
      </c>
      <c r="H1763" t="s">
        <v>22</v>
      </c>
      <c r="I1763" t="s">
        <v>23</v>
      </c>
      <c r="J1763" t="s">
        <v>38</v>
      </c>
      <c r="K1763" t="s">
        <v>39</v>
      </c>
      <c r="L1763">
        <v>90049</v>
      </c>
      <c r="M1763" t="s">
        <v>40</v>
      </c>
      <c r="N1763" t="s">
        <v>6481</v>
      </c>
      <c r="O1763" t="s">
        <v>67</v>
      </c>
      <c r="P1763" t="s">
        <v>675</v>
      </c>
      <c r="Q1763" t="s">
        <v>6482</v>
      </c>
      <c r="R1763">
        <v>71.975999999999999</v>
      </c>
      <c r="S1763" t="str">
        <f>TEXT(sales_data[[#This Row],[Order Date]],"mm")</f>
        <v>04</v>
      </c>
      <c r="T1763">
        <f>YEAR(sales_data[[#This Row],[Order Date]])</f>
        <v>2016</v>
      </c>
      <c r="V1763" t="s">
        <v>6481</v>
      </c>
    </row>
    <row r="1764" spans="1:22" x14ac:dyDescent="0.35">
      <c r="A1764">
        <v>5812</v>
      </c>
      <c r="B1764" t="s">
        <v>6484</v>
      </c>
      <c r="C1764" s="1">
        <v>42451</v>
      </c>
      <c r="D1764" s="1">
        <v>42455</v>
      </c>
      <c r="E1764" t="s">
        <v>46</v>
      </c>
      <c r="F1764" t="s">
        <v>2086</v>
      </c>
      <c r="G1764" t="s">
        <v>2087</v>
      </c>
      <c r="H1764" t="s">
        <v>37</v>
      </c>
      <c r="I1764" t="s">
        <v>23</v>
      </c>
      <c r="J1764" t="s">
        <v>940</v>
      </c>
      <c r="K1764" t="s">
        <v>39</v>
      </c>
      <c r="L1764">
        <v>92037</v>
      </c>
      <c r="M1764" t="s">
        <v>40</v>
      </c>
      <c r="N1764" t="s">
        <v>6485</v>
      </c>
      <c r="O1764" t="s">
        <v>28</v>
      </c>
      <c r="P1764" t="s">
        <v>61</v>
      </c>
      <c r="Q1764" t="s">
        <v>6486</v>
      </c>
      <c r="R1764">
        <v>91.96</v>
      </c>
      <c r="S1764" t="str">
        <f>TEXT(sales_data[[#This Row],[Order Date]],"mm")</f>
        <v>03</v>
      </c>
      <c r="T1764">
        <f>YEAR(sales_data[[#This Row],[Order Date]])</f>
        <v>2016</v>
      </c>
      <c r="V1764" t="s">
        <v>6485</v>
      </c>
    </row>
    <row r="1765" spans="1:22" x14ac:dyDescent="0.35">
      <c r="A1765">
        <v>5838</v>
      </c>
      <c r="B1765" t="s">
        <v>6487</v>
      </c>
      <c r="C1765" s="1">
        <v>43431</v>
      </c>
      <c r="D1765" s="1">
        <v>43437</v>
      </c>
      <c r="E1765" t="s">
        <v>46</v>
      </c>
      <c r="F1765" t="s">
        <v>6488</v>
      </c>
      <c r="G1765" t="s">
        <v>6489</v>
      </c>
      <c r="H1765" t="s">
        <v>22</v>
      </c>
      <c r="I1765" t="s">
        <v>23</v>
      </c>
      <c r="J1765" t="s">
        <v>38</v>
      </c>
      <c r="K1765" t="s">
        <v>39</v>
      </c>
      <c r="L1765">
        <v>90036</v>
      </c>
      <c r="M1765" t="s">
        <v>40</v>
      </c>
      <c r="N1765" t="s">
        <v>6490</v>
      </c>
      <c r="O1765" t="s">
        <v>67</v>
      </c>
      <c r="P1765" t="s">
        <v>68</v>
      </c>
      <c r="Q1765" t="s">
        <v>6491</v>
      </c>
      <c r="R1765">
        <v>57.567999999999998</v>
      </c>
      <c r="S1765" t="str">
        <f>TEXT(sales_data[[#This Row],[Order Date]],"mm")</f>
        <v>11</v>
      </c>
      <c r="T1765">
        <f>YEAR(sales_data[[#This Row],[Order Date]])</f>
        <v>2018</v>
      </c>
      <c r="V1765" t="s">
        <v>6490</v>
      </c>
    </row>
    <row r="1766" spans="1:22" x14ac:dyDescent="0.35">
      <c r="A1766">
        <v>5839</v>
      </c>
      <c r="B1766" t="s">
        <v>6492</v>
      </c>
      <c r="C1766" s="1">
        <v>42456</v>
      </c>
      <c r="D1766" s="1">
        <v>42463</v>
      </c>
      <c r="E1766" t="s">
        <v>46</v>
      </c>
      <c r="F1766" t="s">
        <v>4811</v>
      </c>
      <c r="G1766" t="s">
        <v>4812</v>
      </c>
      <c r="H1766" t="s">
        <v>22</v>
      </c>
      <c r="I1766" t="s">
        <v>23</v>
      </c>
      <c r="J1766" t="s">
        <v>91</v>
      </c>
      <c r="K1766" t="s">
        <v>92</v>
      </c>
      <c r="L1766">
        <v>98115</v>
      </c>
      <c r="M1766" t="s">
        <v>40</v>
      </c>
      <c r="N1766" t="s">
        <v>6493</v>
      </c>
      <c r="O1766" t="s">
        <v>42</v>
      </c>
      <c r="P1766" t="s">
        <v>55</v>
      </c>
      <c r="Q1766" t="s">
        <v>6494</v>
      </c>
      <c r="R1766">
        <v>83.7</v>
      </c>
      <c r="S1766" t="str">
        <f>TEXT(sales_data[[#This Row],[Order Date]],"mm")</f>
        <v>03</v>
      </c>
      <c r="T1766">
        <f>YEAR(sales_data[[#This Row],[Order Date]])</f>
        <v>2016</v>
      </c>
      <c r="V1766" t="s">
        <v>6493</v>
      </c>
    </row>
    <row r="1767" spans="1:22" x14ac:dyDescent="0.35">
      <c r="A1767">
        <v>5842</v>
      </c>
      <c r="B1767" t="s">
        <v>6495</v>
      </c>
      <c r="C1767" s="1">
        <v>42691</v>
      </c>
      <c r="D1767" s="1">
        <v>42695</v>
      </c>
      <c r="E1767" t="s">
        <v>46</v>
      </c>
      <c r="F1767" t="s">
        <v>4655</v>
      </c>
      <c r="G1767" t="s">
        <v>4656</v>
      </c>
      <c r="H1767" t="s">
        <v>22</v>
      </c>
      <c r="I1767" t="s">
        <v>23</v>
      </c>
      <c r="J1767" t="s">
        <v>940</v>
      </c>
      <c r="K1767" t="s">
        <v>39</v>
      </c>
      <c r="L1767">
        <v>92105</v>
      </c>
      <c r="M1767" t="s">
        <v>40</v>
      </c>
      <c r="N1767" t="s">
        <v>6496</v>
      </c>
      <c r="O1767" t="s">
        <v>67</v>
      </c>
      <c r="P1767" t="s">
        <v>68</v>
      </c>
      <c r="Q1767" t="s">
        <v>6497</v>
      </c>
      <c r="R1767">
        <v>415.96800000000002</v>
      </c>
      <c r="S1767" t="str">
        <f>TEXT(sales_data[[#This Row],[Order Date]],"mm")</f>
        <v>11</v>
      </c>
      <c r="T1767">
        <f>YEAR(sales_data[[#This Row],[Order Date]])</f>
        <v>2016</v>
      </c>
      <c r="V1767" t="s">
        <v>6496</v>
      </c>
    </row>
    <row r="1768" spans="1:22" x14ac:dyDescent="0.35">
      <c r="A1768">
        <v>5862</v>
      </c>
      <c r="B1768" t="s">
        <v>6498</v>
      </c>
      <c r="C1768" s="1">
        <v>42856</v>
      </c>
      <c r="D1768" s="1">
        <v>42859</v>
      </c>
      <c r="E1768" t="s">
        <v>19</v>
      </c>
      <c r="F1768" t="s">
        <v>5127</v>
      </c>
      <c r="G1768" t="s">
        <v>5128</v>
      </c>
      <c r="H1768" t="s">
        <v>22</v>
      </c>
      <c r="I1768" t="s">
        <v>23</v>
      </c>
      <c r="J1768" t="s">
        <v>4727</v>
      </c>
      <c r="K1768" t="s">
        <v>1692</v>
      </c>
      <c r="L1768">
        <v>72209</v>
      </c>
      <c r="M1768" t="s">
        <v>26</v>
      </c>
      <c r="N1768" t="s">
        <v>6499</v>
      </c>
      <c r="O1768" t="s">
        <v>42</v>
      </c>
      <c r="P1768" t="s">
        <v>86</v>
      </c>
      <c r="Q1768" t="s">
        <v>6500</v>
      </c>
      <c r="R1768">
        <v>109.92</v>
      </c>
      <c r="S1768" t="str">
        <f>TEXT(sales_data[[#This Row],[Order Date]],"mm")</f>
        <v>05</v>
      </c>
      <c r="T1768">
        <f>YEAR(sales_data[[#This Row],[Order Date]])</f>
        <v>2017</v>
      </c>
      <c r="V1768" t="s">
        <v>6499</v>
      </c>
    </row>
    <row r="1769" spans="1:22" x14ac:dyDescent="0.35">
      <c r="A1769">
        <v>5889</v>
      </c>
      <c r="B1769" t="s">
        <v>6503</v>
      </c>
      <c r="C1769" s="1">
        <v>42497</v>
      </c>
      <c r="D1769" s="1">
        <v>42502</v>
      </c>
      <c r="E1769" t="s">
        <v>46</v>
      </c>
      <c r="F1769" t="s">
        <v>3404</v>
      </c>
      <c r="G1769" t="s">
        <v>3405</v>
      </c>
      <c r="H1769" t="s">
        <v>22</v>
      </c>
      <c r="I1769" t="s">
        <v>23</v>
      </c>
      <c r="J1769" t="s">
        <v>6504</v>
      </c>
      <c r="K1769" t="s">
        <v>25</v>
      </c>
      <c r="L1769">
        <v>42301</v>
      </c>
      <c r="M1769" t="s">
        <v>26</v>
      </c>
      <c r="N1769" t="s">
        <v>6505</v>
      </c>
      <c r="O1769" t="s">
        <v>42</v>
      </c>
      <c r="P1769" t="s">
        <v>86</v>
      </c>
      <c r="Q1769" t="s">
        <v>6506</v>
      </c>
      <c r="R1769">
        <v>45.68</v>
      </c>
      <c r="S1769" t="str">
        <f>TEXT(sales_data[[#This Row],[Order Date]],"mm")</f>
        <v>05</v>
      </c>
      <c r="T1769">
        <f>YEAR(sales_data[[#This Row],[Order Date]])</f>
        <v>2016</v>
      </c>
      <c r="V1769" t="s">
        <v>6505</v>
      </c>
    </row>
    <row r="1770" spans="1:22" x14ac:dyDescent="0.35">
      <c r="A1770">
        <v>5913</v>
      </c>
      <c r="B1770" t="s">
        <v>6507</v>
      </c>
      <c r="C1770" s="1">
        <v>42240</v>
      </c>
      <c r="D1770" s="1">
        <v>42242</v>
      </c>
      <c r="E1770" t="s">
        <v>19</v>
      </c>
      <c r="F1770" t="s">
        <v>550</v>
      </c>
      <c r="G1770" t="s">
        <v>551</v>
      </c>
      <c r="H1770" t="s">
        <v>37</v>
      </c>
      <c r="I1770" t="s">
        <v>23</v>
      </c>
      <c r="J1770" t="s">
        <v>6504</v>
      </c>
      <c r="K1770" t="s">
        <v>25</v>
      </c>
      <c r="L1770">
        <v>42301</v>
      </c>
      <c r="M1770" t="s">
        <v>26</v>
      </c>
      <c r="N1770" t="s">
        <v>6508</v>
      </c>
      <c r="O1770" t="s">
        <v>42</v>
      </c>
      <c r="P1770" t="s">
        <v>573</v>
      </c>
      <c r="Q1770" t="s">
        <v>6509</v>
      </c>
      <c r="R1770">
        <v>25.5</v>
      </c>
      <c r="S1770" t="str">
        <f>TEXT(sales_data[[#This Row],[Order Date]],"mm")</f>
        <v>08</v>
      </c>
      <c r="T1770">
        <f>YEAR(sales_data[[#This Row],[Order Date]])</f>
        <v>2015</v>
      </c>
      <c r="V1770" t="s">
        <v>6508</v>
      </c>
    </row>
    <row r="1771" spans="1:22" x14ac:dyDescent="0.35">
      <c r="A1771">
        <v>5953</v>
      </c>
      <c r="B1771" t="s">
        <v>6510</v>
      </c>
      <c r="C1771" s="1">
        <v>43205</v>
      </c>
      <c r="D1771" s="1">
        <v>43211</v>
      </c>
      <c r="E1771" t="s">
        <v>46</v>
      </c>
      <c r="F1771" t="s">
        <v>1485</v>
      </c>
      <c r="G1771" t="s">
        <v>1486</v>
      </c>
      <c r="H1771" t="s">
        <v>98</v>
      </c>
      <c r="I1771" t="s">
        <v>23</v>
      </c>
      <c r="J1771" t="s">
        <v>179</v>
      </c>
      <c r="K1771" t="s">
        <v>100</v>
      </c>
      <c r="L1771">
        <v>77041</v>
      </c>
      <c r="M1771" t="s">
        <v>101</v>
      </c>
      <c r="N1771" t="s">
        <v>6511</v>
      </c>
      <c r="O1771" t="s">
        <v>42</v>
      </c>
      <c r="P1771" t="s">
        <v>86</v>
      </c>
      <c r="Q1771" t="s">
        <v>6512</v>
      </c>
      <c r="R1771">
        <v>20.736000000000001</v>
      </c>
      <c r="S1771" t="str">
        <f>TEXT(sales_data[[#This Row],[Order Date]],"mm")</f>
        <v>04</v>
      </c>
      <c r="T1771">
        <f>YEAR(sales_data[[#This Row],[Order Date]])</f>
        <v>2018</v>
      </c>
      <c r="V1771" t="s">
        <v>6511</v>
      </c>
    </row>
    <row r="1772" spans="1:22" x14ac:dyDescent="0.35">
      <c r="A1772">
        <v>6042</v>
      </c>
      <c r="B1772" t="s">
        <v>6513</v>
      </c>
      <c r="C1772" s="1">
        <v>43367</v>
      </c>
      <c r="D1772" s="1">
        <v>43372</v>
      </c>
      <c r="E1772" t="s">
        <v>46</v>
      </c>
      <c r="F1772" t="s">
        <v>1164</v>
      </c>
      <c r="G1772" t="s">
        <v>1165</v>
      </c>
      <c r="H1772" t="s">
        <v>37</v>
      </c>
      <c r="I1772" t="s">
        <v>23</v>
      </c>
      <c r="J1772" t="s">
        <v>38</v>
      </c>
      <c r="K1772" t="s">
        <v>39</v>
      </c>
      <c r="L1772">
        <v>90008</v>
      </c>
      <c r="M1772" t="s">
        <v>40</v>
      </c>
      <c r="N1772" t="s">
        <v>6514</v>
      </c>
      <c r="O1772" t="s">
        <v>67</v>
      </c>
      <c r="P1772" t="s">
        <v>675</v>
      </c>
      <c r="Q1772" t="s">
        <v>6515</v>
      </c>
      <c r="R1772">
        <v>506.28</v>
      </c>
      <c r="S1772" t="str">
        <f>TEXT(sales_data[[#This Row],[Order Date]],"mm")</f>
        <v>09</v>
      </c>
      <c r="T1772">
        <f>YEAR(sales_data[[#This Row],[Order Date]])</f>
        <v>2018</v>
      </c>
      <c r="V1772" t="s">
        <v>6514</v>
      </c>
    </row>
    <row r="1773" spans="1:22" x14ac:dyDescent="0.35">
      <c r="A1773">
        <v>6070</v>
      </c>
      <c r="B1773" t="s">
        <v>6517</v>
      </c>
      <c r="C1773" s="1">
        <v>43240</v>
      </c>
      <c r="D1773" s="1">
        <v>43244</v>
      </c>
      <c r="E1773" t="s">
        <v>46</v>
      </c>
      <c r="F1773" t="s">
        <v>2105</v>
      </c>
      <c r="G1773" t="s">
        <v>2106</v>
      </c>
      <c r="H1773" t="s">
        <v>98</v>
      </c>
      <c r="I1773" t="s">
        <v>23</v>
      </c>
      <c r="J1773" t="s">
        <v>1112</v>
      </c>
      <c r="K1773" t="s">
        <v>39</v>
      </c>
      <c r="L1773">
        <v>90712</v>
      </c>
      <c r="M1773" t="s">
        <v>40</v>
      </c>
      <c r="N1773" t="s">
        <v>6518</v>
      </c>
      <c r="O1773" t="s">
        <v>67</v>
      </c>
      <c r="P1773" t="s">
        <v>675</v>
      </c>
      <c r="Q1773" t="s">
        <v>6519</v>
      </c>
      <c r="R1773">
        <v>343.2</v>
      </c>
      <c r="S1773" t="str">
        <f>TEXT(sales_data[[#This Row],[Order Date]],"mm")</f>
        <v>05</v>
      </c>
      <c r="T1773">
        <f>YEAR(sales_data[[#This Row],[Order Date]])</f>
        <v>2018</v>
      </c>
      <c r="V1773" t="s">
        <v>6518</v>
      </c>
    </row>
    <row r="1774" spans="1:22" x14ac:dyDescent="0.35">
      <c r="A1774">
        <v>6092</v>
      </c>
      <c r="B1774" t="s">
        <v>6520</v>
      </c>
      <c r="C1774" s="1">
        <v>43363</v>
      </c>
      <c r="D1774" s="1">
        <v>43369</v>
      </c>
      <c r="E1774" t="s">
        <v>46</v>
      </c>
      <c r="F1774" t="s">
        <v>2271</v>
      </c>
      <c r="G1774" t="s">
        <v>2272</v>
      </c>
      <c r="H1774" t="s">
        <v>22</v>
      </c>
      <c r="I1774" t="s">
        <v>23</v>
      </c>
      <c r="J1774" t="s">
        <v>261</v>
      </c>
      <c r="K1774" t="s">
        <v>262</v>
      </c>
      <c r="L1774">
        <v>10035</v>
      </c>
      <c r="M1774" t="s">
        <v>144</v>
      </c>
      <c r="N1774" t="s">
        <v>6521</v>
      </c>
      <c r="O1774" t="s">
        <v>67</v>
      </c>
      <c r="P1774" t="s">
        <v>156</v>
      </c>
      <c r="Q1774" t="s">
        <v>6522</v>
      </c>
      <c r="R1774">
        <v>212.8</v>
      </c>
      <c r="S1774" t="str">
        <f>TEXT(sales_data[[#This Row],[Order Date]],"mm")</f>
        <v>09</v>
      </c>
      <c r="T1774">
        <f>YEAR(sales_data[[#This Row],[Order Date]])</f>
        <v>2018</v>
      </c>
      <c r="V1774" t="s">
        <v>6521</v>
      </c>
    </row>
    <row r="1775" spans="1:22" x14ac:dyDescent="0.35">
      <c r="A1775">
        <v>6117</v>
      </c>
      <c r="B1775" t="s">
        <v>6523</v>
      </c>
      <c r="C1775" s="1">
        <v>43052</v>
      </c>
      <c r="D1775" s="1">
        <v>43058</v>
      </c>
      <c r="E1775" t="s">
        <v>46</v>
      </c>
      <c r="F1775" t="s">
        <v>3804</v>
      </c>
      <c r="G1775" t="s">
        <v>3805</v>
      </c>
      <c r="H1775" t="s">
        <v>98</v>
      </c>
      <c r="I1775" t="s">
        <v>23</v>
      </c>
      <c r="J1775" t="s">
        <v>261</v>
      </c>
      <c r="K1775" t="s">
        <v>262</v>
      </c>
      <c r="L1775">
        <v>10011</v>
      </c>
      <c r="M1775" t="s">
        <v>144</v>
      </c>
      <c r="N1775" t="s">
        <v>6524</v>
      </c>
      <c r="O1775" t="s">
        <v>67</v>
      </c>
      <c r="P1775" t="s">
        <v>68</v>
      </c>
      <c r="Q1775" t="s">
        <v>6525</v>
      </c>
      <c r="R1775">
        <v>2279.96</v>
      </c>
      <c r="S1775" t="str">
        <f>TEXT(sales_data[[#This Row],[Order Date]],"mm")</f>
        <v>11</v>
      </c>
      <c r="T1775">
        <f>YEAR(sales_data[[#This Row],[Order Date]])</f>
        <v>2017</v>
      </c>
      <c r="V1775" t="s">
        <v>6524</v>
      </c>
    </row>
    <row r="1776" spans="1:22" x14ac:dyDescent="0.35">
      <c r="A1776">
        <v>6126</v>
      </c>
      <c r="B1776" t="s">
        <v>6526</v>
      </c>
      <c r="C1776" s="1">
        <v>43254</v>
      </c>
      <c r="D1776" s="1">
        <v>43258</v>
      </c>
      <c r="E1776" t="s">
        <v>46</v>
      </c>
      <c r="F1776" t="s">
        <v>1384</v>
      </c>
      <c r="G1776" t="s">
        <v>1385</v>
      </c>
      <c r="H1776" t="s">
        <v>37</v>
      </c>
      <c r="I1776" t="s">
        <v>23</v>
      </c>
      <c r="J1776" t="s">
        <v>38</v>
      </c>
      <c r="K1776" t="s">
        <v>39</v>
      </c>
      <c r="L1776">
        <v>90036</v>
      </c>
      <c r="M1776" t="s">
        <v>40</v>
      </c>
      <c r="N1776" t="s">
        <v>6527</v>
      </c>
      <c r="O1776" t="s">
        <v>42</v>
      </c>
      <c r="P1776" t="s">
        <v>86</v>
      </c>
      <c r="Q1776" t="s">
        <v>6528</v>
      </c>
      <c r="R1776">
        <v>11.96</v>
      </c>
      <c r="S1776" t="str">
        <f>TEXT(sales_data[[#This Row],[Order Date]],"mm")</f>
        <v>06</v>
      </c>
      <c r="T1776">
        <f>YEAR(sales_data[[#This Row],[Order Date]])</f>
        <v>2018</v>
      </c>
      <c r="V1776" t="s">
        <v>6527</v>
      </c>
    </row>
    <row r="1777" spans="1:22" x14ac:dyDescent="0.35">
      <c r="A1777">
        <v>6159</v>
      </c>
      <c r="B1777" t="s">
        <v>6531</v>
      </c>
      <c r="C1777" s="1">
        <v>42950</v>
      </c>
      <c r="D1777" s="1">
        <v>42952</v>
      </c>
      <c r="E1777" t="s">
        <v>19</v>
      </c>
      <c r="F1777" t="s">
        <v>6125</v>
      </c>
      <c r="G1777" t="s">
        <v>6126</v>
      </c>
      <c r="H1777" t="s">
        <v>22</v>
      </c>
      <c r="I1777" t="s">
        <v>23</v>
      </c>
      <c r="J1777" t="s">
        <v>4267</v>
      </c>
      <c r="K1777" t="s">
        <v>641</v>
      </c>
      <c r="L1777">
        <v>74133</v>
      </c>
      <c r="M1777" t="s">
        <v>101</v>
      </c>
      <c r="N1777" t="s">
        <v>6532</v>
      </c>
      <c r="O1777" t="s">
        <v>67</v>
      </c>
      <c r="P1777" t="s">
        <v>156</v>
      </c>
      <c r="Q1777" t="s">
        <v>6533</v>
      </c>
      <c r="R1777">
        <v>167.28</v>
      </c>
      <c r="S1777" t="str">
        <f>TEXT(sales_data[[#This Row],[Order Date]],"mm")</f>
        <v>08</v>
      </c>
      <c r="T1777">
        <f>YEAR(sales_data[[#This Row],[Order Date]])</f>
        <v>2017</v>
      </c>
      <c r="V1777" t="s">
        <v>6532</v>
      </c>
    </row>
    <row r="1778" spans="1:22" x14ac:dyDescent="0.35">
      <c r="A1778">
        <v>6179</v>
      </c>
      <c r="B1778" t="s">
        <v>6535</v>
      </c>
      <c r="C1778" s="1">
        <v>42634</v>
      </c>
      <c r="D1778" s="1">
        <v>42639</v>
      </c>
      <c r="E1778" t="s">
        <v>46</v>
      </c>
      <c r="F1778" t="s">
        <v>5451</v>
      </c>
      <c r="G1778" t="s">
        <v>5452</v>
      </c>
      <c r="H1778" t="s">
        <v>22</v>
      </c>
      <c r="I1778" t="s">
        <v>23</v>
      </c>
      <c r="J1778" t="s">
        <v>377</v>
      </c>
      <c r="K1778" t="s">
        <v>378</v>
      </c>
      <c r="L1778">
        <v>29203</v>
      </c>
      <c r="M1778" t="s">
        <v>26</v>
      </c>
      <c r="N1778" t="s">
        <v>6536</v>
      </c>
      <c r="O1778" t="s">
        <v>42</v>
      </c>
      <c r="P1778" t="s">
        <v>86</v>
      </c>
      <c r="Q1778" t="s">
        <v>6537</v>
      </c>
      <c r="R1778">
        <v>23.92</v>
      </c>
      <c r="S1778" t="str">
        <f>TEXT(sales_data[[#This Row],[Order Date]],"mm")</f>
        <v>09</v>
      </c>
      <c r="T1778">
        <f>YEAR(sales_data[[#This Row],[Order Date]])</f>
        <v>2016</v>
      </c>
      <c r="V1778" t="s">
        <v>6536</v>
      </c>
    </row>
    <row r="1779" spans="1:22" x14ac:dyDescent="0.35">
      <c r="A1779">
        <v>6236</v>
      </c>
      <c r="B1779" t="s">
        <v>6538</v>
      </c>
      <c r="C1779" s="1">
        <v>43354</v>
      </c>
      <c r="D1779" s="1">
        <v>43354</v>
      </c>
      <c r="E1779" t="s">
        <v>1277</v>
      </c>
      <c r="F1779" t="s">
        <v>1911</v>
      </c>
      <c r="G1779" t="s">
        <v>1912</v>
      </c>
      <c r="H1779" t="s">
        <v>22</v>
      </c>
      <c r="I1779" t="s">
        <v>23</v>
      </c>
      <c r="J1779" t="s">
        <v>91</v>
      </c>
      <c r="K1779" t="s">
        <v>92</v>
      </c>
      <c r="L1779">
        <v>98105</v>
      </c>
      <c r="M1779" t="s">
        <v>40</v>
      </c>
      <c r="N1779" t="s">
        <v>6539</v>
      </c>
      <c r="O1779" t="s">
        <v>67</v>
      </c>
      <c r="P1779" t="s">
        <v>68</v>
      </c>
      <c r="Q1779" t="s">
        <v>6540</v>
      </c>
      <c r="R1779">
        <v>79.959999999999994</v>
      </c>
      <c r="S1779" t="str">
        <f>TEXT(sales_data[[#This Row],[Order Date]],"mm")</f>
        <v>09</v>
      </c>
      <c r="T1779">
        <f>YEAR(sales_data[[#This Row],[Order Date]])</f>
        <v>2018</v>
      </c>
      <c r="V1779" t="s">
        <v>6539</v>
      </c>
    </row>
    <row r="1780" spans="1:22" x14ac:dyDescent="0.35">
      <c r="A1780">
        <v>6250</v>
      </c>
      <c r="B1780" t="s">
        <v>6541</v>
      </c>
      <c r="C1780" s="1">
        <v>43249</v>
      </c>
      <c r="D1780" s="1">
        <v>43255</v>
      </c>
      <c r="E1780" t="s">
        <v>46</v>
      </c>
      <c r="F1780" t="s">
        <v>4737</v>
      </c>
      <c r="G1780" t="s">
        <v>4738</v>
      </c>
      <c r="H1780" t="s">
        <v>22</v>
      </c>
      <c r="I1780" t="s">
        <v>23</v>
      </c>
      <c r="J1780" t="s">
        <v>492</v>
      </c>
      <c r="K1780" t="s">
        <v>249</v>
      </c>
      <c r="L1780">
        <v>47201</v>
      </c>
      <c r="M1780" t="s">
        <v>101</v>
      </c>
      <c r="N1780" t="s">
        <v>6542</v>
      </c>
      <c r="O1780" t="s">
        <v>42</v>
      </c>
      <c r="P1780" t="s">
        <v>74</v>
      </c>
      <c r="Q1780" t="s">
        <v>6543</v>
      </c>
      <c r="R1780">
        <v>465.16</v>
      </c>
      <c r="S1780" t="str">
        <f>TEXT(sales_data[[#This Row],[Order Date]],"mm")</f>
        <v>05</v>
      </c>
      <c r="T1780">
        <f>YEAR(sales_data[[#This Row],[Order Date]])</f>
        <v>2018</v>
      </c>
      <c r="V1780" t="s">
        <v>6542</v>
      </c>
    </row>
    <row r="1781" spans="1:22" x14ac:dyDescent="0.35">
      <c r="A1781">
        <v>6275</v>
      </c>
      <c r="B1781" t="s">
        <v>6545</v>
      </c>
      <c r="C1781" s="1">
        <v>42933</v>
      </c>
      <c r="D1781" s="1">
        <v>42938</v>
      </c>
      <c r="E1781" t="s">
        <v>19</v>
      </c>
      <c r="F1781" t="s">
        <v>4754</v>
      </c>
      <c r="G1781" t="s">
        <v>4755</v>
      </c>
      <c r="H1781" t="s">
        <v>22</v>
      </c>
      <c r="I1781" t="s">
        <v>23</v>
      </c>
      <c r="J1781" t="s">
        <v>91</v>
      </c>
      <c r="K1781" t="s">
        <v>92</v>
      </c>
      <c r="L1781">
        <v>98105</v>
      </c>
      <c r="M1781" t="s">
        <v>40</v>
      </c>
      <c r="N1781" t="s">
        <v>6546</v>
      </c>
      <c r="O1781" t="s">
        <v>67</v>
      </c>
      <c r="P1781" t="s">
        <v>156</v>
      </c>
      <c r="Q1781" t="s">
        <v>6547</v>
      </c>
      <c r="R1781">
        <v>428.4</v>
      </c>
      <c r="S1781" t="str">
        <f>TEXT(sales_data[[#This Row],[Order Date]],"mm")</f>
        <v>07</v>
      </c>
      <c r="T1781">
        <f>YEAR(sales_data[[#This Row],[Order Date]])</f>
        <v>2017</v>
      </c>
      <c r="V1781" t="s">
        <v>6546</v>
      </c>
    </row>
    <row r="1782" spans="1:22" x14ac:dyDescent="0.35">
      <c r="A1782">
        <v>6282</v>
      </c>
      <c r="B1782" t="s">
        <v>6548</v>
      </c>
      <c r="C1782" s="1">
        <v>42694</v>
      </c>
      <c r="D1782" s="1">
        <v>42700</v>
      </c>
      <c r="E1782" t="s">
        <v>46</v>
      </c>
      <c r="F1782" t="s">
        <v>4142</v>
      </c>
      <c r="G1782" t="s">
        <v>4143</v>
      </c>
      <c r="H1782" t="s">
        <v>22</v>
      </c>
      <c r="I1782" t="s">
        <v>23</v>
      </c>
      <c r="J1782" t="s">
        <v>4756</v>
      </c>
      <c r="K1782" t="s">
        <v>493</v>
      </c>
      <c r="L1782">
        <v>43302</v>
      </c>
      <c r="M1782" t="s">
        <v>144</v>
      </c>
      <c r="N1782" t="s">
        <v>6549</v>
      </c>
      <c r="O1782" t="s">
        <v>28</v>
      </c>
      <c r="P1782" t="s">
        <v>61</v>
      </c>
      <c r="Q1782" t="s">
        <v>6550</v>
      </c>
      <c r="R1782">
        <v>63.823999999999998</v>
      </c>
      <c r="S1782" t="str">
        <f>TEXT(sales_data[[#This Row],[Order Date]],"mm")</f>
        <v>11</v>
      </c>
      <c r="T1782">
        <f>YEAR(sales_data[[#This Row],[Order Date]])</f>
        <v>2016</v>
      </c>
      <c r="V1782" t="s">
        <v>6549</v>
      </c>
    </row>
    <row r="1783" spans="1:22" x14ac:dyDescent="0.35">
      <c r="A1783">
        <v>6300</v>
      </c>
      <c r="B1783" t="s">
        <v>6551</v>
      </c>
      <c r="C1783" s="1">
        <v>43434</v>
      </c>
      <c r="D1783" s="1">
        <v>43437</v>
      </c>
      <c r="E1783" t="s">
        <v>183</v>
      </c>
      <c r="F1783" t="s">
        <v>4808</v>
      </c>
      <c r="G1783" t="s">
        <v>4809</v>
      </c>
      <c r="H1783" t="s">
        <v>98</v>
      </c>
      <c r="I1783" t="s">
        <v>23</v>
      </c>
      <c r="J1783" t="s">
        <v>123</v>
      </c>
      <c r="K1783" t="s">
        <v>39</v>
      </c>
      <c r="L1783">
        <v>94109</v>
      </c>
      <c r="M1783" t="s">
        <v>40</v>
      </c>
      <c r="N1783" t="s">
        <v>6552</v>
      </c>
      <c r="O1783" t="s">
        <v>28</v>
      </c>
      <c r="P1783" t="s">
        <v>61</v>
      </c>
      <c r="Q1783" t="s">
        <v>6553</v>
      </c>
      <c r="R1783">
        <v>25.83</v>
      </c>
      <c r="S1783" t="str">
        <f>TEXT(sales_data[[#This Row],[Order Date]],"mm")</f>
        <v>11</v>
      </c>
      <c r="T1783">
        <f>YEAR(sales_data[[#This Row],[Order Date]])</f>
        <v>2018</v>
      </c>
      <c r="V1783" t="s">
        <v>6552</v>
      </c>
    </row>
    <row r="1784" spans="1:22" x14ac:dyDescent="0.35">
      <c r="A1784">
        <v>6364</v>
      </c>
      <c r="B1784" t="s">
        <v>6554</v>
      </c>
      <c r="C1784" s="1">
        <v>43425</v>
      </c>
      <c r="D1784" s="1">
        <v>43429</v>
      </c>
      <c r="E1784" t="s">
        <v>46</v>
      </c>
      <c r="F1784" t="s">
        <v>1979</v>
      </c>
      <c r="G1784" t="s">
        <v>1980</v>
      </c>
      <c r="H1784" t="s">
        <v>22</v>
      </c>
      <c r="I1784" t="s">
        <v>23</v>
      </c>
      <c r="J1784" t="s">
        <v>6555</v>
      </c>
      <c r="K1784" t="s">
        <v>92</v>
      </c>
      <c r="L1784">
        <v>98059</v>
      </c>
      <c r="M1784" t="s">
        <v>40</v>
      </c>
      <c r="N1784" t="s">
        <v>6556</v>
      </c>
      <c r="O1784" t="s">
        <v>67</v>
      </c>
      <c r="P1784" t="s">
        <v>675</v>
      </c>
      <c r="Q1784" t="s">
        <v>6557</v>
      </c>
      <c r="R1784">
        <v>1039.992</v>
      </c>
      <c r="S1784" t="str">
        <f>TEXT(sales_data[[#This Row],[Order Date]],"mm")</f>
        <v>11</v>
      </c>
      <c r="T1784">
        <f>YEAR(sales_data[[#This Row],[Order Date]])</f>
        <v>2018</v>
      </c>
      <c r="V1784" t="s">
        <v>6556</v>
      </c>
    </row>
    <row r="1785" spans="1:22" x14ac:dyDescent="0.35">
      <c r="A1785">
        <v>6366</v>
      </c>
      <c r="B1785" t="s">
        <v>6558</v>
      </c>
      <c r="C1785" s="1">
        <v>43194</v>
      </c>
      <c r="D1785" s="1">
        <v>43195</v>
      </c>
      <c r="E1785" t="s">
        <v>183</v>
      </c>
      <c r="F1785" t="s">
        <v>2316</v>
      </c>
      <c r="G1785" t="s">
        <v>2317</v>
      </c>
      <c r="H1785" t="s">
        <v>98</v>
      </c>
      <c r="I1785" t="s">
        <v>23</v>
      </c>
      <c r="J1785" t="s">
        <v>261</v>
      </c>
      <c r="K1785" t="s">
        <v>262</v>
      </c>
      <c r="L1785">
        <v>10009</v>
      </c>
      <c r="M1785" t="s">
        <v>144</v>
      </c>
      <c r="N1785" t="s">
        <v>6559</v>
      </c>
      <c r="O1785" t="s">
        <v>67</v>
      </c>
      <c r="P1785" t="s">
        <v>68</v>
      </c>
      <c r="Q1785" t="s">
        <v>6560</v>
      </c>
      <c r="R1785">
        <v>41.22</v>
      </c>
      <c r="S1785" t="str">
        <f>TEXT(sales_data[[#This Row],[Order Date]],"mm")</f>
        <v>04</v>
      </c>
      <c r="T1785">
        <f>YEAR(sales_data[[#This Row],[Order Date]])</f>
        <v>2018</v>
      </c>
      <c r="V1785" t="s">
        <v>6559</v>
      </c>
    </row>
    <row r="1786" spans="1:22" x14ac:dyDescent="0.35">
      <c r="A1786">
        <v>6397</v>
      </c>
      <c r="B1786" t="s">
        <v>6561</v>
      </c>
      <c r="C1786" s="1">
        <v>43083</v>
      </c>
      <c r="D1786" s="1">
        <v>43088</v>
      </c>
      <c r="E1786" t="s">
        <v>46</v>
      </c>
      <c r="F1786" t="s">
        <v>107</v>
      </c>
      <c r="G1786" t="s">
        <v>108</v>
      </c>
      <c r="H1786" t="s">
        <v>22</v>
      </c>
      <c r="I1786" t="s">
        <v>23</v>
      </c>
      <c r="J1786" t="s">
        <v>261</v>
      </c>
      <c r="K1786" t="s">
        <v>262</v>
      </c>
      <c r="L1786">
        <v>10011</v>
      </c>
      <c r="M1786" t="s">
        <v>144</v>
      </c>
      <c r="N1786" t="s">
        <v>6562</v>
      </c>
      <c r="O1786" t="s">
        <v>42</v>
      </c>
      <c r="P1786" t="s">
        <v>71</v>
      </c>
      <c r="Q1786" t="s">
        <v>6563</v>
      </c>
      <c r="R1786">
        <v>23.12</v>
      </c>
      <c r="S1786" t="str">
        <f>TEXT(sales_data[[#This Row],[Order Date]],"mm")</f>
        <v>12</v>
      </c>
      <c r="T1786">
        <f>YEAR(sales_data[[#This Row],[Order Date]])</f>
        <v>2017</v>
      </c>
      <c r="V1786" t="s">
        <v>6562</v>
      </c>
    </row>
    <row r="1787" spans="1:22" x14ac:dyDescent="0.35">
      <c r="A1787">
        <v>6410</v>
      </c>
      <c r="B1787" t="s">
        <v>6564</v>
      </c>
      <c r="C1787" s="1">
        <v>43234</v>
      </c>
      <c r="D1787" s="1">
        <v>43235</v>
      </c>
      <c r="E1787" t="s">
        <v>183</v>
      </c>
      <c r="F1787" t="s">
        <v>1855</v>
      </c>
      <c r="G1787" t="s">
        <v>1856</v>
      </c>
      <c r="H1787" t="s">
        <v>22</v>
      </c>
      <c r="I1787" t="s">
        <v>23</v>
      </c>
      <c r="J1787" t="s">
        <v>179</v>
      </c>
      <c r="K1787" t="s">
        <v>100</v>
      </c>
      <c r="L1787">
        <v>77041</v>
      </c>
      <c r="M1787" t="s">
        <v>101</v>
      </c>
      <c r="N1787" t="s">
        <v>6565</v>
      </c>
      <c r="O1787" t="s">
        <v>42</v>
      </c>
      <c r="P1787" t="s">
        <v>86</v>
      </c>
      <c r="Q1787" t="s">
        <v>6566</v>
      </c>
      <c r="R1787">
        <v>47.951999999999998</v>
      </c>
      <c r="S1787" t="str">
        <f>TEXT(sales_data[[#This Row],[Order Date]],"mm")</f>
        <v>05</v>
      </c>
      <c r="T1787">
        <f>YEAR(sales_data[[#This Row],[Order Date]])</f>
        <v>2018</v>
      </c>
      <c r="V1787" t="s">
        <v>6565</v>
      </c>
    </row>
    <row r="1788" spans="1:22" x14ac:dyDescent="0.35">
      <c r="A1788">
        <v>6427</v>
      </c>
      <c r="B1788" t="s">
        <v>6567</v>
      </c>
      <c r="C1788" s="1">
        <v>42878</v>
      </c>
      <c r="D1788" s="1">
        <v>42882</v>
      </c>
      <c r="E1788" t="s">
        <v>46</v>
      </c>
      <c r="F1788" t="s">
        <v>5374</v>
      </c>
      <c r="G1788" t="s">
        <v>5375</v>
      </c>
      <c r="H1788" t="s">
        <v>22</v>
      </c>
      <c r="I1788" t="s">
        <v>23</v>
      </c>
      <c r="J1788" t="s">
        <v>142</v>
      </c>
      <c r="K1788" t="s">
        <v>143</v>
      </c>
      <c r="L1788">
        <v>19120</v>
      </c>
      <c r="M1788" t="s">
        <v>144</v>
      </c>
      <c r="N1788" t="s">
        <v>6568</v>
      </c>
      <c r="O1788" t="s">
        <v>42</v>
      </c>
      <c r="P1788" t="s">
        <v>71</v>
      </c>
      <c r="Q1788" t="s">
        <v>6569</v>
      </c>
      <c r="R1788">
        <v>6.2939999999999996</v>
      </c>
      <c r="S1788" t="str">
        <f>TEXT(sales_data[[#This Row],[Order Date]],"mm")</f>
        <v>05</v>
      </c>
      <c r="T1788">
        <f>YEAR(sales_data[[#This Row],[Order Date]])</f>
        <v>2017</v>
      </c>
      <c r="V1788" t="s">
        <v>6568</v>
      </c>
    </row>
    <row r="1789" spans="1:22" x14ac:dyDescent="0.35">
      <c r="A1789">
        <v>6429</v>
      </c>
      <c r="B1789" t="s">
        <v>6567</v>
      </c>
      <c r="C1789" s="1">
        <v>42878</v>
      </c>
      <c r="D1789" s="1">
        <v>42882</v>
      </c>
      <c r="E1789" t="s">
        <v>46</v>
      </c>
      <c r="F1789" t="s">
        <v>5374</v>
      </c>
      <c r="G1789" t="s">
        <v>5375</v>
      </c>
      <c r="H1789" t="s">
        <v>22</v>
      </c>
      <c r="I1789" t="s">
        <v>23</v>
      </c>
      <c r="J1789" t="s">
        <v>142</v>
      </c>
      <c r="K1789" t="s">
        <v>143</v>
      </c>
      <c r="L1789">
        <v>19120</v>
      </c>
      <c r="M1789" t="s">
        <v>144</v>
      </c>
      <c r="N1789" t="s">
        <v>6570</v>
      </c>
      <c r="O1789" t="s">
        <v>67</v>
      </c>
      <c r="P1789" t="s">
        <v>68</v>
      </c>
      <c r="Q1789" t="s">
        <v>6571</v>
      </c>
      <c r="R1789">
        <v>122.38200000000001</v>
      </c>
      <c r="S1789" t="str">
        <f>TEXT(sales_data[[#This Row],[Order Date]],"mm")</f>
        <v>05</v>
      </c>
      <c r="T1789">
        <f>YEAR(sales_data[[#This Row],[Order Date]])</f>
        <v>2017</v>
      </c>
      <c r="V1789" t="s">
        <v>6570</v>
      </c>
    </row>
    <row r="1790" spans="1:22" x14ac:dyDescent="0.35">
      <c r="A1790">
        <v>6523</v>
      </c>
      <c r="B1790" t="s">
        <v>6574</v>
      </c>
      <c r="C1790" s="1">
        <v>43116</v>
      </c>
      <c r="D1790" s="1">
        <v>43118</v>
      </c>
      <c r="E1790" t="s">
        <v>19</v>
      </c>
      <c r="F1790" t="s">
        <v>3834</v>
      </c>
      <c r="G1790" t="s">
        <v>3835</v>
      </c>
      <c r="H1790" t="s">
        <v>22</v>
      </c>
      <c r="I1790" t="s">
        <v>23</v>
      </c>
      <c r="J1790" t="s">
        <v>323</v>
      </c>
      <c r="K1790" t="s">
        <v>233</v>
      </c>
      <c r="L1790">
        <v>49201</v>
      </c>
      <c r="M1790" t="s">
        <v>101</v>
      </c>
      <c r="N1790" t="s">
        <v>6575</v>
      </c>
      <c r="O1790" t="s">
        <v>42</v>
      </c>
      <c r="P1790" t="s">
        <v>86</v>
      </c>
      <c r="Q1790" t="s">
        <v>6576</v>
      </c>
      <c r="R1790">
        <v>56.07</v>
      </c>
      <c r="S1790" t="str">
        <f>TEXT(sales_data[[#This Row],[Order Date]],"mm")</f>
        <v>01</v>
      </c>
      <c r="T1790">
        <f>YEAR(sales_data[[#This Row],[Order Date]])</f>
        <v>2018</v>
      </c>
      <c r="V1790" t="s">
        <v>6575</v>
      </c>
    </row>
    <row r="1791" spans="1:22" x14ac:dyDescent="0.35">
      <c r="A1791">
        <v>6529</v>
      </c>
      <c r="B1791" t="s">
        <v>6577</v>
      </c>
      <c r="C1791" s="1">
        <v>42360</v>
      </c>
      <c r="D1791" s="1">
        <v>42364</v>
      </c>
      <c r="E1791" t="s">
        <v>46</v>
      </c>
      <c r="F1791" t="s">
        <v>3279</v>
      </c>
      <c r="G1791" t="s">
        <v>3280</v>
      </c>
      <c r="H1791" t="s">
        <v>98</v>
      </c>
      <c r="I1791" t="s">
        <v>23</v>
      </c>
      <c r="J1791" t="s">
        <v>261</v>
      </c>
      <c r="K1791" t="s">
        <v>262</v>
      </c>
      <c r="L1791">
        <v>10024</v>
      </c>
      <c r="M1791" t="s">
        <v>144</v>
      </c>
      <c r="N1791" t="s">
        <v>6578</v>
      </c>
      <c r="O1791" t="s">
        <v>42</v>
      </c>
      <c r="P1791" t="s">
        <v>55</v>
      </c>
      <c r="Q1791" t="s">
        <v>6579</v>
      </c>
      <c r="R1791">
        <v>216.4</v>
      </c>
      <c r="S1791" t="str">
        <f>TEXT(sales_data[[#This Row],[Order Date]],"mm")</f>
        <v>12</v>
      </c>
      <c r="T1791">
        <f>YEAR(sales_data[[#This Row],[Order Date]])</f>
        <v>2015</v>
      </c>
      <c r="V1791" t="s">
        <v>6578</v>
      </c>
    </row>
    <row r="1792" spans="1:22" x14ac:dyDescent="0.35">
      <c r="A1792">
        <v>6556</v>
      </c>
      <c r="B1792" t="s">
        <v>6580</v>
      </c>
      <c r="C1792" s="1">
        <v>42297</v>
      </c>
      <c r="D1792" s="1">
        <v>42299</v>
      </c>
      <c r="E1792" t="s">
        <v>19</v>
      </c>
      <c r="F1792" t="s">
        <v>545</v>
      </c>
      <c r="G1792" t="s">
        <v>546</v>
      </c>
      <c r="H1792" t="s">
        <v>98</v>
      </c>
      <c r="I1792" t="s">
        <v>23</v>
      </c>
      <c r="J1792" t="s">
        <v>298</v>
      </c>
      <c r="K1792" t="s">
        <v>206</v>
      </c>
      <c r="L1792">
        <v>60653</v>
      </c>
      <c r="M1792" t="s">
        <v>101</v>
      </c>
      <c r="N1792" t="s">
        <v>6581</v>
      </c>
      <c r="O1792" t="s">
        <v>42</v>
      </c>
      <c r="P1792" t="s">
        <v>86</v>
      </c>
      <c r="Q1792" t="s">
        <v>6582</v>
      </c>
      <c r="R1792">
        <v>3.8079999999999998</v>
      </c>
      <c r="S1792" t="str">
        <f>TEXT(sales_data[[#This Row],[Order Date]],"mm")</f>
        <v>10</v>
      </c>
      <c r="T1792">
        <f>YEAR(sales_data[[#This Row],[Order Date]])</f>
        <v>2015</v>
      </c>
      <c r="V1792" t="s">
        <v>6581</v>
      </c>
    </row>
    <row r="1793" spans="1:22" x14ac:dyDescent="0.35">
      <c r="A1793">
        <v>6575</v>
      </c>
      <c r="B1793" t="s">
        <v>6583</v>
      </c>
      <c r="C1793" s="1">
        <v>43064</v>
      </c>
      <c r="D1793" s="1">
        <v>43069</v>
      </c>
      <c r="E1793" t="s">
        <v>46</v>
      </c>
      <c r="F1793" t="s">
        <v>6501</v>
      </c>
      <c r="G1793" t="s">
        <v>6502</v>
      </c>
      <c r="H1793" t="s">
        <v>37</v>
      </c>
      <c r="I1793" t="s">
        <v>23</v>
      </c>
      <c r="J1793" t="s">
        <v>2101</v>
      </c>
      <c r="K1793" t="s">
        <v>780</v>
      </c>
      <c r="L1793">
        <v>7060</v>
      </c>
      <c r="M1793" t="s">
        <v>144</v>
      </c>
      <c r="N1793" t="s">
        <v>6584</v>
      </c>
      <c r="O1793" t="s">
        <v>67</v>
      </c>
      <c r="P1793" t="s">
        <v>675</v>
      </c>
      <c r="Q1793" t="s">
        <v>6585</v>
      </c>
      <c r="R1793">
        <v>319.92</v>
      </c>
      <c r="S1793" t="str">
        <f>TEXT(sales_data[[#This Row],[Order Date]],"mm")</f>
        <v>11</v>
      </c>
      <c r="T1793">
        <f>YEAR(sales_data[[#This Row],[Order Date]])</f>
        <v>2017</v>
      </c>
      <c r="V1793" t="s">
        <v>6584</v>
      </c>
    </row>
    <row r="1794" spans="1:22" x14ac:dyDescent="0.35">
      <c r="A1794">
        <v>6582</v>
      </c>
      <c r="B1794" t="s">
        <v>6586</v>
      </c>
      <c r="C1794" s="1">
        <v>43030</v>
      </c>
      <c r="D1794" s="1">
        <v>43030</v>
      </c>
      <c r="E1794" t="s">
        <v>1277</v>
      </c>
      <c r="F1794" t="s">
        <v>5285</v>
      </c>
      <c r="G1794" t="s">
        <v>5286</v>
      </c>
      <c r="H1794" t="s">
        <v>22</v>
      </c>
      <c r="I1794" t="s">
        <v>23</v>
      </c>
      <c r="J1794" t="s">
        <v>91</v>
      </c>
      <c r="K1794" t="s">
        <v>92</v>
      </c>
      <c r="L1794">
        <v>98105</v>
      </c>
      <c r="M1794" t="s">
        <v>40</v>
      </c>
      <c r="N1794" t="s">
        <v>6587</v>
      </c>
      <c r="O1794" t="s">
        <v>28</v>
      </c>
      <c r="P1794" t="s">
        <v>61</v>
      </c>
      <c r="Q1794" t="s">
        <v>6588</v>
      </c>
      <c r="R1794">
        <v>101.94</v>
      </c>
      <c r="S1794" t="str">
        <f>TEXT(sales_data[[#This Row],[Order Date]],"mm")</f>
        <v>10</v>
      </c>
      <c r="T1794">
        <f>YEAR(sales_data[[#This Row],[Order Date]])</f>
        <v>2017</v>
      </c>
      <c r="V1794" t="s">
        <v>6587</v>
      </c>
    </row>
    <row r="1795" spans="1:22" x14ac:dyDescent="0.35">
      <c r="A1795">
        <v>6674</v>
      </c>
      <c r="B1795" t="s">
        <v>6590</v>
      </c>
      <c r="C1795" s="1">
        <v>42618</v>
      </c>
      <c r="D1795" s="1">
        <v>42625</v>
      </c>
      <c r="E1795" t="s">
        <v>46</v>
      </c>
      <c r="F1795" t="s">
        <v>613</v>
      </c>
      <c r="G1795" t="s">
        <v>614</v>
      </c>
      <c r="H1795" t="s">
        <v>98</v>
      </c>
      <c r="I1795" t="s">
        <v>23</v>
      </c>
      <c r="J1795" t="s">
        <v>4405</v>
      </c>
      <c r="K1795" t="s">
        <v>314</v>
      </c>
      <c r="L1795">
        <v>22901</v>
      </c>
      <c r="M1795" t="s">
        <v>26</v>
      </c>
      <c r="N1795" t="s">
        <v>6591</v>
      </c>
      <c r="O1795" t="s">
        <v>28</v>
      </c>
      <c r="P1795" t="s">
        <v>61</v>
      </c>
      <c r="Q1795" t="s">
        <v>6592</v>
      </c>
      <c r="R1795">
        <v>67.959999999999994</v>
      </c>
      <c r="S1795" t="str">
        <f>TEXT(sales_data[[#This Row],[Order Date]],"mm")</f>
        <v>09</v>
      </c>
      <c r="T1795">
        <f>YEAR(sales_data[[#This Row],[Order Date]])</f>
        <v>2016</v>
      </c>
      <c r="V1795" t="s">
        <v>6591</v>
      </c>
    </row>
    <row r="1796" spans="1:22" x14ac:dyDescent="0.35">
      <c r="A1796">
        <v>6676</v>
      </c>
      <c r="B1796" t="s">
        <v>6593</v>
      </c>
      <c r="C1796" s="1">
        <v>42695</v>
      </c>
      <c r="D1796" s="1">
        <v>42697</v>
      </c>
      <c r="E1796" t="s">
        <v>19</v>
      </c>
      <c r="F1796" t="s">
        <v>5331</v>
      </c>
      <c r="G1796" t="s">
        <v>5332</v>
      </c>
      <c r="H1796" t="s">
        <v>22</v>
      </c>
      <c r="I1796" t="s">
        <v>23</v>
      </c>
      <c r="J1796" t="s">
        <v>1467</v>
      </c>
      <c r="K1796" t="s">
        <v>249</v>
      </c>
      <c r="L1796">
        <v>46226</v>
      </c>
      <c r="M1796" t="s">
        <v>101</v>
      </c>
      <c r="N1796" t="s">
        <v>6594</v>
      </c>
      <c r="O1796" t="s">
        <v>67</v>
      </c>
      <c r="P1796" t="s">
        <v>675</v>
      </c>
      <c r="Q1796" t="s">
        <v>6595</v>
      </c>
      <c r="R1796">
        <v>83.9</v>
      </c>
      <c r="S1796" t="str">
        <f>TEXT(sales_data[[#This Row],[Order Date]],"mm")</f>
        <v>11</v>
      </c>
      <c r="T1796">
        <f>YEAR(sales_data[[#This Row],[Order Date]])</f>
        <v>2016</v>
      </c>
      <c r="V1796" t="s">
        <v>6594</v>
      </c>
    </row>
    <row r="1797" spans="1:22" x14ac:dyDescent="0.35">
      <c r="A1797">
        <v>6699</v>
      </c>
      <c r="B1797" t="s">
        <v>6596</v>
      </c>
      <c r="C1797" s="1">
        <v>43302</v>
      </c>
      <c r="D1797" s="1">
        <v>43306</v>
      </c>
      <c r="E1797" t="s">
        <v>46</v>
      </c>
      <c r="F1797" t="s">
        <v>4105</v>
      </c>
      <c r="G1797" t="s">
        <v>4106</v>
      </c>
      <c r="H1797" t="s">
        <v>22</v>
      </c>
      <c r="I1797" t="s">
        <v>23</v>
      </c>
      <c r="J1797" t="s">
        <v>940</v>
      </c>
      <c r="K1797" t="s">
        <v>39</v>
      </c>
      <c r="L1797">
        <v>92024</v>
      </c>
      <c r="M1797" t="s">
        <v>40</v>
      </c>
      <c r="N1797" t="s">
        <v>6597</v>
      </c>
      <c r="O1797" t="s">
        <v>42</v>
      </c>
      <c r="P1797" t="s">
        <v>86</v>
      </c>
      <c r="Q1797" t="s">
        <v>6598</v>
      </c>
      <c r="R1797">
        <v>16.34</v>
      </c>
      <c r="S1797" t="str">
        <f>TEXT(sales_data[[#This Row],[Order Date]],"mm")</f>
        <v>07</v>
      </c>
      <c r="T1797">
        <f>YEAR(sales_data[[#This Row],[Order Date]])</f>
        <v>2018</v>
      </c>
      <c r="V1797" t="s">
        <v>6597</v>
      </c>
    </row>
    <row r="1798" spans="1:22" x14ac:dyDescent="0.35">
      <c r="A1798">
        <v>6708</v>
      </c>
      <c r="B1798" t="s">
        <v>6599</v>
      </c>
      <c r="C1798" s="1">
        <v>42107</v>
      </c>
      <c r="D1798" s="1">
        <v>42112</v>
      </c>
      <c r="E1798" t="s">
        <v>46</v>
      </c>
      <c r="F1798" t="s">
        <v>3317</v>
      </c>
      <c r="G1798" t="s">
        <v>3318</v>
      </c>
      <c r="H1798" t="s">
        <v>98</v>
      </c>
      <c r="I1798" t="s">
        <v>23</v>
      </c>
      <c r="J1798" t="s">
        <v>4220</v>
      </c>
      <c r="K1798" t="s">
        <v>2676</v>
      </c>
      <c r="L1798">
        <v>21215</v>
      </c>
      <c r="M1798" t="s">
        <v>144</v>
      </c>
      <c r="N1798" t="s">
        <v>6600</v>
      </c>
      <c r="O1798" t="s">
        <v>42</v>
      </c>
      <c r="P1798" t="s">
        <v>43</v>
      </c>
      <c r="Q1798" t="s">
        <v>6601</v>
      </c>
      <c r="R1798">
        <v>7.83</v>
      </c>
      <c r="S1798" t="str">
        <f>TEXT(sales_data[[#This Row],[Order Date]],"mm")</f>
        <v>04</v>
      </c>
      <c r="T1798">
        <f>YEAR(sales_data[[#This Row],[Order Date]])</f>
        <v>2015</v>
      </c>
      <c r="V1798" t="s">
        <v>6600</v>
      </c>
    </row>
    <row r="1799" spans="1:22" x14ac:dyDescent="0.35">
      <c r="A1799">
        <v>6765</v>
      </c>
      <c r="B1799" t="s">
        <v>6603</v>
      </c>
      <c r="C1799" s="1">
        <v>42980</v>
      </c>
      <c r="D1799" s="1">
        <v>42986</v>
      </c>
      <c r="E1799" t="s">
        <v>46</v>
      </c>
      <c r="F1799" t="s">
        <v>1794</v>
      </c>
      <c r="G1799" t="s">
        <v>1795</v>
      </c>
      <c r="H1799" t="s">
        <v>22</v>
      </c>
      <c r="I1799" t="s">
        <v>23</v>
      </c>
      <c r="J1799" t="s">
        <v>298</v>
      </c>
      <c r="K1799" t="s">
        <v>206</v>
      </c>
      <c r="L1799">
        <v>60623</v>
      </c>
      <c r="M1799" t="s">
        <v>101</v>
      </c>
      <c r="N1799" t="s">
        <v>6604</v>
      </c>
      <c r="O1799" t="s">
        <v>67</v>
      </c>
      <c r="P1799" t="s">
        <v>675</v>
      </c>
      <c r="Q1799" t="s">
        <v>6605</v>
      </c>
      <c r="R1799">
        <v>1362.9</v>
      </c>
      <c r="S1799" t="str">
        <f>TEXT(sales_data[[#This Row],[Order Date]],"mm")</f>
        <v>09</v>
      </c>
      <c r="T1799">
        <f>YEAR(sales_data[[#This Row],[Order Date]])</f>
        <v>2017</v>
      </c>
      <c r="V1799" t="s">
        <v>6604</v>
      </c>
    </row>
    <row r="1800" spans="1:22" x14ac:dyDescent="0.35">
      <c r="A1800">
        <v>6775</v>
      </c>
      <c r="B1800" t="s">
        <v>6606</v>
      </c>
      <c r="C1800" s="1">
        <v>43043</v>
      </c>
      <c r="D1800" s="1">
        <v>43047</v>
      </c>
      <c r="E1800" t="s">
        <v>46</v>
      </c>
      <c r="F1800" t="s">
        <v>1664</v>
      </c>
      <c r="G1800" t="s">
        <v>1665</v>
      </c>
      <c r="H1800" t="s">
        <v>98</v>
      </c>
      <c r="I1800" t="s">
        <v>23</v>
      </c>
      <c r="J1800" t="s">
        <v>38</v>
      </c>
      <c r="K1800" t="s">
        <v>39</v>
      </c>
      <c r="L1800">
        <v>90004</v>
      </c>
      <c r="M1800" t="s">
        <v>40</v>
      </c>
      <c r="N1800" t="s">
        <v>6607</v>
      </c>
      <c r="O1800" t="s">
        <v>42</v>
      </c>
      <c r="P1800" t="s">
        <v>86</v>
      </c>
      <c r="Q1800" t="s">
        <v>6608</v>
      </c>
      <c r="R1800">
        <v>38.880000000000003</v>
      </c>
      <c r="S1800" t="str">
        <f>TEXT(sales_data[[#This Row],[Order Date]],"mm")</f>
        <v>11</v>
      </c>
      <c r="T1800">
        <f>YEAR(sales_data[[#This Row],[Order Date]])</f>
        <v>2017</v>
      </c>
      <c r="V1800" t="s">
        <v>6607</v>
      </c>
    </row>
    <row r="1801" spans="1:22" x14ac:dyDescent="0.35">
      <c r="A1801">
        <v>6784</v>
      </c>
      <c r="B1801" t="s">
        <v>6609</v>
      </c>
      <c r="C1801" s="1">
        <v>43306</v>
      </c>
      <c r="D1801" s="1">
        <v>43309</v>
      </c>
      <c r="E1801" t="s">
        <v>19</v>
      </c>
      <c r="F1801" t="s">
        <v>4384</v>
      </c>
      <c r="G1801" t="s">
        <v>4385</v>
      </c>
      <c r="H1801" t="s">
        <v>22</v>
      </c>
      <c r="I1801" t="s">
        <v>23</v>
      </c>
      <c r="J1801" t="s">
        <v>142</v>
      </c>
      <c r="K1801" t="s">
        <v>143</v>
      </c>
      <c r="L1801">
        <v>19143</v>
      </c>
      <c r="M1801" t="s">
        <v>144</v>
      </c>
      <c r="N1801" t="s">
        <v>6610</v>
      </c>
      <c r="O1801" t="s">
        <v>42</v>
      </c>
      <c r="P1801" t="s">
        <v>573</v>
      </c>
      <c r="Q1801" t="s">
        <v>6611</v>
      </c>
      <c r="R1801">
        <v>37.752000000000002</v>
      </c>
      <c r="S1801" t="str">
        <f>TEXT(sales_data[[#This Row],[Order Date]],"mm")</f>
        <v>07</v>
      </c>
      <c r="T1801">
        <f>YEAR(sales_data[[#This Row],[Order Date]])</f>
        <v>2018</v>
      </c>
      <c r="V1801" t="s">
        <v>6610</v>
      </c>
    </row>
    <row r="1802" spans="1:22" x14ac:dyDescent="0.35">
      <c r="A1802">
        <v>6799</v>
      </c>
      <c r="B1802" t="s">
        <v>6613</v>
      </c>
      <c r="C1802" s="1">
        <v>42607</v>
      </c>
      <c r="D1802" s="1">
        <v>42607</v>
      </c>
      <c r="E1802" t="s">
        <v>1277</v>
      </c>
      <c r="F1802" t="s">
        <v>3948</v>
      </c>
      <c r="G1802" t="s">
        <v>3949</v>
      </c>
      <c r="H1802" t="s">
        <v>22</v>
      </c>
      <c r="I1802" t="s">
        <v>23</v>
      </c>
      <c r="J1802" t="s">
        <v>179</v>
      </c>
      <c r="K1802" t="s">
        <v>100</v>
      </c>
      <c r="L1802">
        <v>77041</v>
      </c>
      <c r="M1802" t="s">
        <v>101</v>
      </c>
      <c r="N1802" t="s">
        <v>6614</v>
      </c>
      <c r="O1802" t="s">
        <v>28</v>
      </c>
      <c r="P1802" t="s">
        <v>61</v>
      </c>
      <c r="Q1802" t="s">
        <v>6615</v>
      </c>
      <c r="R1802">
        <v>7.88</v>
      </c>
      <c r="S1802" t="str">
        <f>TEXT(sales_data[[#This Row],[Order Date]],"mm")</f>
        <v>08</v>
      </c>
      <c r="T1802">
        <f>YEAR(sales_data[[#This Row],[Order Date]])</f>
        <v>2016</v>
      </c>
      <c r="V1802" t="s">
        <v>6614</v>
      </c>
    </row>
    <row r="1803" spans="1:22" x14ac:dyDescent="0.35">
      <c r="A1803">
        <v>6814</v>
      </c>
      <c r="B1803" t="s">
        <v>6616</v>
      </c>
      <c r="C1803" s="1">
        <v>43357</v>
      </c>
      <c r="D1803" s="1">
        <v>43358</v>
      </c>
      <c r="E1803" t="s">
        <v>183</v>
      </c>
      <c r="F1803" t="s">
        <v>4115</v>
      </c>
      <c r="G1803" t="s">
        <v>4116</v>
      </c>
      <c r="H1803" t="s">
        <v>22</v>
      </c>
      <c r="I1803" t="s">
        <v>23</v>
      </c>
      <c r="J1803" t="s">
        <v>142</v>
      </c>
      <c r="K1803" t="s">
        <v>143</v>
      </c>
      <c r="L1803">
        <v>19140</v>
      </c>
      <c r="M1803" t="s">
        <v>144</v>
      </c>
      <c r="N1803" t="s">
        <v>6617</v>
      </c>
      <c r="O1803" t="s">
        <v>28</v>
      </c>
      <c r="P1803" t="s">
        <v>61</v>
      </c>
      <c r="Q1803" t="s">
        <v>6618</v>
      </c>
      <c r="R1803">
        <v>127.93600000000001</v>
      </c>
      <c r="S1803" t="str">
        <f>TEXT(sales_data[[#This Row],[Order Date]],"mm")</f>
        <v>09</v>
      </c>
      <c r="T1803">
        <f>YEAR(sales_data[[#This Row],[Order Date]])</f>
        <v>2018</v>
      </c>
      <c r="V1803" t="s">
        <v>6617</v>
      </c>
    </row>
    <row r="1804" spans="1:22" x14ac:dyDescent="0.35">
      <c r="A1804">
        <v>6845</v>
      </c>
      <c r="B1804" t="s">
        <v>6619</v>
      </c>
      <c r="C1804" s="1">
        <v>42990</v>
      </c>
      <c r="D1804" s="1">
        <v>42995</v>
      </c>
      <c r="E1804" t="s">
        <v>46</v>
      </c>
      <c r="F1804" t="s">
        <v>2389</v>
      </c>
      <c r="G1804" t="s">
        <v>2390</v>
      </c>
      <c r="H1804" t="s">
        <v>37</v>
      </c>
      <c r="I1804" t="s">
        <v>23</v>
      </c>
      <c r="J1804" t="s">
        <v>313</v>
      </c>
      <c r="K1804" t="s">
        <v>314</v>
      </c>
      <c r="L1804">
        <v>22153</v>
      </c>
      <c r="M1804" t="s">
        <v>26</v>
      </c>
      <c r="N1804" t="s">
        <v>6620</v>
      </c>
      <c r="O1804" t="s">
        <v>28</v>
      </c>
      <c r="P1804" t="s">
        <v>32</v>
      </c>
      <c r="Q1804" t="s">
        <v>6621</v>
      </c>
      <c r="R1804">
        <v>1059.1199999999999</v>
      </c>
      <c r="S1804" t="str">
        <f>TEXT(sales_data[[#This Row],[Order Date]],"mm")</f>
        <v>09</v>
      </c>
      <c r="T1804">
        <f>YEAR(sales_data[[#This Row],[Order Date]])</f>
        <v>2017</v>
      </c>
      <c r="V1804" t="s">
        <v>6620</v>
      </c>
    </row>
    <row r="1805" spans="1:22" x14ac:dyDescent="0.35">
      <c r="A1805">
        <v>6904</v>
      </c>
      <c r="B1805" t="s">
        <v>6622</v>
      </c>
      <c r="C1805" s="1">
        <v>43345</v>
      </c>
      <c r="D1805" s="1">
        <v>43351</v>
      </c>
      <c r="E1805" t="s">
        <v>46</v>
      </c>
      <c r="F1805" t="s">
        <v>2667</v>
      </c>
      <c r="G1805" t="s">
        <v>2668</v>
      </c>
      <c r="H1805" t="s">
        <v>37</v>
      </c>
      <c r="I1805" t="s">
        <v>23</v>
      </c>
      <c r="J1805" t="s">
        <v>298</v>
      </c>
      <c r="K1805" t="s">
        <v>206</v>
      </c>
      <c r="L1805">
        <v>60653</v>
      </c>
      <c r="M1805" t="s">
        <v>101</v>
      </c>
      <c r="N1805" t="s">
        <v>6623</v>
      </c>
      <c r="O1805" t="s">
        <v>42</v>
      </c>
      <c r="P1805" t="s">
        <v>74</v>
      </c>
      <c r="Q1805" t="s">
        <v>6624</v>
      </c>
      <c r="R1805">
        <v>5.5880000000000001</v>
      </c>
      <c r="S1805" t="str">
        <f>TEXT(sales_data[[#This Row],[Order Date]],"mm")</f>
        <v>09</v>
      </c>
      <c r="T1805">
        <f>YEAR(sales_data[[#This Row],[Order Date]])</f>
        <v>2018</v>
      </c>
      <c r="V1805" t="s">
        <v>6623</v>
      </c>
    </row>
    <row r="1806" spans="1:22" x14ac:dyDescent="0.35">
      <c r="A1806">
        <v>6932</v>
      </c>
      <c r="B1806" t="s">
        <v>6625</v>
      </c>
      <c r="C1806" s="1">
        <v>42199</v>
      </c>
      <c r="D1806" s="1">
        <v>42203</v>
      </c>
      <c r="E1806" t="s">
        <v>46</v>
      </c>
      <c r="F1806" t="s">
        <v>3703</v>
      </c>
      <c r="G1806" t="s">
        <v>3704</v>
      </c>
      <c r="H1806" t="s">
        <v>22</v>
      </c>
      <c r="I1806" t="s">
        <v>23</v>
      </c>
      <c r="J1806" t="s">
        <v>142</v>
      </c>
      <c r="K1806" t="s">
        <v>143</v>
      </c>
      <c r="L1806">
        <v>19140</v>
      </c>
      <c r="M1806" t="s">
        <v>144</v>
      </c>
      <c r="N1806" t="s">
        <v>6626</v>
      </c>
      <c r="O1806" t="s">
        <v>67</v>
      </c>
      <c r="P1806" t="s">
        <v>68</v>
      </c>
      <c r="Q1806" t="s">
        <v>6627</v>
      </c>
      <c r="R1806">
        <v>13.494</v>
      </c>
      <c r="S1806" t="str">
        <f>TEXT(sales_data[[#This Row],[Order Date]],"mm")</f>
        <v>07</v>
      </c>
      <c r="T1806">
        <f>YEAR(sales_data[[#This Row],[Order Date]])</f>
        <v>2015</v>
      </c>
      <c r="V1806" t="s">
        <v>6626</v>
      </c>
    </row>
    <row r="1807" spans="1:22" x14ac:dyDescent="0.35">
      <c r="A1807">
        <v>6937</v>
      </c>
      <c r="B1807" t="s">
        <v>6628</v>
      </c>
      <c r="C1807" s="1">
        <v>42980</v>
      </c>
      <c r="D1807" s="1">
        <v>42982</v>
      </c>
      <c r="E1807" t="s">
        <v>183</v>
      </c>
      <c r="F1807" t="s">
        <v>5172</v>
      </c>
      <c r="G1807" t="s">
        <v>5173</v>
      </c>
      <c r="H1807" t="s">
        <v>98</v>
      </c>
      <c r="I1807" t="s">
        <v>23</v>
      </c>
      <c r="J1807" t="s">
        <v>298</v>
      </c>
      <c r="K1807" t="s">
        <v>206</v>
      </c>
      <c r="L1807">
        <v>60653</v>
      </c>
      <c r="M1807" t="s">
        <v>101</v>
      </c>
      <c r="N1807" t="s">
        <v>6629</v>
      </c>
      <c r="O1807" t="s">
        <v>28</v>
      </c>
      <c r="P1807" t="s">
        <v>61</v>
      </c>
      <c r="Q1807" t="s">
        <v>6630</v>
      </c>
      <c r="R1807">
        <v>84.272000000000006</v>
      </c>
      <c r="S1807" t="str">
        <f>TEXT(sales_data[[#This Row],[Order Date]],"mm")</f>
        <v>09</v>
      </c>
      <c r="T1807">
        <f>YEAR(sales_data[[#This Row],[Order Date]])</f>
        <v>2017</v>
      </c>
      <c r="V1807" t="s">
        <v>6629</v>
      </c>
    </row>
    <row r="1808" spans="1:22" x14ac:dyDescent="0.35">
      <c r="A1808">
        <v>6939</v>
      </c>
      <c r="B1808" t="s">
        <v>6631</v>
      </c>
      <c r="C1808" s="1">
        <v>43044</v>
      </c>
      <c r="D1808" s="1">
        <v>43048</v>
      </c>
      <c r="E1808" t="s">
        <v>46</v>
      </c>
      <c r="F1808" t="s">
        <v>3367</v>
      </c>
      <c r="G1808" t="s">
        <v>3368</v>
      </c>
      <c r="H1808" t="s">
        <v>22</v>
      </c>
      <c r="I1808" t="s">
        <v>23</v>
      </c>
      <c r="J1808" t="s">
        <v>91</v>
      </c>
      <c r="K1808" t="s">
        <v>92</v>
      </c>
      <c r="L1808">
        <v>98105</v>
      </c>
      <c r="M1808" t="s">
        <v>40</v>
      </c>
      <c r="N1808" t="s">
        <v>6632</v>
      </c>
      <c r="O1808" t="s">
        <v>67</v>
      </c>
      <c r="P1808" t="s">
        <v>156</v>
      </c>
      <c r="Q1808" t="s">
        <v>6633</v>
      </c>
      <c r="R1808">
        <v>479.72</v>
      </c>
      <c r="S1808" t="str">
        <f>TEXT(sales_data[[#This Row],[Order Date]],"mm")</f>
        <v>11</v>
      </c>
      <c r="T1808">
        <f>YEAR(sales_data[[#This Row],[Order Date]])</f>
        <v>2017</v>
      </c>
      <c r="V1808" t="s">
        <v>6632</v>
      </c>
    </row>
    <row r="1809" spans="1:22" x14ac:dyDescent="0.35">
      <c r="A1809">
        <v>6944</v>
      </c>
      <c r="B1809" t="s">
        <v>6634</v>
      </c>
      <c r="C1809" s="1">
        <v>42576</v>
      </c>
      <c r="D1809" s="1">
        <v>42581</v>
      </c>
      <c r="E1809" t="s">
        <v>46</v>
      </c>
      <c r="F1809" t="s">
        <v>5744</v>
      </c>
      <c r="G1809" t="s">
        <v>5745</v>
      </c>
      <c r="H1809" t="s">
        <v>22</v>
      </c>
      <c r="I1809" t="s">
        <v>23</v>
      </c>
      <c r="J1809" t="s">
        <v>38</v>
      </c>
      <c r="K1809" t="s">
        <v>39</v>
      </c>
      <c r="L1809">
        <v>90032</v>
      </c>
      <c r="M1809" t="s">
        <v>40</v>
      </c>
      <c r="N1809" t="s">
        <v>6635</v>
      </c>
      <c r="O1809" t="s">
        <v>67</v>
      </c>
      <c r="P1809" t="s">
        <v>68</v>
      </c>
      <c r="Q1809" t="s">
        <v>6636</v>
      </c>
      <c r="R1809">
        <v>623.96</v>
      </c>
      <c r="S1809" t="str">
        <f>TEXT(sales_data[[#This Row],[Order Date]],"mm")</f>
        <v>07</v>
      </c>
      <c r="T1809">
        <f>YEAR(sales_data[[#This Row],[Order Date]])</f>
        <v>2016</v>
      </c>
      <c r="V1809" t="s">
        <v>6635</v>
      </c>
    </row>
    <row r="1810" spans="1:22" x14ac:dyDescent="0.35">
      <c r="A1810">
        <v>6952</v>
      </c>
      <c r="B1810" t="s">
        <v>6637</v>
      </c>
      <c r="C1810" s="1">
        <v>42694</v>
      </c>
      <c r="D1810" s="1">
        <v>42698</v>
      </c>
      <c r="E1810" t="s">
        <v>46</v>
      </c>
      <c r="F1810" t="s">
        <v>1170</v>
      </c>
      <c r="G1810" t="s">
        <v>1171</v>
      </c>
      <c r="H1810" t="s">
        <v>37</v>
      </c>
      <c r="I1810" t="s">
        <v>23</v>
      </c>
      <c r="J1810" t="s">
        <v>807</v>
      </c>
      <c r="K1810" t="s">
        <v>100</v>
      </c>
      <c r="L1810">
        <v>75217</v>
      </c>
      <c r="M1810" t="s">
        <v>101</v>
      </c>
      <c r="N1810" t="s">
        <v>6638</v>
      </c>
      <c r="O1810" t="s">
        <v>67</v>
      </c>
      <c r="P1810" t="s">
        <v>675</v>
      </c>
      <c r="Q1810" t="s">
        <v>6639</v>
      </c>
      <c r="R1810">
        <v>479.988</v>
      </c>
      <c r="S1810" t="str">
        <f>TEXT(sales_data[[#This Row],[Order Date]],"mm")</f>
        <v>11</v>
      </c>
      <c r="T1810">
        <f>YEAR(sales_data[[#This Row],[Order Date]])</f>
        <v>2016</v>
      </c>
      <c r="V1810" t="s">
        <v>6638</v>
      </c>
    </row>
    <row r="1811" spans="1:22" x14ac:dyDescent="0.35">
      <c r="A1811">
        <v>6990</v>
      </c>
      <c r="B1811" t="s">
        <v>6641</v>
      </c>
      <c r="C1811" s="1">
        <v>43445</v>
      </c>
      <c r="D1811" s="1">
        <v>43447</v>
      </c>
      <c r="E1811" t="s">
        <v>183</v>
      </c>
      <c r="F1811" t="s">
        <v>4754</v>
      </c>
      <c r="G1811" t="s">
        <v>4755</v>
      </c>
      <c r="H1811" t="s">
        <v>22</v>
      </c>
      <c r="I1811" t="s">
        <v>23</v>
      </c>
      <c r="J1811" t="s">
        <v>6642</v>
      </c>
      <c r="K1811" t="s">
        <v>100</v>
      </c>
      <c r="L1811">
        <v>79605</v>
      </c>
      <c r="M1811" t="s">
        <v>101</v>
      </c>
      <c r="N1811" t="s">
        <v>6643</v>
      </c>
      <c r="O1811" t="s">
        <v>42</v>
      </c>
      <c r="P1811" t="s">
        <v>74</v>
      </c>
      <c r="Q1811" t="s">
        <v>6644</v>
      </c>
      <c r="R1811">
        <v>1.3919999999999999</v>
      </c>
      <c r="S1811" t="str">
        <f>TEXT(sales_data[[#This Row],[Order Date]],"mm")</f>
        <v>12</v>
      </c>
      <c r="T1811">
        <f>YEAR(sales_data[[#This Row],[Order Date]])</f>
        <v>2018</v>
      </c>
      <c r="V1811" t="s">
        <v>6643</v>
      </c>
    </row>
    <row r="1812" spans="1:22" x14ac:dyDescent="0.35">
      <c r="A1812">
        <v>7020</v>
      </c>
      <c r="B1812" t="s">
        <v>6645</v>
      </c>
      <c r="C1812" s="1">
        <v>42239</v>
      </c>
      <c r="D1812" s="1">
        <v>42243</v>
      </c>
      <c r="E1812" t="s">
        <v>46</v>
      </c>
      <c r="F1812" t="s">
        <v>2255</v>
      </c>
      <c r="G1812" t="s">
        <v>2256</v>
      </c>
      <c r="H1812" t="s">
        <v>22</v>
      </c>
      <c r="I1812" t="s">
        <v>23</v>
      </c>
      <c r="J1812" t="s">
        <v>799</v>
      </c>
      <c r="K1812" t="s">
        <v>452</v>
      </c>
      <c r="L1812">
        <v>80219</v>
      </c>
      <c r="M1812" t="s">
        <v>40</v>
      </c>
      <c r="N1812" t="s">
        <v>6646</v>
      </c>
      <c r="O1812" t="s">
        <v>42</v>
      </c>
      <c r="P1812" t="s">
        <v>86</v>
      </c>
      <c r="Q1812" t="s">
        <v>6647</v>
      </c>
      <c r="R1812">
        <v>15.552</v>
      </c>
      <c r="S1812" t="str">
        <f>TEXT(sales_data[[#This Row],[Order Date]],"mm")</f>
        <v>08</v>
      </c>
      <c r="T1812">
        <f>YEAR(sales_data[[#This Row],[Order Date]])</f>
        <v>2015</v>
      </c>
      <c r="V1812" t="s">
        <v>6646</v>
      </c>
    </row>
    <row r="1813" spans="1:22" x14ac:dyDescent="0.35">
      <c r="A1813">
        <v>7039</v>
      </c>
      <c r="B1813" t="s">
        <v>6648</v>
      </c>
      <c r="C1813" s="1">
        <v>43365</v>
      </c>
      <c r="D1813" s="1">
        <v>43370</v>
      </c>
      <c r="E1813" t="s">
        <v>46</v>
      </c>
      <c r="F1813" t="s">
        <v>2342</v>
      </c>
      <c r="G1813" t="s">
        <v>2343</v>
      </c>
      <c r="H1813" t="s">
        <v>22</v>
      </c>
      <c r="I1813" t="s">
        <v>23</v>
      </c>
      <c r="J1813" t="s">
        <v>3636</v>
      </c>
      <c r="K1813" t="s">
        <v>1261</v>
      </c>
      <c r="L1813">
        <v>30080</v>
      </c>
      <c r="M1813" t="s">
        <v>26</v>
      </c>
      <c r="N1813" t="s">
        <v>6649</v>
      </c>
      <c r="O1813" t="s">
        <v>42</v>
      </c>
      <c r="P1813" t="s">
        <v>64</v>
      </c>
      <c r="Q1813" t="s">
        <v>6650</v>
      </c>
      <c r="R1813">
        <v>17.940000000000001</v>
      </c>
      <c r="S1813" t="str">
        <f>TEXT(sales_data[[#This Row],[Order Date]],"mm")</f>
        <v>09</v>
      </c>
      <c r="T1813">
        <f>YEAR(sales_data[[#This Row],[Order Date]])</f>
        <v>2018</v>
      </c>
      <c r="V1813" t="s">
        <v>6649</v>
      </c>
    </row>
    <row r="1814" spans="1:22" x14ac:dyDescent="0.35">
      <c r="A1814">
        <v>7061</v>
      </c>
      <c r="B1814" t="s">
        <v>6651</v>
      </c>
      <c r="C1814" s="1">
        <v>43080</v>
      </c>
      <c r="D1814" s="1">
        <v>43080</v>
      </c>
      <c r="E1814" t="s">
        <v>1277</v>
      </c>
      <c r="F1814" t="s">
        <v>4671</v>
      </c>
      <c r="G1814" t="s">
        <v>4672</v>
      </c>
      <c r="H1814" t="s">
        <v>22</v>
      </c>
      <c r="I1814" t="s">
        <v>23</v>
      </c>
      <c r="J1814" t="s">
        <v>1860</v>
      </c>
      <c r="K1814" t="s">
        <v>39</v>
      </c>
      <c r="L1814">
        <v>92804</v>
      </c>
      <c r="M1814" t="s">
        <v>40</v>
      </c>
      <c r="N1814" t="s">
        <v>6652</v>
      </c>
      <c r="O1814" t="s">
        <v>42</v>
      </c>
      <c r="P1814" t="s">
        <v>71</v>
      </c>
      <c r="Q1814" t="s">
        <v>6653</v>
      </c>
      <c r="R1814">
        <v>5.8719999999999999</v>
      </c>
      <c r="S1814" t="str">
        <f>TEXT(sales_data[[#This Row],[Order Date]],"mm")</f>
        <v>12</v>
      </c>
      <c r="T1814">
        <f>YEAR(sales_data[[#This Row],[Order Date]])</f>
        <v>2017</v>
      </c>
      <c r="V1814" t="s">
        <v>6652</v>
      </c>
    </row>
    <row r="1815" spans="1:22" x14ac:dyDescent="0.35">
      <c r="A1815">
        <v>7159</v>
      </c>
      <c r="B1815" t="s">
        <v>6654</v>
      </c>
      <c r="C1815" s="1">
        <v>42822</v>
      </c>
      <c r="D1815" s="1">
        <v>42825</v>
      </c>
      <c r="E1815" t="s">
        <v>19</v>
      </c>
      <c r="F1815" t="s">
        <v>3404</v>
      </c>
      <c r="G1815" t="s">
        <v>3405</v>
      </c>
      <c r="H1815" t="s">
        <v>22</v>
      </c>
      <c r="I1815" t="s">
        <v>23</v>
      </c>
      <c r="J1815" t="s">
        <v>38</v>
      </c>
      <c r="K1815" t="s">
        <v>39</v>
      </c>
      <c r="L1815">
        <v>90032</v>
      </c>
      <c r="M1815" t="s">
        <v>40</v>
      </c>
      <c r="N1815" t="s">
        <v>6655</v>
      </c>
      <c r="O1815" t="s">
        <v>42</v>
      </c>
      <c r="P1815" t="s">
        <v>86</v>
      </c>
      <c r="Q1815" t="s">
        <v>6656</v>
      </c>
      <c r="R1815">
        <v>5.98</v>
      </c>
      <c r="S1815" t="str">
        <f>TEXT(sales_data[[#This Row],[Order Date]],"mm")</f>
        <v>03</v>
      </c>
      <c r="T1815">
        <f>YEAR(sales_data[[#This Row],[Order Date]])</f>
        <v>2017</v>
      </c>
      <c r="V1815" t="s">
        <v>6655</v>
      </c>
    </row>
    <row r="1816" spans="1:22" x14ac:dyDescent="0.35">
      <c r="A1816">
        <v>7203</v>
      </c>
      <c r="B1816" t="s">
        <v>6657</v>
      </c>
      <c r="C1816" s="1">
        <v>43036</v>
      </c>
      <c r="D1816" s="1">
        <v>43036</v>
      </c>
      <c r="E1816" t="s">
        <v>1277</v>
      </c>
      <c r="F1816" t="s">
        <v>1259</v>
      </c>
      <c r="G1816" t="s">
        <v>1260</v>
      </c>
      <c r="H1816" t="s">
        <v>37</v>
      </c>
      <c r="I1816" t="s">
        <v>23</v>
      </c>
      <c r="J1816" t="s">
        <v>384</v>
      </c>
      <c r="K1816" t="s">
        <v>262</v>
      </c>
      <c r="L1816">
        <v>14609</v>
      </c>
      <c r="M1816" t="s">
        <v>144</v>
      </c>
      <c r="N1816" t="s">
        <v>6658</v>
      </c>
      <c r="O1816" t="s">
        <v>28</v>
      </c>
      <c r="P1816" t="s">
        <v>61</v>
      </c>
      <c r="Q1816" t="s">
        <v>6659</v>
      </c>
      <c r="R1816">
        <v>756.8</v>
      </c>
      <c r="S1816" t="str">
        <f>TEXT(sales_data[[#This Row],[Order Date]],"mm")</f>
        <v>10</v>
      </c>
      <c r="T1816">
        <f>YEAR(sales_data[[#This Row],[Order Date]])</f>
        <v>2017</v>
      </c>
      <c r="V1816" t="s">
        <v>6658</v>
      </c>
    </row>
    <row r="1817" spans="1:22" x14ac:dyDescent="0.35">
      <c r="A1817">
        <v>7238</v>
      </c>
      <c r="B1817" t="s">
        <v>6660</v>
      </c>
      <c r="C1817" s="1">
        <v>42926</v>
      </c>
      <c r="D1817" s="1">
        <v>42926</v>
      </c>
      <c r="E1817" t="s">
        <v>1277</v>
      </c>
      <c r="F1817" t="s">
        <v>887</v>
      </c>
      <c r="G1817" t="s">
        <v>888</v>
      </c>
      <c r="H1817" t="s">
        <v>37</v>
      </c>
      <c r="I1817" t="s">
        <v>23</v>
      </c>
      <c r="J1817" t="s">
        <v>142</v>
      </c>
      <c r="K1817" t="s">
        <v>143</v>
      </c>
      <c r="L1817">
        <v>19143</v>
      </c>
      <c r="M1817" t="s">
        <v>144</v>
      </c>
      <c r="N1817" t="s">
        <v>6661</v>
      </c>
      <c r="O1817" t="s">
        <v>67</v>
      </c>
      <c r="P1817" t="s">
        <v>675</v>
      </c>
      <c r="Q1817" t="s">
        <v>6662</v>
      </c>
      <c r="R1817">
        <v>341.99099999999999</v>
      </c>
      <c r="S1817" t="str">
        <f>TEXT(sales_data[[#This Row],[Order Date]],"mm")</f>
        <v>07</v>
      </c>
      <c r="T1817">
        <f>YEAR(sales_data[[#This Row],[Order Date]])</f>
        <v>2017</v>
      </c>
      <c r="V1817" t="s">
        <v>6661</v>
      </c>
    </row>
    <row r="1818" spans="1:22" x14ac:dyDescent="0.35">
      <c r="A1818">
        <v>7252</v>
      </c>
      <c r="B1818" t="s">
        <v>6663</v>
      </c>
      <c r="C1818" s="1">
        <v>42974</v>
      </c>
      <c r="D1818" s="1">
        <v>42980</v>
      </c>
      <c r="E1818" t="s">
        <v>46</v>
      </c>
      <c r="F1818" t="s">
        <v>4867</v>
      </c>
      <c r="G1818" t="s">
        <v>4868</v>
      </c>
      <c r="H1818" t="s">
        <v>37</v>
      </c>
      <c r="I1818" t="s">
        <v>23</v>
      </c>
      <c r="J1818" t="s">
        <v>6037</v>
      </c>
      <c r="K1818" t="s">
        <v>50</v>
      </c>
      <c r="L1818">
        <v>33021</v>
      </c>
      <c r="M1818" t="s">
        <v>26</v>
      </c>
      <c r="N1818" t="s">
        <v>6664</v>
      </c>
      <c r="O1818" t="s">
        <v>42</v>
      </c>
      <c r="P1818" t="s">
        <v>43</v>
      </c>
      <c r="Q1818" t="s">
        <v>6665</v>
      </c>
      <c r="R1818">
        <v>9.2159999999999993</v>
      </c>
      <c r="S1818" t="str">
        <f>TEXT(sales_data[[#This Row],[Order Date]],"mm")</f>
        <v>08</v>
      </c>
      <c r="T1818">
        <f>YEAR(sales_data[[#This Row],[Order Date]])</f>
        <v>2017</v>
      </c>
      <c r="V1818" t="s">
        <v>6664</v>
      </c>
    </row>
    <row r="1819" spans="1:22" x14ac:dyDescent="0.35">
      <c r="A1819">
        <v>7270</v>
      </c>
      <c r="B1819" t="s">
        <v>6666</v>
      </c>
      <c r="C1819" s="1">
        <v>42749</v>
      </c>
      <c r="D1819" s="1">
        <v>42755</v>
      </c>
      <c r="E1819" t="s">
        <v>46</v>
      </c>
      <c r="F1819" t="s">
        <v>1396</v>
      </c>
      <c r="G1819" t="s">
        <v>1397</v>
      </c>
      <c r="H1819" t="s">
        <v>22</v>
      </c>
      <c r="I1819" t="s">
        <v>23</v>
      </c>
      <c r="J1819" t="s">
        <v>83</v>
      </c>
      <c r="K1819" t="s">
        <v>84</v>
      </c>
      <c r="L1819">
        <v>28027</v>
      </c>
      <c r="M1819" t="s">
        <v>26</v>
      </c>
      <c r="N1819" t="s">
        <v>6667</v>
      </c>
      <c r="O1819" t="s">
        <v>28</v>
      </c>
      <c r="P1819" t="s">
        <v>61</v>
      </c>
      <c r="Q1819" t="s">
        <v>6668</v>
      </c>
      <c r="R1819">
        <v>315.77600000000001</v>
      </c>
      <c r="S1819" t="str">
        <f>TEXT(sales_data[[#This Row],[Order Date]],"mm")</f>
        <v>01</v>
      </c>
      <c r="T1819">
        <f>YEAR(sales_data[[#This Row],[Order Date]])</f>
        <v>2017</v>
      </c>
      <c r="V1819" t="s">
        <v>6667</v>
      </c>
    </row>
    <row r="1820" spans="1:22" x14ac:dyDescent="0.35">
      <c r="A1820">
        <v>7293</v>
      </c>
      <c r="B1820" t="s">
        <v>6669</v>
      </c>
      <c r="C1820" s="1">
        <v>43438</v>
      </c>
      <c r="D1820" s="1">
        <v>43443</v>
      </c>
      <c r="E1820" t="s">
        <v>46</v>
      </c>
      <c r="F1820" t="s">
        <v>1967</v>
      </c>
      <c r="G1820" t="s">
        <v>1968</v>
      </c>
      <c r="H1820" t="s">
        <v>22</v>
      </c>
      <c r="I1820" t="s">
        <v>23</v>
      </c>
      <c r="J1820" t="s">
        <v>5118</v>
      </c>
      <c r="K1820" t="s">
        <v>330</v>
      </c>
      <c r="L1820">
        <v>37211</v>
      </c>
      <c r="M1820" t="s">
        <v>26</v>
      </c>
      <c r="N1820" t="s">
        <v>6670</v>
      </c>
      <c r="O1820" t="s">
        <v>67</v>
      </c>
      <c r="P1820" t="s">
        <v>675</v>
      </c>
      <c r="Q1820" t="s">
        <v>6605</v>
      </c>
      <c r="R1820">
        <v>649</v>
      </c>
      <c r="S1820" t="str">
        <f>TEXT(sales_data[[#This Row],[Order Date]],"mm")</f>
        <v>12</v>
      </c>
      <c r="T1820">
        <f>YEAR(sales_data[[#This Row],[Order Date]])</f>
        <v>2018</v>
      </c>
      <c r="V1820" t="s">
        <v>6670</v>
      </c>
    </row>
    <row r="1821" spans="1:22" x14ac:dyDescent="0.35">
      <c r="A1821">
        <v>7422</v>
      </c>
      <c r="B1821" t="s">
        <v>6671</v>
      </c>
      <c r="C1821" s="1">
        <v>42807</v>
      </c>
      <c r="D1821" s="1">
        <v>42809</v>
      </c>
      <c r="E1821" t="s">
        <v>19</v>
      </c>
      <c r="F1821" t="s">
        <v>350</v>
      </c>
      <c r="G1821" t="s">
        <v>351</v>
      </c>
      <c r="H1821" t="s">
        <v>37</v>
      </c>
      <c r="I1821" t="s">
        <v>23</v>
      </c>
      <c r="J1821" t="s">
        <v>142</v>
      </c>
      <c r="K1821" t="s">
        <v>143</v>
      </c>
      <c r="L1821">
        <v>19134</v>
      </c>
      <c r="M1821" t="s">
        <v>144</v>
      </c>
      <c r="N1821" t="s">
        <v>6672</v>
      </c>
      <c r="O1821" t="s">
        <v>42</v>
      </c>
      <c r="P1821" t="s">
        <v>55</v>
      </c>
      <c r="Q1821" t="s">
        <v>6673</v>
      </c>
      <c r="R1821">
        <v>126.08</v>
      </c>
      <c r="S1821" t="str">
        <f>TEXT(sales_data[[#This Row],[Order Date]],"mm")</f>
        <v>03</v>
      </c>
      <c r="T1821">
        <f>YEAR(sales_data[[#This Row],[Order Date]])</f>
        <v>2017</v>
      </c>
      <c r="V1821" t="s">
        <v>6672</v>
      </c>
    </row>
    <row r="1822" spans="1:22" x14ac:dyDescent="0.35">
      <c r="A1822">
        <v>7485</v>
      </c>
      <c r="B1822" t="s">
        <v>6674</v>
      </c>
      <c r="C1822" s="1">
        <v>43462</v>
      </c>
      <c r="D1822" s="1">
        <v>43467</v>
      </c>
      <c r="E1822" t="s">
        <v>46</v>
      </c>
      <c r="F1822" t="s">
        <v>372</v>
      </c>
      <c r="G1822" t="s">
        <v>373</v>
      </c>
      <c r="H1822" t="s">
        <v>98</v>
      </c>
      <c r="I1822" t="s">
        <v>23</v>
      </c>
      <c r="J1822" t="s">
        <v>6129</v>
      </c>
      <c r="K1822" t="s">
        <v>6130</v>
      </c>
      <c r="L1822">
        <v>58103</v>
      </c>
      <c r="M1822" t="s">
        <v>101</v>
      </c>
      <c r="N1822" t="s">
        <v>6675</v>
      </c>
      <c r="O1822" t="s">
        <v>42</v>
      </c>
      <c r="P1822" t="s">
        <v>64</v>
      </c>
      <c r="Q1822" t="s">
        <v>2947</v>
      </c>
      <c r="R1822">
        <v>2.48</v>
      </c>
      <c r="S1822" t="str">
        <f>TEXT(sales_data[[#This Row],[Order Date]],"mm")</f>
        <v>12</v>
      </c>
      <c r="T1822">
        <f>YEAR(sales_data[[#This Row],[Order Date]])</f>
        <v>2018</v>
      </c>
      <c r="V1822" t="s">
        <v>6675</v>
      </c>
    </row>
    <row r="1823" spans="1:22" x14ac:dyDescent="0.35">
      <c r="A1823">
        <v>7601</v>
      </c>
      <c r="B1823" t="s">
        <v>6677</v>
      </c>
      <c r="C1823" s="1">
        <v>42264</v>
      </c>
      <c r="D1823" s="1">
        <v>42269</v>
      </c>
      <c r="E1823" t="s">
        <v>46</v>
      </c>
      <c r="F1823" t="s">
        <v>2821</v>
      </c>
      <c r="G1823" t="s">
        <v>2822</v>
      </c>
      <c r="H1823" t="s">
        <v>22</v>
      </c>
      <c r="I1823" t="s">
        <v>23</v>
      </c>
      <c r="J1823" t="s">
        <v>313</v>
      </c>
      <c r="K1823" t="s">
        <v>415</v>
      </c>
      <c r="L1823">
        <v>97477</v>
      </c>
      <c r="M1823" t="s">
        <v>40</v>
      </c>
      <c r="N1823" t="s">
        <v>6678</v>
      </c>
      <c r="O1823" t="s">
        <v>67</v>
      </c>
      <c r="P1823" t="s">
        <v>675</v>
      </c>
      <c r="Q1823" t="s">
        <v>6679</v>
      </c>
      <c r="R1823">
        <v>29.925000000000001</v>
      </c>
      <c r="S1823" t="str">
        <f>TEXT(sales_data[[#This Row],[Order Date]],"mm")</f>
        <v>09</v>
      </c>
      <c r="T1823">
        <f>YEAR(sales_data[[#This Row],[Order Date]])</f>
        <v>2015</v>
      </c>
      <c r="V1823" t="s">
        <v>6678</v>
      </c>
    </row>
    <row r="1824" spans="1:22" x14ac:dyDescent="0.35">
      <c r="A1824">
        <v>7642</v>
      </c>
      <c r="B1824" t="s">
        <v>6680</v>
      </c>
      <c r="C1824" s="1">
        <v>43014</v>
      </c>
      <c r="D1824" s="1">
        <v>43015</v>
      </c>
      <c r="E1824" t="s">
        <v>183</v>
      </c>
      <c r="F1824" t="s">
        <v>5643</v>
      </c>
      <c r="G1824" t="s">
        <v>5644</v>
      </c>
      <c r="H1824" t="s">
        <v>98</v>
      </c>
      <c r="I1824" t="s">
        <v>23</v>
      </c>
      <c r="J1824" t="s">
        <v>3469</v>
      </c>
      <c r="K1824" t="s">
        <v>452</v>
      </c>
      <c r="L1824">
        <v>81001</v>
      </c>
      <c r="M1824" t="s">
        <v>40</v>
      </c>
      <c r="N1824" t="s">
        <v>6681</v>
      </c>
      <c r="O1824" t="s">
        <v>67</v>
      </c>
      <c r="P1824" t="s">
        <v>675</v>
      </c>
      <c r="Q1824" t="s">
        <v>6682</v>
      </c>
      <c r="R1824">
        <v>703.71</v>
      </c>
      <c r="S1824" t="str">
        <f>TEXT(sales_data[[#This Row],[Order Date]],"mm")</f>
        <v>10</v>
      </c>
      <c r="T1824">
        <f>YEAR(sales_data[[#This Row],[Order Date]])</f>
        <v>2017</v>
      </c>
      <c r="V1824" t="s">
        <v>6681</v>
      </c>
    </row>
    <row r="1825" spans="1:22" x14ac:dyDescent="0.35">
      <c r="A1825">
        <v>7673</v>
      </c>
      <c r="B1825" t="s">
        <v>6684</v>
      </c>
      <c r="C1825" s="1">
        <v>42701</v>
      </c>
      <c r="D1825" s="1">
        <v>42703</v>
      </c>
      <c r="E1825" t="s">
        <v>19</v>
      </c>
      <c r="F1825" t="s">
        <v>177</v>
      </c>
      <c r="G1825" t="s">
        <v>178</v>
      </c>
      <c r="H1825" t="s">
        <v>98</v>
      </c>
      <c r="I1825" t="s">
        <v>23</v>
      </c>
      <c r="J1825" t="s">
        <v>3890</v>
      </c>
      <c r="K1825" t="s">
        <v>1235</v>
      </c>
      <c r="L1825">
        <v>2149</v>
      </c>
      <c r="M1825" t="s">
        <v>144</v>
      </c>
      <c r="N1825" t="s">
        <v>6685</v>
      </c>
      <c r="O1825" t="s">
        <v>28</v>
      </c>
      <c r="P1825" t="s">
        <v>61</v>
      </c>
      <c r="Q1825" t="s">
        <v>6686</v>
      </c>
      <c r="R1825">
        <v>38.97</v>
      </c>
      <c r="S1825" t="str">
        <f>TEXT(sales_data[[#This Row],[Order Date]],"mm")</f>
        <v>11</v>
      </c>
      <c r="T1825">
        <f>YEAR(sales_data[[#This Row],[Order Date]])</f>
        <v>2016</v>
      </c>
      <c r="V1825" t="s">
        <v>6685</v>
      </c>
    </row>
    <row r="1826" spans="1:22" x14ac:dyDescent="0.35">
      <c r="A1826">
        <v>7689</v>
      </c>
      <c r="B1826" t="s">
        <v>6687</v>
      </c>
      <c r="C1826" s="1">
        <v>43064</v>
      </c>
      <c r="D1826" s="1">
        <v>43068</v>
      </c>
      <c r="E1826" t="s">
        <v>46</v>
      </c>
      <c r="F1826" t="s">
        <v>1520</v>
      </c>
      <c r="G1826" t="s">
        <v>1521</v>
      </c>
      <c r="H1826" t="s">
        <v>37</v>
      </c>
      <c r="I1826" t="s">
        <v>23</v>
      </c>
      <c r="J1826" t="s">
        <v>323</v>
      </c>
      <c r="K1826" t="s">
        <v>233</v>
      </c>
      <c r="L1826">
        <v>49201</v>
      </c>
      <c r="M1826" t="s">
        <v>101</v>
      </c>
      <c r="N1826" t="s">
        <v>6688</v>
      </c>
      <c r="O1826" t="s">
        <v>67</v>
      </c>
      <c r="P1826" t="s">
        <v>156</v>
      </c>
      <c r="Q1826" t="s">
        <v>6689</v>
      </c>
      <c r="R1826">
        <v>160</v>
      </c>
      <c r="S1826" t="str">
        <f>TEXT(sales_data[[#This Row],[Order Date]],"mm")</f>
        <v>11</v>
      </c>
      <c r="T1826">
        <f>YEAR(sales_data[[#This Row],[Order Date]])</f>
        <v>2017</v>
      </c>
      <c r="V1826" t="s">
        <v>6688</v>
      </c>
    </row>
    <row r="1827" spans="1:22" x14ac:dyDescent="0.35">
      <c r="A1827">
        <v>7723</v>
      </c>
      <c r="B1827" t="s">
        <v>6690</v>
      </c>
      <c r="C1827" s="1">
        <v>43206</v>
      </c>
      <c r="D1827" s="1">
        <v>43210</v>
      </c>
      <c r="E1827" t="s">
        <v>46</v>
      </c>
      <c r="F1827" t="s">
        <v>2220</v>
      </c>
      <c r="G1827" t="s">
        <v>2221</v>
      </c>
      <c r="H1827" t="s">
        <v>98</v>
      </c>
      <c r="I1827" t="s">
        <v>23</v>
      </c>
      <c r="J1827" t="s">
        <v>123</v>
      </c>
      <c r="K1827" t="s">
        <v>39</v>
      </c>
      <c r="L1827">
        <v>94109</v>
      </c>
      <c r="M1827" t="s">
        <v>40</v>
      </c>
      <c r="N1827" t="s">
        <v>6691</v>
      </c>
      <c r="O1827" t="s">
        <v>42</v>
      </c>
      <c r="P1827" t="s">
        <v>74</v>
      </c>
      <c r="Q1827" t="s">
        <v>6692</v>
      </c>
      <c r="R1827">
        <v>40.74</v>
      </c>
      <c r="S1827" t="str">
        <f>TEXT(sales_data[[#This Row],[Order Date]],"mm")</f>
        <v>04</v>
      </c>
      <c r="T1827">
        <f>YEAR(sales_data[[#This Row],[Order Date]])</f>
        <v>2018</v>
      </c>
      <c r="V1827" t="s">
        <v>6691</v>
      </c>
    </row>
    <row r="1828" spans="1:22" x14ac:dyDescent="0.35">
      <c r="A1828">
        <v>7756</v>
      </c>
      <c r="B1828" t="s">
        <v>6693</v>
      </c>
      <c r="C1828" s="1">
        <v>43421</v>
      </c>
      <c r="D1828" s="1">
        <v>43425</v>
      </c>
      <c r="E1828" t="s">
        <v>46</v>
      </c>
      <c r="F1828" t="s">
        <v>2012</v>
      </c>
      <c r="G1828" t="s">
        <v>2013</v>
      </c>
      <c r="H1828" t="s">
        <v>22</v>
      </c>
      <c r="I1828" t="s">
        <v>23</v>
      </c>
      <c r="J1828" t="s">
        <v>462</v>
      </c>
      <c r="K1828" t="s">
        <v>84</v>
      </c>
      <c r="L1828">
        <v>28205</v>
      </c>
      <c r="M1828" t="s">
        <v>26</v>
      </c>
      <c r="N1828" t="s">
        <v>6694</v>
      </c>
      <c r="O1828" t="s">
        <v>42</v>
      </c>
      <c r="P1828" t="s">
        <v>86</v>
      </c>
      <c r="Q1828" t="s">
        <v>6695</v>
      </c>
      <c r="R1828">
        <v>268.24</v>
      </c>
      <c r="S1828" t="str">
        <f>TEXT(sales_data[[#This Row],[Order Date]],"mm")</f>
        <v>11</v>
      </c>
      <c r="T1828">
        <f>YEAR(sales_data[[#This Row],[Order Date]])</f>
        <v>2018</v>
      </c>
      <c r="V1828" t="s">
        <v>6694</v>
      </c>
    </row>
    <row r="1829" spans="1:22" x14ac:dyDescent="0.35">
      <c r="A1829">
        <v>7774</v>
      </c>
      <c r="B1829" t="s">
        <v>6696</v>
      </c>
      <c r="C1829" s="1">
        <v>43064</v>
      </c>
      <c r="D1829" s="1">
        <v>43071</v>
      </c>
      <c r="E1829" t="s">
        <v>46</v>
      </c>
      <c r="F1829" t="s">
        <v>3783</v>
      </c>
      <c r="G1829" t="s">
        <v>3784</v>
      </c>
      <c r="H1829" t="s">
        <v>22</v>
      </c>
      <c r="I1829" t="s">
        <v>23</v>
      </c>
      <c r="J1829" t="s">
        <v>2428</v>
      </c>
      <c r="K1829" t="s">
        <v>493</v>
      </c>
      <c r="L1829">
        <v>43130</v>
      </c>
      <c r="M1829" t="s">
        <v>144</v>
      </c>
      <c r="N1829" t="s">
        <v>6697</v>
      </c>
      <c r="O1829" t="s">
        <v>67</v>
      </c>
      <c r="P1829" t="s">
        <v>156</v>
      </c>
      <c r="Q1829" t="s">
        <v>6698</v>
      </c>
      <c r="R1829">
        <v>59.975999999999999</v>
      </c>
      <c r="S1829" t="str">
        <f>TEXT(sales_data[[#This Row],[Order Date]],"mm")</f>
        <v>11</v>
      </c>
      <c r="T1829">
        <f>YEAR(sales_data[[#This Row],[Order Date]])</f>
        <v>2017</v>
      </c>
      <c r="V1829" t="s">
        <v>6697</v>
      </c>
    </row>
    <row r="1830" spans="1:22" x14ac:dyDescent="0.35">
      <c r="A1830">
        <v>7865</v>
      </c>
      <c r="B1830" t="s">
        <v>6699</v>
      </c>
      <c r="C1830" s="1">
        <v>42565</v>
      </c>
      <c r="D1830" s="1">
        <v>42570</v>
      </c>
      <c r="E1830" t="s">
        <v>19</v>
      </c>
      <c r="F1830" t="s">
        <v>4788</v>
      </c>
      <c r="G1830" t="s">
        <v>4789</v>
      </c>
      <c r="H1830" t="s">
        <v>22</v>
      </c>
      <c r="I1830" t="s">
        <v>23</v>
      </c>
      <c r="J1830" t="s">
        <v>1802</v>
      </c>
      <c r="K1830" t="s">
        <v>305</v>
      </c>
      <c r="L1830">
        <v>85204</v>
      </c>
      <c r="M1830" t="s">
        <v>40</v>
      </c>
      <c r="N1830" t="s">
        <v>6700</v>
      </c>
      <c r="O1830" t="s">
        <v>42</v>
      </c>
      <c r="P1830" t="s">
        <v>86</v>
      </c>
      <c r="Q1830" t="s">
        <v>6701</v>
      </c>
      <c r="R1830">
        <v>18.495999999999999</v>
      </c>
      <c r="S1830" t="str">
        <f>TEXT(sales_data[[#This Row],[Order Date]],"mm")</f>
        <v>07</v>
      </c>
      <c r="T1830">
        <f>YEAR(sales_data[[#This Row],[Order Date]])</f>
        <v>2016</v>
      </c>
      <c r="V1830" t="s">
        <v>6700</v>
      </c>
    </row>
    <row r="1831" spans="1:22" x14ac:dyDescent="0.35">
      <c r="A1831">
        <v>7915</v>
      </c>
      <c r="B1831" t="s">
        <v>6702</v>
      </c>
      <c r="C1831" s="1">
        <v>43268</v>
      </c>
      <c r="D1831" s="1">
        <v>43272</v>
      </c>
      <c r="E1831" t="s">
        <v>46</v>
      </c>
      <c r="F1831" t="s">
        <v>2120</v>
      </c>
      <c r="G1831" t="s">
        <v>2121</v>
      </c>
      <c r="H1831" t="s">
        <v>98</v>
      </c>
      <c r="I1831" t="s">
        <v>23</v>
      </c>
      <c r="J1831" t="s">
        <v>261</v>
      </c>
      <c r="K1831" t="s">
        <v>262</v>
      </c>
      <c r="L1831">
        <v>10024</v>
      </c>
      <c r="M1831" t="s">
        <v>144</v>
      </c>
      <c r="N1831" t="s">
        <v>6703</v>
      </c>
      <c r="O1831" t="s">
        <v>67</v>
      </c>
      <c r="P1831" t="s">
        <v>675</v>
      </c>
      <c r="Q1831" t="s">
        <v>6704</v>
      </c>
      <c r="R1831">
        <v>3404.5</v>
      </c>
      <c r="S1831" t="str">
        <f>TEXT(sales_data[[#This Row],[Order Date]],"mm")</f>
        <v>06</v>
      </c>
      <c r="T1831">
        <f>YEAR(sales_data[[#This Row],[Order Date]])</f>
        <v>2018</v>
      </c>
      <c r="V1831" t="s">
        <v>6703</v>
      </c>
    </row>
    <row r="1832" spans="1:22" x14ac:dyDescent="0.35">
      <c r="A1832">
        <v>7968</v>
      </c>
      <c r="B1832" t="s">
        <v>6705</v>
      </c>
      <c r="C1832" s="1">
        <v>43018</v>
      </c>
      <c r="D1832" s="1">
        <v>43020</v>
      </c>
      <c r="E1832" t="s">
        <v>183</v>
      </c>
      <c r="F1832" t="s">
        <v>4602</v>
      </c>
      <c r="G1832" t="s">
        <v>4603</v>
      </c>
      <c r="H1832" t="s">
        <v>37</v>
      </c>
      <c r="I1832" t="s">
        <v>23</v>
      </c>
      <c r="J1832" t="s">
        <v>799</v>
      </c>
      <c r="K1832" t="s">
        <v>452</v>
      </c>
      <c r="L1832">
        <v>80219</v>
      </c>
      <c r="M1832" t="s">
        <v>40</v>
      </c>
      <c r="N1832" t="s">
        <v>6706</v>
      </c>
      <c r="O1832" t="s">
        <v>28</v>
      </c>
      <c r="P1832" t="s">
        <v>29</v>
      </c>
      <c r="Q1832" t="s">
        <v>6707</v>
      </c>
      <c r="R1832">
        <v>90.882000000000005</v>
      </c>
      <c r="S1832" t="str">
        <f>TEXT(sales_data[[#This Row],[Order Date]],"mm")</f>
        <v>10</v>
      </c>
      <c r="T1832">
        <f>YEAR(sales_data[[#This Row],[Order Date]])</f>
        <v>2017</v>
      </c>
      <c r="V1832" t="s">
        <v>6706</v>
      </c>
    </row>
    <row r="1833" spans="1:22" x14ac:dyDescent="0.35">
      <c r="A1833">
        <v>8044</v>
      </c>
      <c r="B1833" t="s">
        <v>6708</v>
      </c>
      <c r="C1833" s="1">
        <v>43170</v>
      </c>
      <c r="D1833" s="1">
        <v>43174</v>
      </c>
      <c r="E1833" t="s">
        <v>46</v>
      </c>
      <c r="F1833" t="s">
        <v>3126</v>
      </c>
      <c r="G1833" t="s">
        <v>3127</v>
      </c>
      <c r="H1833" t="s">
        <v>98</v>
      </c>
      <c r="I1833" t="s">
        <v>23</v>
      </c>
      <c r="J1833" t="s">
        <v>6544</v>
      </c>
      <c r="K1833" t="s">
        <v>1235</v>
      </c>
      <c r="L1833">
        <v>2138</v>
      </c>
      <c r="M1833" t="s">
        <v>144</v>
      </c>
      <c r="N1833" t="s">
        <v>6709</v>
      </c>
      <c r="O1833" t="s">
        <v>28</v>
      </c>
      <c r="P1833" t="s">
        <v>61</v>
      </c>
      <c r="Q1833" t="s">
        <v>6710</v>
      </c>
      <c r="R1833">
        <v>26.72</v>
      </c>
      <c r="S1833" t="str">
        <f>TEXT(sales_data[[#This Row],[Order Date]],"mm")</f>
        <v>03</v>
      </c>
      <c r="T1833">
        <f>YEAR(sales_data[[#This Row],[Order Date]])</f>
        <v>2018</v>
      </c>
      <c r="V1833" t="s">
        <v>6709</v>
      </c>
    </row>
    <row r="1834" spans="1:22" x14ac:dyDescent="0.35">
      <c r="A1834">
        <v>8101</v>
      </c>
      <c r="B1834" t="s">
        <v>6712</v>
      </c>
      <c r="C1834" s="1">
        <v>42804</v>
      </c>
      <c r="D1834" s="1">
        <v>42807</v>
      </c>
      <c r="E1834" t="s">
        <v>183</v>
      </c>
      <c r="F1834" t="s">
        <v>4563</v>
      </c>
      <c r="G1834" t="s">
        <v>4564</v>
      </c>
      <c r="H1834" t="s">
        <v>98</v>
      </c>
      <c r="I1834" t="s">
        <v>23</v>
      </c>
      <c r="J1834" t="s">
        <v>38</v>
      </c>
      <c r="K1834" t="s">
        <v>39</v>
      </c>
      <c r="L1834">
        <v>90045</v>
      </c>
      <c r="M1834" t="s">
        <v>40</v>
      </c>
      <c r="N1834" t="s">
        <v>6713</v>
      </c>
      <c r="O1834" t="s">
        <v>67</v>
      </c>
      <c r="P1834" t="s">
        <v>675</v>
      </c>
      <c r="Q1834" t="s">
        <v>6714</v>
      </c>
      <c r="R1834">
        <v>3357.6</v>
      </c>
      <c r="S1834" t="str">
        <f>TEXT(sales_data[[#This Row],[Order Date]],"mm")</f>
        <v>03</v>
      </c>
      <c r="T1834">
        <f>YEAR(sales_data[[#This Row],[Order Date]])</f>
        <v>2017</v>
      </c>
      <c r="V1834" t="s">
        <v>6713</v>
      </c>
    </row>
    <row r="1835" spans="1:22" x14ac:dyDescent="0.35">
      <c r="A1835">
        <v>8107</v>
      </c>
      <c r="B1835" t="s">
        <v>6715</v>
      </c>
      <c r="C1835" s="1">
        <v>43148</v>
      </c>
      <c r="D1835" s="1">
        <v>43150</v>
      </c>
      <c r="E1835" t="s">
        <v>183</v>
      </c>
      <c r="F1835" t="s">
        <v>6047</v>
      </c>
      <c r="G1835" t="s">
        <v>6048</v>
      </c>
      <c r="H1835" t="s">
        <v>98</v>
      </c>
      <c r="I1835" t="s">
        <v>23</v>
      </c>
      <c r="J1835" t="s">
        <v>179</v>
      </c>
      <c r="K1835" t="s">
        <v>100</v>
      </c>
      <c r="L1835">
        <v>77041</v>
      </c>
      <c r="M1835" t="s">
        <v>101</v>
      </c>
      <c r="N1835" t="s">
        <v>6716</v>
      </c>
      <c r="O1835" t="s">
        <v>42</v>
      </c>
      <c r="P1835" t="s">
        <v>64</v>
      </c>
      <c r="Q1835" t="s">
        <v>6717</v>
      </c>
      <c r="R1835">
        <v>175.44</v>
      </c>
      <c r="S1835" t="str">
        <f>TEXT(sales_data[[#This Row],[Order Date]],"mm")</f>
        <v>02</v>
      </c>
      <c r="T1835">
        <f>YEAR(sales_data[[#This Row],[Order Date]])</f>
        <v>2018</v>
      </c>
      <c r="V1835" t="s">
        <v>6716</v>
      </c>
    </row>
    <row r="1836" spans="1:22" x14ac:dyDescent="0.35">
      <c r="A1836">
        <v>8212</v>
      </c>
      <c r="B1836" t="s">
        <v>6719</v>
      </c>
      <c r="C1836" s="1">
        <v>43046</v>
      </c>
      <c r="D1836" s="1">
        <v>43051</v>
      </c>
      <c r="E1836" t="s">
        <v>46</v>
      </c>
      <c r="F1836" t="s">
        <v>2195</v>
      </c>
      <c r="G1836" t="s">
        <v>2196</v>
      </c>
      <c r="H1836" t="s">
        <v>22</v>
      </c>
      <c r="I1836" t="s">
        <v>23</v>
      </c>
      <c r="J1836" t="s">
        <v>807</v>
      </c>
      <c r="K1836" t="s">
        <v>100</v>
      </c>
      <c r="L1836">
        <v>75220</v>
      </c>
      <c r="M1836" t="s">
        <v>101</v>
      </c>
      <c r="N1836" t="s">
        <v>6720</v>
      </c>
      <c r="O1836" t="s">
        <v>28</v>
      </c>
      <c r="P1836" t="s">
        <v>61</v>
      </c>
      <c r="Q1836" t="s">
        <v>6721</v>
      </c>
      <c r="R1836">
        <v>44.46</v>
      </c>
      <c r="S1836" t="str">
        <f>TEXT(sales_data[[#This Row],[Order Date]],"mm")</f>
        <v>11</v>
      </c>
      <c r="T1836">
        <f>YEAR(sales_data[[#This Row],[Order Date]])</f>
        <v>2017</v>
      </c>
      <c r="V1836" t="s">
        <v>6720</v>
      </c>
    </row>
    <row r="1837" spans="1:22" x14ac:dyDescent="0.35">
      <c r="A1837">
        <v>8222</v>
      </c>
      <c r="B1837" t="s">
        <v>6722</v>
      </c>
      <c r="C1837" s="1">
        <v>42280</v>
      </c>
      <c r="D1837" s="1">
        <v>42284</v>
      </c>
      <c r="E1837" t="s">
        <v>46</v>
      </c>
      <c r="F1837" t="s">
        <v>5744</v>
      </c>
      <c r="G1837" t="s">
        <v>5745</v>
      </c>
      <c r="H1837" t="s">
        <v>22</v>
      </c>
      <c r="I1837" t="s">
        <v>23</v>
      </c>
      <c r="J1837" t="s">
        <v>807</v>
      </c>
      <c r="K1837" t="s">
        <v>100</v>
      </c>
      <c r="L1837">
        <v>75217</v>
      </c>
      <c r="M1837" t="s">
        <v>101</v>
      </c>
      <c r="N1837" t="s">
        <v>6723</v>
      </c>
      <c r="O1837" t="s">
        <v>42</v>
      </c>
      <c r="P1837" t="s">
        <v>264</v>
      </c>
      <c r="Q1837" t="s">
        <v>6724</v>
      </c>
      <c r="R1837">
        <v>15.071999999999999</v>
      </c>
      <c r="S1837" t="str">
        <f>TEXT(sales_data[[#This Row],[Order Date]],"mm")</f>
        <v>10</v>
      </c>
      <c r="T1837">
        <f>YEAR(sales_data[[#This Row],[Order Date]])</f>
        <v>2015</v>
      </c>
      <c r="V1837" t="s">
        <v>6723</v>
      </c>
    </row>
    <row r="1838" spans="1:22" x14ac:dyDescent="0.35">
      <c r="A1838">
        <v>8265</v>
      </c>
      <c r="B1838" t="s">
        <v>6725</v>
      </c>
      <c r="C1838" s="1">
        <v>42368</v>
      </c>
      <c r="D1838" s="1">
        <v>42373</v>
      </c>
      <c r="E1838" t="s">
        <v>46</v>
      </c>
      <c r="F1838" t="s">
        <v>1672</v>
      </c>
      <c r="G1838" t="s">
        <v>1673</v>
      </c>
      <c r="H1838" t="s">
        <v>22</v>
      </c>
      <c r="I1838" t="s">
        <v>23</v>
      </c>
      <c r="J1838" t="s">
        <v>261</v>
      </c>
      <c r="K1838" t="s">
        <v>262</v>
      </c>
      <c r="L1838">
        <v>10035</v>
      </c>
      <c r="M1838" t="s">
        <v>144</v>
      </c>
      <c r="N1838" t="s">
        <v>6726</v>
      </c>
      <c r="O1838" t="s">
        <v>42</v>
      </c>
      <c r="P1838" t="s">
        <v>74</v>
      </c>
      <c r="Q1838" t="s">
        <v>6727</v>
      </c>
      <c r="R1838">
        <v>122.94</v>
      </c>
      <c r="S1838" t="str">
        <f>TEXT(sales_data[[#This Row],[Order Date]],"mm")</f>
        <v>12</v>
      </c>
      <c r="T1838">
        <f>YEAR(sales_data[[#This Row],[Order Date]])</f>
        <v>2015</v>
      </c>
      <c r="V1838" t="s">
        <v>6726</v>
      </c>
    </row>
    <row r="1839" spans="1:22" x14ac:dyDescent="0.35">
      <c r="A1839">
        <v>8331</v>
      </c>
      <c r="B1839" t="s">
        <v>6728</v>
      </c>
      <c r="C1839" s="1">
        <v>43411</v>
      </c>
      <c r="D1839" s="1">
        <v>43415</v>
      </c>
      <c r="E1839" t="s">
        <v>46</v>
      </c>
      <c r="F1839" t="s">
        <v>1895</v>
      </c>
      <c r="G1839" t="s">
        <v>1896</v>
      </c>
      <c r="H1839" t="s">
        <v>22</v>
      </c>
      <c r="I1839" t="s">
        <v>23</v>
      </c>
      <c r="J1839" t="s">
        <v>261</v>
      </c>
      <c r="K1839" t="s">
        <v>262</v>
      </c>
      <c r="L1839">
        <v>10024</v>
      </c>
      <c r="M1839" t="s">
        <v>144</v>
      </c>
      <c r="N1839" t="s">
        <v>6729</v>
      </c>
      <c r="O1839" t="s">
        <v>67</v>
      </c>
      <c r="P1839" t="s">
        <v>156</v>
      </c>
      <c r="Q1839" t="s">
        <v>6730</v>
      </c>
      <c r="R1839">
        <v>7.88</v>
      </c>
      <c r="S1839" t="str">
        <f>TEXT(sales_data[[#This Row],[Order Date]],"mm")</f>
        <v>11</v>
      </c>
      <c r="T1839">
        <f>YEAR(sales_data[[#This Row],[Order Date]])</f>
        <v>2018</v>
      </c>
      <c r="V1839" t="s">
        <v>6729</v>
      </c>
    </row>
    <row r="1840" spans="1:22" x14ac:dyDescent="0.35">
      <c r="A1840">
        <v>8337</v>
      </c>
      <c r="B1840" t="s">
        <v>6731</v>
      </c>
      <c r="C1840" s="1">
        <v>42918</v>
      </c>
      <c r="D1840" s="1">
        <v>42924</v>
      </c>
      <c r="E1840" t="s">
        <v>46</v>
      </c>
      <c r="F1840" t="s">
        <v>2814</v>
      </c>
      <c r="G1840" t="s">
        <v>2815</v>
      </c>
      <c r="H1840" t="s">
        <v>22</v>
      </c>
      <c r="I1840" t="s">
        <v>23</v>
      </c>
      <c r="J1840" t="s">
        <v>1120</v>
      </c>
      <c r="K1840" t="s">
        <v>314</v>
      </c>
      <c r="L1840">
        <v>22204</v>
      </c>
      <c r="M1840" t="s">
        <v>26</v>
      </c>
      <c r="N1840" t="s">
        <v>6732</v>
      </c>
      <c r="O1840" t="s">
        <v>42</v>
      </c>
      <c r="P1840" t="s">
        <v>64</v>
      </c>
      <c r="Q1840" t="s">
        <v>6733</v>
      </c>
      <c r="R1840">
        <v>7.7</v>
      </c>
      <c r="S1840" t="str">
        <f>TEXT(sales_data[[#This Row],[Order Date]],"mm")</f>
        <v>07</v>
      </c>
      <c r="T1840">
        <f>YEAR(sales_data[[#This Row],[Order Date]])</f>
        <v>2017</v>
      </c>
      <c r="V1840" t="s">
        <v>6732</v>
      </c>
    </row>
    <row r="1841" spans="1:22" x14ac:dyDescent="0.35">
      <c r="A1841">
        <v>8367</v>
      </c>
      <c r="B1841" t="s">
        <v>6734</v>
      </c>
      <c r="C1841" s="1">
        <v>42254</v>
      </c>
      <c r="D1841" s="1">
        <v>42259</v>
      </c>
      <c r="E1841" t="s">
        <v>19</v>
      </c>
      <c r="F1841" t="s">
        <v>6332</v>
      </c>
      <c r="G1841" t="s">
        <v>6333</v>
      </c>
      <c r="H1841" t="s">
        <v>37</v>
      </c>
      <c r="I1841" t="s">
        <v>23</v>
      </c>
      <c r="J1841" t="s">
        <v>904</v>
      </c>
      <c r="K1841" t="s">
        <v>39</v>
      </c>
      <c r="L1841">
        <v>95051</v>
      </c>
      <c r="M1841" t="s">
        <v>40</v>
      </c>
      <c r="N1841" t="s">
        <v>6735</v>
      </c>
      <c r="O1841" t="s">
        <v>42</v>
      </c>
      <c r="P1841" t="s">
        <v>573</v>
      </c>
      <c r="Q1841" t="s">
        <v>6736</v>
      </c>
      <c r="R1841">
        <v>27.36</v>
      </c>
      <c r="S1841" t="str">
        <f>TEXT(sales_data[[#This Row],[Order Date]],"mm")</f>
        <v>09</v>
      </c>
      <c r="T1841">
        <f>YEAR(sales_data[[#This Row],[Order Date]])</f>
        <v>2015</v>
      </c>
      <c r="V1841" t="s">
        <v>6735</v>
      </c>
    </row>
    <row r="1842" spans="1:22" x14ac:dyDescent="0.35">
      <c r="A1842">
        <v>8478</v>
      </c>
      <c r="B1842" t="s">
        <v>6737</v>
      </c>
      <c r="C1842" s="1">
        <v>42673</v>
      </c>
      <c r="D1842" s="1">
        <v>42673</v>
      </c>
      <c r="E1842" t="s">
        <v>1277</v>
      </c>
      <c r="F1842" t="s">
        <v>2369</v>
      </c>
      <c r="G1842" t="s">
        <v>2370</v>
      </c>
      <c r="H1842" t="s">
        <v>37</v>
      </c>
      <c r="I1842" t="s">
        <v>23</v>
      </c>
      <c r="J1842" t="s">
        <v>261</v>
      </c>
      <c r="K1842" t="s">
        <v>262</v>
      </c>
      <c r="L1842">
        <v>10024</v>
      </c>
      <c r="M1842" t="s">
        <v>144</v>
      </c>
      <c r="N1842" t="s">
        <v>6738</v>
      </c>
      <c r="O1842" t="s">
        <v>67</v>
      </c>
      <c r="P1842" t="s">
        <v>675</v>
      </c>
      <c r="Q1842" t="s">
        <v>6739</v>
      </c>
      <c r="R1842">
        <v>1035.8</v>
      </c>
      <c r="S1842" t="str">
        <f>TEXT(sales_data[[#This Row],[Order Date]],"mm")</f>
        <v>10</v>
      </c>
      <c r="T1842">
        <f>YEAR(sales_data[[#This Row],[Order Date]])</f>
        <v>2016</v>
      </c>
      <c r="V1842" t="s">
        <v>6738</v>
      </c>
    </row>
    <row r="1843" spans="1:22" x14ac:dyDescent="0.35">
      <c r="A1843">
        <v>8703</v>
      </c>
      <c r="B1843" t="s">
        <v>6743</v>
      </c>
      <c r="C1843" s="1">
        <v>43266</v>
      </c>
      <c r="D1843" s="1">
        <v>43271</v>
      </c>
      <c r="E1843" t="s">
        <v>46</v>
      </c>
      <c r="F1843" t="s">
        <v>1136</v>
      </c>
      <c r="G1843" t="s">
        <v>1137</v>
      </c>
      <c r="H1843" t="s">
        <v>37</v>
      </c>
      <c r="I1843" t="s">
        <v>23</v>
      </c>
      <c r="J1843" t="s">
        <v>5118</v>
      </c>
      <c r="K1843" t="s">
        <v>330</v>
      </c>
      <c r="L1843">
        <v>37211</v>
      </c>
      <c r="M1843" t="s">
        <v>26</v>
      </c>
      <c r="N1843" t="s">
        <v>6744</v>
      </c>
      <c r="O1843" t="s">
        <v>42</v>
      </c>
      <c r="P1843" t="s">
        <v>86</v>
      </c>
      <c r="Q1843" t="s">
        <v>6745</v>
      </c>
      <c r="R1843">
        <v>91.36</v>
      </c>
      <c r="S1843" t="str">
        <f>TEXT(sales_data[[#This Row],[Order Date]],"mm")</f>
        <v>06</v>
      </c>
      <c r="T1843">
        <f>YEAR(sales_data[[#This Row],[Order Date]])</f>
        <v>2018</v>
      </c>
      <c r="V1843" t="s">
        <v>6744</v>
      </c>
    </row>
    <row r="1844" spans="1:22" x14ac:dyDescent="0.35">
      <c r="A1844">
        <v>8752</v>
      </c>
      <c r="B1844" t="s">
        <v>6746</v>
      </c>
      <c r="C1844" s="1">
        <v>42860</v>
      </c>
      <c r="D1844" s="1">
        <v>42864</v>
      </c>
      <c r="E1844" t="s">
        <v>46</v>
      </c>
      <c r="F1844" t="s">
        <v>435</v>
      </c>
      <c r="G1844" t="s">
        <v>436</v>
      </c>
      <c r="H1844" t="s">
        <v>98</v>
      </c>
      <c r="I1844" t="s">
        <v>23</v>
      </c>
      <c r="J1844" t="s">
        <v>5106</v>
      </c>
      <c r="K1844" t="s">
        <v>50</v>
      </c>
      <c r="L1844">
        <v>32303</v>
      </c>
      <c r="M1844" t="s">
        <v>26</v>
      </c>
      <c r="N1844" t="s">
        <v>6747</v>
      </c>
      <c r="O1844" t="s">
        <v>42</v>
      </c>
      <c r="P1844" t="s">
        <v>86</v>
      </c>
      <c r="Q1844" t="s">
        <v>6748</v>
      </c>
      <c r="R1844">
        <v>93.248000000000005</v>
      </c>
      <c r="S1844" t="str">
        <f>TEXT(sales_data[[#This Row],[Order Date]],"mm")</f>
        <v>05</v>
      </c>
      <c r="T1844">
        <f>YEAR(sales_data[[#This Row],[Order Date]])</f>
        <v>2017</v>
      </c>
      <c r="V1844" t="s">
        <v>6747</v>
      </c>
    </row>
    <row r="1845" spans="1:22" x14ac:dyDescent="0.35">
      <c r="A1845">
        <v>8816</v>
      </c>
      <c r="B1845" t="s">
        <v>6749</v>
      </c>
      <c r="C1845" s="1">
        <v>42697</v>
      </c>
      <c r="D1845" s="1">
        <v>42699</v>
      </c>
      <c r="E1845" t="s">
        <v>19</v>
      </c>
      <c r="F1845" t="s">
        <v>5006</v>
      </c>
      <c r="G1845" t="s">
        <v>5007</v>
      </c>
      <c r="H1845" t="s">
        <v>22</v>
      </c>
      <c r="I1845" t="s">
        <v>23</v>
      </c>
      <c r="J1845" t="s">
        <v>516</v>
      </c>
      <c r="K1845" t="s">
        <v>240</v>
      </c>
      <c r="L1845">
        <v>19805</v>
      </c>
      <c r="M1845" t="s">
        <v>144</v>
      </c>
      <c r="N1845" t="s">
        <v>6750</v>
      </c>
      <c r="O1845" t="s">
        <v>42</v>
      </c>
      <c r="P1845" t="s">
        <v>86</v>
      </c>
      <c r="Q1845" t="s">
        <v>6751</v>
      </c>
      <c r="R1845">
        <v>44.1</v>
      </c>
      <c r="S1845" t="str">
        <f>TEXT(sales_data[[#This Row],[Order Date]],"mm")</f>
        <v>11</v>
      </c>
      <c r="T1845">
        <f>YEAR(sales_data[[#This Row],[Order Date]])</f>
        <v>2016</v>
      </c>
      <c r="V1845" t="s">
        <v>6750</v>
      </c>
    </row>
    <row r="1846" spans="1:22" x14ac:dyDescent="0.35">
      <c r="A1846">
        <v>8873</v>
      </c>
      <c r="B1846" t="s">
        <v>6752</v>
      </c>
      <c r="C1846" s="1">
        <v>42287</v>
      </c>
      <c r="D1846" s="1">
        <v>42287</v>
      </c>
      <c r="E1846" t="s">
        <v>1277</v>
      </c>
      <c r="F1846" t="s">
        <v>4691</v>
      </c>
      <c r="G1846" t="s">
        <v>4692</v>
      </c>
      <c r="H1846" t="s">
        <v>22</v>
      </c>
      <c r="I1846" t="s">
        <v>23</v>
      </c>
      <c r="J1846" t="s">
        <v>492</v>
      </c>
      <c r="K1846" t="s">
        <v>493</v>
      </c>
      <c r="L1846">
        <v>43229</v>
      </c>
      <c r="M1846" t="s">
        <v>144</v>
      </c>
      <c r="N1846" t="s">
        <v>6753</v>
      </c>
      <c r="O1846" t="s">
        <v>67</v>
      </c>
      <c r="P1846" t="s">
        <v>675</v>
      </c>
      <c r="Q1846" t="s">
        <v>6754</v>
      </c>
      <c r="R1846">
        <v>101.994</v>
      </c>
      <c r="S1846" t="str">
        <f>TEXT(sales_data[[#This Row],[Order Date]],"mm")</f>
        <v>10</v>
      </c>
      <c r="T1846">
        <f>YEAR(sales_data[[#This Row],[Order Date]])</f>
        <v>2015</v>
      </c>
      <c r="V1846" t="s">
        <v>6753</v>
      </c>
    </row>
    <row r="1847" spans="1:22" x14ac:dyDescent="0.35">
      <c r="A1847">
        <v>8878</v>
      </c>
      <c r="B1847" t="s">
        <v>6755</v>
      </c>
      <c r="C1847" s="1">
        <v>43360</v>
      </c>
      <c r="D1847" s="1">
        <v>43366</v>
      </c>
      <c r="E1847" t="s">
        <v>46</v>
      </c>
      <c r="F1847" t="s">
        <v>444</v>
      </c>
      <c r="G1847" t="s">
        <v>445</v>
      </c>
      <c r="H1847" t="s">
        <v>22</v>
      </c>
      <c r="I1847" t="s">
        <v>23</v>
      </c>
      <c r="J1847" t="s">
        <v>994</v>
      </c>
      <c r="K1847" t="s">
        <v>780</v>
      </c>
      <c r="L1847">
        <v>7960</v>
      </c>
      <c r="M1847" t="s">
        <v>144</v>
      </c>
      <c r="N1847" t="s">
        <v>6756</v>
      </c>
      <c r="O1847" t="s">
        <v>67</v>
      </c>
      <c r="P1847" t="s">
        <v>675</v>
      </c>
      <c r="Q1847" t="s">
        <v>6757</v>
      </c>
      <c r="R1847">
        <v>480</v>
      </c>
      <c r="S1847" t="str">
        <f>TEXT(sales_data[[#This Row],[Order Date]],"mm")</f>
        <v>09</v>
      </c>
      <c r="T1847">
        <f>YEAR(sales_data[[#This Row],[Order Date]])</f>
        <v>2018</v>
      </c>
      <c r="V1847" t="s">
        <v>6756</v>
      </c>
    </row>
    <row r="1848" spans="1:22" x14ac:dyDescent="0.35">
      <c r="A1848">
        <v>8925</v>
      </c>
      <c r="B1848" t="s">
        <v>6758</v>
      </c>
      <c r="C1848" s="1">
        <v>42765</v>
      </c>
      <c r="D1848" s="1">
        <v>42769</v>
      </c>
      <c r="E1848" t="s">
        <v>46</v>
      </c>
      <c r="F1848" t="s">
        <v>5272</v>
      </c>
      <c r="G1848" t="s">
        <v>5273</v>
      </c>
      <c r="H1848" t="s">
        <v>22</v>
      </c>
      <c r="I1848" t="s">
        <v>23</v>
      </c>
      <c r="J1848" t="s">
        <v>3010</v>
      </c>
      <c r="K1848" t="s">
        <v>206</v>
      </c>
      <c r="L1848">
        <v>61107</v>
      </c>
      <c r="M1848" t="s">
        <v>101</v>
      </c>
      <c r="N1848" t="s">
        <v>6759</v>
      </c>
      <c r="O1848" t="s">
        <v>67</v>
      </c>
      <c r="P1848" t="s">
        <v>68</v>
      </c>
      <c r="Q1848" t="s">
        <v>6760</v>
      </c>
      <c r="R1848">
        <v>1439.9680000000001</v>
      </c>
      <c r="S1848" t="str">
        <f>TEXT(sales_data[[#This Row],[Order Date]],"mm")</f>
        <v>01</v>
      </c>
      <c r="T1848">
        <f>YEAR(sales_data[[#This Row],[Order Date]])</f>
        <v>2017</v>
      </c>
      <c r="V1848" t="s">
        <v>6759</v>
      </c>
    </row>
    <row r="1849" spans="1:22" x14ac:dyDescent="0.35">
      <c r="A1849">
        <v>8941</v>
      </c>
      <c r="B1849" t="s">
        <v>6761</v>
      </c>
      <c r="C1849" s="1">
        <v>42238</v>
      </c>
      <c r="D1849" s="1">
        <v>42240</v>
      </c>
      <c r="E1849" t="s">
        <v>19</v>
      </c>
      <c r="F1849" t="s">
        <v>1613</v>
      </c>
      <c r="G1849" t="s">
        <v>1614</v>
      </c>
      <c r="H1849" t="s">
        <v>22</v>
      </c>
      <c r="I1849" t="s">
        <v>23</v>
      </c>
      <c r="J1849" t="s">
        <v>5783</v>
      </c>
      <c r="K1849" t="s">
        <v>50</v>
      </c>
      <c r="L1849">
        <v>33161</v>
      </c>
      <c r="M1849" t="s">
        <v>26</v>
      </c>
      <c r="N1849" t="s">
        <v>6762</v>
      </c>
      <c r="O1849" t="s">
        <v>42</v>
      </c>
      <c r="P1849" t="s">
        <v>573</v>
      </c>
      <c r="Q1849" t="s">
        <v>6763</v>
      </c>
      <c r="R1849">
        <v>7.6319999999999997</v>
      </c>
      <c r="S1849" t="str">
        <f>TEXT(sales_data[[#This Row],[Order Date]],"mm")</f>
        <v>08</v>
      </c>
      <c r="T1849">
        <f>YEAR(sales_data[[#This Row],[Order Date]])</f>
        <v>2015</v>
      </c>
      <c r="V1849" t="s">
        <v>6762</v>
      </c>
    </row>
    <row r="1850" spans="1:22" x14ac:dyDescent="0.35">
      <c r="A1850">
        <v>8943</v>
      </c>
      <c r="B1850" t="s">
        <v>6764</v>
      </c>
      <c r="C1850" s="1">
        <v>43042</v>
      </c>
      <c r="D1850" s="1">
        <v>43044</v>
      </c>
      <c r="E1850" t="s">
        <v>183</v>
      </c>
      <c r="F1850" t="s">
        <v>4043</v>
      </c>
      <c r="G1850" t="s">
        <v>4044</v>
      </c>
      <c r="H1850" t="s">
        <v>22</v>
      </c>
      <c r="I1850" t="s">
        <v>23</v>
      </c>
      <c r="J1850" t="s">
        <v>414</v>
      </c>
      <c r="K1850" t="s">
        <v>415</v>
      </c>
      <c r="L1850">
        <v>97206</v>
      </c>
      <c r="M1850" t="s">
        <v>40</v>
      </c>
      <c r="N1850" t="s">
        <v>6765</v>
      </c>
      <c r="O1850" t="s">
        <v>67</v>
      </c>
      <c r="P1850" t="s">
        <v>675</v>
      </c>
      <c r="Q1850" t="s">
        <v>6766</v>
      </c>
      <c r="R1850">
        <v>179.99100000000001</v>
      </c>
      <c r="S1850" t="str">
        <f>TEXT(sales_data[[#This Row],[Order Date]],"mm")</f>
        <v>11</v>
      </c>
      <c r="T1850">
        <f>YEAR(sales_data[[#This Row],[Order Date]])</f>
        <v>2017</v>
      </c>
      <c r="V1850" t="s">
        <v>6765</v>
      </c>
    </row>
    <row r="1851" spans="1:22" x14ac:dyDescent="0.35">
      <c r="A1851">
        <v>9121</v>
      </c>
      <c r="B1851" t="s">
        <v>6767</v>
      </c>
      <c r="C1851" s="1">
        <v>42892</v>
      </c>
      <c r="D1851" s="1">
        <v>42898</v>
      </c>
      <c r="E1851" t="s">
        <v>46</v>
      </c>
      <c r="F1851" t="s">
        <v>1496</v>
      </c>
      <c r="G1851" t="s">
        <v>1497</v>
      </c>
      <c r="H1851" t="s">
        <v>98</v>
      </c>
      <c r="I1851" t="s">
        <v>23</v>
      </c>
      <c r="J1851" t="s">
        <v>38</v>
      </c>
      <c r="K1851" t="s">
        <v>39</v>
      </c>
      <c r="L1851">
        <v>90036</v>
      </c>
      <c r="M1851" t="s">
        <v>40</v>
      </c>
      <c r="N1851" t="s">
        <v>6768</v>
      </c>
      <c r="O1851" t="s">
        <v>42</v>
      </c>
      <c r="P1851" t="s">
        <v>86</v>
      </c>
      <c r="Q1851" t="s">
        <v>6769</v>
      </c>
      <c r="R1851">
        <v>99.9</v>
      </c>
      <c r="S1851" t="str">
        <f>TEXT(sales_data[[#This Row],[Order Date]],"mm")</f>
        <v>06</v>
      </c>
      <c r="T1851">
        <f>YEAR(sales_data[[#This Row],[Order Date]])</f>
        <v>2017</v>
      </c>
      <c r="V1851" t="s">
        <v>6768</v>
      </c>
    </row>
    <row r="1852" spans="1:22" x14ac:dyDescent="0.35">
      <c r="A1852">
        <v>9148</v>
      </c>
      <c r="B1852" t="s">
        <v>6770</v>
      </c>
      <c r="C1852" s="1">
        <v>42758</v>
      </c>
      <c r="D1852" s="1">
        <v>42762</v>
      </c>
      <c r="E1852" t="s">
        <v>46</v>
      </c>
      <c r="F1852" t="s">
        <v>988</v>
      </c>
      <c r="G1852" t="s">
        <v>989</v>
      </c>
      <c r="H1852" t="s">
        <v>37</v>
      </c>
      <c r="I1852" t="s">
        <v>23</v>
      </c>
      <c r="J1852" t="s">
        <v>2191</v>
      </c>
      <c r="K1852" t="s">
        <v>4777</v>
      </c>
      <c r="M1852" t="s">
        <v>144</v>
      </c>
      <c r="N1852" t="s">
        <v>6771</v>
      </c>
      <c r="O1852" t="s">
        <v>42</v>
      </c>
      <c r="P1852" t="s">
        <v>64</v>
      </c>
      <c r="Q1852" t="s">
        <v>6772</v>
      </c>
      <c r="R1852">
        <v>8.0399999999999991</v>
      </c>
      <c r="S1852" t="str">
        <f>TEXT(sales_data[[#This Row],[Order Date]],"mm")</f>
        <v>01</v>
      </c>
      <c r="T1852">
        <f>YEAR(sales_data[[#This Row],[Order Date]])</f>
        <v>2017</v>
      </c>
      <c r="V1852" t="s">
        <v>6771</v>
      </c>
    </row>
    <row r="1853" spans="1:22" x14ac:dyDescent="0.35">
      <c r="A1853">
        <v>9186</v>
      </c>
      <c r="B1853" t="s">
        <v>6773</v>
      </c>
      <c r="C1853" s="1">
        <v>43319</v>
      </c>
      <c r="D1853" s="1">
        <v>43323</v>
      </c>
      <c r="E1853" t="s">
        <v>46</v>
      </c>
      <c r="F1853" t="s">
        <v>1248</v>
      </c>
      <c r="G1853" t="s">
        <v>1249</v>
      </c>
      <c r="H1853" t="s">
        <v>22</v>
      </c>
      <c r="I1853" t="s">
        <v>23</v>
      </c>
      <c r="J1853" t="s">
        <v>3785</v>
      </c>
      <c r="K1853" t="s">
        <v>39</v>
      </c>
      <c r="L1853">
        <v>92683</v>
      </c>
      <c r="M1853" t="s">
        <v>40</v>
      </c>
      <c r="N1853" t="s">
        <v>6774</v>
      </c>
      <c r="O1853" t="s">
        <v>28</v>
      </c>
      <c r="P1853" t="s">
        <v>32</v>
      </c>
      <c r="Q1853" t="s">
        <v>6775</v>
      </c>
      <c r="R1853">
        <v>207.184</v>
      </c>
      <c r="S1853" t="str">
        <f>TEXT(sales_data[[#This Row],[Order Date]],"mm")</f>
        <v>08</v>
      </c>
      <c r="T1853">
        <f>YEAR(sales_data[[#This Row],[Order Date]])</f>
        <v>2018</v>
      </c>
      <c r="V1853" t="s">
        <v>6774</v>
      </c>
    </row>
    <row r="1854" spans="1:22" x14ac:dyDescent="0.35">
      <c r="A1854">
        <v>9215</v>
      </c>
      <c r="B1854" t="s">
        <v>6777</v>
      </c>
      <c r="C1854" s="1">
        <v>43373</v>
      </c>
      <c r="D1854" s="1">
        <v>43375</v>
      </c>
      <c r="E1854" t="s">
        <v>183</v>
      </c>
      <c r="F1854" t="s">
        <v>4322</v>
      </c>
      <c r="G1854" t="s">
        <v>4323</v>
      </c>
      <c r="H1854" t="s">
        <v>37</v>
      </c>
      <c r="I1854" t="s">
        <v>23</v>
      </c>
      <c r="J1854" t="s">
        <v>142</v>
      </c>
      <c r="K1854" t="s">
        <v>143</v>
      </c>
      <c r="L1854">
        <v>19120</v>
      </c>
      <c r="M1854" t="s">
        <v>144</v>
      </c>
      <c r="N1854" t="s">
        <v>6778</v>
      </c>
      <c r="O1854" t="s">
        <v>42</v>
      </c>
      <c r="P1854" t="s">
        <v>43</v>
      </c>
      <c r="Q1854" t="s">
        <v>6779</v>
      </c>
      <c r="R1854">
        <v>20.664000000000001</v>
      </c>
      <c r="S1854" t="str">
        <f>TEXT(sales_data[[#This Row],[Order Date]],"mm")</f>
        <v>09</v>
      </c>
      <c r="T1854">
        <f>YEAR(sales_data[[#This Row],[Order Date]])</f>
        <v>2018</v>
      </c>
      <c r="V1854" t="s">
        <v>6778</v>
      </c>
    </row>
    <row r="1855" spans="1:22" x14ac:dyDescent="0.35">
      <c r="A1855">
        <v>9320</v>
      </c>
      <c r="B1855" t="s">
        <v>6780</v>
      </c>
      <c r="C1855" s="1">
        <v>43301</v>
      </c>
      <c r="D1855" s="1">
        <v>43306</v>
      </c>
      <c r="E1855" t="s">
        <v>46</v>
      </c>
      <c r="F1855" t="s">
        <v>2115</v>
      </c>
      <c r="G1855" t="s">
        <v>2116</v>
      </c>
      <c r="H1855" t="s">
        <v>37</v>
      </c>
      <c r="I1855" t="s">
        <v>23</v>
      </c>
      <c r="J1855" t="s">
        <v>261</v>
      </c>
      <c r="K1855" t="s">
        <v>262</v>
      </c>
      <c r="L1855">
        <v>10009</v>
      </c>
      <c r="M1855" t="s">
        <v>144</v>
      </c>
      <c r="N1855" t="s">
        <v>6781</v>
      </c>
      <c r="O1855" t="s">
        <v>28</v>
      </c>
      <c r="P1855" t="s">
        <v>32</v>
      </c>
      <c r="Q1855" t="s">
        <v>6782</v>
      </c>
      <c r="R1855">
        <v>163.76400000000001</v>
      </c>
      <c r="S1855" t="str">
        <f>TEXT(sales_data[[#This Row],[Order Date]],"mm")</f>
        <v>07</v>
      </c>
      <c r="T1855">
        <f>YEAR(sales_data[[#This Row],[Order Date]])</f>
        <v>2018</v>
      </c>
      <c r="V1855" t="s">
        <v>6781</v>
      </c>
    </row>
    <row r="1856" spans="1:22" x14ac:dyDescent="0.35">
      <c r="A1856">
        <v>9379</v>
      </c>
      <c r="B1856" t="s">
        <v>6783</v>
      </c>
      <c r="C1856" s="1">
        <v>42865</v>
      </c>
      <c r="D1856" s="1">
        <v>42870</v>
      </c>
      <c r="E1856" t="s">
        <v>46</v>
      </c>
      <c r="F1856" t="s">
        <v>3451</v>
      </c>
      <c r="G1856" t="s">
        <v>3452</v>
      </c>
      <c r="H1856" t="s">
        <v>22</v>
      </c>
      <c r="I1856" t="s">
        <v>23</v>
      </c>
      <c r="J1856" t="s">
        <v>298</v>
      </c>
      <c r="K1856" t="s">
        <v>206</v>
      </c>
      <c r="L1856">
        <v>60610</v>
      </c>
      <c r="M1856" t="s">
        <v>101</v>
      </c>
      <c r="N1856" t="s">
        <v>6784</v>
      </c>
      <c r="O1856" t="s">
        <v>42</v>
      </c>
      <c r="P1856" t="s">
        <v>168</v>
      </c>
      <c r="Q1856" t="s">
        <v>6785</v>
      </c>
      <c r="R1856">
        <v>7.0720000000000001</v>
      </c>
      <c r="S1856" t="str">
        <f>TEXT(sales_data[[#This Row],[Order Date]],"mm")</f>
        <v>05</v>
      </c>
      <c r="T1856">
        <f>YEAR(sales_data[[#This Row],[Order Date]])</f>
        <v>2017</v>
      </c>
      <c r="V1856" t="s">
        <v>6784</v>
      </c>
    </row>
    <row r="1857" spans="1:22" x14ac:dyDescent="0.35">
      <c r="A1857">
        <v>9456</v>
      </c>
      <c r="B1857" t="s">
        <v>6788</v>
      </c>
      <c r="C1857" s="1">
        <v>42902</v>
      </c>
      <c r="D1857" s="1">
        <v>42905</v>
      </c>
      <c r="E1857" t="s">
        <v>19</v>
      </c>
      <c r="F1857" t="s">
        <v>2553</v>
      </c>
      <c r="G1857" t="s">
        <v>2554</v>
      </c>
      <c r="H1857" t="s">
        <v>98</v>
      </c>
      <c r="I1857" t="s">
        <v>23</v>
      </c>
      <c r="J1857" t="s">
        <v>5489</v>
      </c>
      <c r="K1857" t="s">
        <v>330</v>
      </c>
      <c r="L1857">
        <v>37421</v>
      </c>
      <c r="M1857" t="s">
        <v>26</v>
      </c>
      <c r="N1857" t="s">
        <v>6789</v>
      </c>
      <c r="O1857" t="s">
        <v>67</v>
      </c>
      <c r="P1857" t="s">
        <v>675</v>
      </c>
      <c r="Q1857" t="s">
        <v>6790</v>
      </c>
      <c r="R1857">
        <v>91.474999999999994</v>
      </c>
      <c r="S1857" t="str">
        <f>TEXT(sales_data[[#This Row],[Order Date]],"mm")</f>
        <v>06</v>
      </c>
      <c r="T1857">
        <f>YEAR(sales_data[[#This Row],[Order Date]])</f>
        <v>2017</v>
      </c>
      <c r="V1857" t="s">
        <v>6789</v>
      </c>
    </row>
    <row r="1858" spans="1:22" x14ac:dyDescent="0.35">
      <c r="A1858">
        <v>9457</v>
      </c>
      <c r="B1858" t="s">
        <v>6791</v>
      </c>
      <c r="C1858" s="1">
        <v>43247</v>
      </c>
      <c r="D1858" s="1">
        <v>43254</v>
      </c>
      <c r="E1858" t="s">
        <v>46</v>
      </c>
      <c r="F1858" t="s">
        <v>2500</v>
      </c>
      <c r="G1858" t="s">
        <v>2501</v>
      </c>
      <c r="H1858" t="s">
        <v>37</v>
      </c>
      <c r="I1858" t="s">
        <v>23</v>
      </c>
      <c r="J1858" t="s">
        <v>4218</v>
      </c>
      <c r="K1858" t="s">
        <v>84</v>
      </c>
      <c r="L1858">
        <v>27405</v>
      </c>
      <c r="M1858" t="s">
        <v>26</v>
      </c>
      <c r="N1858" t="s">
        <v>6792</v>
      </c>
      <c r="O1858" t="s">
        <v>67</v>
      </c>
      <c r="P1858" t="s">
        <v>156</v>
      </c>
      <c r="Q1858" t="s">
        <v>6793</v>
      </c>
      <c r="R1858">
        <v>27.192</v>
      </c>
      <c r="S1858" t="str">
        <f>TEXT(sales_data[[#This Row],[Order Date]],"mm")</f>
        <v>05</v>
      </c>
      <c r="T1858">
        <f>YEAR(sales_data[[#This Row],[Order Date]])</f>
        <v>2018</v>
      </c>
      <c r="V1858" t="s">
        <v>6792</v>
      </c>
    </row>
    <row r="1859" spans="1:22" x14ac:dyDescent="0.35">
      <c r="A1859">
        <v>9522</v>
      </c>
      <c r="B1859" t="s">
        <v>6794</v>
      </c>
      <c r="C1859" s="1">
        <v>42357</v>
      </c>
      <c r="D1859" s="1">
        <v>42363</v>
      </c>
      <c r="E1859" t="s">
        <v>46</v>
      </c>
      <c r="F1859" t="s">
        <v>4959</v>
      </c>
      <c r="G1859" t="s">
        <v>4960</v>
      </c>
      <c r="H1859" t="s">
        <v>22</v>
      </c>
      <c r="I1859" t="s">
        <v>23</v>
      </c>
      <c r="J1859" t="s">
        <v>298</v>
      </c>
      <c r="K1859" t="s">
        <v>206</v>
      </c>
      <c r="L1859">
        <v>60623</v>
      </c>
      <c r="M1859" t="s">
        <v>101</v>
      </c>
      <c r="N1859" t="s">
        <v>6795</v>
      </c>
      <c r="O1859" t="s">
        <v>67</v>
      </c>
      <c r="P1859" t="s">
        <v>68</v>
      </c>
      <c r="Q1859" t="s">
        <v>6796</v>
      </c>
      <c r="R1859">
        <v>323.976</v>
      </c>
      <c r="S1859" t="str">
        <f>TEXT(sales_data[[#This Row],[Order Date]],"mm")</f>
        <v>12</v>
      </c>
      <c r="T1859">
        <f>YEAR(sales_data[[#This Row],[Order Date]])</f>
        <v>2015</v>
      </c>
      <c r="V1859" t="s">
        <v>6795</v>
      </c>
    </row>
    <row r="1860" spans="1:22" x14ac:dyDescent="0.35">
      <c r="A1860">
        <v>9563</v>
      </c>
      <c r="B1860" t="s">
        <v>6797</v>
      </c>
      <c r="C1860" s="1">
        <v>42858</v>
      </c>
      <c r="D1860" s="1">
        <v>42860</v>
      </c>
      <c r="E1860" t="s">
        <v>183</v>
      </c>
      <c r="F1860" t="s">
        <v>6798</v>
      </c>
      <c r="G1860" t="s">
        <v>6799</v>
      </c>
      <c r="H1860" t="s">
        <v>22</v>
      </c>
      <c r="I1860" t="s">
        <v>23</v>
      </c>
      <c r="J1860" t="s">
        <v>599</v>
      </c>
      <c r="K1860" t="s">
        <v>493</v>
      </c>
      <c r="L1860">
        <v>43055</v>
      </c>
      <c r="M1860" t="s">
        <v>144</v>
      </c>
      <c r="N1860" t="s">
        <v>6800</v>
      </c>
      <c r="O1860" t="s">
        <v>67</v>
      </c>
      <c r="P1860" t="s">
        <v>675</v>
      </c>
      <c r="Q1860" t="s">
        <v>6801</v>
      </c>
      <c r="R1860">
        <v>224.93700000000001</v>
      </c>
      <c r="S1860" t="str">
        <f>TEXT(sales_data[[#This Row],[Order Date]],"mm")</f>
        <v>05</v>
      </c>
      <c r="T1860">
        <f>YEAR(sales_data[[#This Row],[Order Date]])</f>
        <v>2017</v>
      </c>
      <c r="V1860" t="s">
        <v>6800</v>
      </c>
    </row>
    <row r="1861" spans="1:22" x14ac:dyDescent="0.35">
      <c r="A1861">
        <v>9605</v>
      </c>
      <c r="B1861" t="s">
        <v>6802</v>
      </c>
      <c r="C1861" s="1">
        <v>42676</v>
      </c>
      <c r="D1861" s="1">
        <v>42679</v>
      </c>
      <c r="E1861" t="s">
        <v>183</v>
      </c>
      <c r="F1861" t="s">
        <v>2306</v>
      </c>
      <c r="G1861" t="s">
        <v>2307</v>
      </c>
      <c r="H1861" t="s">
        <v>22</v>
      </c>
      <c r="I1861" t="s">
        <v>23</v>
      </c>
      <c r="J1861" t="s">
        <v>4548</v>
      </c>
      <c r="K1861" t="s">
        <v>314</v>
      </c>
      <c r="L1861">
        <v>23320</v>
      </c>
      <c r="M1861" t="s">
        <v>26</v>
      </c>
      <c r="N1861" t="s">
        <v>6803</v>
      </c>
      <c r="O1861" t="s">
        <v>42</v>
      </c>
      <c r="P1861" t="s">
        <v>74</v>
      </c>
      <c r="Q1861" t="s">
        <v>6804</v>
      </c>
      <c r="R1861">
        <v>197.72</v>
      </c>
      <c r="S1861" t="str">
        <f>TEXT(sales_data[[#This Row],[Order Date]],"mm")</f>
        <v>11</v>
      </c>
      <c r="T1861">
        <f>YEAR(sales_data[[#This Row],[Order Date]])</f>
        <v>2016</v>
      </c>
      <c r="V1861" t="s">
        <v>6803</v>
      </c>
    </row>
    <row r="1862" spans="1:22" x14ac:dyDescent="0.35">
      <c r="A1862">
        <v>9674</v>
      </c>
      <c r="B1862" t="s">
        <v>6805</v>
      </c>
      <c r="C1862" s="1">
        <v>43092</v>
      </c>
      <c r="D1862" s="1">
        <v>43097</v>
      </c>
      <c r="E1862" t="s">
        <v>46</v>
      </c>
      <c r="F1862" t="s">
        <v>744</v>
      </c>
      <c r="G1862" t="s">
        <v>745</v>
      </c>
      <c r="H1862" t="s">
        <v>98</v>
      </c>
      <c r="I1862" t="s">
        <v>23</v>
      </c>
      <c r="J1862" t="s">
        <v>142</v>
      </c>
      <c r="K1862" t="s">
        <v>143</v>
      </c>
      <c r="L1862">
        <v>19143</v>
      </c>
      <c r="M1862" t="s">
        <v>144</v>
      </c>
      <c r="N1862" t="s">
        <v>6806</v>
      </c>
      <c r="O1862" t="s">
        <v>67</v>
      </c>
      <c r="P1862" t="s">
        <v>68</v>
      </c>
      <c r="Q1862" t="s">
        <v>6807</v>
      </c>
      <c r="R1862">
        <v>1499.97</v>
      </c>
      <c r="S1862" t="str">
        <f>TEXT(sales_data[[#This Row],[Order Date]],"mm")</f>
        <v>12</v>
      </c>
      <c r="T1862">
        <f>YEAR(sales_data[[#This Row],[Order Date]])</f>
        <v>2017</v>
      </c>
      <c r="V1862" t="s">
        <v>6806</v>
      </c>
    </row>
    <row r="1863" spans="1:22" x14ac:dyDescent="0.35">
      <c r="C1863" s="1"/>
      <c r="D1863" s="1"/>
      <c r="S1863" t="str">
        <f>TEXT(sales_data[[#This Row],[Order Date]],"mm")</f>
        <v>01</v>
      </c>
      <c r="T1863">
        <f>YEAR(sales_data[[#This Row],[Order Date]])</f>
        <v>1900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0839-6655-41E9-90FD-1D6FAAFE7EFE}">
  <dimension ref="A1:B795"/>
  <sheetViews>
    <sheetView workbookViewId="0">
      <selection sqref="A1:A1048576"/>
    </sheetView>
  </sheetViews>
  <sheetFormatPr defaultRowHeight="14.5" x14ac:dyDescent="0.35"/>
  <sheetData>
    <row r="1" spans="1:2" x14ac:dyDescent="0.35">
      <c r="A1" s="6" t="s">
        <v>6832</v>
      </c>
    </row>
    <row r="2" spans="1:2" x14ac:dyDescent="0.35">
      <c r="A2" s="8" t="s">
        <v>20</v>
      </c>
      <c r="B2">
        <f>COUNTA(A:A)</f>
        <v>794</v>
      </c>
    </row>
    <row r="3" spans="1:2" x14ac:dyDescent="0.35">
      <c r="A3" s="8" t="s">
        <v>35</v>
      </c>
    </row>
    <row r="4" spans="1:2" x14ac:dyDescent="0.35">
      <c r="A4" s="8" t="s">
        <v>47</v>
      </c>
    </row>
    <row r="5" spans="1:2" x14ac:dyDescent="0.35">
      <c r="A5" s="7" t="s">
        <v>58</v>
      </c>
    </row>
    <row r="6" spans="1:2" x14ac:dyDescent="0.35">
      <c r="A6" s="8" t="s">
        <v>81</v>
      </c>
    </row>
    <row r="7" spans="1:2" x14ac:dyDescent="0.35">
      <c r="A7" s="7" t="s">
        <v>89</v>
      </c>
    </row>
    <row r="8" spans="1:2" x14ac:dyDescent="0.35">
      <c r="A8" s="8" t="s">
        <v>96</v>
      </c>
    </row>
    <row r="9" spans="1:2" x14ac:dyDescent="0.35">
      <c r="A9" s="8" t="s">
        <v>107</v>
      </c>
    </row>
    <row r="10" spans="1:2" x14ac:dyDescent="0.35">
      <c r="A10" s="8" t="s">
        <v>114</v>
      </c>
    </row>
    <row r="11" spans="1:2" x14ac:dyDescent="0.35">
      <c r="A11" s="8" t="s">
        <v>121</v>
      </c>
    </row>
    <row r="12" spans="1:2" x14ac:dyDescent="0.35">
      <c r="A12" s="8" t="s">
        <v>131</v>
      </c>
    </row>
    <row r="13" spans="1:2" x14ac:dyDescent="0.35">
      <c r="A13" s="7" t="s">
        <v>140</v>
      </c>
    </row>
    <row r="14" spans="1:2" x14ac:dyDescent="0.35">
      <c r="A14" s="8" t="s">
        <v>147</v>
      </c>
    </row>
    <row r="15" spans="1:2" x14ac:dyDescent="0.35">
      <c r="A15" s="7" t="s">
        <v>151</v>
      </c>
    </row>
    <row r="16" spans="1:2" x14ac:dyDescent="0.35">
      <c r="A16" s="8" t="s">
        <v>159</v>
      </c>
    </row>
    <row r="17" spans="1:1" x14ac:dyDescent="0.35">
      <c r="A17" s="8" t="s">
        <v>177</v>
      </c>
    </row>
    <row r="18" spans="1:1" x14ac:dyDescent="0.35">
      <c r="A18" s="8" t="s">
        <v>184</v>
      </c>
    </row>
    <row r="19" spans="1:1" x14ac:dyDescent="0.35">
      <c r="A19" s="7" t="s">
        <v>192</v>
      </c>
    </row>
    <row r="20" spans="1:1" x14ac:dyDescent="0.35">
      <c r="A20" s="8" t="s">
        <v>203</v>
      </c>
    </row>
    <row r="21" spans="1:1" x14ac:dyDescent="0.35">
      <c r="A21" s="8" t="s">
        <v>210</v>
      </c>
    </row>
    <row r="22" spans="1:1" x14ac:dyDescent="0.35">
      <c r="A22" s="8" t="s">
        <v>215</v>
      </c>
    </row>
    <row r="23" spans="1:1" x14ac:dyDescent="0.35">
      <c r="A23" s="8" t="s">
        <v>221</v>
      </c>
    </row>
    <row r="24" spans="1:1" x14ac:dyDescent="0.35">
      <c r="A24" s="8" t="s">
        <v>230</v>
      </c>
    </row>
    <row r="25" spans="1:1" x14ac:dyDescent="0.35">
      <c r="A25" s="7" t="s">
        <v>237</v>
      </c>
    </row>
    <row r="26" spans="1:1" x14ac:dyDescent="0.35">
      <c r="A26" s="8" t="s">
        <v>246</v>
      </c>
    </row>
    <row r="27" spans="1:1" x14ac:dyDescent="0.35">
      <c r="A27" s="7" t="s">
        <v>259</v>
      </c>
    </row>
    <row r="28" spans="1:1" x14ac:dyDescent="0.35">
      <c r="A28" s="8" t="s">
        <v>269</v>
      </c>
    </row>
    <row r="29" spans="1:1" x14ac:dyDescent="0.35">
      <c r="A29" s="8" t="s">
        <v>285</v>
      </c>
    </row>
    <row r="30" spans="1:1" x14ac:dyDescent="0.35">
      <c r="A30" s="8" t="s">
        <v>296</v>
      </c>
    </row>
    <row r="31" spans="1:1" x14ac:dyDescent="0.35">
      <c r="A31" s="7" t="s">
        <v>302</v>
      </c>
    </row>
    <row r="32" spans="1:1" x14ac:dyDescent="0.35">
      <c r="A32" s="8" t="s">
        <v>311</v>
      </c>
    </row>
    <row r="33" spans="1:1" x14ac:dyDescent="0.35">
      <c r="A33" s="8" t="s">
        <v>318</v>
      </c>
    </row>
    <row r="34" spans="1:1" x14ac:dyDescent="0.35">
      <c r="A34" s="8" t="s">
        <v>327</v>
      </c>
    </row>
    <row r="35" spans="1:1" x14ac:dyDescent="0.35">
      <c r="A35" s="7" t="s">
        <v>338</v>
      </c>
    </row>
    <row r="36" spans="1:1" x14ac:dyDescent="0.35">
      <c r="A36" s="8" t="s">
        <v>350</v>
      </c>
    </row>
    <row r="37" spans="1:1" x14ac:dyDescent="0.35">
      <c r="A37" s="7" t="s">
        <v>359</v>
      </c>
    </row>
    <row r="38" spans="1:1" x14ac:dyDescent="0.35">
      <c r="A38" s="8" t="s">
        <v>366</v>
      </c>
    </row>
    <row r="39" spans="1:1" x14ac:dyDescent="0.35">
      <c r="A39" s="8" t="s">
        <v>372</v>
      </c>
    </row>
    <row r="40" spans="1:1" x14ac:dyDescent="0.35">
      <c r="A40" s="8" t="s">
        <v>382</v>
      </c>
    </row>
    <row r="41" spans="1:1" x14ac:dyDescent="0.35">
      <c r="A41" s="8" t="s">
        <v>390</v>
      </c>
    </row>
    <row r="42" spans="1:1" x14ac:dyDescent="0.35">
      <c r="A42" s="8" t="s">
        <v>395</v>
      </c>
    </row>
    <row r="43" spans="1:1" x14ac:dyDescent="0.35">
      <c r="A43" s="8" t="s">
        <v>402</v>
      </c>
    </row>
    <row r="44" spans="1:1" x14ac:dyDescent="0.35">
      <c r="A44" s="8" t="s">
        <v>412</v>
      </c>
    </row>
    <row r="45" spans="1:1" x14ac:dyDescent="0.35">
      <c r="A45" s="8" t="s">
        <v>419</v>
      </c>
    </row>
    <row r="46" spans="1:1" x14ac:dyDescent="0.35">
      <c r="A46" s="8" t="s">
        <v>424</v>
      </c>
    </row>
    <row r="47" spans="1:1" x14ac:dyDescent="0.35">
      <c r="A47" s="8" t="s">
        <v>429</v>
      </c>
    </row>
    <row r="48" spans="1:1" x14ac:dyDescent="0.35">
      <c r="A48" s="8" t="s">
        <v>435</v>
      </c>
    </row>
    <row r="49" spans="1:1" x14ac:dyDescent="0.35">
      <c r="A49" s="8" t="s">
        <v>444</v>
      </c>
    </row>
    <row r="50" spans="1:1" x14ac:dyDescent="0.35">
      <c r="A50" s="8" t="s">
        <v>449</v>
      </c>
    </row>
    <row r="51" spans="1:1" x14ac:dyDescent="0.35">
      <c r="A51" s="8" t="s">
        <v>460</v>
      </c>
    </row>
    <row r="52" spans="1:1" x14ac:dyDescent="0.35">
      <c r="A52" s="8" t="s">
        <v>470</v>
      </c>
    </row>
    <row r="53" spans="1:1" x14ac:dyDescent="0.35">
      <c r="A53" s="8" t="s">
        <v>476</v>
      </c>
    </row>
    <row r="54" spans="1:1" x14ac:dyDescent="0.35">
      <c r="A54" s="8" t="s">
        <v>481</v>
      </c>
    </row>
    <row r="55" spans="1:1" x14ac:dyDescent="0.35">
      <c r="A55" s="7" t="s">
        <v>490</v>
      </c>
    </row>
    <row r="56" spans="1:1" x14ac:dyDescent="0.35">
      <c r="A56" s="8" t="s">
        <v>503</v>
      </c>
    </row>
    <row r="57" spans="1:1" x14ac:dyDescent="0.35">
      <c r="A57" s="8" t="s">
        <v>508</v>
      </c>
    </row>
    <row r="58" spans="1:1" x14ac:dyDescent="0.35">
      <c r="A58" s="8" t="s">
        <v>514</v>
      </c>
    </row>
    <row r="59" spans="1:1" x14ac:dyDescent="0.35">
      <c r="A59" s="8" t="s">
        <v>526</v>
      </c>
    </row>
    <row r="60" spans="1:1" x14ac:dyDescent="0.35">
      <c r="A60" s="8" t="s">
        <v>531</v>
      </c>
    </row>
    <row r="61" spans="1:1" x14ac:dyDescent="0.35">
      <c r="A61" s="8" t="s">
        <v>537</v>
      </c>
    </row>
    <row r="62" spans="1:1" x14ac:dyDescent="0.35">
      <c r="A62" s="8" t="s">
        <v>545</v>
      </c>
    </row>
    <row r="63" spans="1:1" x14ac:dyDescent="0.35">
      <c r="A63" s="8" t="s">
        <v>550</v>
      </c>
    </row>
    <row r="64" spans="1:1" x14ac:dyDescent="0.35">
      <c r="A64" s="8" t="s">
        <v>559</v>
      </c>
    </row>
    <row r="65" spans="1:1" x14ac:dyDescent="0.35">
      <c r="A65" s="8" t="s">
        <v>575</v>
      </c>
    </row>
    <row r="66" spans="1:1" x14ac:dyDescent="0.35">
      <c r="A66" s="8" t="s">
        <v>578</v>
      </c>
    </row>
    <row r="67" spans="1:1" x14ac:dyDescent="0.35">
      <c r="A67" s="8" t="s">
        <v>587</v>
      </c>
    </row>
    <row r="68" spans="1:1" x14ac:dyDescent="0.35">
      <c r="A68" s="8" t="s">
        <v>593</v>
      </c>
    </row>
    <row r="69" spans="1:1" x14ac:dyDescent="0.35">
      <c r="A69" s="8" t="s">
        <v>597</v>
      </c>
    </row>
    <row r="70" spans="1:1" x14ac:dyDescent="0.35">
      <c r="A70" s="8" t="s">
        <v>603</v>
      </c>
    </row>
    <row r="71" spans="1:1" x14ac:dyDescent="0.35">
      <c r="A71" s="7" t="s">
        <v>613</v>
      </c>
    </row>
    <row r="72" spans="1:1" x14ac:dyDescent="0.35">
      <c r="A72" s="8" t="s">
        <v>621</v>
      </c>
    </row>
    <row r="73" spans="1:1" x14ac:dyDescent="0.35">
      <c r="A73" s="8" t="s">
        <v>631</v>
      </c>
    </row>
    <row r="74" spans="1:1" x14ac:dyDescent="0.35">
      <c r="A74" s="8" t="s">
        <v>635</v>
      </c>
    </row>
    <row r="75" spans="1:1" x14ac:dyDescent="0.35">
      <c r="A75" s="8" t="s">
        <v>638</v>
      </c>
    </row>
    <row r="76" spans="1:1" x14ac:dyDescent="0.35">
      <c r="A76" s="8" t="s">
        <v>647</v>
      </c>
    </row>
    <row r="77" spans="1:1" x14ac:dyDescent="0.35">
      <c r="A77" s="7" t="s">
        <v>652</v>
      </c>
    </row>
    <row r="78" spans="1:1" x14ac:dyDescent="0.35">
      <c r="A78" s="8" t="s">
        <v>657</v>
      </c>
    </row>
    <row r="79" spans="1:1" x14ac:dyDescent="0.35">
      <c r="A79" s="7" t="s">
        <v>664</v>
      </c>
    </row>
    <row r="80" spans="1:1" x14ac:dyDescent="0.35">
      <c r="A80" s="8" t="s">
        <v>669</v>
      </c>
    </row>
    <row r="81" spans="1:1" x14ac:dyDescent="0.35">
      <c r="A81" s="7" t="s">
        <v>688</v>
      </c>
    </row>
    <row r="82" spans="1:1" x14ac:dyDescent="0.35">
      <c r="A82" s="8" t="s">
        <v>697</v>
      </c>
    </row>
    <row r="83" spans="1:1" x14ac:dyDescent="0.35">
      <c r="A83" s="8" t="s">
        <v>704</v>
      </c>
    </row>
    <row r="84" spans="1:1" x14ac:dyDescent="0.35">
      <c r="A84" s="8" t="s">
        <v>714</v>
      </c>
    </row>
    <row r="85" spans="1:1" x14ac:dyDescent="0.35">
      <c r="A85" s="8" t="s">
        <v>719</v>
      </c>
    </row>
    <row r="86" spans="1:1" x14ac:dyDescent="0.35">
      <c r="A86" s="8" t="s">
        <v>726</v>
      </c>
    </row>
    <row r="87" spans="1:1" x14ac:dyDescent="0.35">
      <c r="A87" s="7" t="s">
        <v>737</v>
      </c>
    </row>
    <row r="88" spans="1:1" x14ac:dyDescent="0.35">
      <c r="A88" s="8" t="s">
        <v>744</v>
      </c>
    </row>
    <row r="89" spans="1:1" x14ac:dyDescent="0.35">
      <c r="A89" s="7" t="s">
        <v>749</v>
      </c>
    </row>
    <row r="90" spans="1:1" x14ac:dyDescent="0.35">
      <c r="A90" s="8" t="s">
        <v>755</v>
      </c>
    </row>
    <row r="91" spans="1:1" x14ac:dyDescent="0.35">
      <c r="A91" s="8" t="s">
        <v>765</v>
      </c>
    </row>
    <row r="92" spans="1:1" x14ac:dyDescent="0.35">
      <c r="A92" s="8" t="s">
        <v>769</v>
      </c>
    </row>
    <row r="93" spans="1:1" x14ac:dyDescent="0.35">
      <c r="A93" s="7" t="s">
        <v>777</v>
      </c>
    </row>
    <row r="94" spans="1:1" x14ac:dyDescent="0.35">
      <c r="A94" s="8" t="s">
        <v>784</v>
      </c>
    </row>
    <row r="95" spans="1:1" x14ac:dyDescent="0.35">
      <c r="A95" s="8" t="s">
        <v>791</v>
      </c>
    </row>
    <row r="96" spans="1:1" x14ac:dyDescent="0.35">
      <c r="A96" s="8" t="s">
        <v>797</v>
      </c>
    </row>
    <row r="97" spans="1:1" x14ac:dyDescent="0.35">
      <c r="A97" s="7" t="s">
        <v>805</v>
      </c>
    </row>
    <row r="98" spans="1:1" x14ac:dyDescent="0.35">
      <c r="A98" s="8" t="s">
        <v>811</v>
      </c>
    </row>
    <row r="99" spans="1:1" x14ac:dyDescent="0.35">
      <c r="A99" s="7" t="s">
        <v>816</v>
      </c>
    </row>
    <row r="100" spans="1:1" x14ac:dyDescent="0.35">
      <c r="A100" s="8" t="s">
        <v>822</v>
      </c>
    </row>
    <row r="101" spans="1:1" x14ac:dyDescent="0.35">
      <c r="A101" s="7" t="s">
        <v>834</v>
      </c>
    </row>
    <row r="102" spans="1:1" x14ac:dyDescent="0.35">
      <c r="A102" s="8" t="s">
        <v>839</v>
      </c>
    </row>
    <row r="103" spans="1:1" x14ac:dyDescent="0.35">
      <c r="A103" s="7" t="s">
        <v>851</v>
      </c>
    </row>
    <row r="104" spans="1:1" x14ac:dyDescent="0.35">
      <c r="A104" s="8" t="s">
        <v>856</v>
      </c>
    </row>
    <row r="105" spans="1:1" x14ac:dyDescent="0.35">
      <c r="A105" s="7" t="s">
        <v>870</v>
      </c>
    </row>
    <row r="106" spans="1:1" x14ac:dyDescent="0.35">
      <c r="A106" s="8" t="s">
        <v>880</v>
      </c>
    </row>
    <row r="107" spans="1:1" x14ac:dyDescent="0.35">
      <c r="A107" s="8" t="s">
        <v>887</v>
      </c>
    </row>
    <row r="108" spans="1:1" x14ac:dyDescent="0.35">
      <c r="A108" s="8" t="s">
        <v>902</v>
      </c>
    </row>
    <row r="109" spans="1:1" x14ac:dyDescent="0.35">
      <c r="A109" s="7" t="s">
        <v>908</v>
      </c>
    </row>
    <row r="110" spans="1:1" x14ac:dyDescent="0.35">
      <c r="A110" s="8" t="s">
        <v>923</v>
      </c>
    </row>
    <row r="111" spans="1:1" x14ac:dyDescent="0.35">
      <c r="A111" s="7" t="s">
        <v>933</v>
      </c>
    </row>
    <row r="112" spans="1:1" x14ac:dyDescent="0.35">
      <c r="A112" s="8" t="s">
        <v>938</v>
      </c>
    </row>
    <row r="113" spans="1:1" x14ac:dyDescent="0.35">
      <c r="A113" s="8" t="s">
        <v>944</v>
      </c>
    </row>
    <row r="114" spans="1:1" x14ac:dyDescent="0.35">
      <c r="A114" s="8" t="s">
        <v>951</v>
      </c>
    </row>
    <row r="115" spans="1:1" x14ac:dyDescent="0.35">
      <c r="A115" s="8" t="s">
        <v>958</v>
      </c>
    </row>
    <row r="116" spans="1:1" x14ac:dyDescent="0.35">
      <c r="A116" s="8" t="s">
        <v>967</v>
      </c>
    </row>
    <row r="117" spans="1:1" x14ac:dyDescent="0.35">
      <c r="A117" s="8" t="s">
        <v>972</v>
      </c>
    </row>
    <row r="118" spans="1:1" x14ac:dyDescent="0.35">
      <c r="A118" s="8" t="s">
        <v>977</v>
      </c>
    </row>
    <row r="119" spans="1:1" x14ac:dyDescent="0.35">
      <c r="A119" s="7" t="s">
        <v>982</v>
      </c>
    </row>
    <row r="120" spans="1:1" x14ac:dyDescent="0.35">
      <c r="A120" s="8" t="s">
        <v>988</v>
      </c>
    </row>
    <row r="121" spans="1:1" x14ac:dyDescent="0.35">
      <c r="A121" s="8" t="s">
        <v>998</v>
      </c>
    </row>
    <row r="122" spans="1:1" x14ac:dyDescent="0.35">
      <c r="A122" s="8" t="s">
        <v>1006</v>
      </c>
    </row>
    <row r="123" spans="1:1" x14ac:dyDescent="0.35">
      <c r="A123" s="8" t="s">
        <v>1018</v>
      </c>
    </row>
    <row r="124" spans="1:1" x14ac:dyDescent="0.35">
      <c r="A124" s="8" t="s">
        <v>1026</v>
      </c>
    </row>
    <row r="125" spans="1:1" x14ac:dyDescent="0.35">
      <c r="A125" s="8" t="s">
        <v>1042</v>
      </c>
    </row>
    <row r="126" spans="1:1" x14ac:dyDescent="0.35">
      <c r="A126" s="8" t="s">
        <v>1053</v>
      </c>
    </row>
    <row r="127" spans="1:1" x14ac:dyDescent="0.35">
      <c r="A127" s="7" t="s">
        <v>1061</v>
      </c>
    </row>
    <row r="128" spans="1:1" x14ac:dyDescent="0.35">
      <c r="A128" s="8" t="s">
        <v>1072</v>
      </c>
    </row>
    <row r="129" spans="1:1" x14ac:dyDescent="0.35">
      <c r="A129" s="8" t="s">
        <v>1101</v>
      </c>
    </row>
    <row r="130" spans="1:1" x14ac:dyDescent="0.35">
      <c r="A130" s="8" t="s">
        <v>1110</v>
      </c>
    </row>
    <row r="131" spans="1:1" x14ac:dyDescent="0.35">
      <c r="A131" s="8" t="s">
        <v>1118</v>
      </c>
    </row>
    <row r="132" spans="1:1" x14ac:dyDescent="0.35">
      <c r="A132" s="8" t="s">
        <v>1124</v>
      </c>
    </row>
    <row r="133" spans="1:1" x14ac:dyDescent="0.35">
      <c r="A133" s="7" t="s">
        <v>1136</v>
      </c>
    </row>
    <row r="134" spans="1:1" x14ac:dyDescent="0.35">
      <c r="A134" s="8" t="s">
        <v>1142</v>
      </c>
    </row>
    <row r="135" spans="1:1" x14ac:dyDescent="0.35">
      <c r="A135" s="8" t="s">
        <v>1150</v>
      </c>
    </row>
    <row r="136" spans="1:1" x14ac:dyDescent="0.35">
      <c r="A136" s="8" t="s">
        <v>1155</v>
      </c>
    </row>
    <row r="137" spans="1:1" x14ac:dyDescent="0.35">
      <c r="A137" s="8" t="s">
        <v>1164</v>
      </c>
    </row>
    <row r="138" spans="1:1" x14ac:dyDescent="0.35">
      <c r="A138" s="8" t="s">
        <v>1170</v>
      </c>
    </row>
    <row r="139" spans="1:1" x14ac:dyDescent="0.35">
      <c r="A139" s="7" t="s">
        <v>1176</v>
      </c>
    </row>
    <row r="140" spans="1:1" x14ac:dyDescent="0.35">
      <c r="A140" s="8" t="s">
        <v>1182</v>
      </c>
    </row>
    <row r="141" spans="1:1" x14ac:dyDescent="0.35">
      <c r="A141" s="7" t="s">
        <v>1195</v>
      </c>
    </row>
    <row r="142" spans="1:1" x14ac:dyDescent="0.35">
      <c r="A142" s="8" t="s">
        <v>1204</v>
      </c>
    </row>
    <row r="143" spans="1:1" x14ac:dyDescent="0.35">
      <c r="A143" s="7" t="s">
        <v>1214</v>
      </c>
    </row>
    <row r="144" spans="1:1" x14ac:dyDescent="0.35">
      <c r="A144" s="8" t="s">
        <v>1230</v>
      </c>
    </row>
    <row r="145" spans="1:1" x14ac:dyDescent="0.35">
      <c r="A145" s="8" t="s">
        <v>1232</v>
      </c>
    </row>
    <row r="146" spans="1:1" x14ac:dyDescent="0.35">
      <c r="A146" s="8" t="s">
        <v>1239</v>
      </c>
    </row>
    <row r="147" spans="1:1" x14ac:dyDescent="0.35">
      <c r="A147" s="8" t="s">
        <v>1248</v>
      </c>
    </row>
    <row r="148" spans="1:1" x14ac:dyDescent="0.35">
      <c r="A148" s="8" t="s">
        <v>1259</v>
      </c>
    </row>
    <row r="149" spans="1:1" x14ac:dyDescent="0.35">
      <c r="A149" s="7" t="s">
        <v>1267</v>
      </c>
    </row>
    <row r="150" spans="1:1" x14ac:dyDescent="0.35">
      <c r="A150" s="8" t="s">
        <v>1275</v>
      </c>
    </row>
    <row r="151" spans="1:1" x14ac:dyDescent="0.35">
      <c r="A151" s="8" t="s">
        <v>1278</v>
      </c>
    </row>
    <row r="152" spans="1:1" x14ac:dyDescent="0.35">
      <c r="A152" s="8" t="s">
        <v>1288</v>
      </c>
    </row>
    <row r="153" spans="1:1" x14ac:dyDescent="0.35">
      <c r="A153" s="8" t="s">
        <v>1296</v>
      </c>
    </row>
    <row r="154" spans="1:1" x14ac:dyDescent="0.35">
      <c r="A154" s="8" t="s">
        <v>1306</v>
      </c>
    </row>
    <row r="155" spans="1:1" x14ac:dyDescent="0.35">
      <c r="A155" s="7" t="s">
        <v>1312</v>
      </c>
    </row>
    <row r="156" spans="1:1" x14ac:dyDescent="0.35">
      <c r="A156" s="8" t="s">
        <v>1317</v>
      </c>
    </row>
    <row r="157" spans="1:1" x14ac:dyDescent="0.35">
      <c r="A157" s="7" t="s">
        <v>1326</v>
      </c>
    </row>
    <row r="158" spans="1:1" x14ac:dyDescent="0.35">
      <c r="A158" s="8" t="s">
        <v>1333</v>
      </c>
    </row>
    <row r="159" spans="1:1" x14ac:dyDescent="0.35">
      <c r="A159" s="8" t="s">
        <v>1338</v>
      </c>
    </row>
    <row r="160" spans="1:1" x14ac:dyDescent="0.35">
      <c r="A160" s="8" t="s">
        <v>1346</v>
      </c>
    </row>
    <row r="161" spans="1:1" x14ac:dyDescent="0.35">
      <c r="A161" s="8" t="s">
        <v>1353</v>
      </c>
    </row>
    <row r="162" spans="1:1" x14ac:dyDescent="0.35">
      <c r="A162" s="8" t="s">
        <v>1358</v>
      </c>
    </row>
    <row r="163" spans="1:1" x14ac:dyDescent="0.35">
      <c r="A163" s="7" t="s">
        <v>1363</v>
      </c>
    </row>
    <row r="164" spans="1:1" x14ac:dyDescent="0.35">
      <c r="A164" s="8" t="s">
        <v>1371</v>
      </c>
    </row>
    <row r="165" spans="1:1" x14ac:dyDescent="0.35">
      <c r="A165" s="8" t="s">
        <v>1377</v>
      </c>
    </row>
    <row r="166" spans="1:1" x14ac:dyDescent="0.35">
      <c r="A166" s="8" t="s">
        <v>1384</v>
      </c>
    </row>
    <row r="167" spans="1:1" x14ac:dyDescent="0.35">
      <c r="A167" s="8" t="s">
        <v>1396</v>
      </c>
    </row>
    <row r="168" spans="1:1" x14ac:dyDescent="0.35">
      <c r="A168" s="8" t="s">
        <v>1405</v>
      </c>
    </row>
    <row r="169" spans="1:1" x14ac:dyDescent="0.35">
      <c r="A169" s="8" t="s">
        <v>1414</v>
      </c>
    </row>
    <row r="170" spans="1:1" x14ac:dyDescent="0.35">
      <c r="A170" s="8" t="s">
        <v>1419</v>
      </c>
    </row>
    <row r="171" spans="1:1" x14ac:dyDescent="0.35">
      <c r="A171" s="8" t="s">
        <v>1436</v>
      </c>
    </row>
    <row r="172" spans="1:1" x14ac:dyDescent="0.35">
      <c r="A172" s="8" t="s">
        <v>1441</v>
      </c>
    </row>
    <row r="173" spans="1:1" x14ac:dyDescent="0.35">
      <c r="A173" s="7" t="s">
        <v>1447</v>
      </c>
    </row>
    <row r="174" spans="1:1" x14ac:dyDescent="0.35">
      <c r="A174" s="8" t="s">
        <v>1465</v>
      </c>
    </row>
    <row r="175" spans="1:1" x14ac:dyDescent="0.35">
      <c r="A175" s="8" t="s">
        <v>1473</v>
      </c>
    </row>
    <row r="176" spans="1:1" x14ac:dyDescent="0.35">
      <c r="A176" s="8" t="s">
        <v>1485</v>
      </c>
    </row>
    <row r="177" spans="1:1" x14ac:dyDescent="0.35">
      <c r="A177" s="8" t="s">
        <v>1491</v>
      </c>
    </row>
    <row r="178" spans="1:1" x14ac:dyDescent="0.35">
      <c r="A178" s="8" t="s">
        <v>1496</v>
      </c>
    </row>
    <row r="179" spans="1:1" x14ac:dyDescent="0.35">
      <c r="A179" s="8" t="s">
        <v>1507</v>
      </c>
    </row>
    <row r="180" spans="1:1" x14ac:dyDescent="0.35">
      <c r="A180" s="8" t="s">
        <v>1515</v>
      </c>
    </row>
    <row r="181" spans="1:1" x14ac:dyDescent="0.35">
      <c r="A181" s="8" t="s">
        <v>1520</v>
      </c>
    </row>
    <row r="182" spans="1:1" x14ac:dyDescent="0.35">
      <c r="A182" s="8" t="s">
        <v>1541</v>
      </c>
    </row>
    <row r="183" spans="1:1" x14ac:dyDescent="0.35">
      <c r="A183" s="7" t="s">
        <v>1546</v>
      </c>
    </row>
    <row r="184" spans="1:1" x14ac:dyDescent="0.35">
      <c r="A184" s="8" t="s">
        <v>1562</v>
      </c>
    </row>
    <row r="185" spans="1:1" x14ac:dyDescent="0.35">
      <c r="A185" s="8" t="s">
        <v>1571</v>
      </c>
    </row>
    <row r="186" spans="1:1" x14ac:dyDescent="0.35">
      <c r="A186" s="8" t="s">
        <v>1587</v>
      </c>
    </row>
    <row r="187" spans="1:1" x14ac:dyDescent="0.35">
      <c r="A187" s="7" t="s">
        <v>1597</v>
      </c>
    </row>
    <row r="188" spans="1:1" x14ac:dyDescent="0.35">
      <c r="A188" s="8" t="s">
        <v>1607</v>
      </c>
    </row>
    <row r="189" spans="1:1" x14ac:dyDescent="0.35">
      <c r="A189" s="7" t="s">
        <v>1613</v>
      </c>
    </row>
    <row r="190" spans="1:1" x14ac:dyDescent="0.35">
      <c r="A190" s="8" t="s">
        <v>1630</v>
      </c>
    </row>
    <row r="191" spans="1:1" x14ac:dyDescent="0.35">
      <c r="A191" s="7" t="s">
        <v>1633</v>
      </c>
    </row>
    <row r="192" spans="1:1" x14ac:dyDescent="0.35">
      <c r="A192" s="8" t="s">
        <v>1640</v>
      </c>
    </row>
    <row r="193" spans="1:1" x14ac:dyDescent="0.35">
      <c r="A193" s="8" t="s">
        <v>1645</v>
      </c>
    </row>
    <row r="194" spans="1:1" x14ac:dyDescent="0.35">
      <c r="A194" s="8" t="s">
        <v>1650</v>
      </c>
    </row>
    <row r="195" spans="1:1" x14ac:dyDescent="0.35">
      <c r="A195" s="7" t="s">
        <v>1659</v>
      </c>
    </row>
    <row r="196" spans="1:1" x14ac:dyDescent="0.35">
      <c r="A196" s="8" t="s">
        <v>1664</v>
      </c>
    </row>
    <row r="197" spans="1:1" x14ac:dyDescent="0.35">
      <c r="A197" s="7" t="s">
        <v>1672</v>
      </c>
    </row>
    <row r="198" spans="1:1" x14ac:dyDescent="0.35">
      <c r="A198" s="8" t="s">
        <v>1679</v>
      </c>
    </row>
    <row r="199" spans="1:1" x14ac:dyDescent="0.35">
      <c r="A199" s="8" t="s">
        <v>1684</v>
      </c>
    </row>
    <row r="200" spans="1:1" x14ac:dyDescent="0.35">
      <c r="A200" s="8" t="s">
        <v>1689</v>
      </c>
    </row>
    <row r="201" spans="1:1" x14ac:dyDescent="0.35">
      <c r="A201" s="8" t="s">
        <v>1704</v>
      </c>
    </row>
    <row r="202" spans="1:1" x14ac:dyDescent="0.35">
      <c r="A202" s="8" t="s">
        <v>1718</v>
      </c>
    </row>
    <row r="203" spans="1:1" x14ac:dyDescent="0.35">
      <c r="A203" s="8" t="s">
        <v>1728</v>
      </c>
    </row>
    <row r="204" spans="1:1" x14ac:dyDescent="0.35">
      <c r="A204" s="8" t="s">
        <v>1736</v>
      </c>
    </row>
    <row r="205" spans="1:1" x14ac:dyDescent="0.35">
      <c r="A205" s="7" t="s">
        <v>1754</v>
      </c>
    </row>
    <row r="206" spans="1:1" x14ac:dyDescent="0.35">
      <c r="A206" s="8" t="s">
        <v>1760</v>
      </c>
    </row>
    <row r="207" spans="1:1" x14ac:dyDescent="0.35">
      <c r="A207" s="7" t="s">
        <v>1765</v>
      </c>
    </row>
    <row r="208" spans="1:1" x14ac:dyDescent="0.35">
      <c r="A208" s="8" t="s">
        <v>1769</v>
      </c>
    </row>
    <row r="209" spans="1:1" x14ac:dyDescent="0.35">
      <c r="A209" s="8" t="s">
        <v>1775</v>
      </c>
    </row>
    <row r="210" spans="1:1" x14ac:dyDescent="0.35">
      <c r="A210" s="8" t="s">
        <v>1784</v>
      </c>
    </row>
    <row r="211" spans="1:1" x14ac:dyDescent="0.35">
      <c r="A211" s="8" t="s">
        <v>1789</v>
      </c>
    </row>
    <row r="212" spans="1:1" x14ac:dyDescent="0.35">
      <c r="A212" s="8" t="s">
        <v>1794</v>
      </c>
    </row>
    <row r="213" spans="1:1" x14ac:dyDescent="0.35">
      <c r="A213" s="7" t="s">
        <v>1800</v>
      </c>
    </row>
    <row r="214" spans="1:1" x14ac:dyDescent="0.35">
      <c r="A214" s="8" t="s">
        <v>1806</v>
      </c>
    </row>
    <row r="215" spans="1:1" x14ac:dyDescent="0.35">
      <c r="A215" s="8" t="s">
        <v>1814</v>
      </c>
    </row>
    <row r="216" spans="1:1" x14ac:dyDescent="0.35">
      <c r="A216" s="8" t="s">
        <v>1821</v>
      </c>
    </row>
    <row r="217" spans="1:1" x14ac:dyDescent="0.35">
      <c r="A217" s="8" t="s">
        <v>1829</v>
      </c>
    </row>
    <row r="218" spans="1:1" x14ac:dyDescent="0.35">
      <c r="A218" s="8" t="s">
        <v>1838</v>
      </c>
    </row>
    <row r="219" spans="1:1" x14ac:dyDescent="0.35">
      <c r="A219" s="7" t="s">
        <v>1847</v>
      </c>
    </row>
    <row r="220" spans="1:1" x14ac:dyDescent="0.35">
      <c r="A220" s="8" t="s">
        <v>1855</v>
      </c>
    </row>
    <row r="221" spans="1:1" x14ac:dyDescent="0.35">
      <c r="A221" s="7" t="s">
        <v>1864</v>
      </c>
    </row>
    <row r="222" spans="1:1" x14ac:dyDescent="0.35">
      <c r="A222" s="8" t="s">
        <v>1869</v>
      </c>
    </row>
    <row r="223" spans="1:1" x14ac:dyDescent="0.35">
      <c r="A223" s="7" t="s">
        <v>1878</v>
      </c>
    </row>
    <row r="224" spans="1:1" x14ac:dyDescent="0.35">
      <c r="A224" s="8" t="s">
        <v>1883</v>
      </c>
    </row>
    <row r="225" spans="1:1" x14ac:dyDescent="0.35">
      <c r="A225" s="7" t="s">
        <v>1890</v>
      </c>
    </row>
    <row r="226" spans="1:1" x14ac:dyDescent="0.35">
      <c r="A226" s="8" t="s">
        <v>1895</v>
      </c>
    </row>
    <row r="227" spans="1:1" x14ac:dyDescent="0.35">
      <c r="A227" s="8" t="s">
        <v>1900</v>
      </c>
    </row>
    <row r="228" spans="1:1" x14ac:dyDescent="0.35">
      <c r="A228" s="8" t="s">
        <v>1911</v>
      </c>
    </row>
    <row r="229" spans="1:1" x14ac:dyDescent="0.35">
      <c r="A229" s="8" t="s">
        <v>1916</v>
      </c>
    </row>
    <row r="230" spans="1:1" x14ac:dyDescent="0.35">
      <c r="A230" s="8" t="s">
        <v>1922</v>
      </c>
    </row>
    <row r="231" spans="1:1" x14ac:dyDescent="0.35">
      <c r="A231" s="8" t="s">
        <v>1929</v>
      </c>
    </row>
    <row r="232" spans="1:1" x14ac:dyDescent="0.35">
      <c r="A232" s="8" t="s">
        <v>1934</v>
      </c>
    </row>
    <row r="233" spans="1:1" x14ac:dyDescent="0.35">
      <c r="A233" s="7" t="s">
        <v>1939</v>
      </c>
    </row>
    <row r="234" spans="1:1" x14ac:dyDescent="0.35">
      <c r="A234" s="8" t="s">
        <v>1946</v>
      </c>
    </row>
    <row r="235" spans="1:1" x14ac:dyDescent="0.35">
      <c r="A235" s="8" t="s">
        <v>1951</v>
      </c>
    </row>
    <row r="236" spans="1:1" x14ac:dyDescent="0.35">
      <c r="A236" s="8" t="s">
        <v>1961</v>
      </c>
    </row>
    <row r="237" spans="1:1" x14ac:dyDescent="0.35">
      <c r="A237" s="8" t="s">
        <v>1967</v>
      </c>
    </row>
    <row r="238" spans="1:1" x14ac:dyDescent="0.35">
      <c r="A238" s="8" t="s">
        <v>1974</v>
      </c>
    </row>
    <row r="239" spans="1:1" x14ac:dyDescent="0.35">
      <c r="A239" s="7" t="s">
        <v>1979</v>
      </c>
    </row>
    <row r="240" spans="1:1" x14ac:dyDescent="0.35">
      <c r="A240" s="8" t="s">
        <v>1986</v>
      </c>
    </row>
    <row r="241" spans="1:1" x14ac:dyDescent="0.35">
      <c r="A241" s="7" t="s">
        <v>1993</v>
      </c>
    </row>
    <row r="242" spans="1:1" x14ac:dyDescent="0.35">
      <c r="A242" s="8" t="s">
        <v>2000</v>
      </c>
    </row>
    <row r="243" spans="1:1" x14ac:dyDescent="0.35">
      <c r="A243" s="8" t="s">
        <v>2005</v>
      </c>
    </row>
    <row r="244" spans="1:1" x14ac:dyDescent="0.35">
      <c r="A244" s="8" t="s">
        <v>2012</v>
      </c>
    </row>
    <row r="245" spans="1:1" x14ac:dyDescent="0.35">
      <c r="A245" s="8" t="s">
        <v>2018</v>
      </c>
    </row>
    <row r="246" spans="1:1" x14ac:dyDescent="0.35">
      <c r="A246" s="8" t="s">
        <v>2029</v>
      </c>
    </row>
    <row r="247" spans="1:1" x14ac:dyDescent="0.35">
      <c r="A247" s="8" t="s">
        <v>2034</v>
      </c>
    </row>
    <row r="248" spans="1:1" x14ac:dyDescent="0.35">
      <c r="A248" s="8" t="s">
        <v>2044</v>
      </c>
    </row>
    <row r="249" spans="1:1" x14ac:dyDescent="0.35">
      <c r="A249" s="7" t="s">
        <v>2049</v>
      </c>
    </row>
    <row r="250" spans="1:1" x14ac:dyDescent="0.35">
      <c r="A250" s="8" t="s">
        <v>2057</v>
      </c>
    </row>
    <row r="251" spans="1:1" x14ac:dyDescent="0.35">
      <c r="A251" s="7" t="s">
        <v>2069</v>
      </c>
    </row>
    <row r="252" spans="1:1" x14ac:dyDescent="0.35">
      <c r="A252" s="8" t="s">
        <v>2075</v>
      </c>
    </row>
    <row r="253" spans="1:1" x14ac:dyDescent="0.35">
      <c r="A253" s="8" t="s">
        <v>2086</v>
      </c>
    </row>
    <row r="254" spans="1:1" x14ac:dyDescent="0.35">
      <c r="A254" s="8" t="s">
        <v>2091</v>
      </c>
    </row>
    <row r="255" spans="1:1" x14ac:dyDescent="0.35">
      <c r="A255" s="7" t="s">
        <v>2098</v>
      </c>
    </row>
    <row r="256" spans="1:1" x14ac:dyDescent="0.35">
      <c r="A256" s="8" t="s">
        <v>2105</v>
      </c>
    </row>
    <row r="257" spans="1:1" x14ac:dyDescent="0.35">
      <c r="A257" s="8" t="s">
        <v>2115</v>
      </c>
    </row>
    <row r="258" spans="1:1" x14ac:dyDescent="0.35">
      <c r="A258" s="8" t="s">
        <v>2120</v>
      </c>
    </row>
    <row r="259" spans="1:1" x14ac:dyDescent="0.35">
      <c r="A259" s="8" t="s">
        <v>2126</v>
      </c>
    </row>
    <row r="260" spans="1:1" x14ac:dyDescent="0.35">
      <c r="A260" s="8" t="s">
        <v>2134</v>
      </c>
    </row>
    <row r="261" spans="1:1" x14ac:dyDescent="0.35">
      <c r="A261" s="7" t="s">
        <v>2139</v>
      </c>
    </row>
    <row r="262" spans="1:1" x14ac:dyDescent="0.35">
      <c r="A262" s="8" t="s">
        <v>2142</v>
      </c>
    </row>
    <row r="263" spans="1:1" x14ac:dyDescent="0.35">
      <c r="A263" s="8" t="s">
        <v>2149</v>
      </c>
    </row>
    <row r="264" spans="1:1" x14ac:dyDescent="0.35">
      <c r="A264" s="8" t="s">
        <v>2163</v>
      </c>
    </row>
    <row r="265" spans="1:1" x14ac:dyDescent="0.35">
      <c r="A265" s="8" t="s">
        <v>2170</v>
      </c>
    </row>
    <row r="266" spans="1:1" x14ac:dyDescent="0.35">
      <c r="A266" s="8" t="s">
        <v>2182</v>
      </c>
    </row>
    <row r="267" spans="1:1" x14ac:dyDescent="0.35">
      <c r="A267" s="7" t="s">
        <v>2189</v>
      </c>
    </row>
    <row r="268" spans="1:1" x14ac:dyDescent="0.35">
      <c r="A268" s="8" t="s">
        <v>2195</v>
      </c>
    </row>
    <row r="269" spans="1:1" x14ac:dyDescent="0.35">
      <c r="A269" s="8" t="s">
        <v>2200</v>
      </c>
    </row>
    <row r="270" spans="1:1" x14ac:dyDescent="0.35">
      <c r="A270" s="8" t="s">
        <v>2205</v>
      </c>
    </row>
    <row r="271" spans="1:1" x14ac:dyDescent="0.35">
      <c r="A271" s="8" t="s">
        <v>2213</v>
      </c>
    </row>
    <row r="272" spans="1:1" x14ac:dyDescent="0.35">
      <c r="A272" s="8" t="s">
        <v>2220</v>
      </c>
    </row>
    <row r="273" spans="1:1" x14ac:dyDescent="0.35">
      <c r="A273" s="7" t="s">
        <v>2235</v>
      </c>
    </row>
    <row r="274" spans="1:1" x14ac:dyDescent="0.35">
      <c r="A274" s="8" t="s">
        <v>2240</v>
      </c>
    </row>
    <row r="275" spans="1:1" x14ac:dyDescent="0.35">
      <c r="A275" s="7" t="s">
        <v>2248</v>
      </c>
    </row>
    <row r="276" spans="1:1" x14ac:dyDescent="0.35">
      <c r="A276" s="8" t="s">
        <v>2252</v>
      </c>
    </row>
    <row r="277" spans="1:1" x14ac:dyDescent="0.35">
      <c r="A277" s="7" t="s">
        <v>2255</v>
      </c>
    </row>
    <row r="278" spans="1:1" x14ac:dyDescent="0.35">
      <c r="A278" s="8" t="s">
        <v>2261</v>
      </c>
    </row>
    <row r="279" spans="1:1" x14ac:dyDescent="0.35">
      <c r="A279" s="8" t="s">
        <v>2271</v>
      </c>
    </row>
    <row r="280" spans="1:1" x14ac:dyDescent="0.35">
      <c r="A280" s="8" t="s">
        <v>2276</v>
      </c>
    </row>
    <row r="281" spans="1:1" x14ac:dyDescent="0.35">
      <c r="A281" s="8" t="s">
        <v>2278</v>
      </c>
    </row>
    <row r="282" spans="1:1" x14ac:dyDescent="0.35">
      <c r="A282" s="8" t="s">
        <v>2288</v>
      </c>
    </row>
    <row r="283" spans="1:1" x14ac:dyDescent="0.35">
      <c r="A283" s="8" t="s">
        <v>2293</v>
      </c>
    </row>
    <row r="284" spans="1:1" x14ac:dyDescent="0.35">
      <c r="A284" s="8" t="s">
        <v>2299</v>
      </c>
    </row>
    <row r="285" spans="1:1" x14ac:dyDescent="0.35">
      <c r="A285" s="7" t="s">
        <v>2306</v>
      </c>
    </row>
    <row r="286" spans="1:1" x14ac:dyDescent="0.35">
      <c r="A286" s="8" t="s">
        <v>2316</v>
      </c>
    </row>
    <row r="287" spans="1:1" x14ac:dyDescent="0.35">
      <c r="A287" s="7" t="s">
        <v>2328</v>
      </c>
    </row>
    <row r="288" spans="1:1" x14ac:dyDescent="0.35">
      <c r="A288" s="8" t="s">
        <v>2335</v>
      </c>
    </row>
    <row r="289" spans="1:1" x14ac:dyDescent="0.35">
      <c r="A289" s="8" t="s">
        <v>2342</v>
      </c>
    </row>
    <row r="290" spans="1:1" x14ac:dyDescent="0.35">
      <c r="A290" s="8" t="s">
        <v>2348</v>
      </c>
    </row>
    <row r="291" spans="1:1" x14ac:dyDescent="0.35">
      <c r="A291" s="7" t="s">
        <v>2358</v>
      </c>
    </row>
    <row r="292" spans="1:1" x14ac:dyDescent="0.35">
      <c r="A292" s="8" t="s">
        <v>2365</v>
      </c>
    </row>
    <row r="293" spans="1:1" x14ac:dyDescent="0.35">
      <c r="A293" s="8" t="s">
        <v>2367</v>
      </c>
    </row>
    <row r="294" spans="1:1" x14ac:dyDescent="0.35">
      <c r="A294" s="8" t="s">
        <v>2369</v>
      </c>
    </row>
    <row r="295" spans="1:1" x14ac:dyDescent="0.35">
      <c r="A295" s="8" t="s">
        <v>2374</v>
      </c>
    </row>
    <row r="296" spans="1:1" x14ac:dyDescent="0.35">
      <c r="A296" s="8" t="s">
        <v>2377</v>
      </c>
    </row>
    <row r="297" spans="1:1" x14ac:dyDescent="0.35">
      <c r="A297" s="8" t="s">
        <v>2389</v>
      </c>
    </row>
    <row r="298" spans="1:1" x14ac:dyDescent="0.35">
      <c r="A298" s="8" t="s">
        <v>2397</v>
      </c>
    </row>
    <row r="299" spans="1:1" x14ac:dyDescent="0.35">
      <c r="A299" s="8" t="s">
        <v>2408</v>
      </c>
    </row>
    <row r="300" spans="1:1" x14ac:dyDescent="0.35">
      <c r="A300" s="8" t="s">
        <v>2418</v>
      </c>
    </row>
    <row r="301" spans="1:1" x14ac:dyDescent="0.35">
      <c r="A301" s="7" t="s">
        <v>2432</v>
      </c>
    </row>
    <row r="302" spans="1:1" x14ac:dyDescent="0.35">
      <c r="A302" s="8" t="s">
        <v>2442</v>
      </c>
    </row>
    <row r="303" spans="1:1" x14ac:dyDescent="0.35">
      <c r="A303" s="7" t="s">
        <v>2448</v>
      </c>
    </row>
    <row r="304" spans="1:1" x14ac:dyDescent="0.35">
      <c r="A304" s="8" t="s">
        <v>2452</v>
      </c>
    </row>
    <row r="305" spans="1:1" x14ac:dyDescent="0.35">
      <c r="A305" s="7" t="s">
        <v>2459</v>
      </c>
    </row>
    <row r="306" spans="1:1" x14ac:dyDescent="0.35">
      <c r="A306" s="8" t="s">
        <v>2462</v>
      </c>
    </row>
    <row r="307" spans="1:1" x14ac:dyDescent="0.35">
      <c r="A307" s="7" t="s">
        <v>2470</v>
      </c>
    </row>
    <row r="308" spans="1:1" x14ac:dyDescent="0.35">
      <c r="A308" s="8" t="s">
        <v>2475</v>
      </c>
    </row>
    <row r="309" spans="1:1" x14ac:dyDescent="0.35">
      <c r="A309" s="7" t="s">
        <v>2495</v>
      </c>
    </row>
    <row r="310" spans="1:1" x14ac:dyDescent="0.35">
      <c r="A310" s="8" t="s">
        <v>2500</v>
      </c>
    </row>
    <row r="311" spans="1:1" x14ac:dyDescent="0.35">
      <c r="A311" s="8" t="s">
        <v>2516</v>
      </c>
    </row>
    <row r="312" spans="1:1" x14ac:dyDescent="0.35">
      <c r="A312" s="8" t="s">
        <v>2521</v>
      </c>
    </row>
    <row r="313" spans="1:1" x14ac:dyDescent="0.35">
      <c r="A313" s="7" t="s">
        <v>2553</v>
      </c>
    </row>
    <row r="314" spans="1:1" x14ac:dyDescent="0.35">
      <c r="A314" s="8" t="s">
        <v>2558</v>
      </c>
    </row>
    <row r="315" spans="1:1" x14ac:dyDescent="0.35">
      <c r="A315" s="8" t="s">
        <v>2565</v>
      </c>
    </row>
    <row r="316" spans="1:1" x14ac:dyDescent="0.35">
      <c r="A316" s="8" t="s">
        <v>2575</v>
      </c>
    </row>
    <row r="317" spans="1:1" x14ac:dyDescent="0.35">
      <c r="A317" s="8" t="s">
        <v>2577</v>
      </c>
    </row>
    <row r="318" spans="1:1" x14ac:dyDescent="0.35">
      <c r="A318" s="8" t="s">
        <v>2583</v>
      </c>
    </row>
    <row r="319" spans="1:1" x14ac:dyDescent="0.35">
      <c r="A319" s="8" t="s">
        <v>2589</v>
      </c>
    </row>
    <row r="320" spans="1:1" x14ac:dyDescent="0.35">
      <c r="A320" s="8" t="s">
        <v>2597</v>
      </c>
    </row>
    <row r="321" spans="1:1" x14ac:dyDescent="0.35">
      <c r="A321" s="8" t="s">
        <v>2605</v>
      </c>
    </row>
    <row r="322" spans="1:1" x14ac:dyDescent="0.35">
      <c r="A322" s="8" t="s">
        <v>2608</v>
      </c>
    </row>
    <row r="323" spans="1:1" x14ac:dyDescent="0.35">
      <c r="A323" s="7" t="s">
        <v>2620</v>
      </c>
    </row>
    <row r="324" spans="1:1" x14ac:dyDescent="0.35">
      <c r="A324" s="8" t="s">
        <v>2627</v>
      </c>
    </row>
    <row r="325" spans="1:1" x14ac:dyDescent="0.35">
      <c r="A325" s="8" t="s">
        <v>2632</v>
      </c>
    </row>
    <row r="326" spans="1:1" x14ac:dyDescent="0.35">
      <c r="A326" s="8" t="s">
        <v>2637</v>
      </c>
    </row>
    <row r="327" spans="1:1" x14ac:dyDescent="0.35">
      <c r="A327" s="8" t="s">
        <v>2645</v>
      </c>
    </row>
    <row r="328" spans="1:1" x14ac:dyDescent="0.35">
      <c r="A328" s="8" t="s">
        <v>2653</v>
      </c>
    </row>
    <row r="329" spans="1:1" x14ac:dyDescent="0.35">
      <c r="A329" s="7" t="s">
        <v>2660</v>
      </c>
    </row>
    <row r="330" spans="1:1" x14ac:dyDescent="0.35">
      <c r="A330" s="8" t="s">
        <v>2662</v>
      </c>
    </row>
    <row r="331" spans="1:1" x14ac:dyDescent="0.35">
      <c r="A331" s="7" t="s">
        <v>2667</v>
      </c>
    </row>
    <row r="332" spans="1:1" x14ac:dyDescent="0.35">
      <c r="A332" s="8" t="s">
        <v>2674</v>
      </c>
    </row>
    <row r="333" spans="1:1" x14ac:dyDescent="0.35">
      <c r="A333" s="8" t="s">
        <v>2688</v>
      </c>
    </row>
    <row r="334" spans="1:1" x14ac:dyDescent="0.35">
      <c r="A334" s="8" t="s">
        <v>2693</v>
      </c>
    </row>
    <row r="335" spans="1:1" x14ac:dyDescent="0.35">
      <c r="A335" s="7" t="s">
        <v>2696</v>
      </c>
    </row>
    <row r="336" spans="1:1" x14ac:dyDescent="0.35">
      <c r="A336" s="8" t="s">
        <v>2699</v>
      </c>
    </row>
    <row r="337" spans="1:1" x14ac:dyDescent="0.35">
      <c r="A337" s="7" t="s">
        <v>2704</v>
      </c>
    </row>
    <row r="338" spans="1:1" x14ac:dyDescent="0.35">
      <c r="A338" s="8" t="s">
        <v>2727</v>
      </c>
    </row>
    <row r="339" spans="1:1" x14ac:dyDescent="0.35">
      <c r="A339" s="8" t="s">
        <v>2735</v>
      </c>
    </row>
    <row r="340" spans="1:1" x14ac:dyDescent="0.35">
      <c r="A340" s="8" t="s">
        <v>2741</v>
      </c>
    </row>
    <row r="341" spans="1:1" x14ac:dyDescent="0.35">
      <c r="A341" s="7" t="s">
        <v>2747</v>
      </c>
    </row>
    <row r="342" spans="1:1" x14ac:dyDescent="0.35">
      <c r="A342" s="8" t="s">
        <v>2755</v>
      </c>
    </row>
    <row r="343" spans="1:1" x14ac:dyDescent="0.35">
      <c r="A343" s="7" t="s">
        <v>2758</v>
      </c>
    </row>
    <row r="344" spans="1:1" x14ac:dyDescent="0.35">
      <c r="A344" s="8" t="s">
        <v>2764</v>
      </c>
    </row>
    <row r="345" spans="1:1" x14ac:dyDescent="0.35">
      <c r="A345" s="8" t="s">
        <v>2770</v>
      </c>
    </row>
    <row r="346" spans="1:1" x14ac:dyDescent="0.35">
      <c r="A346" s="8" t="s">
        <v>2775</v>
      </c>
    </row>
    <row r="347" spans="1:1" x14ac:dyDescent="0.35">
      <c r="A347" s="8" t="s">
        <v>2782</v>
      </c>
    </row>
    <row r="348" spans="1:1" x14ac:dyDescent="0.35">
      <c r="A348" s="8" t="s">
        <v>2790</v>
      </c>
    </row>
    <row r="349" spans="1:1" x14ac:dyDescent="0.35">
      <c r="A349" s="8" t="s">
        <v>2814</v>
      </c>
    </row>
    <row r="350" spans="1:1" x14ac:dyDescent="0.35">
      <c r="A350" s="8" t="s">
        <v>2817</v>
      </c>
    </row>
    <row r="351" spans="1:1" x14ac:dyDescent="0.35">
      <c r="A351" s="7" t="s">
        <v>2818</v>
      </c>
    </row>
    <row r="352" spans="1:1" x14ac:dyDescent="0.35">
      <c r="A352" s="8" t="s">
        <v>2821</v>
      </c>
    </row>
    <row r="353" spans="1:1" x14ac:dyDescent="0.35">
      <c r="A353" s="7" t="s">
        <v>2828</v>
      </c>
    </row>
    <row r="354" spans="1:1" x14ac:dyDescent="0.35">
      <c r="A354" s="8" t="s">
        <v>2832</v>
      </c>
    </row>
    <row r="355" spans="1:1" x14ac:dyDescent="0.35">
      <c r="A355" s="7" t="s">
        <v>2835</v>
      </c>
    </row>
    <row r="356" spans="1:1" x14ac:dyDescent="0.35">
      <c r="A356" s="8" t="s">
        <v>2844</v>
      </c>
    </row>
    <row r="357" spans="1:1" x14ac:dyDescent="0.35">
      <c r="A357" s="8" t="s">
        <v>2860</v>
      </c>
    </row>
    <row r="358" spans="1:1" x14ac:dyDescent="0.35">
      <c r="A358" s="8" t="s">
        <v>2866</v>
      </c>
    </row>
    <row r="359" spans="1:1" x14ac:dyDescent="0.35">
      <c r="A359" s="8" t="s">
        <v>2873</v>
      </c>
    </row>
    <row r="360" spans="1:1" x14ac:dyDescent="0.35">
      <c r="A360" s="8" t="s">
        <v>2880</v>
      </c>
    </row>
    <row r="361" spans="1:1" x14ac:dyDescent="0.35">
      <c r="A361" s="8" t="s">
        <v>2887</v>
      </c>
    </row>
    <row r="362" spans="1:1" x14ac:dyDescent="0.35">
      <c r="A362" s="8" t="s">
        <v>2893</v>
      </c>
    </row>
    <row r="363" spans="1:1" x14ac:dyDescent="0.35">
      <c r="A363" s="8" t="s">
        <v>2899</v>
      </c>
    </row>
    <row r="364" spans="1:1" x14ac:dyDescent="0.35">
      <c r="A364" s="8" t="s">
        <v>2911</v>
      </c>
    </row>
    <row r="365" spans="1:1" x14ac:dyDescent="0.35">
      <c r="A365" s="8" t="s">
        <v>2917</v>
      </c>
    </row>
    <row r="366" spans="1:1" x14ac:dyDescent="0.35">
      <c r="A366" s="8" t="s">
        <v>2922</v>
      </c>
    </row>
    <row r="367" spans="1:1" x14ac:dyDescent="0.35">
      <c r="A367" s="7" t="s">
        <v>2931</v>
      </c>
    </row>
    <row r="368" spans="1:1" x14ac:dyDescent="0.35">
      <c r="A368" s="8" t="s">
        <v>2936</v>
      </c>
    </row>
    <row r="369" spans="1:1" x14ac:dyDescent="0.35">
      <c r="A369" s="8" t="s">
        <v>2956</v>
      </c>
    </row>
    <row r="370" spans="1:1" x14ac:dyDescent="0.35">
      <c r="A370" s="8" t="s">
        <v>2961</v>
      </c>
    </row>
    <row r="371" spans="1:1" x14ac:dyDescent="0.35">
      <c r="A371" s="7" t="s">
        <v>2975</v>
      </c>
    </row>
    <row r="372" spans="1:1" x14ac:dyDescent="0.35">
      <c r="A372" s="8" t="s">
        <v>2984</v>
      </c>
    </row>
    <row r="373" spans="1:1" x14ac:dyDescent="0.35">
      <c r="A373" s="8" t="s">
        <v>2989</v>
      </c>
    </row>
    <row r="374" spans="1:1" x14ac:dyDescent="0.35">
      <c r="A374" s="8" t="s">
        <v>2994</v>
      </c>
    </row>
    <row r="375" spans="1:1" x14ac:dyDescent="0.35">
      <c r="A375" s="7" t="s">
        <v>2996</v>
      </c>
    </row>
    <row r="376" spans="1:1" x14ac:dyDescent="0.35">
      <c r="A376" s="8" t="s">
        <v>3003</v>
      </c>
    </row>
    <row r="377" spans="1:1" x14ac:dyDescent="0.35">
      <c r="A377" s="8" t="s">
        <v>3014</v>
      </c>
    </row>
    <row r="378" spans="1:1" x14ac:dyDescent="0.35">
      <c r="A378" s="8" t="s">
        <v>3023</v>
      </c>
    </row>
    <row r="379" spans="1:1" x14ac:dyDescent="0.35">
      <c r="A379" s="7" t="s">
        <v>3037</v>
      </c>
    </row>
    <row r="380" spans="1:1" x14ac:dyDescent="0.35">
      <c r="A380" s="8" t="s">
        <v>3042</v>
      </c>
    </row>
    <row r="381" spans="1:1" x14ac:dyDescent="0.35">
      <c r="A381" s="7" t="s">
        <v>3052</v>
      </c>
    </row>
    <row r="382" spans="1:1" x14ac:dyDescent="0.35">
      <c r="A382" s="8" t="s">
        <v>3054</v>
      </c>
    </row>
    <row r="383" spans="1:1" x14ac:dyDescent="0.35">
      <c r="A383" s="8" t="s">
        <v>3055</v>
      </c>
    </row>
    <row r="384" spans="1:1" x14ac:dyDescent="0.35">
      <c r="A384" s="8" t="s">
        <v>3057</v>
      </c>
    </row>
    <row r="385" spans="1:1" x14ac:dyDescent="0.35">
      <c r="A385" s="8" t="s">
        <v>3060</v>
      </c>
    </row>
    <row r="386" spans="1:1" x14ac:dyDescent="0.35">
      <c r="A386" s="8" t="s">
        <v>3065</v>
      </c>
    </row>
    <row r="387" spans="1:1" x14ac:dyDescent="0.35">
      <c r="A387" s="8" t="s">
        <v>3072</v>
      </c>
    </row>
    <row r="388" spans="1:1" x14ac:dyDescent="0.35">
      <c r="A388" s="8" t="s">
        <v>3077</v>
      </c>
    </row>
    <row r="389" spans="1:1" x14ac:dyDescent="0.35">
      <c r="A389" s="8" t="s">
        <v>3082</v>
      </c>
    </row>
    <row r="390" spans="1:1" x14ac:dyDescent="0.35">
      <c r="A390" s="8" t="s">
        <v>3096</v>
      </c>
    </row>
    <row r="391" spans="1:1" x14ac:dyDescent="0.35">
      <c r="A391" s="7" t="s">
        <v>3110</v>
      </c>
    </row>
    <row r="392" spans="1:1" x14ac:dyDescent="0.35">
      <c r="A392" s="8" t="s">
        <v>3116</v>
      </c>
    </row>
    <row r="393" spans="1:1" x14ac:dyDescent="0.35">
      <c r="A393" s="8" t="s">
        <v>3126</v>
      </c>
    </row>
    <row r="394" spans="1:1" x14ac:dyDescent="0.35">
      <c r="A394" s="8" t="s">
        <v>3135</v>
      </c>
    </row>
    <row r="395" spans="1:1" x14ac:dyDescent="0.35">
      <c r="A395" s="8" t="s">
        <v>3153</v>
      </c>
    </row>
    <row r="396" spans="1:1" x14ac:dyDescent="0.35">
      <c r="A396" s="8" t="s">
        <v>3156</v>
      </c>
    </row>
    <row r="397" spans="1:1" x14ac:dyDescent="0.35">
      <c r="A397" s="8" t="s">
        <v>3181</v>
      </c>
    </row>
    <row r="398" spans="1:1" x14ac:dyDescent="0.35">
      <c r="A398" s="8" t="s">
        <v>3196</v>
      </c>
    </row>
    <row r="399" spans="1:1" x14ac:dyDescent="0.35">
      <c r="A399" s="7" t="s">
        <v>3225</v>
      </c>
    </row>
    <row r="400" spans="1:1" x14ac:dyDescent="0.35">
      <c r="A400" s="8" t="s">
        <v>3227</v>
      </c>
    </row>
    <row r="401" spans="1:1" x14ac:dyDescent="0.35">
      <c r="A401" s="8" t="s">
        <v>3229</v>
      </c>
    </row>
    <row r="402" spans="1:1" x14ac:dyDescent="0.35">
      <c r="A402" s="8" t="s">
        <v>3235</v>
      </c>
    </row>
    <row r="403" spans="1:1" x14ac:dyDescent="0.35">
      <c r="A403" s="8" t="s">
        <v>3254</v>
      </c>
    </row>
    <row r="404" spans="1:1" x14ac:dyDescent="0.35">
      <c r="A404" s="8" t="s">
        <v>3262</v>
      </c>
    </row>
    <row r="405" spans="1:1" x14ac:dyDescent="0.35">
      <c r="A405" s="8" t="s">
        <v>3272</v>
      </c>
    </row>
    <row r="406" spans="1:1" x14ac:dyDescent="0.35">
      <c r="A406" s="8" t="s">
        <v>3279</v>
      </c>
    </row>
    <row r="407" spans="1:1" x14ac:dyDescent="0.35">
      <c r="A407" s="7" t="s">
        <v>3299</v>
      </c>
    </row>
    <row r="408" spans="1:1" x14ac:dyDescent="0.35">
      <c r="A408" s="8" t="s">
        <v>3301</v>
      </c>
    </row>
    <row r="409" spans="1:1" x14ac:dyDescent="0.35">
      <c r="A409" s="8" t="s">
        <v>3308</v>
      </c>
    </row>
    <row r="410" spans="1:1" x14ac:dyDescent="0.35">
      <c r="A410" s="8" t="s">
        <v>3317</v>
      </c>
    </row>
    <row r="411" spans="1:1" x14ac:dyDescent="0.35">
      <c r="A411" s="7" t="s">
        <v>3331</v>
      </c>
    </row>
    <row r="412" spans="1:1" x14ac:dyDescent="0.35">
      <c r="A412" s="8" t="s">
        <v>3337</v>
      </c>
    </row>
    <row r="413" spans="1:1" x14ac:dyDescent="0.35">
      <c r="A413" s="8" t="s">
        <v>3348</v>
      </c>
    </row>
    <row r="414" spans="1:1" x14ac:dyDescent="0.35">
      <c r="A414" s="8" t="s">
        <v>3361</v>
      </c>
    </row>
    <row r="415" spans="1:1" x14ac:dyDescent="0.35">
      <c r="A415" s="7" t="s">
        <v>3367</v>
      </c>
    </row>
    <row r="416" spans="1:1" x14ac:dyDescent="0.35">
      <c r="A416" s="8" t="s">
        <v>3384</v>
      </c>
    </row>
    <row r="417" spans="1:1" x14ac:dyDescent="0.35">
      <c r="A417" s="8" t="s">
        <v>3394</v>
      </c>
    </row>
    <row r="418" spans="1:1" x14ac:dyDescent="0.35">
      <c r="A418" s="8" t="s">
        <v>3399</v>
      </c>
    </row>
    <row r="419" spans="1:1" x14ac:dyDescent="0.35">
      <c r="A419" s="7" t="s">
        <v>3404</v>
      </c>
    </row>
    <row r="420" spans="1:1" x14ac:dyDescent="0.35">
      <c r="A420" s="8" t="s">
        <v>3407</v>
      </c>
    </row>
    <row r="421" spans="1:1" x14ac:dyDescent="0.35">
      <c r="A421" s="7" t="s">
        <v>3412</v>
      </c>
    </row>
    <row r="422" spans="1:1" x14ac:dyDescent="0.35">
      <c r="A422" s="8" t="s">
        <v>3427</v>
      </c>
    </row>
    <row r="423" spans="1:1" x14ac:dyDescent="0.35">
      <c r="A423" s="7" t="s">
        <v>3451</v>
      </c>
    </row>
    <row r="424" spans="1:1" x14ac:dyDescent="0.35">
      <c r="A424" s="8" t="s">
        <v>3458</v>
      </c>
    </row>
    <row r="425" spans="1:1" x14ac:dyDescent="0.35">
      <c r="A425" s="7" t="s">
        <v>3468</v>
      </c>
    </row>
    <row r="426" spans="1:1" x14ac:dyDescent="0.35">
      <c r="A426" s="8" t="s">
        <v>3470</v>
      </c>
    </row>
    <row r="427" spans="1:1" x14ac:dyDescent="0.35">
      <c r="A427" s="8" t="s">
        <v>3471</v>
      </c>
    </row>
    <row r="428" spans="1:1" x14ac:dyDescent="0.35">
      <c r="A428" s="8" t="s">
        <v>3474</v>
      </c>
    </row>
    <row r="429" spans="1:1" x14ac:dyDescent="0.35">
      <c r="A429" s="7" t="s">
        <v>3479</v>
      </c>
    </row>
    <row r="430" spans="1:1" x14ac:dyDescent="0.35">
      <c r="A430" s="8" t="s">
        <v>3497</v>
      </c>
    </row>
    <row r="431" spans="1:1" x14ac:dyDescent="0.35">
      <c r="A431" s="8" t="s">
        <v>3506</v>
      </c>
    </row>
    <row r="432" spans="1:1" x14ac:dyDescent="0.35">
      <c r="A432" s="8" t="s">
        <v>3508</v>
      </c>
    </row>
    <row r="433" spans="1:1" x14ac:dyDescent="0.35">
      <c r="A433" s="8" t="s">
        <v>3511</v>
      </c>
    </row>
    <row r="434" spans="1:1" x14ac:dyDescent="0.35">
      <c r="A434" s="8" t="s">
        <v>3517</v>
      </c>
    </row>
    <row r="435" spans="1:1" x14ac:dyDescent="0.35">
      <c r="A435" s="8" t="s">
        <v>3521</v>
      </c>
    </row>
    <row r="436" spans="1:1" x14ac:dyDescent="0.35">
      <c r="A436" s="8" t="s">
        <v>3525</v>
      </c>
    </row>
    <row r="437" spans="1:1" x14ac:dyDescent="0.35">
      <c r="A437" s="8" t="s">
        <v>3528</v>
      </c>
    </row>
    <row r="438" spans="1:1" x14ac:dyDescent="0.35">
      <c r="A438" s="8" t="s">
        <v>3532</v>
      </c>
    </row>
    <row r="439" spans="1:1" x14ac:dyDescent="0.35">
      <c r="A439" s="8" t="s">
        <v>3533</v>
      </c>
    </row>
    <row r="440" spans="1:1" x14ac:dyDescent="0.35">
      <c r="A440" s="8" t="s">
        <v>3536</v>
      </c>
    </row>
    <row r="441" spans="1:1" x14ac:dyDescent="0.35">
      <c r="A441" s="7" t="s">
        <v>3541</v>
      </c>
    </row>
    <row r="442" spans="1:1" x14ac:dyDescent="0.35">
      <c r="A442" s="8" t="s">
        <v>3546</v>
      </c>
    </row>
    <row r="443" spans="1:1" x14ac:dyDescent="0.35">
      <c r="A443" s="7" t="s">
        <v>3548</v>
      </c>
    </row>
    <row r="444" spans="1:1" x14ac:dyDescent="0.35">
      <c r="A444" s="8" t="s">
        <v>3557</v>
      </c>
    </row>
    <row r="445" spans="1:1" x14ac:dyDescent="0.35">
      <c r="A445" s="8" t="s">
        <v>3576</v>
      </c>
    </row>
    <row r="446" spans="1:1" x14ac:dyDescent="0.35">
      <c r="A446" s="8" t="s">
        <v>3581</v>
      </c>
    </row>
    <row r="447" spans="1:1" x14ac:dyDescent="0.35">
      <c r="A447" s="8" t="s">
        <v>3585</v>
      </c>
    </row>
    <row r="448" spans="1:1" x14ac:dyDescent="0.35">
      <c r="A448" s="8" t="s">
        <v>3587</v>
      </c>
    </row>
    <row r="449" spans="1:1" x14ac:dyDescent="0.35">
      <c r="A449" s="8" t="s">
        <v>3592</v>
      </c>
    </row>
    <row r="450" spans="1:1" x14ac:dyDescent="0.35">
      <c r="A450" s="8" t="s">
        <v>3599</v>
      </c>
    </row>
    <row r="451" spans="1:1" x14ac:dyDescent="0.35">
      <c r="A451" s="8" t="s">
        <v>3605</v>
      </c>
    </row>
    <row r="452" spans="1:1" x14ac:dyDescent="0.35">
      <c r="A452" s="8" t="s">
        <v>3608</v>
      </c>
    </row>
    <row r="453" spans="1:1" x14ac:dyDescent="0.35">
      <c r="A453" s="7" t="s">
        <v>3631</v>
      </c>
    </row>
    <row r="454" spans="1:1" x14ac:dyDescent="0.35">
      <c r="A454" s="8" t="s">
        <v>3634</v>
      </c>
    </row>
    <row r="455" spans="1:1" x14ac:dyDescent="0.35">
      <c r="A455" s="7" t="s">
        <v>3643</v>
      </c>
    </row>
    <row r="456" spans="1:1" x14ac:dyDescent="0.35">
      <c r="A456" s="8" t="s">
        <v>3654</v>
      </c>
    </row>
    <row r="457" spans="1:1" x14ac:dyDescent="0.35">
      <c r="A457" s="7" t="s">
        <v>3665</v>
      </c>
    </row>
    <row r="458" spans="1:1" x14ac:dyDescent="0.35">
      <c r="A458" s="8" t="s">
        <v>3668</v>
      </c>
    </row>
    <row r="459" spans="1:1" x14ac:dyDescent="0.35">
      <c r="A459" s="8" t="s">
        <v>3673</v>
      </c>
    </row>
    <row r="460" spans="1:1" x14ac:dyDescent="0.35">
      <c r="A460" s="8" t="s">
        <v>3678</v>
      </c>
    </row>
    <row r="461" spans="1:1" x14ac:dyDescent="0.35">
      <c r="A461" s="7" t="s">
        <v>3683</v>
      </c>
    </row>
    <row r="462" spans="1:1" x14ac:dyDescent="0.35">
      <c r="A462" s="8" t="s">
        <v>3692</v>
      </c>
    </row>
    <row r="463" spans="1:1" x14ac:dyDescent="0.35">
      <c r="A463" s="7" t="s">
        <v>3703</v>
      </c>
    </row>
    <row r="464" spans="1:1" x14ac:dyDescent="0.35">
      <c r="A464" s="8" t="s">
        <v>3715</v>
      </c>
    </row>
    <row r="465" spans="1:1" x14ac:dyDescent="0.35">
      <c r="A465" s="8" t="s">
        <v>3717</v>
      </c>
    </row>
    <row r="466" spans="1:1" x14ac:dyDescent="0.35">
      <c r="A466" s="8" t="s">
        <v>3718</v>
      </c>
    </row>
    <row r="467" spans="1:1" x14ac:dyDescent="0.35">
      <c r="A467" s="8" t="s">
        <v>3731</v>
      </c>
    </row>
    <row r="468" spans="1:1" x14ac:dyDescent="0.35">
      <c r="A468" s="8" t="s">
        <v>3736</v>
      </c>
    </row>
    <row r="469" spans="1:1" x14ac:dyDescent="0.35">
      <c r="A469" s="7" t="s">
        <v>3744</v>
      </c>
    </row>
    <row r="470" spans="1:1" x14ac:dyDescent="0.35">
      <c r="A470" s="8" t="s">
        <v>3750</v>
      </c>
    </row>
    <row r="471" spans="1:1" x14ac:dyDescent="0.35">
      <c r="A471" s="7" t="s">
        <v>3757</v>
      </c>
    </row>
    <row r="472" spans="1:1" x14ac:dyDescent="0.35">
      <c r="A472" s="8" t="s">
        <v>3758</v>
      </c>
    </row>
    <row r="473" spans="1:1" x14ac:dyDescent="0.35">
      <c r="A473" s="8" t="s">
        <v>3769</v>
      </c>
    </row>
    <row r="474" spans="1:1" x14ac:dyDescent="0.35">
      <c r="A474" s="8" t="s">
        <v>3775</v>
      </c>
    </row>
    <row r="475" spans="1:1" x14ac:dyDescent="0.35">
      <c r="A475" s="7" t="s">
        <v>3783</v>
      </c>
    </row>
    <row r="476" spans="1:1" x14ac:dyDescent="0.35">
      <c r="A476" s="8" t="s">
        <v>3800</v>
      </c>
    </row>
    <row r="477" spans="1:1" x14ac:dyDescent="0.35">
      <c r="A477" s="8" t="s">
        <v>3804</v>
      </c>
    </row>
    <row r="478" spans="1:1" x14ac:dyDescent="0.35">
      <c r="A478" s="8" t="s">
        <v>3810</v>
      </c>
    </row>
    <row r="479" spans="1:1" x14ac:dyDescent="0.35">
      <c r="A479" s="7" t="s">
        <v>3812</v>
      </c>
    </row>
    <row r="480" spans="1:1" x14ac:dyDescent="0.35">
      <c r="A480" s="8" t="s">
        <v>3816</v>
      </c>
    </row>
    <row r="481" spans="1:1" x14ac:dyDescent="0.35">
      <c r="A481" s="7" t="s">
        <v>3818</v>
      </c>
    </row>
    <row r="482" spans="1:1" x14ac:dyDescent="0.35">
      <c r="A482" s="8" t="s">
        <v>3830</v>
      </c>
    </row>
    <row r="483" spans="1:1" x14ac:dyDescent="0.35">
      <c r="A483" s="8" t="s">
        <v>3834</v>
      </c>
    </row>
    <row r="484" spans="1:1" x14ac:dyDescent="0.35">
      <c r="A484" s="8" t="s">
        <v>3843</v>
      </c>
    </row>
    <row r="485" spans="1:1" x14ac:dyDescent="0.35">
      <c r="A485" s="7" t="s">
        <v>3846</v>
      </c>
    </row>
    <row r="486" spans="1:1" x14ac:dyDescent="0.35">
      <c r="A486" s="8" t="s">
        <v>3849</v>
      </c>
    </row>
    <row r="487" spans="1:1" x14ac:dyDescent="0.35">
      <c r="A487" s="7" t="s">
        <v>3854</v>
      </c>
    </row>
    <row r="488" spans="1:1" x14ac:dyDescent="0.35">
      <c r="A488" s="8" t="s">
        <v>3879</v>
      </c>
    </row>
    <row r="489" spans="1:1" x14ac:dyDescent="0.35">
      <c r="A489" s="7" t="s">
        <v>3882</v>
      </c>
    </row>
    <row r="490" spans="1:1" x14ac:dyDescent="0.35">
      <c r="A490" s="8" t="s">
        <v>3889</v>
      </c>
    </row>
    <row r="491" spans="1:1" x14ac:dyDescent="0.35">
      <c r="A491" s="7" t="s">
        <v>3893</v>
      </c>
    </row>
    <row r="492" spans="1:1" x14ac:dyDescent="0.35">
      <c r="A492" s="8" t="s">
        <v>3902</v>
      </c>
    </row>
    <row r="493" spans="1:1" x14ac:dyDescent="0.35">
      <c r="A493" s="7" t="s">
        <v>3907</v>
      </c>
    </row>
    <row r="494" spans="1:1" x14ac:dyDescent="0.35">
      <c r="A494" s="8" t="s">
        <v>3912</v>
      </c>
    </row>
    <row r="495" spans="1:1" x14ac:dyDescent="0.35">
      <c r="A495" s="8" t="s">
        <v>3915</v>
      </c>
    </row>
    <row r="496" spans="1:1" x14ac:dyDescent="0.35">
      <c r="A496" s="8" t="s">
        <v>3920</v>
      </c>
    </row>
    <row r="497" spans="1:1" x14ac:dyDescent="0.35">
      <c r="A497" s="8" t="s">
        <v>3925</v>
      </c>
    </row>
    <row r="498" spans="1:1" x14ac:dyDescent="0.35">
      <c r="A498" s="8" t="s">
        <v>3926</v>
      </c>
    </row>
    <row r="499" spans="1:1" x14ac:dyDescent="0.35">
      <c r="A499" s="8" t="s">
        <v>3932</v>
      </c>
    </row>
    <row r="500" spans="1:1" x14ac:dyDescent="0.35">
      <c r="A500" s="8" t="s">
        <v>3948</v>
      </c>
    </row>
    <row r="501" spans="1:1" x14ac:dyDescent="0.35">
      <c r="A501" s="8" t="s">
        <v>3953</v>
      </c>
    </row>
    <row r="502" spans="1:1" x14ac:dyDescent="0.35">
      <c r="A502" s="8" t="s">
        <v>3966</v>
      </c>
    </row>
    <row r="503" spans="1:1" x14ac:dyDescent="0.35">
      <c r="A503" s="8" t="s">
        <v>3969</v>
      </c>
    </row>
    <row r="504" spans="1:1" x14ac:dyDescent="0.35">
      <c r="A504" s="8" t="s">
        <v>3975</v>
      </c>
    </row>
    <row r="505" spans="1:1" x14ac:dyDescent="0.35">
      <c r="A505" s="8" t="s">
        <v>3983</v>
      </c>
    </row>
    <row r="506" spans="1:1" x14ac:dyDescent="0.35">
      <c r="A506" s="8" t="s">
        <v>4010</v>
      </c>
    </row>
    <row r="507" spans="1:1" x14ac:dyDescent="0.35">
      <c r="A507" s="8" t="s">
        <v>4026</v>
      </c>
    </row>
    <row r="508" spans="1:1" x14ac:dyDescent="0.35">
      <c r="A508" s="8" t="s">
        <v>4033</v>
      </c>
    </row>
    <row r="509" spans="1:1" x14ac:dyDescent="0.35">
      <c r="A509" s="7" t="s">
        <v>4034</v>
      </c>
    </row>
    <row r="510" spans="1:1" x14ac:dyDescent="0.35">
      <c r="A510" s="8" t="s">
        <v>4043</v>
      </c>
    </row>
    <row r="511" spans="1:1" x14ac:dyDescent="0.35">
      <c r="A511" s="8" t="s">
        <v>4049</v>
      </c>
    </row>
    <row r="512" spans="1:1" x14ac:dyDescent="0.35">
      <c r="A512" s="8" t="s">
        <v>4053</v>
      </c>
    </row>
    <row r="513" spans="1:1" x14ac:dyDescent="0.35">
      <c r="A513" s="8" t="s">
        <v>4068</v>
      </c>
    </row>
    <row r="514" spans="1:1" x14ac:dyDescent="0.35">
      <c r="A514" s="8" t="s">
        <v>4075</v>
      </c>
    </row>
    <row r="515" spans="1:1" x14ac:dyDescent="0.35">
      <c r="A515" s="8" t="s">
        <v>4082</v>
      </c>
    </row>
    <row r="516" spans="1:1" x14ac:dyDescent="0.35">
      <c r="A516" s="8" t="s">
        <v>4086</v>
      </c>
    </row>
    <row r="517" spans="1:1" x14ac:dyDescent="0.35">
      <c r="A517" s="7" t="s">
        <v>4091</v>
      </c>
    </row>
    <row r="518" spans="1:1" x14ac:dyDescent="0.35">
      <c r="A518" s="8" t="s">
        <v>4102</v>
      </c>
    </row>
    <row r="519" spans="1:1" x14ac:dyDescent="0.35">
      <c r="A519" s="7" t="s">
        <v>4105</v>
      </c>
    </row>
    <row r="520" spans="1:1" x14ac:dyDescent="0.35">
      <c r="A520" s="8" t="s">
        <v>4108</v>
      </c>
    </row>
    <row r="521" spans="1:1" x14ac:dyDescent="0.35">
      <c r="A521" s="8" t="s">
        <v>4115</v>
      </c>
    </row>
    <row r="522" spans="1:1" x14ac:dyDescent="0.35">
      <c r="A522" s="8" t="s">
        <v>4122</v>
      </c>
    </row>
    <row r="523" spans="1:1" x14ac:dyDescent="0.35">
      <c r="A523" s="8" t="s">
        <v>4125</v>
      </c>
    </row>
    <row r="524" spans="1:1" x14ac:dyDescent="0.35">
      <c r="A524" s="8" t="s">
        <v>4138</v>
      </c>
    </row>
    <row r="525" spans="1:1" x14ac:dyDescent="0.35">
      <c r="A525" s="8" t="s">
        <v>4142</v>
      </c>
    </row>
    <row r="526" spans="1:1" x14ac:dyDescent="0.35">
      <c r="A526" s="8" t="s">
        <v>4170</v>
      </c>
    </row>
    <row r="527" spans="1:1" x14ac:dyDescent="0.35">
      <c r="A527" s="8" t="s">
        <v>4183</v>
      </c>
    </row>
    <row r="528" spans="1:1" x14ac:dyDescent="0.35">
      <c r="A528" s="8" t="s">
        <v>4189</v>
      </c>
    </row>
    <row r="529" spans="1:1" x14ac:dyDescent="0.35">
      <c r="A529" s="7" t="s">
        <v>4194</v>
      </c>
    </row>
    <row r="530" spans="1:1" x14ac:dyDescent="0.35">
      <c r="A530" s="8" t="s">
        <v>4202</v>
      </c>
    </row>
    <row r="531" spans="1:1" x14ac:dyDescent="0.35">
      <c r="A531" s="7" t="s">
        <v>4211</v>
      </c>
    </row>
    <row r="532" spans="1:1" x14ac:dyDescent="0.35">
      <c r="A532" s="8" t="s">
        <v>4217</v>
      </c>
    </row>
    <row r="533" spans="1:1" x14ac:dyDescent="0.35">
      <c r="A533" s="7" t="s">
        <v>4234</v>
      </c>
    </row>
    <row r="534" spans="1:1" x14ac:dyDescent="0.35">
      <c r="A534" s="8" t="s">
        <v>4239</v>
      </c>
    </row>
    <row r="535" spans="1:1" x14ac:dyDescent="0.35">
      <c r="A535" s="7" t="s">
        <v>4249</v>
      </c>
    </row>
    <row r="536" spans="1:1" x14ac:dyDescent="0.35">
      <c r="A536" s="8" t="s">
        <v>4250</v>
      </c>
    </row>
    <row r="537" spans="1:1" x14ac:dyDescent="0.35">
      <c r="A537" s="7" t="s">
        <v>4257</v>
      </c>
    </row>
    <row r="538" spans="1:1" x14ac:dyDescent="0.35">
      <c r="A538" s="8" t="s">
        <v>4265</v>
      </c>
    </row>
    <row r="539" spans="1:1" x14ac:dyDescent="0.35">
      <c r="A539" s="8" t="s">
        <v>4275</v>
      </c>
    </row>
    <row r="540" spans="1:1" x14ac:dyDescent="0.35">
      <c r="A540" s="8" t="s">
        <v>4284</v>
      </c>
    </row>
    <row r="541" spans="1:1" x14ac:dyDescent="0.35">
      <c r="A541" s="7" t="s">
        <v>4302</v>
      </c>
    </row>
    <row r="542" spans="1:1" x14ac:dyDescent="0.35">
      <c r="A542" s="8" t="s">
        <v>4307</v>
      </c>
    </row>
    <row r="543" spans="1:1" x14ac:dyDescent="0.35">
      <c r="A543" s="7" t="s">
        <v>4322</v>
      </c>
    </row>
    <row r="544" spans="1:1" x14ac:dyDescent="0.35">
      <c r="A544" s="8" t="s">
        <v>4327</v>
      </c>
    </row>
    <row r="545" spans="1:1" x14ac:dyDescent="0.35">
      <c r="A545" s="8" t="s">
        <v>4335</v>
      </c>
    </row>
    <row r="546" spans="1:1" x14ac:dyDescent="0.35">
      <c r="A546" s="8" t="s">
        <v>4359</v>
      </c>
    </row>
    <row r="547" spans="1:1" x14ac:dyDescent="0.35">
      <c r="A547" s="8" t="s">
        <v>4372</v>
      </c>
    </row>
    <row r="548" spans="1:1" x14ac:dyDescent="0.35">
      <c r="A548" s="8" t="s">
        <v>4379</v>
      </c>
    </row>
    <row r="549" spans="1:1" x14ac:dyDescent="0.35">
      <c r="A549" s="8" t="s">
        <v>4384</v>
      </c>
    </row>
    <row r="550" spans="1:1" x14ac:dyDescent="0.35">
      <c r="A550" s="8" t="s">
        <v>4403</v>
      </c>
    </row>
    <row r="551" spans="1:1" x14ac:dyDescent="0.35">
      <c r="A551" s="8" t="s">
        <v>4409</v>
      </c>
    </row>
    <row r="552" spans="1:1" x14ac:dyDescent="0.35">
      <c r="A552" s="8" t="s">
        <v>4424</v>
      </c>
    </row>
    <row r="553" spans="1:1" x14ac:dyDescent="0.35">
      <c r="A553" s="7" t="s">
        <v>4434</v>
      </c>
    </row>
    <row r="554" spans="1:1" x14ac:dyDescent="0.35">
      <c r="A554" s="8" t="s">
        <v>4443</v>
      </c>
    </row>
    <row r="555" spans="1:1" x14ac:dyDescent="0.35">
      <c r="A555" s="7" t="s">
        <v>4452</v>
      </c>
    </row>
    <row r="556" spans="1:1" x14ac:dyDescent="0.35">
      <c r="A556" s="8" t="s">
        <v>4462</v>
      </c>
    </row>
    <row r="557" spans="1:1" x14ac:dyDescent="0.35">
      <c r="A557" s="7" t="s">
        <v>4482</v>
      </c>
    </row>
    <row r="558" spans="1:1" x14ac:dyDescent="0.35">
      <c r="A558" s="8" t="s">
        <v>4490</v>
      </c>
    </row>
    <row r="559" spans="1:1" x14ac:dyDescent="0.35">
      <c r="A559" s="8" t="s">
        <v>4510</v>
      </c>
    </row>
    <row r="560" spans="1:1" x14ac:dyDescent="0.35">
      <c r="A560" s="8" t="s">
        <v>4528</v>
      </c>
    </row>
    <row r="561" spans="1:1" x14ac:dyDescent="0.35">
      <c r="A561" s="7" t="s">
        <v>4544</v>
      </c>
    </row>
    <row r="562" spans="1:1" x14ac:dyDescent="0.35">
      <c r="A562" s="8" t="s">
        <v>4549</v>
      </c>
    </row>
    <row r="563" spans="1:1" x14ac:dyDescent="0.35">
      <c r="A563" s="7" t="s">
        <v>4554</v>
      </c>
    </row>
    <row r="564" spans="1:1" x14ac:dyDescent="0.35">
      <c r="A564" s="8" t="s">
        <v>4559</v>
      </c>
    </row>
    <row r="565" spans="1:1" x14ac:dyDescent="0.35">
      <c r="A565" s="8" t="s">
        <v>4563</v>
      </c>
    </row>
    <row r="566" spans="1:1" x14ac:dyDescent="0.35">
      <c r="A566" s="8" t="s">
        <v>4569</v>
      </c>
    </row>
    <row r="567" spans="1:1" x14ac:dyDescent="0.35">
      <c r="A567" s="7" t="s">
        <v>4577</v>
      </c>
    </row>
    <row r="568" spans="1:1" x14ac:dyDescent="0.35">
      <c r="A568" s="8" t="s">
        <v>4602</v>
      </c>
    </row>
    <row r="569" spans="1:1" x14ac:dyDescent="0.35">
      <c r="A569" s="7" t="s">
        <v>4604</v>
      </c>
    </row>
    <row r="570" spans="1:1" x14ac:dyDescent="0.35">
      <c r="A570" s="8" t="s">
        <v>4605</v>
      </c>
    </row>
    <row r="571" spans="1:1" x14ac:dyDescent="0.35">
      <c r="A571" s="8" t="s">
        <v>4612</v>
      </c>
    </row>
    <row r="572" spans="1:1" x14ac:dyDescent="0.35">
      <c r="A572" s="8" t="s">
        <v>4625</v>
      </c>
    </row>
    <row r="573" spans="1:1" x14ac:dyDescent="0.35">
      <c r="A573" s="8" t="s">
        <v>4638</v>
      </c>
    </row>
    <row r="574" spans="1:1" x14ac:dyDescent="0.35">
      <c r="A574" s="8" t="s">
        <v>4639</v>
      </c>
    </row>
    <row r="575" spans="1:1" x14ac:dyDescent="0.35">
      <c r="A575" s="7" t="s">
        <v>4649</v>
      </c>
    </row>
    <row r="576" spans="1:1" x14ac:dyDescent="0.35">
      <c r="A576" s="8" t="s">
        <v>4655</v>
      </c>
    </row>
    <row r="577" spans="1:1" x14ac:dyDescent="0.35">
      <c r="A577" s="7" t="s">
        <v>4661</v>
      </c>
    </row>
    <row r="578" spans="1:1" x14ac:dyDescent="0.35">
      <c r="A578" s="8" t="s">
        <v>4671</v>
      </c>
    </row>
    <row r="579" spans="1:1" x14ac:dyDescent="0.35">
      <c r="A579" s="8" t="s">
        <v>4676</v>
      </c>
    </row>
    <row r="580" spans="1:1" x14ac:dyDescent="0.35">
      <c r="A580" s="8" t="s">
        <v>4688</v>
      </c>
    </row>
    <row r="581" spans="1:1" x14ac:dyDescent="0.35">
      <c r="A581" s="7" t="s">
        <v>4691</v>
      </c>
    </row>
    <row r="582" spans="1:1" x14ac:dyDescent="0.35">
      <c r="A582" s="8" t="s">
        <v>4699</v>
      </c>
    </row>
    <row r="583" spans="1:1" x14ac:dyDescent="0.35">
      <c r="A583" s="8" t="s">
        <v>4704</v>
      </c>
    </row>
    <row r="584" spans="1:1" x14ac:dyDescent="0.35">
      <c r="A584" s="8" t="s">
        <v>4707</v>
      </c>
    </row>
    <row r="585" spans="1:1" x14ac:dyDescent="0.35">
      <c r="A585" s="7" t="s">
        <v>4712</v>
      </c>
    </row>
    <row r="586" spans="1:1" x14ac:dyDescent="0.35">
      <c r="A586" s="8" t="s">
        <v>4720</v>
      </c>
    </row>
    <row r="587" spans="1:1" x14ac:dyDescent="0.35">
      <c r="A587" s="8" t="s">
        <v>4734</v>
      </c>
    </row>
    <row r="588" spans="1:1" x14ac:dyDescent="0.35">
      <c r="A588" s="8" t="s">
        <v>4737</v>
      </c>
    </row>
    <row r="589" spans="1:1" x14ac:dyDescent="0.35">
      <c r="A589" s="7" t="s">
        <v>4749</v>
      </c>
    </row>
    <row r="590" spans="1:1" x14ac:dyDescent="0.35">
      <c r="A590" s="8" t="s">
        <v>4753</v>
      </c>
    </row>
    <row r="591" spans="1:1" x14ac:dyDescent="0.35">
      <c r="A591" s="7" t="s">
        <v>4754</v>
      </c>
    </row>
    <row r="592" spans="1:1" x14ac:dyDescent="0.35">
      <c r="A592" s="8" t="s">
        <v>4761</v>
      </c>
    </row>
    <row r="593" spans="1:1" x14ac:dyDescent="0.35">
      <c r="A593" s="7" t="s">
        <v>4769</v>
      </c>
    </row>
    <row r="594" spans="1:1" x14ac:dyDescent="0.35">
      <c r="A594" s="8" t="s">
        <v>4788</v>
      </c>
    </row>
    <row r="595" spans="1:1" x14ac:dyDescent="0.35">
      <c r="A595" s="8" t="s">
        <v>4792</v>
      </c>
    </row>
    <row r="596" spans="1:1" x14ac:dyDescent="0.35">
      <c r="A596" s="8" t="s">
        <v>4794</v>
      </c>
    </row>
    <row r="597" spans="1:1" x14ac:dyDescent="0.35">
      <c r="A597" s="7" t="s">
        <v>4808</v>
      </c>
    </row>
    <row r="598" spans="1:1" x14ac:dyDescent="0.35">
      <c r="A598" s="8" t="s">
        <v>4810</v>
      </c>
    </row>
    <row r="599" spans="1:1" x14ac:dyDescent="0.35">
      <c r="A599" s="8" t="s">
        <v>4811</v>
      </c>
    </row>
    <row r="600" spans="1:1" x14ac:dyDescent="0.35">
      <c r="A600" s="8" t="s">
        <v>4817</v>
      </c>
    </row>
    <row r="601" spans="1:1" x14ac:dyDescent="0.35">
      <c r="A601" s="7" t="s">
        <v>4822</v>
      </c>
    </row>
    <row r="602" spans="1:1" x14ac:dyDescent="0.35">
      <c r="A602" s="8" t="s">
        <v>4840</v>
      </c>
    </row>
    <row r="603" spans="1:1" x14ac:dyDescent="0.35">
      <c r="A603" s="7" t="s">
        <v>4845</v>
      </c>
    </row>
    <row r="604" spans="1:1" x14ac:dyDescent="0.35">
      <c r="A604" s="8" t="s">
        <v>4856</v>
      </c>
    </row>
    <row r="605" spans="1:1" x14ac:dyDescent="0.35">
      <c r="A605" s="7" t="s">
        <v>4863</v>
      </c>
    </row>
    <row r="606" spans="1:1" x14ac:dyDescent="0.35">
      <c r="A606" s="8" t="s">
        <v>4865</v>
      </c>
    </row>
    <row r="607" spans="1:1" x14ac:dyDescent="0.35">
      <c r="A607" s="7" t="s">
        <v>4867</v>
      </c>
    </row>
    <row r="608" spans="1:1" x14ac:dyDescent="0.35">
      <c r="A608" s="8" t="s">
        <v>4876</v>
      </c>
    </row>
    <row r="609" spans="1:1" x14ac:dyDescent="0.35">
      <c r="A609" s="8" t="s">
        <v>4878</v>
      </c>
    </row>
    <row r="610" spans="1:1" x14ac:dyDescent="0.35">
      <c r="A610" s="8" t="s">
        <v>4889</v>
      </c>
    </row>
    <row r="611" spans="1:1" x14ac:dyDescent="0.35">
      <c r="A611" s="7" t="s">
        <v>4909</v>
      </c>
    </row>
    <row r="612" spans="1:1" x14ac:dyDescent="0.35">
      <c r="A612" s="8" t="s">
        <v>4945</v>
      </c>
    </row>
    <row r="613" spans="1:1" x14ac:dyDescent="0.35">
      <c r="A613" s="7" t="s">
        <v>4959</v>
      </c>
    </row>
    <row r="614" spans="1:1" x14ac:dyDescent="0.35">
      <c r="A614" s="8" t="s">
        <v>4972</v>
      </c>
    </row>
    <row r="615" spans="1:1" x14ac:dyDescent="0.35">
      <c r="A615" s="7" t="s">
        <v>4976</v>
      </c>
    </row>
    <row r="616" spans="1:1" x14ac:dyDescent="0.35">
      <c r="A616" s="8" t="s">
        <v>4977</v>
      </c>
    </row>
    <row r="617" spans="1:1" x14ac:dyDescent="0.35">
      <c r="A617" s="7" t="s">
        <v>4988</v>
      </c>
    </row>
    <row r="618" spans="1:1" x14ac:dyDescent="0.35">
      <c r="A618" s="8" t="s">
        <v>4998</v>
      </c>
    </row>
    <row r="619" spans="1:1" x14ac:dyDescent="0.35">
      <c r="A619" s="7" t="s">
        <v>5006</v>
      </c>
    </row>
    <row r="620" spans="1:1" x14ac:dyDescent="0.35">
      <c r="A620" s="8" t="s">
        <v>5020</v>
      </c>
    </row>
    <row r="621" spans="1:1" x14ac:dyDescent="0.35">
      <c r="A621" s="8" t="s">
        <v>5029</v>
      </c>
    </row>
    <row r="622" spans="1:1" x14ac:dyDescent="0.35">
      <c r="A622" s="8" t="s">
        <v>5040</v>
      </c>
    </row>
    <row r="623" spans="1:1" x14ac:dyDescent="0.35">
      <c r="A623" s="7" t="s">
        <v>5053</v>
      </c>
    </row>
    <row r="624" spans="1:1" x14ac:dyDescent="0.35">
      <c r="A624" s="8" t="s">
        <v>5059</v>
      </c>
    </row>
    <row r="625" spans="1:1" x14ac:dyDescent="0.35">
      <c r="A625" s="7" t="s">
        <v>5060</v>
      </c>
    </row>
    <row r="626" spans="1:1" x14ac:dyDescent="0.35">
      <c r="A626" s="8" t="s">
        <v>5065</v>
      </c>
    </row>
    <row r="627" spans="1:1" x14ac:dyDescent="0.35">
      <c r="A627" s="7" t="s">
        <v>5066</v>
      </c>
    </row>
    <row r="628" spans="1:1" x14ac:dyDescent="0.35">
      <c r="A628" s="8" t="s">
        <v>5079</v>
      </c>
    </row>
    <row r="629" spans="1:1" x14ac:dyDescent="0.35">
      <c r="A629" s="8" t="s">
        <v>5087</v>
      </c>
    </row>
    <row r="630" spans="1:1" x14ac:dyDescent="0.35">
      <c r="A630" s="8" t="s">
        <v>5093</v>
      </c>
    </row>
    <row r="631" spans="1:1" x14ac:dyDescent="0.35">
      <c r="A631" s="7" t="s">
        <v>5097</v>
      </c>
    </row>
    <row r="632" spans="1:1" x14ac:dyDescent="0.35">
      <c r="A632" s="8" t="s">
        <v>5098</v>
      </c>
    </row>
    <row r="633" spans="1:1" x14ac:dyDescent="0.35">
      <c r="A633" s="7" t="s">
        <v>5122</v>
      </c>
    </row>
    <row r="634" spans="1:1" x14ac:dyDescent="0.35">
      <c r="A634" s="8" t="s">
        <v>5127</v>
      </c>
    </row>
    <row r="635" spans="1:1" x14ac:dyDescent="0.35">
      <c r="A635" s="7" t="s">
        <v>5152</v>
      </c>
    </row>
    <row r="636" spans="1:1" x14ac:dyDescent="0.35">
      <c r="A636" s="8" t="s">
        <v>5156</v>
      </c>
    </row>
    <row r="637" spans="1:1" x14ac:dyDescent="0.35">
      <c r="A637" s="7" t="s">
        <v>5163</v>
      </c>
    </row>
    <row r="638" spans="1:1" x14ac:dyDescent="0.35">
      <c r="A638" s="8" t="s">
        <v>5165</v>
      </c>
    </row>
    <row r="639" spans="1:1" x14ac:dyDescent="0.35">
      <c r="A639" s="8" t="s">
        <v>5170</v>
      </c>
    </row>
    <row r="640" spans="1:1" x14ac:dyDescent="0.35">
      <c r="A640" s="8" t="s">
        <v>5172</v>
      </c>
    </row>
    <row r="641" spans="1:1" x14ac:dyDescent="0.35">
      <c r="A641" s="7" t="s">
        <v>5182</v>
      </c>
    </row>
    <row r="642" spans="1:1" x14ac:dyDescent="0.35">
      <c r="A642" s="8" t="s">
        <v>5189</v>
      </c>
    </row>
    <row r="643" spans="1:1" x14ac:dyDescent="0.35">
      <c r="A643" s="7" t="s">
        <v>5191</v>
      </c>
    </row>
    <row r="644" spans="1:1" x14ac:dyDescent="0.35">
      <c r="A644" s="8" t="s">
        <v>5212</v>
      </c>
    </row>
    <row r="645" spans="1:1" x14ac:dyDescent="0.35">
      <c r="A645" s="8" t="s">
        <v>5213</v>
      </c>
    </row>
    <row r="646" spans="1:1" x14ac:dyDescent="0.35">
      <c r="A646" s="8" t="s">
        <v>5214</v>
      </c>
    </row>
    <row r="647" spans="1:1" x14ac:dyDescent="0.35">
      <c r="A647" s="8" t="s">
        <v>5217</v>
      </c>
    </row>
    <row r="648" spans="1:1" x14ac:dyDescent="0.35">
      <c r="A648" s="8" t="s">
        <v>5223</v>
      </c>
    </row>
    <row r="649" spans="1:1" x14ac:dyDescent="0.35">
      <c r="A649" s="7" t="s">
        <v>5225</v>
      </c>
    </row>
    <row r="650" spans="1:1" x14ac:dyDescent="0.35">
      <c r="A650" s="8" t="s">
        <v>5246</v>
      </c>
    </row>
    <row r="651" spans="1:1" x14ac:dyDescent="0.35">
      <c r="A651" s="8" t="s">
        <v>5268</v>
      </c>
    </row>
    <row r="652" spans="1:1" x14ac:dyDescent="0.35">
      <c r="A652" s="8" t="s">
        <v>5272</v>
      </c>
    </row>
    <row r="653" spans="1:1" x14ac:dyDescent="0.35">
      <c r="A653" s="7" t="s">
        <v>5274</v>
      </c>
    </row>
    <row r="654" spans="1:1" x14ac:dyDescent="0.35">
      <c r="A654" s="8" t="s">
        <v>5285</v>
      </c>
    </row>
    <row r="655" spans="1:1" x14ac:dyDescent="0.35">
      <c r="A655" s="8" t="s">
        <v>5291</v>
      </c>
    </row>
    <row r="656" spans="1:1" x14ac:dyDescent="0.35">
      <c r="A656" s="8" t="s">
        <v>5299</v>
      </c>
    </row>
    <row r="657" spans="1:1" x14ac:dyDescent="0.35">
      <c r="A657" s="8" t="s">
        <v>5301</v>
      </c>
    </row>
    <row r="658" spans="1:1" x14ac:dyDescent="0.35">
      <c r="A658" s="8" t="s">
        <v>5303</v>
      </c>
    </row>
    <row r="659" spans="1:1" x14ac:dyDescent="0.35">
      <c r="A659" s="8" t="s">
        <v>5317</v>
      </c>
    </row>
    <row r="660" spans="1:1" x14ac:dyDescent="0.35">
      <c r="A660" s="8" t="s">
        <v>5331</v>
      </c>
    </row>
    <row r="661" spans="1:1" x14ac:dyDescent="0.35">
      <c r="A661" s="8" t="s">
        <v>5337</v>
      </c>
    </row>
    <row r="662" spans="1:1" x14ac:dyDescent="0.35">
      <c r="A662" s="8" t="s">
        <v>5344</v>
      </c>
    </row>
    <row r="663" spans="1:1" x14ac:dyDescent="0.35">
      <c r="A663" s="7" t="s">
        <v>5346</v>
      </c>
    </row>
    <row r="664" spans="1:1" x14ac:dyDescent="0.35">
      <c r="A664" s="8" t="s">
        <v>5359</v>
      </c>
    </row>
    <row r="665" spans="1:1" x14ac:dyDescent="0.35">
      <c r="A665" s="8" t="s">
        <v>5363</v>
      </c>
    </row>
    <row r="666" spans="1:1" x14ac:dyDescent="0.35">
      <c r="A666" s="8" t="s">
        <v>5365</v>
      </c>
    </row>
    <row r="667" spans="1:1" x14ac:dyDescent="0.35">
      <c r="A667" s="7" t="s">
        <v>5369</v>
      </c>
    </row>
    <row r="668" spans="1:1" x14ac:dyDescent="0.35">
      <c r="A668" s="8" t="s">
        <v>5374</v>
      </c>
    </row>
    <row r="669" spans="1:1" x14ac:dyDescent="0.35">
      <c r="A669" s="8" t="s">
        <v>5384</v>
      </c>
    </row>
    <row r="670" spans="1:1" x14ac:dyDescent="0.35">
      <c r="A670" s="8" t="s">
        <v>5388</v>
      </c>
    </row>
    <row r="671" spans="1:1" x14ac:dyDescent="0.35">
      <c r="A671" s="8" t="s">
        <v>5413</v>
      </c>
    </row>
    <row r="672" spans="1:1" x14ac:dyDescent="0.35">
      <c r="A672" s="8" t="s">
        <v>5428</v>
      </c>
    </row>
    <row r="673" spans="1:1" x14ac:dyDescent="0.35">
      <c r="A673" s="8" t="s">
        <v>5436</v>
      </c>
    </row>
    <row r="674" spans="1:1" x14ac:dyDescent="0.35">
      <c r="A674" s="8" t="s">
        <v>5439</v>
      </c>
    </row>
    <row r="675" spans="1:1" x14ac:dyDescent="0.35">
      <c r="A675" s="7" t="s">
        <v>5451</v>
      </c>
    </row>
    <row r="676" spans="1:1" x14ac:dyDescent="0.35">
      <c r="A676" s="8" t="s">
        <v>5456</v>
      </c>
    </row>
    <row r="677" spans="1:1" x14ac:dyDescent="0.35">
      <c r="A677" s="8" t="s">
        <v>5470</v>
      </c>
    </row>
    <row r="678" spans="1:1" x14ac:dyDescent="0.35">
      <c r="A678" s="8" t="s">
        <v>5474</v>
      </c>
    </row>
    <row r="679" spans="1:1" x14ac:dyDescent="0.35">
      <c r="A679" s="7" t="s">
        <v>5478</v>
      </c>
    </row>
    <row r="680" spans="1:1" x14ac:dyDescent="0.35">
      <c r="A680" s="8" t="s">
        <v>5483</v>
      </c>
    </row>
    <row r="681" spans="1:1" x14ac:dyDescent="0.35">
      <c r="A681" s="8" t="s">
        <v>5498</v>
      </c>
    </row>
    <row r="682" spans="1:1" x14ac:dyDescent="0.35">
      <c r="A682" s="8" t="s">
        <v>5504</v>
      </c>
    </row>
    <row r="683" spans="1:1" x14ac:dyDescent="0.35">
      <c r="A683" s="7" t="s">
        <v>5509</v>
      </c>
    </row>
    <row r="684" spans="1:1" x14ac:dyDescent="0.35">
      <c r="A684" s="8" t="s">
        <v>5516</v>
      </c>
    </row>
    <row r="685" spans="1:1" x14ac:dyDescent="0.35">
      <c r="A685" s="7" t="s">
        <v>5525</v>
      </c>
    </row>
    <row r="686" spans="1:1" x14ac:dyDescent="0.35">
      <c r="A686" s="8" t="s">
        <v>5533</v>
      </c>
    </row>
    <row r="687" spans="1:1" x14ac:dyDescent="0.35">
      <c r="A687" s="8" t="s">
        <v>5541</v>
      </c>
    </row>
    <row r="688" spans="1:1" x14ac:dyDescent="0.35">
      <c r="A688" s="8" t="s">
        <v>5554</v>
      </c>
    </row>
    <row r="689" spans="1:1" x14ac:dyDescent="0.35">
      <c r="A689" s="8" t="s">
        <v>5560</v>
      </c>
    </row>
    <row r="690" spans="1:1" x14ac:dyDescent="0.35">
      <c r="A690" s="8" t="s">
        <v>5568</v>
      </c>
    </row>
    <row r="691" spans="1:1" x14ac:dyDescent="0.35">
      <c r="A691" s="7" t="s">
        <v>5579</v>
      </c>
    </row>
    <row r="692" spans="1:1" x14ac:dyDescent="0.35">
      <c r="A692" s="8" t="s">
        <v>5582</v>
      </c>
    </row>
    <row r="693" spans="1:1" x14ac:dyDescent="0.35">
      <c r="A693" s="7" t="s">
        <v>5603</v>
      </c>
    </row>
    <row r="694" spans="1:1" x14ac:dyDescent="0.35">
      <c r="A694" s="8" t="s">
        <v>5610</v>
      </c>
    </row>
    <row r="695" spans="1:1" x14ac:dyDescent="0.35">
      <c r="A695" s="8" t="s">
        <v>5627</v>
      </c>
    </row>
    <row r="696" spans="1:1" x14ac:dyDescent="0.35">
      <c r="A696" s="8" t="s">
        <v>5630</v>
      </c>
    </row>
    <row r="697" spans="1:1" x14ac:dyDescent="0.35">
      <c r="A697" s="7" t="s">
        <v>5635</v>
      </c>
    </row>
    <row r="698" spans="1:1" x14ac:dyDescent="0.35">
      <c r="A698" s="8" t="s">
        <v>5642</v>
      </c>
    </row>
    <row r="699" spans="1:1" x14ac:dyDescent="0.35">
      <c r="A699" s="7" t="s">
        <v>5643</v>
      </c>
    </row>
    <row r="700" spans="1:1" x14ac:dyDescent="0.35">
      <c r="A700" s="8" t="s">
        <v>5646</v>
      </c>
    </row>
    <row r="701" spans="1:1" x14ac:dyDescent="0.35">
      <c r="A701" s="7" t="s">
        <v>5651</v>
      </c>
    </row>
    <row r="702" spans="1:1" x14ac:dyDescent="0.35">
      <c r="A702" s="8" t="s">
        <v>5668</v>
      </c>
    </row>
    <row r="703" spans="1:1" x14ac:dyDescent="0.35">
      <c r="A703" s="8" t="s">
        <v>5679</v>
      </c>
    </row>
    <row r="704" spans="1:1" x14ac:dyDescent="0.35">
      <c r="A704" s="8" t="s">
        <v>5696</v>
      </c>
    </row>
    <row r="705" spans="1:1" x14ac:dyDescent="0.35">
      <c r="A705" s="7" t="s">
        <v>5700</v>
      </c>
    </row>
    <row r="706" spans="1:1" x14ac:dyDescent="0.35">
      <c r="A706" s="8" t="s">
        <v>5710</v>
      </c>
    </row>
    <row r="707" spans="1:1" x14ac:dyDescent="0.35">
      <c r="A707" s="8" t="s">
        <v>5720</v>
      </c>
    </row>
    <row r="708" spans="1:1" x14ac:dyDescent="0.35">
      <c r="A708" s="8" t="s">
        <v>5722</v>
      </c>
    </row>
    <row r="709" spans="1:1" x14ac:dyDescent="0.35">
      <c r="A709" s="7" t="s">
        <v>5733</v>
      </c>
    </row>
    <row r="710" spans="1:1" x14ac:dyDescent="0.35">
      <c r="A710" s="8" t="s">
        <v>5734</v>
      </c>
    </row>
    <row r="711" spans="1:1" x14ac:dyDescent="0.35">
      <c r="A711" s="8" t="s">
        <v>5744</v>
      </c>
    </row>
    <row r="712" spans="1:1" x14ac:dyDescent="0.35">
      <c r="A712" s="8" t="s">
        <v>5747</v>
      </c>
    </row>
    <row r="713" spans="1:1" x14ac:dyDescent="0.35">
      <c r="A713" s="7" t="s">
        <v>5758</v>
      </c>
    </row>
    <row r="714" spans="1:1" x14ac:dyDescent="0.35">
      <c r="A714" s="8" t="s">
        <v>5780</v>
      </c>
    </row>
    <row r="715" spans="1:1" x14ac:dyDescent="0.35">
      <c r="A715" s="7" t="s">
        <v>5790</v>
      </c>
    </row>
    <row r="716" spans="1:1" x14ac:dyDescent="0.35">
      <c r="A716" s="8" t="s">
        <v>5791</v>
      </c>
    </row>
    <row r="717" spans="1:1" x14ac:dyDescent="0.35">
      <c r="A717" s="7" t="s">
        <v>5796</v>
      </c>
    </row>
    <row r="718" spans="1:1" x14ac:dyDescent="0.35">
      <c r="A718" s="8" t="s">
        <v>5843</v>
      </c>
    </row>
    <row r="719" spans="1:1" x14ac:dyDescent="0.35">
      <c r="A719" s="8" t="s">
        <v>5853</v>
      </c>
    </row>
    <row r="720" spans="1:1" x14ac:dyDescent="0.35">
      <c r="A720" s="8" t="s">
        <v>5854</v>
      </c>
    </row>
    <row r="721" spans="1:1" x14ac:dyDescent="0.35">
      <c r="A721" s="8" t="s">
        <v>5869</v>
      </c>
    </row>
    <row r="722" spans="1:1" x14ac:dyDescent="0.35">
      <c r="A722" s="8" t="s">
        <v>5876</v>
      </c>
    </row>
    <row r="723" spans="1:1" x14ac:dyDescent="0.35">
      <c r="A723" s="7" t="s">
        <v>5889</v>
      </c>
    </row>
    <row r="724" spans="1:1" x14ac:dyDescent="0.35">
      <c r="A724" s="8" t="s">
        <v>5897</v>
      </c>
    </row>
    <row r="725" spans="1:1" x14ac:dyDescent="0.35">
      <c r="A725" s="7" t="s">
        <v>5905</v>
      </c>
    </row>
    <row r="726" spans="1:1" x14ac:dyDescent="0.35">
      <c r="A726" s="8" t="s">
        <v>5927</v>
      </c>
    </row>
    <row r="727" spans="1:1" x14ac:dyDescent="0.35">
      <c r="A727" s="7" t="s">
        <v>5939</v>
      </c>
    </row>
    <row r="728" spans="1:1" x14ac:dyDescent="0.35">
      <c r="A728" s="8" t="s">
        <v>5957</v>
      </c>
    </row>
    <row r="729" spans="1:1" x14ac:dyDescent="0.35">
      <c r="A729" s="8" t="s">
        <v>5970</v>
      </c>
    </row>
    <row r="730" spans="1:1" x14ac:dyDescent="0.35">
      <c r="A730" s="8" t="s">
        <v>5978</v>
      </c>
    </row>
    <row r="731" spans="1:1" x14ac:dyDescent="0.35">
      <c r="A731" s="8" t="s">
        <v>5983</v>
      </c>
    </row>
    <row r="732" spans="1:1" x14ac:dyDescent="0.35">
      <c r="A732" s="8" t="s">
        <v>5994</v>
      </c>
    </row>
    <row r="733" spans="1:1" x14ac:dyDescent="0.35">
      <c r="A733" s="8" t="s">
        <v>6004</v>
      </c>
    </row>
    <row r="734" spans="1:1" x14ac:dyDescent="0.35">
      <c r="A734" s="8" t="s">
        <v>6026</v>
      </c>
    </row>
    <row r="735" spans="1:1" x14ac:dyDescent="0.35">
      <c r="A735" s="8" t="s">
        <v>6041</v>
      </c>
    </row>
    <row r="736" spans="1:1" x14ac:dyDescent="0.35">
      <c r="A736" s="8" t="s">
        <v>6042</v>
      </c>
    </row>
    <row r="737" spans="1:1" x14ac:dyDescent="0.35">
      <c r="A737" s="7" t="s">
        <v>6046</v>
      </c>
    </row>
    <row r="738" spans="1:1" x14ac:dyDescent="0.35">
      <c r="A738" s="8" t="s">
        <v>6047</v>
      </c>
    </row>
    <row r="739" spans="1:1" x14ac:dyDescent="0.35">
      <c r="A739" s="8" t="s">
        <v>6052</v>
      </c>
    </row>
    <row r="740" spans="1:1" x14ac:dyDescent="0.35">
      <c r="A740" s="8" t="s">
        <v>6060</v>
      </c>
    </row>
    <row r="741" spans="1:1" x14ac:dyDescent="0.35">
      <c r="A741" s="8" t="s">
        <v>6082</v>
      </c>
    </row>
    <row r="742" spans="1:1" x14ac:dyDescent="0.35">
      <c r="A742" s="8" t="s">
        <v>6091</v>
      </c>
    </row>
    <row r="743" spans="1:1" x14ac:dyDescent="0.35">
      <c r="A743" s="8" t="s">
        <v>6096</v>
      </c>
    </row>
    <row r="744" spans="1:1" x14ac:dyDescent="0.35">
      <c r="A744" s="8" t="s">
        <v>6113</v>
      </c>
    </row>
    <row r="745" spans="1:1" x14ac:dyDescent="0.35">
      <c r="A745" s="8" t="s">
        <v>6125</v>
      </c>
    </row>
    <row r="746" spans="1:1" x14ac:dyDescent="0.35">
      <c r="A746" s="8" t="s">
        <v>6178</v>
      </c>
    </row>
    <row r="747" spans="1:1" x14ac:dyDescent="0.35">
      <c r="A747" s="7" t="s">
        <v>6182</v>
      </c>
    </row>
    <row r="748" spans="1:1" x14ac:dyDescent="0.35">
      <c r="A748" s="8" t="s">
        <v>6194</v>
      </c>
    </row>
    <row r="749" spans="1:1" x14ac:dyDescent="0.35">
      <c r="A749" s="7" t="s">
        <v>6215</v>
      </c>
    </row>
    <row r="750" spans="1:1" x14ac:dyDescent="0.35">
      <c r="A750" s="8" t="s">
        <v>6240</v>
      </c>
    </row>
    <row r="751" spans="1:1" x14ac:dyDescent="0.35">
      <c r="A751" s="7" t="s">
        <v>6257</v>
      </c>
    </row>
    <row r="752" spans="1:1" x14ac:dyDescent="0.35">
      <c r="A752" s="8" t="s">
        <v>6271</v>
      </c>
    </row>
    <row r="753" spans="1:1" x14ac:dyDescent="0.35">
      <c r="A753" s="8" t="s">
        <v>6281</v>
      </c>
    </row>
    <row r="754" spans="1:1" x14ac:dyDescent="0.35">
      <c r="A754" s="8" t="s">
        <v>6288</v>
      </c>
    </row>
    <row r="755" spans="1:1" x14ac:dyDescent="0.35">
      <c r="A755" s="7" t="s">
        <v>6308</v>
      </c>
    </row>
    <row r="756" spans="1:1" x14ac:dyDescent="0.35">
      <c r="A756" s="8" t="s">
        <v>6310</v>
      </c>
    </row>
    <row r="757" spans="1:1" x14ac:dyDescent="0.35">
      <c r="A757" s="7" t="s">
        <v>6320</v>
      </c>
    </row>
    <row r="758" spans="1:1" x14ac:dyDescent="0.35">
      <c r="A758" s="8" t="s">
        <v>6332</v>
      </c>
    </row>
    <row r="759" spans="1:1" x14ac:dyDescent="0.35">
      <c r="A759" s="7" t="s">
        <v>6342</v>
      </c>
    </row>
    <row r="760" spans="1:1" x14ac:dyDescent="0.35">
      <c r="A760" s="8" t="s">
        <v>6346</v>
      </c>
    </row>
    <row r="761" spans="1:1" x14ac:dyDescent="0.35">
      <c r="A761" s="8" t="s">
        <v>6384</v>
      </c>
    </row>
    <row r="762" spans="1:1" x14ac:dyDescent="0.35">
      <c r="A762" s="8" t="s">
        <v>6394</v>
      </c>
    </row>
    <row r="763" spans="1:1" x14ac:dyDescent="0.35">
      <c r="A763" s="8" t="s">
        <v>6396</v>
      </c>
    </row>
    <row r="764" spans="1:1" x14ac:dyDescent="0.35">
      <c r="A764" s="8" t="s">
        <v>6410</v>
      </c>
    </row>
    <row r="765" spans="1:1" x14ac:dyDescent="0.35">
      <c r="A765" s="8" t="s">
        <v>6411</v>
      </c>
    </row>
    <row r="766" spans="1:1" x14ac:dyDescent="0.35">
      <c r="A766" s="8" t="s">
        <v>6433</v>
      </c>
    </row>
    <row r="767" spans="1:1" x14ac:dyDescent="0.35">
      <c r="A767" s="8" t="s">
        <v>6434</v>
      </c>
    </row>
    <row r="768" spans="1:1" x14ac:dyDescent="0.35">
      <c r="A768" s="8" t="s">
        <v>6454</v>
      </c>
    </row>
    <row r="769" spans="1:1" x14ac:dyDescent="0.35">
      <c r="A769" s="7" t="s">
        <v>6461</v>
      </c>
    </row>
    <row r="770" spans="1:1" x14ac:dyDescent="0.35">
      <c r="A770" s="8" t="s">
        <v>6479</v>
      </c>
    </row>
    <row r="771" spans="1:1" x14ac:dyDescent="0.35">
      <c r="A771" s="8" t="s">
        <v>6483</v>
      </c>
    </row>
    <row r="772" spans="1:1" x14ac:dyDescent="0.35">
      <c r="A772" s="8" t="s">
        <v>6488</v>
      </c>
    </row>
    <row r="773" spans="1:1" x14ac:dyDescent="0.35">
      <c r="A773" s="7" t="s">
        <v>6501</v>
      </c>
    </row>
    <row r="774" spans="1:1" x14ac:dyDescent="0.35">
      <c r="A774" s="8" t="s">
        <v>6516</v>
      </c>
    </row>
    <row r="775" spans="1:1" x14ac:dyDescent="0.35">
      <c r="A775" s="7" t="s">
        <v>6529</v>
      </c>
    </row>
    <row r="776" spans="1:1" x14ac:dyDescent="0.35">
      <c r="A776" s="8" t="s">
        <v>6530</v>
      </c>
    </row>
    <row r="777" spans="1:1" x14ac:dyDescent="0.35">
      <c r="A777" s="8" t="s">
        <v>6534</v>
      </c>
    </row>
    <row r="778" spans="1:1" x14ac:dyDescent="0.35">
      <c r="A778" s="8" t="s">
        <v>6572</v>
      </c>
    </row>
    <row r="779" spans="1:1" x14ac:dyDescent="0.35">
      <c r="A779" s="7" t="s">
        <v>6573</v>
      </c>
    </row>
    <row r="780" spans="1:1" x14ac:dyDescent="0.35">
      <c r="A780" s="8" t="s">
        <v>6589</v>
      </c>
    </row>
    <row r="781" spans="1:1" x14ac:dyDescent="0.35">
      <c r="A781" s="7" t="s">
        <v>6602</v>
      </c>
    </row>
    <row r="782" spans="1:1" x14ac:dyDescent="0.35">
      <c r="A782" s="8" t="s">
        <v>6612</v>
      </c>
    </row>
    <row r="783" spans="1:1" x14ac:dyDescent="0.35">
      <c r="A783" s="8" t="s">
        <v>6640</v>
      </c>
    </row>
    <row r="784" spans="1:1" x14ac:dyDescent="0.35">
      <c r="A784" s="8" t="s">
        <v>6676</v>
      </c>
    </row>
    <row r="785" spans="1:1" x14ac:dyDescent="0.35">
      <c r="A785" s="7" t="s">
        <v>6683</v>
      </c>
    </row>
    <row r="786" spans="1:1" x14ac:dyDescent="0.35">
      <c r="A786" s="8" t="s">
        <v>6711</v>
      </c>
    </row>
    <row r="787" spans="1:1" x14ac:dyDescent="0.35">
      <c r="A787" s="7" t="s">
        <v>6718</v>
      </c>
    </row>
    <row r="788" spans="1:1" x14ac:dyDescent="0.35">
      <c r="A788" s="8" t="s">
        <v>6740</v>
      </c>
    </row>
    <row r="789" spans="1:1" x14ac:dyDescent="0.35">
      <c r="A789" s="8" t="s">
        <v>6741</v>
      </c>
    </row>
    <row r="790" spans="1:1" x14ac:dyDescent="0.35">
      <c r="A790" s="8" t="s">
        <v>6742</v>
      </c>
    </row>
    <row r="791" spans="1:1" x14ac:dyDescent="0.35">
      <c r="A791" s="7" t="s">
        <v>6776</v>
      </c>
    </row>
    <row r="792" spans="1:1" x14ac:dyDescent="0.35">
      <c r="A792" s="8" t="s">
        <v>6786</v>
      </c>
    </row>
    <row r="793" spans="1:1" x14ac:dyDescent="0.35">
      <c r="A793" s="7" t="s">
        <v>6787</v>
      </c>
    </row>
    <row r="794" spans="1:1" x14ac:dyDescent="0.35">
      <c r="A794" s="8" t="s">
        <v>6798</v>
      </c>
    </row>
    <row r="795" spans="1:1" x14ac:dyDescent="0.35">
      <c r="A795"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A46648-0404-4DCF-B736-0F879A9337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train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Sawant</dc:creator>
  <cp:lastModifiedBy>Gaurav Sawant</cp:lastModifiedBy>
  <dcterms:created xsi:type="dcterms:W3CDTF">2025-09-20T06:50:39Z</dcterms:created>
  <dcterms:modified xsi:type="dcterms:W3CDTF">2025-10-31T19:27:39Z</dcterms:modified>
</cp:coreProperties>
</file>